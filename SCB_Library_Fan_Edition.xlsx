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brary" sheetId="2" state="visible" r:id="rId2"/>
    <sheet xmlns:r="http://schemas.openxmlformats.org/officeDocument/2006/relationships" name="Queue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History" sheetId="5" state="visible" r:id="rId5"/>
    <sheet xmlns:r="http://schemas.openxmlformats.org/officeDocument/2006/relationships" name="Stats" sheetId="6" state="visible" r:id="rId6"/>
    <sheet xmlns:r="http://schemas.openxmlformats.org/officeDocument/2006/relationships" name="Channels" sheetId="7" state="visible" r:id="rId7"/>
    <sheet xmlns:r="http://schemas.openxmlformats.org/officeDocument/2006/relationships" name="Settings" sheetId="8" state="visible" r:id="rId8"/>
    <sheet xmlns:r="http://schemas.openxmlformats.org/officeDocument/2006/relationships" name="Lists" sheetId="9" state="hidden" r:id="rId9"/>
  </sheets>
  <definedNames>
    <definedName name="YearList">Lists!$A$1:$A$15</definedName>
    <definedName name="MonthList">Lists!$C$1:$C$12</definedName>
    <definedName name="ChannelList">OFFSET(Lists!$E$1,0,0,COUNTIF(Lists!$E$1:$E$40,"?*"),1)</definedName>
    <definedName name="_xlnm.Print_Titles" localSheetId="1">'Library'!$5:$5</definedName>
  </definedNames>
  <calcPr calcId="124519" fullCalcOnLoad="1"/>
</workbook>
</file>

<file path=xl/styles.xml><?xml version="1.0" encoding="utf-8"?>
<styleSheet xmlns="http://schemas.openxmlformats.org/spreadsheetml/2006/main">
  <numFmts count="18">
    <numFmt numFmtId="164" formatCode="yyyy-mm-dd"/>
    <numFmt numFmtId="165" formatCode="yyyy-mm-dd h:mm:ss"/>
    <numFmt numFmtId="166" formatCode="yyyy-mm-dd hh:mm"/>
    <numFmt numFmtId="167" formatCode="yyyy-mm-dd  h:mm AM/PM"/>
    <numFmt numFmtId="168" formatCode="yyyy-mm-dd hh:mm:ss"/>
    <numFmt numFmtId="169" formatCode="yyyy-mm-dd h:mm AM/PM"/>
    <numFmt numFmtId="170" formatCode="#,##0;-#,##0;&quot;·&quot;"/>
    <numFmt numFmtId="171" formatCode="0.0;-0.0;&quot;·&quot;"/>
    <numFmt numFmtId="172" formatCode="#,##0.#"/>
    <numFmt numFmtId="173" formatCode="#,##0.0"/>
    <numFmt numFmtId="174" formatCode="#,##0.0;-0.0;&quot;·&quot;"/>
    <numFmt numFmtId="175" formatCode="mmm yyyy"/>
    <numFmt numFmtId="176" formatCode="0.0%"/>
    <numFmt numFmtId="177" formatCode="0.0"/>
    <numFmt numFmtId="178" formatCode="+#,##0;-#,##0;0"/>
    <numFmt numFmtId="179" formatCode="+#,##0.0;-#,##0.0;0.0"/>
    <numFmt numFmtId="180" formatCode="d mmm yyyy"/>
    <numFmt numFmtId="181" formatCode="ddd d mmm yyyy"/>
  </numFmts>
  <fonts count="26">
    <font>
      <name val="Calibri"/>
      <family val="2"/>
      <color theme="1"/>
      <sz val="11"/>
      <scheme val="minor"/>
    </font>
    <font>
      <name val="Arial"/>
      <b val="1"/>
      <color rgb="001F2A44"/>
      <sz val="20"/>
    </font>
    <font>
      <name val="Arial"/>
      <i val="1"/>
      <color rgb="006B7385"/>
      <sz val="9"/>
    </font>
    <font>
      <name val="Arial"/>
      <b val="1"/>
      <color rgb="000F7B8A"/>
      <sz val="9"/>
      <u val="single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6B7385"/>
      <sz val="9"/>
    </font>
    <font>
      <name val="Arial"/>
      <b val="1"/>
      <color rgb="001F2A44"/>
      <sz val="10"/>
    </font>
    <font>
      <name val="Arial"/>
      <color rgb="00444444"/>
      <sz val="10"/>
    </font>
    <font>
      <name val="Arial"/>
      <b val="1"/>
      <color rgb="001F2A44"/>
      <sz val="18"/>
    </font>
    <font>
      <name val="Arial"/>
      <b val="1"/>
      <color rgb="001155CC"/>
      <sz val="10"/>
    </font>
    <font>
      <name val="Arial"/>
      <color rgb="00333333"/>
      <sz val="10"/>
    </font>
    <font>
      <name val="Arial"/>
      <b val="1"/>
      <color rgb="006B7385"/>
      <sz val="9"/>
    </font>
    <font>
      <name val="Arial"/>
      <b val="1"/>
      <color rgb="001F2A44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6B7385"/>
      <sz val="8"/>
    </font>
    <font>
      <name val="Arial"/>
      <color rgb="00000000"/>
      <sz val="9"/>
    </font>
    <font>
      <name val="Arial"/>
      <b val="1"/>
      <color rgb="001F2A44"/>
      <sz val="22"/>
    </font>
    <font>
      <name val="Arial"/>
      <b val="1"/>
      <color rgb="00FFFFFF"/>
      <sz val="10"/>
    </font>
    <font>
      <name val="Arial"/>
      <b val="1"/>
      <color rgb="006B7385"/>
      <sz val="8"/>
    </font>
    <font>
      <name val="Arial"/>
      <b val="1"/>
      <color rgb="000F7B8A"/>
      <sz val="22"/>
    </font>
    <font>
      <name val="Arial"/>
      <color rgb="006B7385"/>
      <sz val="8"/>
    </font>
    <font>
      <name val="Arial"/>
      <b val="1"/>
      <color rgb="002E9E6B"/>
      <sz val="22"/>
    </font>
    <font>
      <name val="Arial"/>
      <color rgb="001155CC"/>
      <sz val="10"/>
    </font>
    <font>
      <name val="Arial"/>
      <b val="1"/>
      <color rgb="00333333"/>
      <sz val="9"/>
    </font>
  </fonts>
  <fills count="22">
    <fill>
      <patternFill/>
    </fill>
    <fill>
      <patternFill patternType="gray125"/>
    </fill>
    <fill>
      <patternFill patternType="solid">
        <fgColor rgb="003B4A63"/>
        <bgColor rgb="003B4A63"/>
      </patternFill>
    </fill>
    <fill>
      <patternFill patternType="solid">
        <fgColor rgb="003B6FB6"/>
        <bgColor rgb="003B6FB6"/>
      </patternFill>
    </fill>
    <fill>
      <patternFill patternType="solid">
        <fgColor rgb="00FFF8E1"/>
        <bgColor rgb="00FFF8E1"/>
      </patternFill>
    </fill>
    <fill>
      <patternFill patternType="solid">
        <fgColor rgb="002E9E6B"/>
        <bgColor rgb="002E9E6B"/>
      </patternFill>
    </fill>
    <fill>
      <patternFill patternType="solid">
        <fgColor rgb="00E08A1E"/>
        <bgColor rgb="00E08A1E"/>
      </patternFill>
    </fill>
    <fill>
      <patternFill patternType="solid">
        <fgColor rgb="008E5BB5"/>
        <bgColor rgb="008E5BB5"/>
      </patternFill>
    </fill>
    <fill>
      <patternFill patternType="solid">
        <fgColor rgb="00D1495B"/>
        <bgColor rgb="00D1495B"/>
      </patternFill>
    </fill>
    <fill>
      <patternFill patternType="solid">
        <fgColor rgb="001F9EA8"/>
        <bgColor rgb="001F9EA8"/>
      </patternFill>
    </fill>
    <fill>
      <patternFill patternType="solid">
        <fgColor rgb="000F7B8A"/>
        <bgColor rgb="000F7B8A"/>
      </patternFill>
    </fill>
    <fill>
      <patternFill patternType="solid">
        <fgColor rgb="00B7791F"/>
        <bgColor rgb="00B7791F"/>
      </patternFill>
    </fill>
    <fill>
      <patternFill patternType="solid">
        <fgColor rgb="00F5DADE"/>
        <bgColor rgb="00F5DADE"/>
      </patternFill>
    </fill>
    <fill>
      <patternFill patternType="solid">
        <fgColor rgb="00D7E2F0"/>
        <bgColor rgb="00D7E2F0"/>
      </patternFill>
    </fill>
    <fill>
      <patternFill patternType="solid">
        <fgColor rgb="00E8DEF0"/>
        <bgColor rgb="00E8DEF0"/>
      </patternFill>
    </fill>
    <fill>
      <patternFill patternType="solid">
        <fgColor rgb="00D5EBE1"/>
        <bgColor rgb="00D5EBE1"/>
      </patternFill>
    </fill>
    <fill>
      <patternFill patternType="solid">
        <fgColor rgb="00F8E7D2"/>
        <bgColor rgb="00F8E7D2"/>
      </patternFill>
    </fill>
    <fill>
      <patternFill patternType="solid">
        <fgColor rgb="00D2EBED"/>
        <bgColor rgb="00D2EBED"/>
      </patternFill>
    </fill>
    <fill>
      <patternFill patternType="solid">
        <fgColor rgb="001F2A44"/>
        <bgColor rgb="001F2A44"/>
      </patternFill>
    </fill>
    <fill>
      <patternFill patternType="solid">
        <fgColor rgb="00EEF0F5"/>
        <bgColor rgb="00EEF0F5"/>
      </patternFill>
    </fill>
    <fill>
      <patternFill patternType="solid">
        <fgColor rgb="00F3F5F9"/>
        <bgColor rgb="00F3F5F9"/>
      </patternFill>
    </fill>
    <fill>
      <patternFill patternType="solid">
        <fgColor rgb="00E9ECF3"/>
        <bgColor rgb="00E9ECF3"/>
      </patternFill>
    </fill>
  </fills>
  <borders count="6">
    <border>
      <left/>
      <right/>
      <top/>
      <bottom/>
      <diagonal/>
    </border>
    <border>
      <left style="thin">
        <color rgb="00D5D9E2"/>
      </left>
      <right style="thin">
        <color rgb="00D5D9E2"/>
      </right>
      <top style="thin">
        <color rgb="00D5D9E2"/>
      </top>
      <bottom style="thin">
        <color rgb="00D5D9E2"/>
      </bottom>
    </border>
    <border>
      <left/>
      <right/>
      <top style="thin">
        <color rgb="00D5D9E2"/>
      </top>
      <bottom/>
      <diagonal/>
    </border>
    <border>
      <left/>
      <right style="thin">
        <color rgb="00D5D9E2"/>
      </right>
      <top style="thin">
        <color rgb="00D5D9E2"/>
      </top>
      <bottom/>
      <diagonal/>
    </border>
    <border>
      <left/>
      <right/>
      <top style="thin">
        <color rgb="00D5D9E2"/>
      </top>
      <bottom style="thin">
        <color rgb="00D5D9E2"/>
      </bottom>
      <diagonal/>
    </border>
    <border>
      <left/>
      <right style="thin">
        <color rgb="00D5D9E2"/>
      </right>
      <top style="thin">
        <color rgb="00D5D9E2"/>
      </top>
      <bottom style="thin">
        <color rgb="00D5D9E2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8" fillId="0" borderId="0" pivotButton="0" quotePrefix="0" xfId="0"/>
    <xf numFmtId="0" fontId="2" fillId="0" borderId="0" pivotButton="0" quotePrefix="0" xfId="0"/>
    <xf numFmtId="0" fontId="19" fillId="10" borderId="0" applyAlignment="1" pivotButton="0" quotePrefix="0" xfId="0">
      <alignment horizontal="center" vertical="center" wrapText="1"/>
    </xf>
    <xf numFmtId="0" fontId="20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3" fontId="21" fillId="20" borderId="0" applyAlignment="1" pivotButton="0" quotePrefix="0" xfId="0">
      <alignment horizontal="center" vertical="center" wrapText="1"/>
    </xf>
    <xf numFmtId="176" fontId="23" fillId="20" borderId="0" applyAlignment="1" pivotButton="0" quotePrefix="0" xfId="0">
      <alignment horizontal="center" vertical="center" wrapText="1"/>
    </xf>
    <xf numFmtId="0" fontId="22" fillId="20" borderId="0" applyAlignment="1" pivotButton="0" quotePrefix="0" xfId="0">
      <alignment horizontal="center" vertical="center" wrapText="1"/>
    </xf>
    <xf numFmtId="0" fontId="14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3" borderId="1" pivotButton="0" quotePrefix="0" xfId="0"/>
    <xf numFmtId="3" fontId="0" fillId="0" borderId="1" applyAlignment="1" pivotButton="0" quotePrefix="0" xfId="0">
      <alignment horizontal="center" vertical="center" wrapText="1"/>
    </xf>
    <xf numFmtId="176" fontId="0" fillId="0" borderId="1" applyAlignment="1" pivotButton="0" quotePrefix="0" xfId="0">
      <alignment horizontal="center" vertical="center" wrapText="1"/>
    </xf>
    <xf numFmtId="180" fontId="0" fillId="0" borderId="1" applyAlignment="1" pivotButton="0" quotePrefix="0" xfId="0">
      <alignment horizontal="center" vertical="center" wrapText="1"/>
    </xf>
    <xf numFmtId="0" fontId="5" fillId="15" borderId="1" pivotButton="0" quotePrefix="0" xfId="0"/>
    <xf numFmtId="0" fontId="5" fillId="16" borderId="1" pivotButton="0" quotePrefix="0" xfId="0"/>
    <xf numFmtId="0" fontId="5" fillId="14" borderId="1" pivotButton="0" quotePrefix="0" xfId="0"/>
    <xf numFmtId="0" fontId="5" fillId="12" borderId="1" pivotButton="0" quotePrefix="0" xfId="0"/>
    <xf numFmtId="0" fontId="5" fillId="17" borderId="1" pivotButton="0" quotePrefix="0" xfId="0"/>
    <xf numFmtId="0" fontId="5" fillId="19" borderId="1" pivotButton="0" quotePrefix="0" xfId="0"/>
    <xf numFmtId="3" fontId="5" fillId="19" borderId="1" applyAlignment="1" pivotButton="0" quotePrefix="0" xfId="0">
      <alignment horizontal="center" vertical="center" wrapText="1"/>
    </xf>
    <xf numFmtId="176" fontId="5" fillId="19" borderId="1" applyAlignment="1" pivotButton="0" quotePrefix="0" xfId="0">
      <alignment horizontal="center" vertical="center" wrapText="1"/>
    </xf>
    <xf numFmtId="0" fontId="24" fillId="0" borderId="1" pivotButton="0" quotePrefix="0" xfId="0"/>
    <xf numFmtId="46" fontId="0" fillId="0" borderId="1" applyAlignment="1" pivotButton="0" quotePrefix="0" xfId="0">
      <alignment horizontal="center" vertical="center" wrapText="1"/>
    </xf>
    <xf numFmtId="181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applyProtection="1" pivotButton="0" quotePrefix="0" xfId="0">
      <alignment horizontal="center" vertical="center" wrapText="1"/>
      <protection locked="0" hidden="0"/>
    </xf>
    <xf numFmtId="164" fontId="0" fillId="4" borderId="0" applyAlignment="1" applyProtection="1" pivotButton="0" quotePrefix="0" xfId="0">
      <alignment horizontal="center" vertical="center" wrapText="1"/>
      <protection locked="0" hidden="0"/>
    </xf>
    <xf numFmtId="167" fontId="0" fillId="0" borderId="0" applyAlignment="1" pivotButton="0" quotePrefix="0" xfId="0">
      <alignment horizontal="center" vertical="center" wrapText="1"/>
    </xf>
    <xf numFmtId="0" fontId="0" fillId="12" borderId="0" pivotButton="0" quotePrefix="0" xfId="0"/>
    <xf numFmtId="46" fontId="0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applyProtection="1" pivotButton="0" quotePrefix="0" xfId="0">
      <protection locked="0" hidden="0"/>
    </xf>
    <xf numFmtId="0" fontId="6" fillId="0" borderId="0" pivotButton="0" quotePrefix="0" xfId="0"/>
    <xf numFmtId="168" fontId="6" fillId="0" borderId="0" pivotButton="0" quotePrefix="0" xfId="0"/>
    <xf numFmtId="164" fontId="6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1" fillId="0" borderId="0" pivotButton="0" quotePrefix="0" xfId="0"/>
    <xf numFmtId="0" fontId="12" fillId="0" borderId="0" pivotButton="0" quotePrefix="0" xfId="0"/>
    <xf numFmtId="0" fontId="13" fillId="4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25" fillId="13" borderId="1" applyAlignment="1" pivotButton="0" quotePrefix="0" xfId="0">
      <alignment horizontal="center" vertical="center" wrapText="1"/>
    </xf>
    <xf numFmtId="0" fontId="25" fillId="15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170" fontId="5" fillId="19" borderId="1" applyAlignment="1" pivotButton="0" quotePrefix="0" xfId="0">
      <alignment horizontal="center" vertical="center" wrapText="1"/>
    </xf>
    <xf numFmtId="171" fontId="0" fillId="0" borderId="1" applyAlignment="1" pivotButton="0" quotePrefix="0" xfId="0">
      <alignment horizontal="center" vertical="center" wrapText="1"/>
    </xf>
    <xf numFmtId="172" fontId="5" fillId="19" borderId="1" applyAlignment="1" pivotButton="0" quotePrefix="0" xfId="0">
      <alignment horizontal="center" vertical="center" wrapText="1"/>
    </xf>
    <xf numFmtId="173" fontId="0" fillId="0" borderId="1" applyAlignment="1" pivotButton="0" quotePrefix="0" xfId="0">
      <alignment horizontal="center" vertical="center" wrapText="1"/>
    </xf>
    <xf numFmtId="174" fontId="0" fillId="0" borderId="1" applyAlignment="1" pivotButton="0" quotePrefix="0" xfId="0">
      <alignment horizontal="center" vertical="center" wrapText="1"/>
    </xf>
    <xf numFmtId="175" fontId="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6" fontId="15" fillId="0" borderId="1" applyAlignment="1" pivotButton="0" quotePrefix="0" xfId="0">
      <alignment horizontal="center" vertical="center" wrapText="1"/>
    </xf>
    <xf numFmtId="173" fontId="5" fillId="19" borderId="1" applyAlignment="1" pivotButton="0" quotePrefix="0" xfId="0">
      <alignment horizontal="center" vertical="center" wrapText="1"/>
    </xf>
    <xf numFmtId="46" fontId="5" fillId="19" borderId="1" applyAlignment="1" pivotButton="0" quotePrefix="0" xfId="0">
      <alignment horizontal="center" vertical="center" wrapText="1"/>
    </xf>
    <xf numFmtId="0" fontId="16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177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7" fillId="0" borderId="1" pivotButton="0" quotePrefix="0" xfId="0"/>
    <xf numFmtId="164" fontId="0" fillId="19" borderId="1" applyAlignment="1" pivotButton="0" quotePrefix="0" xfId="0">
      <alignment horizontal="center" vertical="center" wrapText="1"/>
    </xf>
    <xf numFmtId="177" fontId="0" fillId="19" borderId="1" applyAlignment="1" pivotButton="0" quotePrefix="0" xfId="0">
      <alignment horizontal="center" vertical="center" wrapText="1"/>
    </xf>
    <xf numFmtId="1" fontId="0" fillId="19" borderId="1" applyAlignment="1" pivotButton="0" quotePrefix="0" xfId="0">
      <alignment horizontal="center" vertical="center" wrapText="1"/>
    </xf>
    <xf numFmtId="3" fontId="0" fillId="19" borderId="1" applyAlignment="1" pivotButton="0" quotePrefix="0" xfId="0">
      <alignment horizontal="center" vertical="center" wrapText="1"/>
    </xf>
    <xf numFmtId="46" fontId="0" fillId="19" borderId="1" applyAlignment="1" pivotButton="0" quotePrefix="0" xfId="0">
      <alignment horizontal="center" vertical="center" wrapText="1"/>
    </xf>
    <xf numFmtId="0" fontId="17" fillId="19" borderId="1" pivotButton="0" quotePrefix="0" xfId="0"/>
    <xf numFmtId="178" fontId="0" fillId="0" borderId="1" applyAlignment="1" pivotButton="0" quotePrefix="0" xfId="0">
      <alignment horizontal="center" vertical="center" wrapText="1"/>
    </xf>
    <xf numFmtId="179" fontId="0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5" fillId="0" borderId="1" pivotButton="0" quotePrefix="0" xfId="0"/>
    <xf numFmtId="0" fontId="0" fillId="3" borderId="1" pivotButton="0" quotePrefix="0" xfId="0"/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pivotButton="0" quotePrefix="0" xfId="0"/>
    <xf numFmtId="164" fontId="0" fillId="4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0" fillId="4" borderId="1" applyProtection="1" pivotButton="0" quotePrefix="0" xfId="0">
      <protection locked="0" hidden="0"/>
    </xf>
    <xf numFmtId="169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dxfs count="24">
    <dxf>
      <font>
        <b val="1"/>
        <i val="1"/>
        <color rgb="00C0392B"/>
      </font>
    </dxf>
    <dxf>
      <fill>
        <patternFill patternType="solid">
          <fgColor rgb="00DDF2E2"/>
          <bgColor rgb="00DDF2E2"/>
        </patternFill>
      </fill>
    </dxf>
    <dxf>
      <font>
        <color rgb="001E6B34"/>
      </font>
      <fill>
        <patternFill patternType="solid">
          <fgColor rgb="00DDF2E2"/>
          <bgColor rgb="00DDF2E2"/>
        </patternFill>
      </fill>
    </dxf>
    <dxf>
      <font>
        <color rgb="008A5A00"/>
      </font>
      <fill>
        <patternFill patternType="solid">
          <fgColor rgb="00FFEFC2"/>
          <bgColor rgb="00FFEFC2"/>
        </patternFill>
      </fill>
    </dxf>
    <dxf>
      <font>
        <color rgb="007A8294"/>
      </font>
      <fill>
        <patternFill patternType="solid">
          <fgColor rgb="00E6E8EC"/>
          <bgColor rgb="00E6E8EC"/>
        </patternFill>
      </fill>
    </dxf>
    <dxf>
      <font>
        <color rgb="007A8294"/>
      </font>
    </dxf>
    <dxf>
      <font>
        <b val="1"/>
        <color rgb="00C0392B"/>
      </font>
    </dxf>
    <dxf>
      <fill>
        <patternFill patternType="solid">
          <fgColor rgb="00D7E2F0"/>
          <bgColor rgb="00D7E2F0"/>
        </patternFill>
      </fill>
    </dxf>
    <dxf>
      <fill>
        <patternFill patternType="solid">
          <fgColor rgb="00D5EBE1"/>
          <bgColor rgb="00D5EBE1"/>
        </patternFill>
      </fill>
    </dxf>
    <dxf>
      <fill>
        <patternFill patternType="solid">
          <fgColor rgb="00F8E7D2"/>
          <bgColor rgb="00F8E7D2"/>
        </patternFill>
      </fill>
    </dxf>
    <dxf>
      <fill>
        <patternFill patternType="solid">
          <fgColor rgb="00E8DEF0"/>
          <bgColor rgb="00E8DEF0"/>
        </patternFill>
      </fill>
    </dxf>
    <dxf>
      <fill>
        <patternFill patternType="solid">
          <fgColor rgb="00F5DADE"/>
          <bgColor rgb="00F5DADE"/>
        </patternFill>
      </fill>
    </dxf>
    <dxf>
      <fill>
        <patternFill patternType="solid">
          <fgColor rgb="00D2EBED"/>
          <bgColor rgb="00D2EBED"/>
        </patternFill>
      </fill>
    </dxf>
    <dxf>
      <fill>
        <patternFill patternType="solid">
          <fgColor rgb="00D5D9E2"/>
          <bgColor rgb="00D5D9E2"/>
        </patternFill>
      </fill>
    </dxf>
    <dxf>
      <fill>
        <patternFill patternType="solid">
          <fgColor rgb="00C8D6EA"/>
          <bgColor rgb="00C8D6EA"/>
        </patternFill>
      </fill>
    </dxf>
    <dxf>
      <fill>
        <patternFill patternType="solid">
          <fgColor rgb="00C4E3D5"/>
          <bgColor rgb="00C4E3D5"/>
        </patternFill>
      </fill>
    </dxf>
    <dxf>
      <fill>
        <patternFill patternType="solid">
          <fgColor rgb="00F6DEC0"/>
          <bgColor rgb="00F6DEC0"/>
        </patternFill>
      </fill>
    </dxf>
    <dxf>
      <fill>
        <patternFill patternType="solid">
          <fgColor rgb="00DFD1EA"/>
          <bgColor rgb="00DFD1EA"/>
        </patternFill>
      </fill>
    </dxf>
    <dxf>
      <fill>
        <patternFill patternType="solid">
          <fgColor rgb="00F2CCD1"/>
          <bgColor rgb="00F2CCD1"/>
        </patternFill>
      </fill>
    </dxf>
    <dxf>
      <fill>
        <patternFill patternType="solid">
          <fgColor rgb="00C0E3E6"/>
          <bgColor rgb="00C0E3E6"/>
        </patternFill>
      </fill>
    </dxf>
    <dxf>
      <font>
        <color rgb="008A93A6"/>
      </font>
    </dxf>
    <dxf>
      <fill>
        <patternFill patternType="solid">
          <fgColor rgb="00FFD9C2"/>
          <bgColor rgb="00FFD9C2"/>
        </patternFill>
      </fill>
    </dxf>
    <dxf>
      <fill>
        <patternFill patternType="solid">
          <fgColor rgb="00E6E8EC"/>
          <bgColor rgb="00E6E8EC"/>
        </patternFill>
      </fill>
    </dxf>
    <dxf>
      <font>
        <b val="1"/>
        <color rgb="001E6B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Watched vs. backlog (videos)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'Stats'!D7</f>
            </strRef>
          </tx>
          <spPr>
            <a:solidFill xmlns:a="http://schemas.openxmlformats.org/drawingml/2006/main">
              <a:srgbClr val="2E9E6B"/>
            </a:solidFill>
            <a:ln xmlns:a="http://schemas.openxmlformats.org/drawingml/2006/main">
              <a:solidFill>
                <a:srgbClr val="2E9E6B"/>
              </a:solidFill>
              <a:prstDash val="solid"/>
            </a:ln>
          </spPr>
          <cat>
            <numRef>
              <f>'Stats'!$B$8:$B$13</f>
            </numRef>
          </cat>
          <val>
            <numRef>
              <f>'Stats'!$D$8:$D$13</f>
            </numRef>
          </val>
        </ser>
        <ser>
          <idx val="1"/>
          <order val="1"/>
          <tx>
            <strRef>
              <f>'Stats'!E7</f>
            </strRef>
          </tx>
          <spPr>
            <a:solidFill xmlns:a="http://schemas.openxmlformats.org/drawingml/2006/main">
              <a:srgbClr val="E0B33A"/>
            </a:solidFill>
            <a:ln xmlns:a="http://schemas.openxmlformats.org/drawingml/2006/main">
              <a:solidFill>
                <a:srgbClr val="E0B33A"/>
              </a:solidFill>
              <a:prstDash val="solid"/>
            </a:ln>
          </spPr>
          <cat>
            <numRef>
              <f>'Stats'!$B$8:$B$13</f>
            </numRef>
          </cat>
          <val>
            <numRef>
              <f>'Stats'!$E$8:$E$13</f>
            </numRef>
          </val>
        </ser>
        <ser>
          <idx val="2"/>
          <order val="2"/>
          <tx>
            <strRef>
              <f>'Stats'!F7</f>
            </strRef>
          </tx>
          <spPr>
            <a:solidFill xmlns:a="http://schemas.openxmlformats.org/drawingml/2006/main">
              <a:srgbClr val="C5CAD6"/>
            </a:solidFill>
            <a:ln xmlns:a="http://schemas.openxmlformats.org/drawingml/2006/main">
              <a:solidFill>
                <a:srgbClr val="C5CAD6"/>
              </a:solidFill>
              <a:prstDash val="solid"/>
            </a:ln>
          </spPr>
          <cat>
            <numRef>
              <f>'Stats'!$B$8:$B$13</f>
            </numRef>
          </cat>
          <val>
            <numRef>
              <f>'Stats'!$F$8:$F$13</f>
            </numRef>
          </val>
        </ser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Videos uploaded per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'History'!I61</f>
            </strRef>
          </tx>
          <spPr>
            <a:solidFill xmlns:a="http://schemas.openxmlformats.org/drawingml/2006/main">
              <a:srgbClr val="0F7B8A"/>
            </a:solidFill>
            <a:ln xmlns:a="http://schemas.openxmlformats.org/drawingml/2006/main">
              <a:prstDash val="solid"/>
            </a:ln>
          </spPr>
          <cat>
            <numRef>
              <f>'History'!$B$62:$B$76</f>
            </numRef>
          </cat>
          <val>
            <numRef>
              <f>'History'!$I$62:$I$76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Uploads by month (selected year)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'History'!C27</f>
            </strRef>
          </tx>
          <spPr>
            <a:solidFill xmlns:a="http://schemas.openxmlformats.org/drawingml/2006/main">
              <a:srgbClr val="3B6FB6"/>
            </a:solidFill>
            <a:ln xmlns:a="http://schemas.openxmlformats.org/drawingml/2006/main">
              <a:solidFill>
                <a:srgbClr val="3B6FB6"/>
              </a:solidFill>
              <a:prstDash val="solid"/>
            </a:ln>
          </spPr>
          <cat>
            <numRef>
              <f>'History'!$B$28:$B$39</f>
            </numRef>
          </cat>
          <val>
            <numRef>
              <f>'History'!$C$28:$C$39</f>
            </numRef>
          </val>
        </ser>
        <ser>
          <idx val="1"/>
          <order val="1"/>
          <tx>
            <strRef>
              <f>'History'!D27</f>
            </strRef>
          </tx>
          <spPr>
            <a:solidFill xmlns:a="http://schemas.openxmlformats.org/drawingml/2006/main">
              <a:srgbClr val="2E9E6B"/>
            </a:solidFill>
            <a:ln xmlns:a="http://schemas.openxmlformats.org/drawingml/2006/main">
              <a:solidFill>
                <a:srgbClr val="2E9E6B"/>
              </a:solidFill>
              <a:prstDash val="solid"/>
            </a:ln>
          </spPr>
          <cat>
            <numRef>
              <f>'History'!$B$28:$B$39</f>
            </numRef>
          </cat>
          <val>
            <numRef>
              <f>'History'!$D$28:$D$39</f>
            </numRef>
          </val>
        </ser>
        <ser>
          <idx val="2"/>
          <order val="2"/>
          <tx>
            <strRef>
              <f>'History'!E27</f>
            </strRef>
          </tx>
          <spPr>
            <a:solidFill xmlns:a="http://schemas.openxmlformats.org/drawingml/2006/main">
              <a:srgbClr val="E08A1E"/>
            </a:solidFill>
            <a:ln xmlns:a="http://schemas.openxmlformats.org/drawingml/2006/main">
              <a:solidFill>
                <a:srgbClr val="E08A1E"/>
              </a:solidFill>
              <a:prstDash val="solid"/>
            </a:ln>
          </spPr>
          <cat>
            <numRef>
              <f>'History'!$B$28:$B$39</f>
            </numRef>
          </cat>
          <val>
            <numRef>
              <f>'History'!$E$28:$E$39</f>
            </numRef>
          </val>
        </ser>
        <ser>
          <idx val="3"/>
          <order val="3"/>
          <tx>
            <strRef>
              <f>'History'!F27</f>
            </strRef>
          </tx>
          <spPr>
            <a:solidFill xmlns:a="http://schemas.openxmlformats.org/drawingml/2006/main">
              <a:srgbClr val="8E5BB5"/>
            </a:solidFill>
            <a:ln xmlns:a="http://schemas.openxmlformats.org/drawingml/2006/main">
              <a:solidFill>
                <a:srgbClr val="8E5BB5"/>
              </a:solidFill>
              <a:prstDash val="solid"/>
            </a:ln>
          </spPr>
          <cat>
            <numRef>
              <f>'History'!$B$28:$B$39</f>
            </numRef>
          </cat>
          <val>
            <numRef>
              <f>'History'!$F$28:$F$39</f>
            </numRef>
          </val>
        </ser>
        <ser>
          <idx val="4"/>
          <order val="4"/>
          <tx>
            <strRef>
              <f>'History'!G27</f>
            </strRef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'History'!$B$28:$B$39</f>
            </numRef>
          </cat>
          <val>
            <numRef>
              <f>'History'!$G$28:$G$39</f>
            </numRef>
          </val>
        </ser>
        <ser>
          <idx val="5"/>
          <order val="5"/>
          <tx>
            <strRef>
              <f>'History'!H27</f>
            </strRef>
          </tx>
          <spPr>
            <a:solidFill xmlns:a="http://schemas.openxmlformats.org/drawingml/2006/main">
              <a:srgbClr val="1F9EA8"/>
            </a:solidFill>
            <a:ln xmlns:a="http://schemas.openxmlformats.org/drawingml/2006/main">
              <a:solidFill>
                <a:srgbClr val="1F9EA8"/>
              </a:solidFill>
              <a:prstDash val="solid"/>
            </a:ln>
          </spPr>
          <cat>
            <numRef>
              <f>'History'!$B$28:$B$39</f>
            </numRef>
          </cat>
          <val>
            <numRef>
              <f>'History'!$H$28:$H$39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Videos uploaded per year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'History'!C61</f>
            </strRef>
          </tx>
          <spPr>
            <a:solidFill xmlns:a="http://schemas.openxmlformats.org/drawingml/2006/main">
              <a:srgbClr val="3B6FB6"/>
            </a:solidFill>
            <a:ln xmlns:a="http://schemas.openxmlformats.org/drawingml/2006/main">
              <a:solidFill>
                <a:srgbClr val="3B6FB6"/>
              </a:solidFill>
              <a:prstDash val="solid"/>
            </a:ln>
          </spPr>
          <cat>
            <numRef>
              <f>'History'!$B$62:$B$76</f>
            </numRef>
          </cat>
          <val>
            <numRef>
              <f>'History'!$C$62:$C$76</f>
            </numRef>
          </val>
        </ser>
        <ser>
          <idx val="1"/>
          <order val="1"/>
          <tx>
            <strRef>
              <f>'History'!D61</f>
            </strRef>
          </tx>
          <spPr>
            <a:solidFill xmlns:a="http://schemas.openxmlformats.org/drawingml/2006/main">
              <a:srgbClr val="2E9E6B"/>
            </a:solidFill>
            <a:ln xmlns:a="http://schemas.openxmlformats.org/drawingml/2006/main">
              <a:solidFill>
                <a:srgbClr val="2E9E6B"/>
              </a:solidFill>
              <a:prstDash val="solid"/>
            </a:ln>
          </spPr>
          <cat>
            <numRef>
              <f>'History'!$B$62:$B$76</f>
            </numRef>
          </cat>
          <val>
            <numRef>
              <f>'History'!$D$62:$D$76</f>
            </numRef>
          </val>
        </ser>
        <ser>
          <idx val="2"/>
          <order val="2"/>
          <tx>
            <strRef>
              <f>'History'!E61</f>
            </strRef>
          </tx>
          <spPr>
            <a:solidFill xmlns:a="http://schemas.openxmlformats.org/drawingml/2006/main">
              <a:srgbClr val="E08A1E"/>
            </a:solidFill>
            <a:ln xmlns:a="http://schemas.openxmlformats.org/drawingml/2006/main">
              <a:solidFill>
                <a:srgbClr val="E08A1E"/>
              </a:solidFill>
              <a:prstDash val="solid"/>
            </a:ln>
          </spPr>
          <cat>
            <numRef>
              <f>'History'!$B$62:$B$76</f>
            </numRef>
          </cat>
          <val>
            <numRef>
              <f>'History'!$E$62:$E$76</f>
            </numRef>
          </val>
        </ser>
        <ser>
          <idx val="3"/>
          <order val="3"/>
          <tx>
            <strRef>
              <f>'History'!F61</f>
            </strRef>
          </tx>
          <spPr>
            <a:solidFill xmlns:a="http://schemas.openxmlformats.org/drawingml/2006/main">
              <a:srgbClr val="8E5BB5"/>
            </a:solidFill>
            <a:ln xmlns:a="http://schemas.openxmlformats.org/drawingml/2006/main">
              <a:solidFill>
                <a:srgbClr val="8E5BB5"/>
              </a:solidFill>
              <a:prstDash val="solid"/>
            </a:ln>
          </spPr>
          <cat>
            <numRef>
              <f>'History'!$B$62:$B$76</f>
            </numRef>
          </cat>
          <val>
            <numRef>
              <f>'History'!$F$62:$F$76</f>
            </numRef>
          </val>
        </ser>
        <ser>
          <idx val="4"/>
          <order val="4"/>
          <tx>
            <strRef>
              <f>'History'!G61</f>
            </strRef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'History'!$B$62:$B$76</f>
            </numRef>
          </cat>
          <val>
            <numRef>
              <f>'History'!$G$62:$G$76</f>
            </numRef>
          </val>
        </ser>
        <ser>
          <idx val="5"/>
          <order val="5"/>
          <tx>
            <strRef>
              <f>'History'!H61</f>
            </strRef>
          </tx>
          <spPr>
            <a:solidFill xmlns:a="http://schemas.openxmlformats.org/drawingml/2006/main">
              <a:srgbClr val="1F9EA8"/>
            </a:solidFill>
            <a:ln xmlns:a="http://schemas.openxmlformats.org/drawingml/2006/main">
              <a:solidFill>
                <a:srgbClr val="1F9EA8"/>
              </a:solidFill>
              <a:prstDash val="solid"/>
            </a:ln>
          </spPr>
          <cat>
            <numRef>
              <f>'History'!$B$62:$B$76</f>
            </numRef>
          </cat>
          <val>
            <numRef>
              <f>'History'!$H$62:$H$76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Videos uploaded per month, by channel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'History'!C134</f>
            </strRef>
          </tx>
          <spPr>
            <a:solidFill xmlns:a="http://schemas.openxmlformats.org/drawingml/2006/main">
              <a:srgbClr val="3B6FB6"/>
            </a:solidFill>
            <a:ln xmlns:a="http://schemas.openxmlformats.org/drawingml/2006/main">
              <a:solidFill>
                <a:srgbClr val="3B6FB6"/>
              </a:solidFill>
              <a:prstDash val="solid"/>
            </a:ln>
          </spPr>
          <cat>
            <numRef>
              <f>'History'!$B$135:$B$308</f>
            </numRef>
          </cat>
          <val>
            <numRef>
              <f>'History'!$C$135:$C$308</f>
            </numRef>
          </val>
        </ser>
        <ser>
          <idx val="1"/>
          <order val="1"/>
          <tx>
            <strRef>
              <f>'History'!D134</f>
            </strRef>
          </tx>
          <spPr>
            <a:solidFill xmlns:a="http://schemas.openxmlformats.org/drawingml/2006/main">
              <a:srgbClr val="2E9E6B"/>
            </a:solidFill>
            <a:ln xmlns:a="http://schemas.openxmlformats.org/drawingml/2006/main">
              <a:solidFill>
                <a:srgbClr val="2E9E6B"/>
              </a:solidFill>
              <a:prstDash val="solid"/>
            </a:ln>
          </spPr>
          <cat>
            <numRef>
              <f>'History'!$B$135:$B$308</f>
            </numRef>
          </cat>
          <val>
            <numRef>
              <f>'History'!$D$135:$D$308</f>
            </numRef>
          </val>
        </ser>
        <ser>
          <idx val="2"/>
          <order val="2"/>
          <tx>
            <strRef>
              <f>'History'!E134</f>
            </strRef>
          </tx>
          <spPr>
            <a:solidFill xmlns:a="http://schemas.openxmlformats.org/drawingml/2006/main">
              <a:srgbClr val="E08A1E"/>
            </a:solidFill>
            <a:ln xmlns:a="http://schemas.openxmlformats.org/drawingml/2006/main">
              <a:solidFill>
                <a:srgbClr val="E08A1E"/>
              </a:solidFill>
              <a:prstDash val="solid"/>
            </a:ln>
          </spPr>
          <cat>
            <numRef>
              <f>'History'!$B$135:$B$308</f>
            </numRef>
          </cat>
          <val>
            <numRef>
              <f>'History'!$E$135:$E$308</f>
            </numRef>
          </val>
        </ser>
        <ser>
          <idx val="3"/>
          <order val="3"/>
          <tx>
            <strRef>
              <f>'History'!F134</f>
            </strRef>
          </tx>
          <spPr>
            <a:solidFill xmlns:a="http://schemas.openxmlformats.org/drawingml/2006/main">
              <a:srgbClr val="8E5BB5"/>
            </a:solidFill>
            <a:ln xmlns:a="http://schemas.openxmlformats.org/drawingml/2006/main">
              <a:solidFill>
                <a:srgbClr val="8E5BB5"/>
              </a:solidFill>
              <a:prstDash val="solid"/>
            </a:ln>
          </spPr>
          <cat>
            <numRef>
              <f>'History'!$B$135:$B$308</f>
            </numRef>
          </cat>
          <val>
            <numRef>
              <f>'History'!$F$135:$F$308</f>
            </numRef>
          </val>
        </ser>
        <ser>
          <idx val="4"/>
          <order val="4"/>
          <tx>
            <strRef>
              <f>'History'!G134</f>
            </strRef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'History'!$B$135:$B$308</f>
            </numRef>
          </cat>
          <val>
            <numRef>
              <f>'History'!$G$135:$G$308</f>
            </numRef>
          </val>
        </ser>
        <ser>
          <idx val="5"/>
          <order val="5"/>
          <tx>
            <strRef>
              <f>'History'!H134</f>
            </strRef>
          </tx>
          <spPr>
            <a:solidFill xmlns:a="http://schemas.openxmlformats.org/drawingml/2006/main">
              <a:srgbClr val="1F9EA8"/>
            </a:solidFill>
            <a:ln xmlns:a="http://schemas.openxmlformats.org/drawingml/2006/main">
              <a:solidFill>
                <a:srgbClr val="1F9EA8"/>
              </a:solidFill>
              <a:prstDash val="solid"/>
            </a:ln>
          </spPr>
          <cat>
            <numRef>
              <f>'History'!$B$135:$B$308</f>
            </numRef>
          </cat>
          <val>
            <numRef>
              <f>'History'!$H$135:$H$308</f>
            </numRef>
          </val>
        </ser>
        <gapWidth val="1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Videos watched per month (only those with a Watched On date)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'History'!K134</f>
            </strRef>
          </tx>
          <spPr>
            <a:solidFill xmlns:a="http://schemas.openxmlformats.org/drawingml/2006/main">
              <a:srgbClr val="2E9E6B"/>
            </a:solidFill>
            <a:ln xmlns:a="http://schemas.openxmlformats.org/drawingml/2006/main">
              <a:prstDash val="solid"/>
            </a:ln>
          </spPr>
          <cat>
            <numRef>
              <f>'History'!$B$135:$B$308</f>
            </numRef>
          </cat>
          <val>
            <numRef>
              <f>'History'!$K$135:$K$308</f>
            </numRef>
          </val>
        </ser>
        <gapWidth val="10"/>
        <axId val="10"/>
        <axId val="100"/>
      </barChart>
      <catAx>
        <axId val="10"/>
        <scaling>
          <orientation val="minMax"/>
        </scaling>
        <delete val="0"/>
        <axPos val="l"/>
        <numFmt formatCode="mmm 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2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2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41</row>
      <rowOff>0</rowOff>
    </from>
    <ext cx="93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77</row>
      <rowOff>0</rowOff>
    </from>
    <ext cx="93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96</row>
      <rowOff>0</rowOff>
    </from>
    <ext cx="118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114</row>
      <rowOff>0</rowOff>
    </from>
    <ext cx="118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ideos" displayName="tblVideos" ref="A5:W3271" headerRowCount="1">
  <autoFilter ref="A5:W3271"/>
  <tableColumns count="23">
    <tableColumn id="1" name="Open"/>
    <tableColumn id="2" name="Status"/>
    <tableColumn id="3" name="Mark"/>
    <tableColumn id="4" name="Watched On"/>
    <tableColumn id="5" name="Published"/>
    <tableColumn id="6" name="Channel"/>
    <tableColumn id="7" name="Title"/>
    <tableColumn id="8" name="Length"/>
    <tableColumn id="9" name="Views"/>
    <tableColumn id="10" name="Likes"/>
    <tableColumn id="11" name="Comments"/>
    <tableColumn id="12" name="Notes"/>
    <tableColumn id="13" name="Video ID"/>
    <tableColumn id="14" name="Channel ID"/>
    <tableColumn id="15" name="Published UTC"/>
    <tableColumn id="16" name="Day"/>
    <tableColumn id="17" name="Seq"/>
    <tableColumn id="18" name="Availability"/>
    <tableColumn id="19" name="First Seen"/>
    <tableColumn id="20" name="Last Seen"/>
    <tableColumn id="21" name="Description"/>
    <tableColumn id="22" name="Cal Key"/>
    <tableColumn id="23" name="Queue Key"/>
  </tableColumns>
  <tableStyleInfo name="TableStyleLight1" showRowStripes="1"/>
</table>
</file>

<file path=xl/tables/table2.xml><?xml version="1.0" encoding="utf-8"?>
<table xmlns="http://schemas.openxmlformats.org/spreadsheetml/2006/main" id="2" name="tblChannels" displayName="tblChannels" ref="A5:L11" headerRowCount="1">
  <autoFilter ref="A5:L11"/>
  <tableColumns count="12">
    <tableColumn id="1" name="Color"/>
    <tableColumn id="2" name="Enabled"/>
    <tableColumn id="3" name="Display Name"/>
    <tableColumn id="4" name="Handle or URL"/>
    <tableColumn id="5" name="Channel ID"/>
    <tableColumn id="6" name="Watched Through"/>
    <tableColumn id="7" name="YouTube Title"/>
    <tableColumn id="8" name="Videos"/>
    <tableColumn id="9" name="Watched"/>
    <tableColumn id="10" name="Backlog"/>
    <tableColumn id="11" name="Latest Upload"/>
    <tableColumn id="12" name="Last Refresh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B1:O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hidden="1" outlineLevel="1" width="13" customWidth="1" min="15" max="15"/>
  </cols>
  <sheetData>
    <row r="1"/>
    <row r="2" ht="32" customHeight="1">
      <c r="B2" s="1" t="inlineStr">
        <is>
          <t>SCB Video Library</t>
        </is>
      </c>
    </row>
    <row r="3">
      <c r="B3" s="2">
        <f>IF(Settings!$C$5="","","Last updated "&amp;TEXT(Settings!$C$5,"d mmm yyyy h:mm AM/PM")&amp;"   ·   "&amp;TODAY()-INT(Settings!$C$5)&amp;" day(s) ago")</f>
        <v/>
      </c>
    </row>
    <row r="4" ht="22" customHeight="1">
      <c r="B4" s="3">
        <f>HYPERLINK("#Library!A1","Library")</f>
        <v/>
      </c>
      <c r="C4" s="3">
        <f>HYPERLINK("#Queue!A1","Queue")</f>
        <v/>
      </c>
      <c r="D4" s="3">
        <f>HYPERLINK("#Calendar!A1","Calendar")</f>
        <v/>
      </c>
      <c r="E4" s="3">
        <f>HYPERLINK("#History!A1","History")</f>
        <v/>
      </c>
      <c r="F4" s="3">
        <f>HYPERLINK("#Stats!A1","Stats")</f>
        <v/>
      </c>
      <c r="G4" s="3">
        <f>HYPERLINK("#Channels!A1","Channels")</f>
        <v/>
      </c>
      <c r="H4" s="3">
        <f>HYPERLINK("#Settings!A1","Settings")</f>
        <v/>
      </c>
    </row>
    <row r="6">
      <c r="B6" s="4" t="inlineStr">
        <is>
          <t>TOTAL VIDEOS</t>
        </is>
      </c>
      <c r="C6" s="5" t="n"/>
      <c r="D6" s="4" t="inlineStr">
        <is>
          <t>WATCHED</t>
        </is>
      </c>
      <c r="E6" s="5" t="n"/>
      <c r="F6" s="4" t="inlineStr">
        <is>
          <t>BACKLOG</t>
        </is>
      </c>
      <c r="G6" s="5" t="n"/>
      <c r="H6" s="4" t="inlineStr">
        <is>
          <t>% WATCHED</t>
        </is>
      </c>
      <c r="I6" s="5" t="n"/>
      <c r="J6" s="4" t="inlineStr">
        <is>
          <t>HOURS WATCHED</t>
        </is>
      </c>
      <c r="K6" s="5" t="n"/>
      <c r="L6" s="4" t="inlineStr">
        <is>
          <t>HOURS REMAINING</t>
        </is>
      </c>
      <c r="M6" s="5" t="n"/>
    </row>
    <row r="7" ht="34" customHeight="1">
      <c r="B7" s="6">
        <f>Stats!C14</f>
        <v/>
      </c>
      <c r="C7" s="5" t="n"/>
      <c r="D7" s="6">
        <f>Stats!D14</f>
        <v/>
      </c>
      <c r="E7" s="5" t="n"/>
      <c r="F7" s="6">
        <f>Stats!E14+Stats!F14</f>
        <v/>
      </c>
      <c r="G7" s="5" t="n"/>
      <c r="H7" s="7">
        <f>Stats!H14</f>
        <v/>
      </c>
      <c r="I7" s="5" t="n"/>
      <c r="J7" s="6">
        <f>Stats!J14</f>
        <v/>
      </c>
      <c r="K7" s="5" t="n"/>
      <c r="L7" s="6">
        <f>Stats!K14</f>
        <v/>
      </c>
      <c r="M7" s="5" t="n"/>
    </row>
    <row r="8">
      <c r="B8" s="8">
        <f>"across "&amp;6&amp;" channels"</f>
        <v/>
      </c>
      <c r="C8" s="5" t="n"/>
      <c r="D8" s="8">
        <f>"of "&amp;TEXT(Stats!C14-Stats!G14,"#,##0")&amp;" tracked"</f>
        <v/>
      </c>
      <c r="E8" s="5" t="n"/>
      <c r="F8" s="8">
        <f>TEXT(Stats!E14,"#,##0")&amp;" watch-later"</f>
        <v/>
      </c>
      <c r="G8" s="5" t="n"/>
      <c r="H8" s="8">
        <f>TEXT(Stats!L14,"0.0%")&amp;" of runtime"</f>
        <v/>
      </c>
      <c r="I8" s="5" t="n"/>
      <c r="J8" s="8">
        <f>"of "&amp;TEXT(Stats!I14,"#,##0")&amp;" h total"</f>
        <v/>
      </c>
      <c r="K8" s="5" t="n"/>
      <c r="L8" s="8">
        <f>"≈ "&amp;TEXT(Stats!K14/24,"#,##0")&amp;" days of video"</f>
        <v/>
      </c>
      <c r="M8" s="5" t="n"/>
    </row>
    <row r="10" ht="20" customHeight="1">
      <c r="B10" s="9" t="inlineStr">
        <is>
          <t>By channel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22" customHeight="1">
      <c r="B11" s="11" t="inlineStr">
        <is>
          <t>Channel</t>
        </is>
      </c>
      <c r="C11" s="12" t="n"/>
      <c r="D11" s="13" t="n"/>
      <c r="E11" s="11" t="inlineStr">
        <is>
          <t>Videos</t>
        </is>
      </c>
      <c r="F11" s="11" t="inlineStr">
        <is>
          <t>Watched</t>
        </is>
      </c>
      <c r="G11" s="11" t="inlineStr">
        <is>
          <t>Backlog</t>
        </is>
      </c>
      <c r="H11" s="11" t="inlineStr">
        <is>
          <t>% Watched</t>
        </is>
      </c>
      <c r="I11" s="11" t="inlineStr">
        <is>
          <t>Hours left</t>
        </is>
      </c>
      <c r="J11" s="11" t="inlineStr">
        <is>
          <t>Latest upload</t>
        </is>
      </c>
      <c r="K11" s="13" t="n"/>
      <c r="L11" s="11" t="inlineStr">
        <is>
          <t>Days since</t>
        </is>
      </c>
      <c r="M11" s="13" t="n"/>
    </row>
    <row r="12">
      <c r="B12" s="14">
        <f>Stats!B8</f>
        <v/>
      </c>
      <c r="E12" s="15">
        <f>Stats!C8</f>
        <v/>
      </c>
      <c r="F12" s="15">
        <f>Stats!D8</f>
        <v/>
      </c>
      <c r="G12" s="15">
        <f>Stats!E8+Stats!F8</f>
        <v/>
      </c>
      <c r="H12" s="16">
        <f>Stats!H8</f>
        <v/>
      </c>
      <c r="I12" s="15">
        <f>Stats!K8</f>
        <v/>
      </c>
      <c r="J12" s="17">
        <f>Stats!D20</f>
        <v/>
      </c>
      <c r="L12" s="15">
        <f>IF(J12="","",TODAY()-J12)</f>
        <v/>
      </c>
    </row>
    <row r="13">
      <c r="B13" s="18">
        <f>Stats!B9</f>
        <v/>
      </c>
      <c r="E13" s="15">
        <f>Stats!C9</f>
        <v/>
      </c>
      <c r="F13" s="15">
        <f>Stats!D9</f>
        <v/>
      </c>
      <c r="G13" s="15">
        <f>Stats!E9+Stats!F9</f>
        <v/>
      </c>
      <c r="H13" s="16">
        <f>Stats!H9</f>
        <v/>
      </c>
      <c r="I13" s="15">
        <f>Stats!K9</f>
        <v/>
      </c>
      <c r="J13" s="17">
        <f>Stats!D21</f>
        <v/>
      </c>
      <c r="L13" s="15">
        <f>IF(J13="","",TODAY()-J13)</f>
        <v/>
      </c>
    </row>
    <row r="14">
      <c r="B14" s="19">
        <f>Stats!B10</f>
        <v/>
      </c>
      <c r="E14" s="15">
        <f>Stats!C10</f>
        <v/>
      </c>
      <c r="F14" s="15">
        <f>Stats!D10</f>
        <v/>
      </c>
      <c r="G14" s="15">
        <f>Stats!E10+Stats!F10</f>
        <v/>
      </c>
      <c r="H14" s="16">
        <f>Stats!H10</f>
        <v/>
      </c>
      <c r="I14" s="15">
        <f>Stats!K10</f>
        <v/>
      </c>
      <c r="J14" s="17">
        <f>Stats!D22</f>
        <v/>
      </c>
      <c r="L14" s="15">
        <f>IF(J14="","",TODAY()-J14)</f>
        <v/>
      </c>
    </row>
    <row r="15">
      <c r="B15" s="20">
        <f>Stats!B11</f>
        <v/>
      </c>
      <c r="E15" s="15">
        <f>Stats!C11</f>
        <v/>
      </c>
      <c r="F15" s="15">
        <f>Stats!D11</f>
        <v/>
      </c>
      <c r="G15" s="15">
        <f>Stats!E11+Stats!F11</f>
        <v/>
      </c>
      <c r="H15" s="16">
        <f>Stats!H11</f>
        <v/>
      </c>
      <c r="I15" s="15">
        <f>Stats!K11</f>
        <v/>
      </c>
      <c r="J15" s="17">
        <f>Stats!D23</f>
        <v/>
      </c>
      <c r="L15" s="15">
        <f>IF(J15="","",TODAY()-J15)</f>
        <v/>
      </c>
    </row>
    <row r="16">
      <c r="B16" s="21">
        <f>Stats!B12</f>
        <v/>
      </c>
      <c r="E16" s="15">
        <f>Stats!C12</f>
        <v/>
      </c>
      <c r="F16" s="15">
        <f>Stats!D12</f>
        <v/>
      </c>
      <c r="G16" s="15">
        <f>Stats!E12+Stats!F12</f>
        <v/>
      </c>
      <c r="H16" s="16">
        <f>Stats!H12</f>
        <v/>
      </c>
      <c r="I16" s="15">
        <f>Stats!K12</f>
        <v/>
      </c>
      <c r="J16" s="17">
        <f>Stats!D24</f>
        <v/>
      </c>
      <c r="L16" s="15">
        <f>IF(J16="","",TODAY()-J16)</f>
        <v/>
      </c>
    </row>
    <row r="17">
      <c r="B17" s="22">
        <f>Stats!B13</f>
        <v/>
      </c>
      <c r="E17" s="15">
        <f>Stats!C13</f>
        <v/>
      </c>
      <c r="F17" s="15">
        <f>Stats!D13</f>
        <v/>
      </c>
      <c r="G17" s="15">
        <f>Stats!E13+Stats!F13</f>
        <v/>
      </c>
      <c r="H17" s="16">
        <f>Stats!H13</f>
        <v/>
      </c>
      <c r="I17" s="15">
        <f>Stats!K13</f>
        <v/>
      </c>
      <c r="J17" s="17">
        <f>Stats!D25</f>
        <v/>
      </c>
      <c r="L17" s="15">
        <f>IF(J17="","",TODAY()-J17)</f>
        <v/>
      </c>
    </row>
    <row r="18">
      <c r="B18" s="23" t="inlineStr">
        <is>
          <t>All channels</t>
        </is>
      </c>
      <c r="E18" s="24">
        <f>Stats!C14</f>
        <v/>
      </c>
      <c r="F18" s="24">
        <f>Stats!D14</f>
        <v/>
      </c>
      <c r="G18" s="24">
        <f>Stats!E14+Stats!F14</f>
        <v/>
      </c>
      <c r="H18" s="25">
        <f>Stats!H14</f>
        <v/>
      </c>
      <c r="I18" s="24">
        <f>Stats!K14</f>
        <v/>
      </c>
    </row>
    <row r="36" ht="20" customHeight="1">
      <c r="B36" s="9" t="inlineStr">
        <is>
          <t>Up next  -  oldest unwatched video in each channel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 ht="20" customHeight="1">
      <c r="B37" s="11" t="inlineStr">
        <is>
          <t>Channel</t>
        </is>
      </c>
      <c r="C37" s="12" t="n"/>
      <c r="D37" s="13" t="n"/>
      <c r="E37" s="11" t="inlineStr">
        <is>
          <t>Video</t>
        </is>
      </c>
      <c r="F37" s="12" t="n"/>
      <c r="G37" s="12" t="n"/>
      <c r="H37" s="12" t="n"/>
      <c r="I37" s="12" t="n"/>
      <c r="J37" s="12" t="n"/>
      <c r="K37" s="13" t="n"/>
      <c r="L37" s="11" t="inlineStr">
        <is>
          <t>Length</t>
        </is>
      </c>
      <c r="M37" s="11" t="inlineStr">
        <is>
          <t>Published</t>
        </is>
      </c>
    </row>
    <row r="38">
      <c r="B38" s="14">
        <f>Channels!$C$6</f>
        <v/>
      </c>
      <c r="E38" s="26">
        <f>IF($O38="","All caught up ✓",IF(INDEX(tblVideos[Video ID],$O38)="",INDEX(tblVideos[Title],$O38),HYPERLINK("https://www.youtube.com/watch?v="&amp;INDEX(tblVideos[Video ID],$O38),INDEX(tblVideos[Title],$O38))))</f>
        <v/>
      </c>
      <c r="L38" s="27">
        <f>IF($O38="","",INDEX(tblVideos[Length],$O38))</f>
        <v/>
      </c>
      <c r="M38" s="17">
        <f>IF($O38="","",INDEX(tblVideos[Day],$O38))</f>
        <v/>
      </c>
      <c r="O38">
        <f>IF(_xlfn.MINIFS(tblVideos[Seq],tblVideos[Channel ID],Channels!$E$6,tblVideos[Status],"Unwatched")=0,"",MATCH(_xlfn.MINIFS(tblVideos[Seq],tblVideos[Channel ID],Channels!$E$6,tblVideos[Status],"Unwatched"),tblVideos[Seq],0))</f>
        <v/>
      </c>
    </row>
    <row r="39">
      <c r="B39" s="18">
        <f>Channels!$C$7</f>
        <v/>
      </c>
      <c r="E39" s="26">
        <f>IF($O39="","All caught up ✓",IF(INDEX(tblVideos[Video ID],$O39)="",INDEX(tblVideos[Title],$O39),HYPERLINK("https://www.youtube.com/watch?v="&amp;INDEX(tblVideos[Video ID],$O39),INDEX(tblVideos[Title],$O39))))</f>
        <v/>
      </c>
      <c r="L39" s="27">
        <f>IF($O39="","",INDEX(tblVideos[Length],$O39))</f>
        <v/>
      </c>
      <c r="M39" s="17">
        <f>IF($O39="","",INDEX(tblVideos[Day],$O39))</f>
        <v/>
      </c>
      <c r="O39">
        <f>IF(_xlfn.MINIFS(tblVideos[Seq],tblVideos[Channel ID],Channels!$E$7,tblVideos[Status],"Unwatched")=0,"",MATCH(_xlfn.MINIFS(tblVideos[Seq],tblVideos[Channel ID],Channels!$E$7,tblVideos[Status],"Unwatched"),tblVideos[Seq],0))</f>
        <v/>
      </c>
    </row>
    <row r="40">
      <c r="B40" s="19">
        <f>Channels!$C$8</f>
        <v/>
      </c>
      <c r="E40" s="26">
        <f>IF($O40="","All caught up ✓",IF(INDEX(tblVideos[Video ID],$O40)="",INDEX(tblVideos[Title],$O40),HYPERLINK("https://www.youtube.com/watch?v="&amp;INDEX(tblVideos[Video ID],$O40),INDEX(tblVideos[Title],$O40))))</f>
        <v/>
      </c>
      <c r="L40" s="27">
        <f>IF($O40="","",INDEX(tblVideos[Length],$O40))</f>
        <v/>
      </c>
      <c r="M40" s="17">
        <f>IF($O40="","",INDEX(tblVideos[Day],$O40))</f>
        <v/>
      </c>
      <c r="O40">
        <f>IF(_xlfn.MINIFS(tblVideos[Seq],tblVideos[Channel ID],Channels!$E$8,tblVideos[Status],"Unwatched")=0,"",MATCH(_xlfn.MINIFS(tblVideos[Seq],tblVideos[Channel ID],Channels!$E$8,tblVideos[Status],"Unwatched"),tblVideos[Seq],0))</f>
        <v/>
      </c>
    </row>
    <row r="41">
      <c r="B41" s="20">
        <f>Channels!$C$9</f>
        <v/>
      </c>
      <c r="E41" s="26">
        <f>IF($O41="","All caught up ✓",IF(INDEX(tblVideos[Video ID],$O41)="",INDEX(tblVideos[Title],$O41),HYPERLINK("https://www.youtube.com/watch?v="&amp;INDEX(tblVideos[Video ID],$O41),INDEX(tblVideos[Title],$O41))))</f>
        <v/>
      </c>
      <c r="L41" s="27">
        <f>IF($O41="","",INDEX(tblVideos[Length],$O41))</f>
        <v/>
      </c>
      <c r="M41" s="17">
        <f>IF($O41="","",INDEX(tblVideos[Day],$O41))</f>
        <v/>
      </c>
      <c r="O41">
        <f>IF(_xlfn.MINIFS(tblVideos[Seq],tblVideos[Channel ID],Channels!$E$9,tblVideos[Status],"Unwatched")=0,"",MATCH(_xlfn.MINIFS(tblVideos[Seq],tblVideos[Channel ID],Channels!$E$9,tblVideos[Status],"Unwatched"),tblVideos[Seq],0))</f>
        <v/>
      </c>
    </row>
    <row r="42">
      <c r="B42" s="21">
        <f>Channels!$C$10</f>
        <v/>
      </c>
      <c r="E42" s="26">
        <f>IF($O42="","All caught up ✓",IF(INDEX(tblVideos[Video ID],$O42)="",INDEX(tblVideos[Title],$O42),HYPERLINK("https://www.youtube.com/watch?v="&amp;INDEX(tblVideos[Video ID],$O42),INDEX(tblVideos[Title],$O42))))</f>
        <v/>
      </c>
      <c r="L42" s="27">
        <f>IF($O42="","",INDEX(tblVideos[Length],$O42))</f>
        <v/>
      </c>
      <c r="M42" s="17">
        <f>IF($O42="","",INDEX(tblVideos[Day],$O42))</f>
        <v/>
      </c>
      <c r="O42">
        <f>IF(_xlfn.MINIFS(tblVideos[Seq],tblVideos[Channel ID],Channels!$E$10,tblVideos[Status],"Unwatched")=0,"",MATCH(_xlfn.MINIFS(tblVideos[Seq],tblVideos[Channel ID],Channels!$E$10,tblVideos[Status],"Unwatched"),tblVideos[Seq],0))</f>
        <v/>
      </c>
    </row>
    <row r="43">
      <c r="B43" s="22">
        <f>Channels!$C$11</f>
        <v/>
      </c>
      <c r="E43" s="26">
        <f>IF($O43="","All caught up ✓",IF(INDEX(tblVideos[Video ID],$O43)="",INDEX(tblVideos[Title],$O43),HYPERLINK("https://www.youtube.com/watch?v="&amp;INDEX(tblVideos[Video ID],$O43),INDEX(tblVideos[Title],$O43))))</f>
        <v/>
      </c>
      <c r="L43" s="27">
        <f>IF($O43="","",INDEX(tblVideos[Length],$O43))</f>
        <v/>
      </c>
      <c r="M43" s="17">
        <f>IF($O43="","",INDEX(tblVideos[Day],$O43))</f>
        <v/>
      </c>
      <c r="O43">
        <f>IF(_xlfn.MINIFS(tblVideos[Seq],tblVideos[Channel ID],Channels!$E$11,tblVideos[Status],"Unwatched")=0,"",MATCH(_xlfn.MINIFS(tblVideos[Seq],tblVideos[Channel ID],Channels!$E$11,tblVideos[Status],"Unwatched"),tblVideos[Seq],0))</f>
        <v/>
      </c>
    </row>
    <row r="46" ht="20" customHeight="1">
      <c r="B46" s="9" t="inlineStr">
        <is>
          <t>Newest uploads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 ht="20" customHeight="1">
      <c r="B47" s="11" t="inlineStr">
        <is>
          <t>Published</t>
        </is>
      </c>
      <c r="C47" s="13" t="n"/>
      <c r="D47" s="11" t="inlineStr">
        <is>
          <t>Channel</t>
        </is>
      </c>
      <c r="E47" s="13" t="n"/>
      <c r="F47" s="11" t="inlineStr">
        <is>
          <t>Title</t>
        </is>
      </c>
      <c r="G47" s="12" t="n"/>
      <c r="H47" s="12" t="n"/>
      <c r="I47" s="12" t="n"/>
      <c r="J47" s="12" t="n"/>
      <c r="K47" s="13" t="n"/>
      <c r="L47" s="11" t="inlineStr">
        <is>
          <t>Length</t>
        </is>
      </c>
      <c r="M47" s="11" t="inlineStr">
        <is>
          <t>Status</t>
        </is>
      </c>
    </row>
    <row r="48">
      <c r="B48" s="28">
        <f>IF($O48="","",INDEX(tblVideos[Day],$O48))</f>
        <v/>
      </c>
      <c r="D48" s="29">
        <f>IF($O48="","",INDEX(tblVideos[Channel],$O48))</f>
        <v/>
      </c>
      <c r="F48" s="26">
        <f>IF($O48="","",IF(INDEX(tblVideos[Video ID],$O48)="",INDEX(tblVideos[Title],$O48),HYPERLINK("https://www.youtube.com/watch?v="&amp;INDEX(tblVideos[Video ID],$O48),INDEX(tblVideos[Title],$O48))))</f>
        <v/>
      </c>
      <c r="L48" s="27">
        <f>IF($O48="","",INDEX(tblVideos[Length],$O48))</f>
        <v/>
      </c>
      <c r="M48" s="30">
        <f>IF($O48="","",INDEX(tblVideos[Status],$O48))</f>
        <v/>
      </c>
      <c r="O48">
        <f>IFERROR(MATCH(MAX(tblVideos[Seq])-0,tblVideos[Seq],0),"")</f>
        <v/>
      </c>
    </row>
    <row r="49">
      <c r="B49" s="28">
        <f>IF($O49="","",INDEX(tblVideos[Day],$O49))</f>
        <v/>
      </c>
      <c r="D49" s="29">
        <f>IF($O49="","",INDEX(tblVideos[Channel],$O49))</f>
        <v/>
      </c>
      <c r="F49" s="26">
        <f>IF($O49="","",IF(INDEX(tblVideos[Video ID],$O49)="",INDEX(tblVideos[Title],$O49),HYPERLINK("https://www.youtube.com/watch?v="&amp;INDEX(tblVideos[Video ID],$O49),INDEX(tblVideos[Title],$O49))))</f>
        <v/>
      </c>
      <c r="L49" s="27">
        <f>IF($O49="","",INDEX(tblVideos[Length],$O49))</f>
        <v/>
      </c>
      <c r="M49" s="30">
        <f>IF($O49="","",INDEX(tblVideos[Status],$O49))</f>
        <v/>
      </c>
      <c r="O49">
        <f>IFERROR(MATCH(MAX(tblVideos[Seq])-1,tblVideos[Seq],0),"")</f>
        <v/>
      </c>
    </row>
    <row r="50">
      <c r="B50" s="28">
        <f>IF($O50="","",INDEX(tblVideos[Day],$O50))</f>
        <v/>
      </c>
      <c r="D50" s="29">
        <f>IF($O50="","",INDEX(tblVideos[Channel],$O50))</f>
        <v/>
      </c>
      <c r="F50" s="26">
        <f>IF($O50="","",IF(INDEX(tblVideos[Video ID],$O50)="",INDEX(tblVideos[Title],$O50),HYPERLINK("https://www.youtube.com/watch?v="&amp;INDEX(tblVideos[Video ID],$O50),INDEX(tblVideos[Title],$O50))))</f>
        <v/>
      </c>
      <c r="L50" s="27">
        <f>IF($O50="","",INDEX(tblVideos[Length],$O50))</f>
        <v/>
      </c>
      <c r="M50" s="30">
        <f>IF($O50="","",INDEX(tblVideos[Status],$O50))</f>
        <v/>
      </c>
      <c r="O50">
        <f>IFERROR(MATCH(MAX(tblVideos[Seq])-2,tblVideos[Seq],0),"")</f>
        <v/>
      </c>
    </row>
    <row r="51">
      <c r="B51" s="28">
        <f>IF($O51="","",INDEX(tblVideos[Day],$O51))</f>
        <v/>
      </c>
      <c r="D51" s="29">
        <f>IF($O51="","",INDEX(tblVideos[Channel],$O51))</f>
        <v/>
      </c>
      <c r="F51" s="26">
        <f>IF($O51="","",IF(INDEX(tblVideos[Video ID],$O51)="",INDEX(tblVideos[Title],$O51),HYPERLINK("https://www.youtube.com/watch?v="&amp;INDEX(tblVideos[Video ID],$O51),INDEX(tblVideos[Title],$O51))))</f>
        <v/>
      </c>
      <c r="L51" s="27">
        <f>IF($O51="","",INDEX(tblVideos[Length],$O51))</f>
        <v/>
      </c>
      <c r="M51" s="30">
        <f>IF($O51="","",INDEX(tblVideos[Status],$O51))</f>
        <v/>
      </c>
      <c r="O51">
        <f>IFERROR(MATCH(MAX(tblVideos[Seq])-3,tblVideos[Seq],0),"")</f>
        <v/>
      </c>
    </row>
    <row r="52">
      <c r="B52" s="28">
        <f>IF($O52="","",INDEX(tblVideos[Day],$O52))</f>
        <v/>
      </c>
      <c r="D52" s="29">
        <f>IF($O52="","",INDEX(tblVideos[Channel],$O52))</f>
        <v/>
      </c>
      <c r="F52" s="26">
        <f>IF($O52="","",IF(INDEX(tblVideos[Video ID],$O52)="",INDEX(tblVideos[Title],$O52),HYPERLINK("https://www.youtube.com/watch?v="&amp;INDEX(tblVideos[Video ID],$O52),INDEX(tblVideos[Title],$O52))))</f>
        <v/>
      </c>
      <c r="L52" s="27">
        <f>IF($O52="","",INDEX(tblVideos[Length],$O52))</f>
        <v/>
      </c>
      <c r="M52" s="30">
        <f>IF($O52="","",INDEX(tblVideos[Status],$O52))</f>
        <v/>
      </c>
      <c r="O52">
        <f>IFERROR(MATCH(MAX(tblVideos[Seq])-4,tblVideos[Seq],0),"")</f>
        <v/>
      </c>
    </row>
    <row r="53">
      <c r="B53" s="28">
        <f>IF($O53="","",INDEX(tblVideos[Day],$O53))</f>
        <v/>
      </c>
      <c r="D53" s="29">
        <f>IF($O53="","",INDEX(tblVideos[Channel],$O53))</f>
        <v/>
      </c>
      <c r="F53" s="26">
        <f>IF($O53="","",IF(INDEX(tblVideos[Video ID],$O53)="",INDEX(tblVideos[Title],$O53),HYPERLINK("https://www.youtube.com/watch?v="&amp;INDEX(tblVideos[Video ID],$O53),INDEX(tblVideos[Title],$O53))))</f>
        <v/>
      </c>
      <c r="L53" s="27">
        <f>IF($O53="","",INDEX(tblVideos[Length],$O53))</f>
        <v/>
      </c>
      <c r="M53" s="30">
        <f>IF($O53="","",INDEX(tblVideos[Status],$O53))</f>
        <v/>
      </c>
      <c r="O53">
        <f>IFERROR(MATCH(MAX(tblVideos[Seq])-5,tblVideos[Seq],0),"")</f>
        <v/>
      </c>
    </row>
    <row r="54">
      <c r="B54" s="28">
        <f>IF($O54="","",INDEX(tblVideos[Day],$O54))</f>
        <v/>
      </c>
      <c r="D54" s="29">
        <f>IF($O54="","",INDEX(tblVideos[Channel],$O54))</f>
        <v/>
      </c>
      <c r="F54" s="26">
        <f>IF($O54="","",IF(INDEX(tblVideos[Video ID],$O54)="",INDEX(tblVideos[Title],$O54),HYPERLINK("https://www.youtube.com/watch?v="&amp;INDEX(tblVideos[Video ID],$O54),INDEX(tblVideos[Title],$O54))))</f>
        <v/>
      </c>
      <c r="L54" s="27">
        <f>IF($O54="","",INDEX(tblVideos[Length],$O54))</f>
        <v/>
      </c>
      <c r="M54" s="30">
        <f>IF($O54="","",INDEX(tblVideos[Status],$O54))</f>
        <v/>
      </c>
      <c r="O54">
        <f>IFERROR(MATCH(MAX(tblVideos[Seq])-6,tblVideos[Seq],0),"")</f>
        <v/>
      </c>
    </row>
    <row r="55">
      <c r="B55" s="28">
        <f>IF($O55="","",INDEX(tblVideos[Day],$O55))</f>
        <v/>
      </c>
      <c r="D55" s="29">
        <f>IF($O55="","",INDEX(tblVideos[Channel],$O55))</f>
        <v/>
      </c>
      <c r="F55" s="26">
        <f>IF($O55="","",IF(INDEX(tblVideos[Video ID],$O55)="",INDEX(tblVideos[Title],$O55),HYPERLINK("https://www.youtube.com/watch?v="&amp;INDEX(tblVideos[Video ID],$O55),INDEX(tblVideos[Title],$O55))))</f>
        <v/>
      </c>
      <c r="L55" s="27">
        <f>IF($O55="","",INDEX(tblVideos[Length],$O55))</f>
        <v/>
      </c>
      <c r="M55" s="30">
        <f>IF($O55="","",INDEX(tblVideos[Status],$O55))</f>
        <v/>
      </c>
      <c r="O55">
        <f>IFERROR(MATCH(MAX(tblVideos[Seq])-7,tblVideos[Seq],0),"")</f>
        <v/>
      </c>
    </row>
    <row r="56">
      <c r="B56" s="28">
        <f>IF($O56="","",INDEX(tblVideos[Day],$O56))</f>
        <v/>
      </c>
      <c r="D56" s="29">
        <f>IF($O56="","",INDEX(tblVideos[Channel],$O56))</f>
        <v/>
      </c>
      <c r="F56" s="26">
        <f>IF($O56="","",IF(INDEX(tblVideos[Video ID],$O56)="",INDEX(tblVideos[Title],$O56),HYPERLINK("https://www.youtube.com/watch?v="&amp;INDEX(tblVideos[Video ID],$O56),INDEX(tblVideos[Title],$O56))))</f>
        <v/>
      </c>
      <c r="L56" s="27">
        <f>IF($O56="","",INDEX(tblVideos[Length],$O56))</f>
        <v/>
      </c>
      <c r="M56" s="30">
        <f>IF($O56="","",INDEX(tblVideos[Status],$O56))</f>
        <v/>
      </c>
      <c r="O56">
        <f>IFERROR(MATCH(MAX(tblVideos[Seq])-8,tblVideos[Seq],0),"")</f>
        <v/>
      </c>
    </row>
    <row r="57">
      <c r="B57" s="28">
        <f>IF($O57="","",INDEX(tblVideos[Day],$O57))</f>
        <v/>
      </c>
      <c r="D57" s="29">
        <f>IF($O57="","",INDEX(tblVideos[Channel],$O57))</f>
        <v/>
      </c>
      <c r="F57" s="26">
        <f>IF($O57="","",IF(INDEX(tblVideos[Video ID],$O57)="",INDEX(tblVideos[Title],$O57),HYPERLINK("https://www.youtube.com/watch?v="&amp;INDEX(tblVideos[Video ID],$O57),INDEX(tblVideos[Title],$O57))))</f>
        <v/>
      </c>
      <c r="L57" s="27">
        <f>IF($O57="","",INDEX(tblVideos[Length],$O57))</f>
        <v/>
      </c>
      <c r="M57" s="30">
        <f>IF($O57="","",INDEX(tblVideos[Status],$O57))</f>
        <v/>
      </c>
      <c r="O57">
        <f>IFERROR(MATCH(MAX(tblVideos[Seq])-9,tblVideos[Seq],0),"")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7">
    <mergeCell ref="B11:D11"/>
    <mergeCell ref="L17:M17"/>
    <mergeCell ref="B42:D42"/>
    <mergeCell ref="F51:K51"/>
    <mergeCell ref="F50:K50"/>
    <mergeCell ref="D6:E6"/>
    <mergeCell ref="L12:M12"/>
    <mergeCell ref="B37:D37"/>
    <mergeCell ref="L14:M14"/>
    <mergeCell ref="D48:E48"/>
    <mergeCell ref="E39:K39"/>
    <mergeCell ref="D7:E7"/>
    <mergeCell ref="E38:K38"/>
    <mergeCell ref="F53:K53"/>
    <mergeCell ref="D56:E56"/>
    <mergeCell ref="B49:C49"/>
    <mergeCell ref="B55:C55"/>
    <mergeCell ref="E40:K40"/>
    <mergeCell ref="B51:C51"/>
    <mergeCell ref="D51:E51"/>
    <mergeCell ref="B43:D43"/>
    <mergeCell ref="F55:K55"/>
    <mergeCell ref="L7:M7"/>
    <mergeCell ref="L16:M16"/>
    <mergeCell ref="B17:D17"/>
    <mergeCell ref="F6:G6"/>
    <mergeCell ref="F56:K56"/>
    <mergeCell ref="E42:K42"/>
    <mergeCell ref="F52:K52"/>
    <mergeCell ref="B53:C53"/>
    <mergeCell ref="D53:E53"/>
    <mergeCell ref="D47:E47"/>
    <mergeCell ref="J11:K11"/>
    <mergeCell ref="F57:K57"/>
    <mergeCell ref="B6:C6"/>
    <mergeCell ref="J12:K12"/>
    <mergeCell ref="L6:M6"/>
    <mergeCell ref="B39:D39"/>
    <mergeCell ref="B54:C54"/>
    <mergeCell ref="B14:D14"/>
    <mergeCell ref="B7:C7"/>
    <mergeCell ref="B13:D13"/>
    <mergeCell ref="B56:C56"/>
    <mergeCell ref="E41:K41"/>
    <mergeCell ref="F7:G7"/>
    <mergeCell ref="B52:C52"/>
    <mergeCell ref="D52:E52"/>
    <mergeCell ref="D49:E49"/>
    <mergeCell ref="E43:K43"/>
    <mergeCell ref="L8:M8"/>
    <mergeCell ref="B57:C57"/>
    <mergeCell ref="F48:K48"/>
    <mergeCell ref="F8:G8"/>
    <mergeCell ref="B41:D41"/>
    <mergeCell ref="J16:K16"/>
    <mergeCell ref="D55:E55"/>
    <mergeCell ref="F54:K54"/>
    <mergeCell ref="L11:M11"/>
    <mergeCell ref="D54:E54"/>
    <mergeCell ref="B12:D12"/>
    <mergeCell ref="B47:C47"/>
    <mergeCell ref="J14:K14"/>
    <mergeCell ref="J13:K13"/>
    <mergeCell ref="L13:M13"/>
    <mergeCell ref="B38:D38"/>
    <mergeCell ref="E37:K37"/>
    <mergeCell ref="F47:K47"/>
    <mergeCell ref="B48:C48"/>
    <mergeCell ref="H6:I6"/>
    <mergeCell ref="J6:K6"/>
    <mergeCell ref="D57:E57"/>
    <mergeCell ref="J15:K15"/>
    <mergeCell ref="L15:M15"/>
    <mergeCell ref="B40:D40"/>
    <mergeCell ref="B15:D15"/>
    <mergeCell ref="B8:C8"/>
    <mergeCell ref="F49:K49"/>
    <mergeCell ref="H7:I7"/>
    <mergeCell ref="J7:K7"/>
    <mergeCell ref="B16:D16"/>
    <mergeCell ref="D8:E8"/>
    <mergeCell ref="B18:D18"/>
    <mergeCell ref="B50:C50"/>
    <mergeCell ref="H8:I8"/>
    <mergeCell ref="D50:E50"/>
    <mergeCell ref="J8:K8"/>
    <mergeCell ref="J17:K17"/>
  </mergeCells>
  <conditionalFormatting sqref="B3">
    <cfRule type="expression" priority="1" dxfId="0">
      <formula>TODAY()-INT(Settings!$C$5)&gt;7</formula>
    </cfRule>
  </conditionalFormatting>
  <conditionalFormatting sqref="H12:H17">
    <cfRule type="dataBar" priority="2">
      <dataBar>
        <cfvo type="num" val="0"/>
        <cfvo type="num" val="1"/>
        <color rgb="002E9E6B"/>
      </dataBar>
    </cfRule>
  </conditionalFormatting>
  <conditionalFormatting sqref="M48:M57">
    <cfRule type="cellIs" priority="3" operator="equal" dxfId="1">
      <formula>"Watched"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B8A"/>
    <outlinePr summaryBelow="1" summaryRight="1"/>
    <pageSetUpPr fitToPage="1"/>
  </sheetPr>
  <dimension ref="A1:W32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3" customWidth="1" min="4" max="4"/>
    <col width="21" customWidth="1" min="5" max="5"/>
    <col width="24" customWidth="1" min="6" max="6"/>
    <col width="70" customWidth="1" min="7" max="7"/>
    <col width="10" customWidth="1" min="8" max="8"/>
    <col width="11" customWidth="1" min="9" max="9"/>
    <col width="9" customWidth="1" min="10" max="10"/>
    <col width="10" customWidth="1" min="11" max="11"/>
    <col width="32" customWidth="1" min="12" max="12"/>
    <col hidden="1" outlineLevel="1" width="13" customWidth="1" min="13" max="20"/>
    <col width="60" customWidth="1" min="21" max="21"/>
    <col hidden="1" outlineLevel="1" width="10" customWidth="1" min="22" max="23"/>
  </cols>
  <sheetData>
    <row r="1" ht="28" customHeight="1">
      <c r="A1" s="31" t="inlineStr">
        <is>
          <t>Video Library</t>
        </is>
      </c>
    </row>
    <row r="2">
      <c r="A2" s="2" t="inlineStr">
        <is>
          <t>Slate columns come from YouTube and are refreshed by the updater.  Teal columns are calculated.  Gold columns (Mark, Watched On, Notes) are YOURS and are never overwritten.</t>
        </is>
      </c>
    </row>
    <row r="3">
      <c r="A3" s="32">
        <f>HYPERLINK("#Dashboard!A1","◄ Dashboard")</f>
        <v/>
      </c>
    </row>
    <row r="5" ht="24" customHeight="1">
      <c r="A5" s="33" t="inlineStr">
        <is>
          <t>Open</t>
        </is>
      </c>
      <c r="B5" s="33" t="inlineStr">
        <is>
          <t>Status</t>
        </is>
      </c>
      <c r="C5" s="34" t="inlineStr">
        <is>
          <t>Mark</t>
        </is>
      </c>
      <c r="D5" s="34" t="inlineStr">
        <is>
          <t>Watched On</t>
        </is>
      </c>
      <c r="E5" s="11" t="inlineStr">
        <is>
          <t>Published</t>
        </is>
      </c>
      <c r="F5" s="11" t="inlineStr">
        <is>
          <t>Channel</t>
        </is>
      </c>
      <c r="G5" s="11" t="inlineStr">
        <is>
          <t>Title</t>
        </is>
      </c>
      <c r="H5" s="11" t="inlineStr">
        <is>
          <t>Length</t>
        </is>
      </c>
      <c r="I5" s="11" t="inlineStr">
        <is>
          <t>Views</t>
        </is>
      </c>
      <c r="J5" s="11" t="inlineStr">
        <is>
          <t>Likes</t>
        </is>
      </c>
      <c r="K5" s="11" t="inlineStr">
        <is>
          <t>Comments</t>
        </is>
      </c>
      <c r="L5" s="34" t="inlineStr">
        <is>
          <t>Notes</t>
        </is>
      </c>
      <c r="M5" s="11" t="inlineStr">
        <is>
          <t>Video ID</t>
        </is>
      </c>
      <c r="N5" s="11" t="inlineStr">
        <is>
          <t>Channel ID</t>
        </is>
      </c>
      <c r="O5" s="11" t="inlineStr">
        <is>
          <t>Published UTC</t>
        </is>
      </c>
      <c r="P5" s="11" t="inlineStr">
        <is>
          <t>Day</t>
        </is>
      </c>
      <c r="Q5" s="11" t="inlineStr">
        <is>
          <t>Seq</t>
        </is>
      </c>
      <c r="R5" s="11" t="inlineStr">
        <is>
          <t>Availability</t>
        </is>
      </c>
      <c r="S5" s="11" t="inlineStr">
        <is>
          <t>First Seen</t>
        </is>
      </c>
      <c r="T5" s="11" t="inlineStr">
        <is>
          <t>Last Seen</t>
        </is>
      </c>
      <c r="U5" s="11" t="inlineStr">
        <is>
          <t>Description</t>
        </is>
      </c>
      <c r="V5" s="33" t="inlineStr">
        <is>
          <t>Cal Key</t>
        </is>
      </c>
      <c r="W5" s="33" t="inlineStr">
        <is>
          <t>Queue Key</t>
        </is>
      </c>
    </row>
    <row r="6">
      <c r="A6" s="35">
        <f>IF(M6="","",HYPERLINK("https://www.youtube.com/watch?v="&amp;M6,"▶"))</f>
        <v/>
      </c>
      <c r="B6" s="36">
        <f>IF(C6&lt;&gt;"",C6,IF(P6&lt;=IFERROR(INDEX(tblChannels[Watched Through],MATCH(N6,tblChannels[Channel ID],0)),0),"Watched","Unwatched"))</f>
        <v/>
      </c>
      <c r="C6" s="37" t="n"/>
      <c r="D6" s="38" t="n"/>
      <c r="E6" s="39" t="n">
        <v>46297.41666666666</v>
      </c>
      <c r="F6" s="40" t="inlineStr">
        <is>
          <t>Popcorn Culture</t>
        </is>
      </c>
      <c r="G6" t="inlineStr">
        <is>
          <t>Top 100 TV Shows! | Popcorn Culture</t>
        </is>
      </c>
      <c r="H6" s="41" t="n">
        <v>0.07789351851851851</v>
      </c>
      <c r="I6" s="42" t="n">
        <v>209</v>
      </c>
      <c r="J6" s="42" t="n">
        <v>16</v>
      </c>
      <c r="K6" s="42" t="n">
        <v>7</v>
      </c>
      <c r="L6" s="43" t="n"/>
      <c r="M6" s="44" t="n"/>
      <c r="N6" s="44" t="inlineStr">
        <is>
          <t>UCHfIbq9thHPC8yrKjAdJgDA</t>
        </is>
      </c>
      <c r="O6" s="45" t="n">
        <v>46297.58333333334</v>
      </c>
      <c r="P6" s="46" t="n">
        <v>46297</v>
      </c>
      <c r="Q6" s="44" t="n">
        <v>3266</v>
      </c>
      <c r="R6" s="44" t="inlineStr">
        <is>
          <t>No Video ID yet</t>
        </is>
      </c>
      <c r="S6" s="46" t="n"/>
      <c r="T6" s="46" t="n"/>
      <c r="U6" s="44" t="n"/>
      <c r="V6" s="44">
        <f>IF(AND(P6&gt;=Calendar!$K$2,P6&lt;EDATE(Calendar!$K$2,1),OR(Calendar!$K$4="*",N6=Calendar!$K$4)),P6*100+COUNTIFS($P$6:$P$3271,P6,$Q$6:$Q$3271,"&lt;="&amp;Q6,$N$6:$N$3271,Calendar!$K$4),"")</f>
        <v/>
      </c>
      <c r="W6" s="44">
        <f>IF(AND(B6=Queue!$C$4,OR(Queue!$K$4="*",N6=Queue!$K$4)),Q6,"")</f>
        <v/>
      </c>
    </row>
    <row r="7">
      <c r="A7" s="35">
        <f>IF(M7="","",HYPERLINK("https://www.youtube.com/watch?v="&amp;M7,"▶"))</f>
        <v/>
      </c>
      <c r="B7" s="36">
        <f>IF(C7&lt;&gt;"",C7,IF(P7&lt;=IFERROR(INDEX(tblChannels[Watched Through],MATCH(N7,tblChannels[Channel ID],0)),0),"Watched","Unwatched"))</f>
        <v/>
      </c>
      <c r="C7" s="37" t="n"/>
      <c r="D7" s="38" t="n"/>
      <c r="E7" s="39" t="n">
        <v>46295.64861111111</v>
      </c>
      <c r="F7" s="47" t="inlineStr">
        <is>
          <t>Super Carlin Brothers</t>
        </is>
      </c>
      <c r="G7" t="inlineStr">
        <is>
          <t>Slughorn’s SECRET Son Revealed</t>
        </is>
      </c>
      <c r="H7" s="41" t="n">
        <v>0.01108796296296296</v>
      </c>
      <c r="I7" s="42" t="n">
        <v>62777</v>
      </c>
      <c r="J7" s="42" t="n">
        <v>1573</v>
      </c>
      <c r="K7" s="42" t="n">
        <v>250</v>
      </c>
      <c r="L7" s="43" t="n"/>
      <c r="M7" s="44" t="n"/>
      <c r="N7" s="44" t="inlineStr">
        <is>
          <t>UCKZo4N0lVPccBkSiuyVh4yg</t>
        </is>
      </c>
      <c r="O7" s="45" t="n">
        <v>46295.81527777778</v>
      </c>
      <c r="P7" s="46" t="n">
        <v>46295</v>
      </c>
      <c r="Q7" s="44" t="n">
        <v>3265</v>
      </c>
      <c r="R7" s="44" t="inlineStr">
        <is>
          <t>No Video ID yet</t>
        </is>
      </c>
      <c r="S7" s="46" t="n"/>
      <c r="T7" s="46" t="n"/>
      <c r="U7" s="44" t="n"/>
      <c r="V7" s="44">
        <f>IF(AND(P7&gt;=Calendar!$K$2,P7&lt;EDATE(Calendar!$K$2,1),OR(Calendar!$K$4="*",N7=Calendar!$K$4)),P7*100+COUNTIFS($P$6:$P$3271,P7,$Q$6:$Q$3271,"&lt;="&amp;Q7,$N$6:$N$3271,Calendar!$K$4),"")</f>
        <v/>
      </c>
      <c r="W7" s="44">
        <f>IF(AND(B7=Queue!$C$4,OR(Queue!$K$4="*",N7=Queue!$K$4)),Q7,"")</f>
        <v/>
      </c>
    </row>
    <row r="8">
      <c r="A8" s="35">
        <f>IF(M8="","",HYPERLINK("https://www.youtube.com/watch?v="&amp;M8,"▶"))</f>
        <v/>
      </c>
      <c r="B8" s="36">
        <f>IF(C8&lt;&gt;"",C8,IF(P8&lt;=IFERROR(INDEX(tblChannels[Watched Through],MATCH(N8,tblChannels[Channel ID],0)),0),"Watched","Unwatched"))</f>
        <v/>
      </c>
      <c r="C8" s="37" t="n"/>
      <c r="D8" s="38" t="n"/>
      <c r="E8" s="39" t="n">
        <v>46292.41666666666</v>
      </c>
      <c r="F8" s="48" t="inlineStr">
        <is>
          <t>Through The Griffin Door</t>
        </is>
      </c>
      <c r="G8" t="inlineStr">
        <is>
          <t>Chapter 15: The Unbreakable Vow | Half-Blood Prince</t>
        </is>
      </c>
      <c r="H8" s="41" t="n">
        <v>0.07679398148148148</v>
      </c>
      <c r="I8" s="42" t="n">
        <v>41173</v>
      </c>
      <c r="J8" s="42" t="n">
        <v>692</v>
      </c>
      <c r="K8" s="42" t="n">
        <v>303</v>
      </c>
      <c r="L8" s="43" t="n"/>
      <c r="M8" s="44" t="n"/>
      <c r="N8" s="44" t="inlineStr">
        <is>
          <t>UCEscP6ETYXWSSvsNrDHekMQ</t>
        </is>
      </c>
      <c r="O8" s="45" t="n">
        <v>46292.58333333334</v>
      </c>
      <c r="P8" s="46" t="n">
        <v>46292</v>
      </c>
      <c r="Q8" s="44" t="n">
        <v>3264</v>
      </c>
      <c r="R8" s="44" t="inlineStr">
        <is>
          <t>No Video ID yet</t>
        </is>
      </c>
      <c r="S8" s="46" t="n"/>
      <c r="T8" s="46" t="n"/>
      <c r="U8" s="44" t="n"/>
      <c r="V8" s="44">
        <f>IF(AND(P8&gt;=Calendar!$K$2,P8&lt;EDATE(Calendar!$K$2,1),OR(Calendar!$K$4="*",N8=Calendar!$K$4)),P8*100+COUNTIFS($P$6:$P$3271,P8,$Q$6:$Q$3271,"&lt;="&amp;Q8,$N$6:$N$3271,Calendar!$K$4),"")</f>
        <v/>
      </c>
      <c r="W8" s="44">
        <f>IF(AND(B8=Queue!$C$4,OR(Queue!$K$4="*",N8=Queue!$K$4)),Q8,"")</f>
        <v/>
      </c>
    </row>
    <row r="9">
      <c r="A9" s="35">
        <f>IF(M9="","",HYPERLINK("https://www.youtube.com/watch?v="&amp;M9,"▶"))</f>
        <v/>
      </c>
      <c r="B9" s="36">
        <f>IF(C9&lt;&gt;"",C9,IF(P9&lt;=IFERROR(INDEX(tblChannels[Watched Through],MATCH(N9,tblChannels[Channel ID],0)),0),"Watched","Unwatched"))</f>
        <v/>
      </c>
      <c r="C9" s="37" t="n"/>
      <c r="D9" s="38" t="n"/>
      <c r="E9" s="39" t="n">
        <v>46290.68194444444</v>
      </c>
      <c r="F9" s="47" t="inlineStr">
        <is>
          <t>Super Carlin Brothers</t>
        </is>
      </c>
      <c r="G9" t="inlineStr">
        <is>
          <t>J vs Ben: How Well Do We Know The Boy Who Lived (MAX DIFFICULTY)</t>
        </is>
      </c>
      <c r="H9" s="41" t="n">
        <v>0.03479166666666667</v>
      </c>
      <c r="I9" s="42" t="n">
        <v>102063</v>
      </c>
      <c r="J9" s="42" t="n">
        <v>1791</v>
      </c>
      <c r="K9" s="42" t="n">
        <v>297</v>
      </c>
      <c r="L9" s="43" t="n"/>
      <c r="M9" s="44" t="n"/>
      <c r="N9" s="44" t="inlineStr">
        <is>
          <t>UCKZo4N0lVPccBkSiuyVh4yg</t>
        </is>
      </c>
      <c r="O9" s="45" t="n">
        <v>46290.84861111111</v>
      </c>
      <c r="P9" s="46" t="n">
        <v>46290</v>
      </c>
      <c r="Q9" s="44" t="n">
        <v>3263</v>
      </c>
      <c r="R9" s="44" t="inlineStr">
        <is>
          <t>No Video ID yet</t>
        </is>
      </c>
      <c r="S9" s="46" t="n"/>
      <c r="T9" s="46" t="n"/>
      <c r="U9" s="44" t="n"/>
      <c r="V9" s="44">
        <f>IF(AND(P9&gt;=Calendar!$K$2,P9&lt;EDATE(Calendar!$K$2,1),OR(Calendar!$K$4="*",N9=Calendar!$K$4)),P9*100+COUNTIFS($P$6:$P$3271,P9,$Q$6:$Q$3271,"&lt;="&amp;Q9,$N$6:$N$3271,Calendar!$K$4),"")</f>
        <v/>
      </c>
      <c r="W9" s="44">
        <f>IF(AND(B9=Queue!$C$4,OR(Queue!$K$4="*",N9=Queue!$K$4)),Q9,"")</f>
        <v/>
      </c>
    </row>
    <row r="10">
      <c r="A10" s="35">
        <f>IF(M10="","",HYPERLINK("https://www.youtube.com/watch?v="&amp;M10,"▶"))</f>
        <v/>
      </c>
      <c r="B10" s="36">
        <f>IF(C10&lt;&gt;"",C10,IF(P10&lt;=IFERROR(INDEX(tblChannels[Watched Through],MATCH(N10,tblChannels[Channel ID],0)),0),"Watched","Unwatched"))</f>
        <v/>
      </c>
      <c r="C10" s="37" t="n"/>
      <c r="D10" s="38" t="n"/>
      <c r="E10" s="39" t="n">
        <v>46290.41666666666</v>
      </c>
      <c r="F10" s="40" t="inlineStr">
        <is>
          <t>Popcorn Culture</t>
        </is>
      </c>
      <c r="G10" t="inlineStr">
        <is>
          <t>Tour in a Podshell | Popcorn Culture</t>
        </is>
      </c>
      <c r="H10" s="41" t="n">
        <v>0.04733796296296296</v>
      </c>
      <c r="I10" s="42" t="n">
        <v>3615</v>
      </c>
      <c r="J10" s="42" t="n">
        <v>90</v>
      </c>
      <c r="K10" s="42" t="n">
        <v>18</v>
      </c>
      <c r="L10" s="43" t="n"/>
      <c r="M10" s="44" t="n"/>
      <c r="N10" s="44" t="inlineStr">
        <is>
          <t>UCHfIbq9thHPC8yrKjAdJgDA</t>
        </is>
      </c>
      <c r="O10" s="45" t="n">
        <v>46290.58333333334</v>
      </c>
      <c r="P10" s="46" t="n">
        <v>46290</v>
      </c>
      <c r="Q10" s="44" t="n">
        <v>3262</v>
      </c>
      <c r="R10" s="44" t="inlineStr">
        <is>
          <t>No Video ID yet</t>
        </is>
      </c>
      <c r="S10" s="46" t="n"/>
      <c r="T10" s="46" t="n"/>
      <c r="U10" s="44" t="n"/>
      <c r="V10" s="44">
        <f>IF(AND(P10&gt;=Calendar!$K$2,P10&lt;EDATE(Calendar!$K$2,1),OR(Calendar!$K$4="*",N10=Calendar!$K$4)),P10*100+COUNTIFS($P$6:$P$3271,P10,$Q$6:$Q$3271,"&lt;="&amp;Q10,$N$6:$N$3271,Calendar!$K$4),"")</f>
        <v/>
      </c>
      <c r="W10" s="44">
        <f>IF(AND(B10=Queue!$C$4,OR(Queue!$K$4="*",N10=Queue!$K$4)),Q10,"")</f>
        <v/>
      </c>
    </row>
    <row r="11">
      <c r="A11" s="35">
        <f>IF(M11="","",HYPERLINK("https://www.youtube.com/watch?v="&amp;M11,"▶"))</f>
        <v/>
      </c>
      <c r="B11" s="36">
        <f>IF(C11&lt;&gt;"",C11,IF(P11&lt;=IFERROR(INDEX(tblChannels[Watched Through],MATCH(N11,tblChannels[Channel ID],0)),0),"Watched","Unwatched"))</f>
        <v/>
      </c>
      <c r="C11" s="37" t="n"/>
      <c r="D11" s="38" t="n"/>
      <c r="E11" s="39" t="n">
        <v>46289.65347222222</v>
      </c>
      <c r="F11" s="40" t="inlineStr">
        <is>
          <t>Popcorn Culture</t>
        </is>
      </c>
      <c r="G11" t="inlineStr">
        <is>
          <t>Mr. Ben's Worst Day Ever | Popcorn Culture</t>
        </is>
      </c>
      <c r="H11" s="41" t="n">
        <v>0.002627314814814815</v>
      </c>
      <c r="I11" s="42" t="n">
        <v>2235</v>
      </c>
      <c r="J11" s="42" t="n">
        <v>118</v>
      </c>
      <c r="K11" s="42" t="n">
        <v>27</v>
      </c>
      <c r="L11" s="43" t="n"/>
      <c r="M11" s="44" t="n"/>
      <c r="N11" s="44" t="inlineStr">
        <is>
          <t>UCHfIbq9thHPC8yrKjAdJgDA</t>
        </is>
      </c>
      <c r="O11" s="45" t="n">
        <v>46289.82013888889</v>
      </c>
      <c r="P11" s="46" t="n">
        <v>46289</v>
      </c>
      <c r="Q11" s="44" t="n">
        <v>3261</v>
      </c>
      <c r="R11" s="44" t="inlineStr">
        <is>
          <t>No Video ID yet</t>
        </is>
      </c>
      <c r="S11" s="46" t="n"/>
      <c r="T11" s="46" t="n"/>
      <c r="U11" s="44" t="n"/>
      <c r="V11" s="44">
        <f>IF(AND(P11&gt;=Calendar!$K$2,P11&lt;EDATE(Calendar!$K$2,1),OR(Calendar!$K$4="*",N11=Calendar!$K$4)),P11*100+COUNTIFS($P$6:$P$3271,P11,$Q$6:$Q$3271,"&lt;="&amp;Q11,$N$6:$N$3271,Calendar!$K$4),"")</f>
        <v/>
      </c>
      <c r="W11" s="44">
        <f>IF(AND(B11=Queue!$C$4,OR(Queue!$K$4="*",N11=Queue!$K$4)),Q11,"")</f>
        <v/>
      </c>
    </row>
    <row r="12">
      <c r="A12" s="35">
        <f>IF(M12="","",HYPERLINK("https://www.youtube.com/watch?v="&amp;M12,"▶"))</f>
        <v/>
      </c>
      <c r="B12" s="36">
        <f>IF(C12&lt;&gt;"",C12,IF(P12&lt;=IFERROR(INDEX(tblChannels[Watched Through],MATCH(N12,tblChannels[Channel ID],0)),0),"Watched","Unwatched"))</f>
        <v/>
      </c>
      <c r="C12" s="37" t="n"/>
      <c r="D12" s="38" t="n"/>
      <c r="E12" s="39" t="n">
        <v>46288.67430555556</v>
      </c>
      <c r="F12" s="47" t="inlineStr">
        <is>
          <t>Super Carlin Brothers</t>
        </is>
      </c>
      <c r="G12" t="inlineStr">
        <is>
          <t>Slughorn’s SECRET Role In Creating Voldemort</t>
        </is>
      </c>
      <c r="H12" s="41" t="n">
        <v>0.01101851851851852</v>
      </c>
      <c r="I12" s="42" t="n">
        <v>188618</v>
      </c>
      <c r="J12" s="42" t="n">
        <v>3039</v>
      </c>
      <c r="K12" s="42" t="n">
        <v>280</v>
      </c>
      <c r="L12" s="43" t="n"/>
      <c r="M12" s="44" t="n"/>
      <c r="N12" s="44" t="inlineStr">
        <is>
          <t>UCKZo4N0lVPccBkSiuyVh4yg</t>
        </is>
      </c>
      <c r="O12" s="45" t="n">
        <v>46288.84097222222</v>
      </c>
      <c r="P12" s="46" t="n">
        <v>46288</v>
      </c>
      <c r="Q12" s="44" t="n">
        <v>3260</v>
      </c>
      <c r="R12" s="44" t="inlineStr">
        <is>
          <t>No Video ID yet</t>
        </is>
      </c>
      <c r="S12" s="46" t="n"/>
      <c r="T12" s="46" t="n"/>
      <c r="U12" s="44" t="n"/>
      <c r="V12" s="44">
        <f>IF(AND(P12&gt;=Calendar!$K$2,P12&lt;EDATE(Calendar!$K$2,1),OR(Calendar!$K$4="*",N12=Calendar!$K$4)),P12*100+COUNTIFS($P$6:$P$3271,P12,$Q$6:$Q$3271,"&lt;="&amp;Q12,$N$6:$N$3271,Calendar!$K$4),"")</f>
        <v/>
      </c>
      <c r="W12" s="44">
        <f>IF(AND(B12=Queue!$C$4,OR(Queue!$K$4="*",N12=Queue!$K$4)),Q12,"")</f>
        <v/>
      </c>
    </row>
    <row r="13">
      <c r="A13" s="35">
        <f>IF(M13="","",HYPERLINK("https://www.youtube.com/watch?v="&amp;M13,"▶"))</f>
        <v/>
      </c>
      <c r="B13" s="36">
        <f>IF(C13&lt;&gt;"",C13,IF(P13&lt;=IFERROR(INDEX(tblChannels[Watched Through],MATCH(N13,tblChannels[Channel ID],0)),0),"Watched","Unwatched"))</f>
        <v/>
      </c>
      <c r="C13" s="37" t="n"/>
      <c r="D13" s="38" t="n"/>
      <c r="E13" s="39" t="n">
        <v>46285.41666666666</v>
      </c>
      <c r="F13" s="48" t="inlineStr">
        <is>
          <t>Through The Griffin Door</t>
        </is>
      </c>
      <c r="G13" t="inlineStr">
        <is>
          <t>The Owlery Special Part 5!</t>
        </is>
      </c>
      <c r="H13" s="41" t="n">
        <v>0.05418981481481482</v>
      </c>
      <c r="I13" s="42" t="n">
        <v>25554</v>
      </c>
      <c r="J13" s="42" t="n">
        <v>452</v>
      </c>
      <c r="K13" s="42" t="n">
        <v>122</v>
      </c>
      <c r="L13" s="43" t="n"/>
      <c r="M13" s="44" t="n"/>
      <c r="N13" s="44" t="inlineStr">
        <is>
          <t>UCEscP6ETYXWSSvsNrDHekMQ</t>
        </is>
      </c>
      <c r="O13" s="45" t="n">
        <v>46285.58333333334</v>
      </c>
      <c r="P13" s="46" t="n">
        <v>46285</v>
      </c>
      <c r="Q13" s="44" t="n">
        <v>3259</v>
      </c>
      <c r="R13" s="44" t="inlineStr">
        <is>
          <t>No Video ID yet</t>
        </is>
      </c>
      <c r="S13" s="46" t="n"/>
      <c r="T13" s="46" t="n"/>
      <c r="U13" s="44" t="n"/>
      <c r="V13" s="44">
        <f>IF(AND(P13&gt;=Calendar!$K$2,P13&lt;EDATE(Calendar!$K$2,1),OR(Calendar!$K$4="*",N13=Calendar!$K$4)),P13*100+COUNTIFS($P$6:$P$3271,P13,$Q$6:$Q$3271,"&lt;="&amp;Q13,$N$6:$N$3271,Calendar!$K$4),"")</f>
        <v/>
      </c>
      <c r="W13" s="44">
        <f>IF(AND(B13=Queue!$C$4,OR(Queue!$K$4="*",N13=Queue!$K$4)),Q13,"")</f>
        <v/>
      </c>
    </row>
    <row r="14">
      <c r="A14" s="35">
        <f>IF(M14="","",HYPERLINK("https://www.youtube.com/watch?v="&amp;M14,"▶"))</f>
        <v/>
      </c>
      <c r="B14" s="36">
        <f>IF(C14&lt;&gt;"",C14,IF(P14&lt;=IFERROR(INDEX(tblChannels[Watched Through],MATCH(N14,tblChannels[Channel ID],0)),0),"Watched","Unwatched"))</f>
        <v/>
      </c>
      <c r="C14" s="37" t="n"/>
      <c r="D14" s="38" t="n"/>
      <c r="E14" s="39" t="n">
        <v>46283.625</v>
      </c>
      <c r="F14" s="47" t="inlineStr">
        <is>
          <t>Super Carlin Brothers</t>
        </is>
      </c>
      <c r="G14" t="inlineStr">
        <is>
          <t>J &amp; Ben VS AI - Harry Potter Trivia</t>
        </is>
      </c>
      <c r="H14" s="41" t="n">
        <v>0.03126157407407407</v>
      </c>
      <c r="I14" s="42" t="n">
        <v>115261</v>
      </c>
      <c r="J14" s="42" t="n">
        <v>2389</v>
      </c>
      <c r="K14" s="42" t="n">
        <v>450</v>
      </c>
      <c r="L14" s="43" t="n"/>
      <c r="M14" s="44" t="n"/>
      <c r="N14" s="44" t="inlineStr">
        <is>
          <t>UCKZo4N0lVPccBkSiuyVh4yg</t>
        </is>
      </c>
      <c r="O14" s="45" t="n">
        <v>46283.79166666666</v>
      </c>
      <c r="P14" s="46" t="n">
        <v>46283</v>
      </c>
      <c r="Q14" s="44" t="n">
        <v>3258</v>
      </c>
      <c r="R14" s="44" t="inlineStr">
        <is>
          <t>No Video ID yet</t>
        </is>
      </c>
      <c r="S14" s="46" t="n"/>
      <c r="T14" s="46" t="n"/>
      <c r="U14" s="44" t="n"/>
      <c r="V14" s="44">
        <f>IF(AND(P14&gt;=Calendar!$K$2,P14&lt;EDATE(Calendar!$K$2,1),OR(Calendar!$K$4="*",N14=Calendar!$K$4)),P14*100+COUNTIFS($P$6:$P$3271,P14,$Q$6:$Q$3271,"&lt;="&amp;Q14,$N$6:$N$3271,Calendar!$K$4),"")</f>
        <v/>
      </c>
      <c r="W14" s="44">
        <f>IF(AND(B14=Queue!$C$4,OR(Queue!$K$4="*",N14=Queue!$K$4)),Q14,"")</f>
        <v/>
      </c>
    </row>
    <row r="15">
      <c r="A15" s="35">
        <f>IF(M15="","",HYPERLINK("https://www.youtube.com/watch?v="&amp;M15,"▶"))</f>
        <v/>
      </c>
      <c r="B15" s="36">
        <f>IF(C15&lt;&gt;"",C15,IF(P15&lt;=IFERROR(INDEX(tblChannels[Watched Through],MATCH(N15,tblChannels[Channel ID],0)),0),"Watched","Unwatched"))</f>
        <v/>
      </c>
      <c r="C15" s="37" t="n"/>
      <c r="D15" s="38" t="n"/>
      <c r="E15" s="39" t="n">
        <v>46283.41666666666</v>
      </c>
      <c r="F15" s="40" t="inlineStr">
        <is>
          <t>Popcorn Culture</t>
        </is>
      </c>
      <c r="G15" t="inlineStr">
        <is>
          <t>The Roanoke Bracket | Popcorn Culture</t>
        </is>
      </c>
      <c r="H15" s="41" t="n">
        <v>0.05040509259259259</v>
      </c>
      <c r="I15" s="42" t="n">
        <v>3167</v>
      </c>
      <c r="J15" s="42" t="n">
        <v>96</v>
      </c>
      <c r="K15" s="42" t="n">
        <v>22</v>
      </c>
      <c r="L15" s="43" t="n"/>
      <c r="M15" s="44" t="n"/>
      <c r="N15" s="44" t="inlineStr">
        <is>
          <t>UCHfIbq9thHPC8yrKjAdJgDA</t>
        </is>
      </c>
      <c r="O15" s="45" t="n">
        <v>46283.58333333334</v>
      </c>
      <c r="P15" s="46" t="n">
        <v>46283</v>
      </c>
      <c r="Q15" s="44" t="n">
        <v>3257</v>
      </c>
      <c r="R15" s="44" t="inlineStr">
        <is>
          <t>No Video ID yet</t>
        </is>
      </c>
      <c r="S15" s="46" t="n"/>
      <c r="T15" s="46" t="n"/>
      <c r="U15" s="44" t="n"/>
      <c r="V15" s="44">
        <f>IF(AND(P15&gt;=Calendar!$K$2,P15&lt;EDATE(Calendar!$K$2,1),OR(Calendar!$K$4="*",N15=Calendar!$K$4)),P15*100+COUNTIFS($P$6:$P$3271,P15,$Q$6:$Q$3271,"&lt;="&amp;Q15,$N$6:$N$3271,Calendar!$K$4),"")</f>
        <v/>
      </c>
      <c r="W15" s="44">
        <f>IF(AND(B15=Queue!$C$4,OR(Queue!$K$4="*",N15=Queue!$K$4)),Q15,"")</f>
        <v/>
      </c>
    </row>
    <row r="16">
      <c r="A16" s="35">
        <f>IF(M16="","",HYPERLINK("https://www.youtube.com/watch?v="&amp;M16,"▶"))</f>
        <v/>
      </c>
      <c r="B16" s="36">
        <f>IF(C16&lt;&gt;"",C16,IF(P16&lt;=IFERROR(INDEX(tblChannels[Watched Through],MATCH(N16,tblChannels[Channel ID],0)),0),"Watched","Unwatched"))</f>
        <v/>
      </c>
      <c r="C16" s="37" t="n"/>
      <c r="D16" s="38" t="n"/>
      <c r="E16" s="39" t="n">
        <v>46281.625</v>
      </c>
      <c r="F16" s="47" t="inlineStr">
        <is>
          <t>Super Carlin Brothers</t>
        </is>
      </c>
      <c r="G16" t="inlineStr">
        <is>
          <t>Theories From A Hat: Defending MORE Wild Harry Potter Theories</t>
        </is>
      </c>
      <c r="H16" s="41" t="n">
        <v>0.0271875</v>
      </c>
      <c r="I16" s="42" t="n">
        <v>104475</v>
      </c>
      <c r="J16" s="42" t="n">
        <v>1972</v>
      </c>
      <c r="K16" s="42" t="n">
        <v>409</v>
      </c>
      <c r="L16" s="43" t="n"/>
      <c r="M16" s="44" t="n"/>
      <c r="N16" s="44" t="inlineStr">
        <is>
          <t>UCKZo4N0lVPccBkSiuyVh4yg</t>
        </is>
      </c>
      <c r="O16" s="45" t="n">
        <v>46281.79166666666</v>
      </c>
      <c r="P16" s="46" t="n">
        <v>46281</v>
      </c>
      <c r="Q16" s="44" t="n">
        <v>3256</v>
      </c>
      <c r="R16" s="44" t="inlineStr">
        <is>
          <t>No Video ID yet</t>
        </is>
      </c>
      <c r="S16" s="46" t="n"/>
      <c r="T16" s="46" t="n"/>
      <c r="U16" s="44" t="n"/>
      <c r="V16" s="44">
        <f>IF(AND(P16&gt;=Calendar!$K$2,P16&lt;EDATE(Calendar!$K$2,1),OR(Calendar!$K$4="*",N16=Calendar!$K$4)),P16*100+COUNTIFS($P$6:$P$3271,P16,$Q$6:$Q$3271,"&lt;="&amp;Q16,$N$6:$N$3271,Calendar!$K$4),"")</f>
        <v/>
      </c>
      <c r="W16" s="44">
        <f>IF(AND(B16=Queue!$C$4,OR(Queue!$K$4="*",N16=Queue!$K$4)),Q16,"")</f>
        <v/>
      </c>
    </row>
    <row r="17">
      <c r="A17" s="35">
        <f>IF(M17="","",HYPERLINK("https://www.youtube.com/watch?v="&amp;M17,"▶"))</f>
        <v/>
      </c>
      <c r="B17" s="36">
        <f>IF(C17&lt;&gt;"",C17,IF(P17&lt;=IFERROR(INDEX(tblChannels[Watched Through],MATCH(N17,tblChannels[Channel ID],0)),0),"Watched","Unwatched"))</f>
        <v/>
      </c>
      <c r="C17" s="37" t="n"/>
      <c r="D17" s="38" t="n"/>
      <c r="E17" s="39" t="n">
        <v>46278.47569444445</v>
      </c>
      <c r="F17" s="48" t="inlineStr">
        <is>
          <t>Through The Griffin Door</t>
        </is>
      </c>
      <c r="G17" t="inlineStr">
        <is>
          <t>Chapter 14: Felix Felicis | Half-Blood Prince</t>
        </is>
      </c>
      <c r="H17" s="41" t="n">
        <v>0.07971064814814814</v>
      </c>
      <c r="I17" s="42" t="n">
        <v>38643</v>
      </c>
      <c r="J17" s="42" t="n">
        <v>813</v>
      </c>
      <c r="K17" s="42" t="n">
        <v>243</v>
      </c>
      <c r="L17" s="43" t="n"/>
      <c r="M17" s="44" t="n"/>
      <c r="N17" s="44" t="inlineStr">
        <is>
          <t>UCEscP6ETYXWSSvsNrDHekMQ</t>
        </is>
      </c>
      <c r="O17" s="45" t="n">
        <v>46278.64236111111</v>
      </c>
      <c r="P17" s="46" t="n">
        <v>46278</v>
      </c>
      <c r="Q17" s="44" t="n">
        <v>3255</v>
      </c>
      <c r="R17" s="44" t="inlineStr">
        <is>
          <t>No Video ID yet</t>
        </is>
      </c>
      <c r="S17" s="46" t="n"/>
      <c r="T17" s="46" t="n"/>
      <c r="U17" s="44" t="n"/>
      <c r="V17" s="44">
        <f>IF(AND(P17&gt;=Calendar!$K$2,P17&lt;EDATE(Calendar!$K$2,1),OR(Calendar!$K$4="*",N17=Calendar!$K$4)),P17*100+COUNTIFS($P$6:$P$3271,P17,$Q$6:$Q$3271,"&lt;="&amp;Q17,$N$6:$N$3271,Calendar!$K$4),"")</f>
        <v/>
      </c>
      <c r="W17" s="44">
        <f>IF(AND(B17=Queue!$C$4,OR(Queue!$K$4="*",N17=Queue!$K$4)),Q17,"")</f>
        <v/>
      </c>
    </row>
    <row r="18">
      <c r="A18" s="35">
        <f>IF(M18="","",HYPERLINK("https://www.youtube.com/watch?v="&amp;M18,"▶"))</f>
        <v/>
      </c>
      <c r="B18" s="36">
        <f>IF(C18&lt;&gt;"",C18,IF(P18&lt;=IFERROR(INDEX(tblChannels[Watched Through],MATCH(N18,tblChannels[Channel ID],0)),0),"Watched","Unwatched"))</f>
        <v/>
      </c>
      <c r="C18" s="37" t="n"/>
      <c r="D18" s="38" t="n"/>
      <c r="E18" s="39" t="n">
        <v>46276.625</v>
      </c>
      <c r="F18" s="47" t="inlineStr">
        <is>
          <t>Super Carlin Brothers</t>
        </is>
      </c>
      <c r="G18" t="inlineStr">
        <is>
          <t>J vs Ben: MAX Difficulty Muggle Born Harry Potter Quiz</t>
        </is>
      </c>
      <c r="H18" s="41" t="n">
        <v>0.03378472222222222</v>
      </c>
      <c r="I18" s="42" t="n">
        <v>103882</v>
      </c>
      <c r="J18" s="42" t="n">
        <v>1907</v>
      </c>
      <c r="K18" s="42" t="n">
        <v>369</v>
      </c>
      <c r="L18" s="43" t="n"/>
      <c r="M18" s="44" t="n"/>
      <c r="N18" s="44" t="inlineStr">
        <is>
          <t>UCKZo4N0lVPccBkSiuyVh4yg</t>
        </is>
      </c>
      <c r="O18" s="45" t="n">
        <v>46276.79166666666</v>
      </c>
      <c r="P18" s="46" t="n">
        <v>46276</v>
      </c>
      <c r="Q18" s="44" t="n">
        <v>3254</v>
      </c>
      <c r="R18" s="44" t="inlineStr">
        <is>
          <t>No Video ID yet</t>
        </is>
      </c>
      <c r="S18" s="46" t="n"/>
      <c r="T18" s="46" t="n"/>
      <c r="U18" s="44" t="n"/>
      <c r="V18" s="44">
        <f>IF(AND(P18&gt;=Calendar!$K$2,P18&lt;EDATE(Calendar!$K$2,1),OR(Calendar!$K$4="*",N18=Calendar!$K$4)),P18*100+COUNTIFS($P$6:$P$3271,P18,$Q$6:$Q$3271,"&lt;="&amp;Q18,$N$6:$N$3271,Calendar!$K$4),"")</f>
        <v/>
      </c>
      <c r="W18" s="44">
        <f>IF(AND(B18=Queue!$C$4,OR(Queue!$K$4="*",N18=Queue!$K$4)),Q18,"")</f>
        <v/>
      </c>
    </row>
    <row r="19">
      <c r="A19" s="35">
        <f>IF(M19="","",HYPERLINK("https://www.youtube.com/watch?v="&amp;M19,"▶"))</f>
        <v/>
      </c>
      <c r="B19" s="36">
        <f>IF(C19&lt;&gt;"",C19,IF(P19&lt;=IFERROR(INDEX(tblChannels[Watched Through],MATCH(N19,tblChannels[Channel ID],0)),0),"Watched","Unwatched"))</f>
        <v/>
      </c>
      <c r="C19" s="37" t="n"/>
      <c r="D19" s="38" t="n"/>
      <c r="E19" s="39" t="n">
        <v>46276.41666666666</v>
      </c>
      <c r="F19" s="40" t="inlineStr">
        <is>
          <t>Popcorn Culture</t>
        </is>
      </c>
      <c r="G19" t="inlineStr">
        <is>
          <t>Betty and the Chair | Popcorn Culture</t>
        </is>
      </c>
      <c r="H19" s="41" t="n">
        <v>0.04520833333333334</v>
      </c>
      <c r="I19" s="42" t="n">
        <v>2979</v>
      </c>
      <c r="J19" s="42" t="n">
        <v>98</v>
      </c>
      <c r="K19" s="42" t="n">
        <v>29</v>
      </c>
      <c r="L19" s="43" t="n"/>
      <c r="M19" s="44" t="n"/>
      <c r="N19" s="44" t="inlineStr">
        <is>
          <t>UCHfIbq9thHPC8yrKjAdJgDA</t>
        </is>
      </c>
      <c r="O19" s="45" t="n">
        <v>46276.58333333334</v>
      </c>
      <c r="P19" s="46" t="n">
        <v>46276</v>
      </c>
      <c r="Q19" s="44" t="n">
        <v>3253</v>
      </c>
      <c r="R19" s="44" t="inlineStr">
        <is>
          <t>No Video ID yet</t>
        </is>
      </c>
      <c r="S19" s="46" t="n"/>
      <c r="T19" s="46" t="n"/>
      <c r="U19" s="44" t="n"/>
      <c r="V19" s="44">
        <f>IF(AND(P19&gt;=Calendar!$K$2,P19&lt;EDATE(Calendar!$K$2,1),OR(Calendar!$K$4="*",N19=Calendar!$K$4)),P19*100+COUNTIFS($P$6:$P$3271,P19,$Q$6:$Q$3271,"&lt;="&amp;Q19,$N$6:$N$3271,Calendar!$K$4),"")</f>
        <v/>
      </c>
      <c r="W19" s="44">
        <f>IF(AND(B19=Queue!$C$4,OR(Queue!$K$4="*",N19=Queue!$K$4)),Q19,"")</f>
        <v/>
      </c>
    </row>
    <row r="20">
      <c r="A20" s="35">
        <f>IF(M20="","",HYPERLINK("https://www.youtube.com/watch?v="&amp;M20,"▶"))</f>
        <v/>
      </c>
      <c r="B20" s="36">
        <f>IF(C20&lt;&gt;"",C20,IF(P20&lt;=IFERROR(INDEX(tblChannels[Watched Through],MATCH(N20,tblChannels[Channel ID],0)),0),"Watched","Unwatched"))</f>
        <v/>
      </c>
      <c r="C20" s="37" t="n"/>
      <c r="D20" s="38" t="n"/>
      <c r="E20" s="39" t="n">
        <v>46274.625</v>
      </c>
      <c r="F20" s="47" t="inlineStr">
        <is>
          <t>Super Carlin Brothers</t>
        </is>
      </c>
      <c r="G20" t="inlineStr">
        <is>
          <t>Hedwig Was an Animagus… And I Can Prove It</t>
        </is>
      </c>
      <c r="H20" s="41" t="n">
        <v>0.01186342592592593</v>
      </c>
      <c r="I20" s="42" t="n">
        <v>384535</v>
      </c>
      <c r="J20" s="42" t="n">
        <v>5502</v>
      </c>
      <c r="K20" s="42" t="n">
        <v>783</v>
      </c>
      <c r="L20" s="43" t="n"/>
      <c r="M20" s="44" t="n"/>
      <c r="N20" s="44" t="inlineStr">
        <is>
          <t>UCKZo4N0lVPccBkSiuyVh4yg</t>
        </is>
      </c>
      <c r="O20" s="45" t="n">
        <v>46274.79166666666</v>
      </c>
      <c r="P20" s="46" t="n">
        <v>46274</v>
      </c>
      <c r="Q20" s="44" t="n">
        <v>3252</v>
      </c>
      <c r="R20" s="44" t="inlineStr">
        <is>
          <t>No Video ID yet</t>
        </is>
      </c>
      <c r="S20" s="46" t="n"/>
      <c r="T20" s="46" t="n"/>
      <c r="U20" s="44" t="n"/>
      <c r="V20" s="44">
        <f>IF(AND(P20&gt;=Calendar!$K$2,P20&lt;EDATE(Calendar!$K$2,1),OR(Calendar!$K$4="*",N20=Calendar!$K$4)),P20*100+COUNTIFS($P$6:$P$3271,P20,$Q$6:$Q$3271,"&lt;="&amp;Q20,$N$6:$N$3271,Calendar!$K$4),"")</f>
        <v/>
      </c>
      <c r="W20" s="44">
        <f>IF(AND(B20=Queue!$C$4,OR(Queue!$K$4="*",N20=Queue!$K$4)),Q20,"")</f>
        <v/>
      </c>
    </row>
    <row r="21">
      <c r="A21" s="35">
        <f>IF(M21="","",HYPERLINK("https://www.youtube.com/watch?v="&amp;M21,"▶"))</f>
        <v/>
      </c>
      <c r="B21" s="36">
        <f>IF(C21&lt;&gt;"",C21,IF(P21&lt;=IFERROR(INDEX(tblChannels[Watched Through],MATCH(N21,tblChannels[Channel ID],0)),0),"Watched","Unwatched"))</f>
        <v/>
      </c>
      <c r="C21" s="37" t="n"/>
      <c r="D21" s="38" t="n"/>
      <c r="E21" s="39" t="n">
        <v>46271.41666666666</v>
      </c>
      <c r="F21" s="48" t="inlineStr">
        <is>
          <t>Through The Griffin Door</t>
        </is>
      </c>
      <c r="G21" t="inlineStr">
        <is>
          <t>Chapter 13: The Secret Riddle | Half-Blood Prince</t>
        </is>
      </c>
      <c r="H21" s="41" t="n">
        <v>0.06916666666666667</v>
      </c>
      <c r="I21" s="42" t="n">
        <v>38028</v>
      </c>
      <c r="J21" s="42" t="n">
        <v>823</v>
      </c>
      <c r="K21" s="42" t="n">
        <v>303</v>
      </c>
      <c r="L21" s="43" t="n"/>
      <c r="M21" s="44" t="n"/>
      <c r="N21" s="44" t="inlineStr">
        <is>
          <t>UCEscP6ETYXWSSvsNrDHekMQ</t>
        </is>
      </c>
      <c r="O21" s="45" t="n">
        <v>46271.58333333334</v>
      </c>
      <c r="P21" s="46" t="n">
        <v>46271</v>
      </c>
      <c r="Q21" s="44" t="n">
        <v>3251</v>
      </c>
      <c r="R21" s="44" t="inlineStr">
        <is>
          <t>No Video ID yet</t>
        </is>
      </c>
      <c r="S21" s="46" t="n"/>
      <c r="T21" s="46" t="n"/>
      <c r="U21" s="44" t="n"/>
      <c r="V21" s="44">
        <f>IF(AND(P21&gt;=Calendar!$K$2,P21&lt;EDATE(Calendar!$K$2,1),OR(Calendar!$K$4="*",N21=Calendar!$K$4)),P21*100+COUNTIFS($P$6:$P$3271,P21,$Q$6:$Q$3271,"&lt;="&amp;Q21,$N$6:$N$3271,Calendar!$K$4),"")</f>
        <v/>
      </c>
      <c r="W21" s="44">
        <f>IF(AND(B21=Queue!$C$4,OR(Queue!$K$4="*",N21=Queue!$K$4)),Q21,"")</f>
        <v/>
      </c>
    </row>
    <row r="22">
      <c r="A22" s="35">
        <f>IF(M22="","",HYPERLINK("https://www.youtube.com/watch?v="&amp;M22,"▶"))</f>
        <v/>
      </c>
      <c r="B22" s="36">
        <f>IF(C22&lt;&gt;"",C22,IF(P22&lt;=IFERROR(INDEX(tblChannels[Watched Through],MATCH(N22,tblChannels[Channel ID],0)),0),"Watched","Unwatched"))</f>
        <v/>
      </c>
      <c r="C22" s="37" t="n"/>
      <c r="D22" s="38" t="n"/>
      <c r="E22" s="39" t="n">
        <v>46269.41666666666</v>
      </c>
      <c r="F22" s="40" t="inlineStr">
        <is>
          <t>Popcorn Culture</t>
        </is>
      </c>
      <c r="G22" t="inlineStr">
        <is>
          <t>The Birth of Burbles (WITH ALYCE!) | Popcorn Culture</t>
        </is>
      </c>
      <c r="H22" s="41" t="n">
        <v>0.04740740740740741</v>
      </c>
      <c r="I22" s="42" t="n">
        <v>7115</v>
      </c>
      <c r="J22" s="42" t="n">
        <v>142</v>
      </c>
      <c r="K22" s="42" t="n">
        <v>26</v>
      </c>
      <c r="L22" s="43" t="n"/>
      <c r="M22" s="44" t="n"/>
      <c r="N22" s="44" t="inlineStr">
        <is>
          <t>UCHfIbq9thHPC8yrKjAdJgDA</t>
        </is>
      </c>
      <c r="O22" s="45" t="n">
        <v>46269.58333333334</v>
      </c>
      <c r="P22" s="46" t="n">
        <v>46269</v>
      </c>
      <c r="Q22" s="44" t="n">
        <v>3250</v>
      </c>
      <c r="R22" s="44" t="inlineStr">
        <is>
          <t>No Video ID yet</t>
        </is>
      </c>
      <c r="S22" s="46" t="n"/>
      <c r="T22" s="46" t="n"/>
      <c r="U22" s="44" t="n"/>
      <c r="V22" s="44">
        <f>IF(AND(P22&gt;=Calendar!$K$2,P22&lt;EDATE(Calendar!$K$2,1),OR(Calendar!$K$4="*",N22=Calendar!$K$4)),P22*100+COUNTIFS($P$6:$P$3271,P22,$Q$6:$Q$3271,"&lt;="&amp;Q22,$N$6:$N$3271,Calendar!$K$4),"")</f>
        <v/>
      </c>
      <c r="W22" s="44">
        <f>IF(AND(B22=Queue!$C$4,OR(Queue!$K$4="*",N22=Queue!$K$4)),Q22,"")</f>
        <v/>
      </c>
    </row>
    <row r="23">
      <c r="A23" s="35">
        <f>IF(M23="","",HYPERLINK("https://www.youtube.com/watch?v="&amp;M23,"▶"))</f>
        <v/>
      </c>
      <c r="B23" s="36">
        <f>IF(C23&lt;&gt;"",C23,IF(P23&lt;=IFERROR(INDEX(tblChannels[Watched Through],MATCH(N23,tblChannels[Channel ID],0)),0),"Watched","Unwatched"))</f>
        <v/>
      </c>
      <c r="C23" s="37" t="n"/>
      <c r="D23" s="38" t="n"/>
      <c r="E23" s="39" t="n">
        <v>46268.70833333334</v>
      </c>
      <c r="F23" s="47" t="inlineStr">
        <is>
          <t>Super Carlin Brothers</t>
        </is>
      </c>
      <c r="G23" t="inlineStr">
        <is>
          <t>Harry Potter HBO Trailer 2: Everything You Missed!</t>
        </is>
      </c>
      <c r="H23" s="41" t="n">
        <v>0.01802083333333333</v>
      </c>
      <c r="I23" s="42" t="n">
        <v>565277</v>
      </c>
      <c r="J23" s="42" t="n">
        <v>7688</v>
      </c>
      <c r="K23" s="42" t="n">
        <v>1412</v>
      </c>
      <c r="L23" s="43" t="n"/>
      <c r="M23" s="44" t="n"/>
      <c r="N23" s="44" t="inlineStr">
        <is>
          <t>UCKZo4N0lVPccBkSiuyVh4yg</t>
        </is>
      </c>
      <c r="O23" s="45" t="n">
        <v>46268.875</v>
      </c>
      <c r="P23" s="46" t="n">
        <v>46268</v>
      </c>
      <c r="Q23" s="44" t="n">
        <v>3249</v>
      </c>
      <c r="R23" s="44" t="inlineStr">
        <is>
          <t>No Video ID yet</t>
        </is>
      </c>
      <c r="S23" s="46" t="n"/>
      <c r="T23" s="46" t="n"/>
      <c r="U23" s="44" t="n"/>
      <c r="V23" s="44">
        <f>IF(AND(P23&gt;=Calendar!$K$2,P23&lt;EDATE(Calendar!$K$2,1),OR(Calendar!$K$4="*",N23=Calendar!$K$4)),P23*100+COUNTIFS($P$6:$P$3271,P23,$Q$6:$Q$3271,"&lt;="&amp;Q23,$N$6:$N$3271,Calendar!$K$4),"")</f>
        <v/>
      </c>
      <c r="W23" s="44">
        <f>IF(AND(B23=Queue!$C$4,OR(Queue!$K$4="*",N23=Queue!$K$4)),Q23,"")</f>
        <v/>
      </c>
    </row>
    <row r="24">
      <c r="A24" s="35">
        <f>IF(M24="","",HYPERLINK("https://www.youtube.com/watch?v="&amp;M24,"▶"))</f>
        <v/>
      </c>
      <c r="B24" s="36">
        <f>IF(C24&lt;&gt;"",C24,IF(P24&lt;=IFERROR(INDEX(tblChannels[Watched Through],MATCH(N24,tblChannels[Channel ID],0)),0),"Watched","Unwatched"))</f>
        <v/>
      </c>
      <c r="C24" s="37" t="n"/>
      <c r="D24" s="38" t="n"/>
      <c r="E24" s="39" t="n">
        <v>46267.70208333333</v>
      </c>
      <c r="F24" s="47" t="inlineStr">
        <is>
          <t>Super Carlin Brothers</t>
        </is>
      </c>
      <c r="G24" t="inlineStr">
        <is>
          <t>The WORST Chapter In Every Harry Potter Book</t>
        </is>
      </c>
      <c r="H24" s="41" t="n">
        <v>0.01741898148148148</v>
      </c>
      <c r="I24" s="42" t="n">
        <v>239580</v>
      </c>
      <c r="J24" s="42" t="n">
        <v>3546</v>
      </c>
      <c r="K24" s="42" t="n">
        <v>431</v>
      </c>
      <c r="L24" s="43" t="n"/>
      <c r="M24" s="44" t="n"/>
      <c r="N24" s="44" t="inlineStr">
        <is>
          <t>UCKZo4N0lVPccBkSiuyVh4yg</t>
        </is>
      </c>
      <c r="O24" s="45" t="n">
        <v>46267.86875</v>
      </c>
      <c r="P24" s="46" t="n">
        <v>46267</v>
      </c>
      <c r="Q24" s="44" t="n">
        <v>3248</v>
      </c>
      <c r="R24" s="44" t="inlineStr">
        <is>
          <t>No Video ID yet</t>
        </is>
      </c>
      <c r="S24" s="46" t="n"/>
      <c r="T24" s="46" t="n"/>
      <c r="U24" s="44" t="n"/>
      <c r="V24" s="44">
        <f>IF(AND(P24&gt;=Calendar!$K$2,P24&lt;EDATE(Calendar!$K$2,1),OR(Calendar!$K$4="*",N24=Calendar!$K$4)),P24*100+COUNTIFS($P$6:$P$3271,P24,$Q$6:$Q$3271,"&lt;="&amp;Q24,$N$6:$N$3271,Calendar!$K$4),"")</f>
        <v/>
      </c>
      <c r="W24" s="44">
        <f>IF(AND(B24=Queue!$C$4,OR(Queue!$K$4="*",N24=Queue!$K$4)),Q24,"")</f>
        <v/>
      </c>
    </row>
    <row r="25">
      <c r="A25" s="35">
        <f>IF(M25="","",HYPERLINK("https://www.youtube.com/watch?v="&amp;M25,"▶"))</f>
        <v/>
      </c>
      <c r="B25" s="36">
        <f>IF(C25&lt;&gt;"",C25,IF(P25&lt;=IFERROR(INDEX(tblChannels[Watched Through],MATCH(N25,tblChannels[Channel ID],0)),0),"Watched","Unwatched"))</f>
        <v/>
      </c>
      <c r="C25" s="37" t="n"/>
      <c r="D25" s="38" t="n"/>
      <c r="E25" s="39" t="n">
        <v>46264.41666666666</v>
      </c>
      <c r="F25" s="48" t="inlineStr">
        <is>
          <t>Through The Griffin Door</t>
        </is>
      </c>
      <c r="G25" t="inlineStr">
        <is>
          <t>Chapter 12: Silver and Opals | Half-Blood Prince</t>
        </is>
      </c>
      <c r="H25" s="41" t="n">
        <v>0.06476851851851852</v>
      </c>
      <c r="I25" s="42" t="n">
        <v>37050</v>
      </c>
      <c r="J25" s="42" t="n">
        <v>794</v>
      </c>
      <c r="K25" s="42" t="n">
        <v>265</v>
      </c>
      <c r="L25" s="43" t="n"/>
      <c r="M25" s="44" t="n"/>
      <c r="N25" s="44" t="inlineStr">
        <is>
          <t>UCEscP6ETYXWSSvsNrDHekMQ</t>
        </is>
      </c>
      <c r="O25" s="45" t="n">
        <v>46264.58333333334</v>
      </c>
      <c r="P25" s="46" t="n">
        <v>46264</v>
      </c>
      <c r="Q25" s="44" t="n">
        <v>3247</v>
      </c>
      <c r="R25" s="44" t="inlineStr">
        <is>
          <t>No Video ID yet</t>
        </is>
      </c>
      <c r="S25" s="46" t="n"/>
      <c r="T25" s="46" t="n"/>
      <c r="U25" s="44" t="n"/>
      <c r="V25" s="44">
        <f>IF(AND(P25&gt;=Calendar!$K$2,P25&lt;EDATE(Calendar!$K$2,1),OR(Calendar!$K$4="*",N25=Calendar!$K$4)),P25*100+COUNTIFS($P$6:$P$3271,P25,$Q$6:$Q$3271,"&lt;="&amp;Q25,$N$6:$N$3271,Calendar!$K$4),"")</f>
        <v/>
      </c>
      <c r="W25" s="44">
        <f>IF(AND(B25=Queue!$C$4,OR(Queue!$K$4="*",N25=Queue!$K$4)),Q25,"")</f>
        <v/>
      </c>
    </row>
    <row r="26">
      <c r="A26" s="35">
        <f>IF(M26="","",HYPERLINK("https://www.youtube.com/watch?v="&amp;M26,"▶"))</f>
        <v/>
      </c>
      <c r="B26" s="36">
        <f>IF(C26&lt;&gt;"",C26,IF(P26&lt;=IFERROR(INDEX(tblChannels[Watched Through],MATCH(N26,tblChannels[Channel ID],0)),0),"Watched","Unwatched"))</f>
        <v/>
      </c>
      <c r="C26" s="37" t="n"/>
      <c r="D26" s="38" t="n"/>
      <c r="E26" s="39" t="n">
        <v>46262.7</v>
      </c>
      <c r="F26" s="47" t="inlineStr">
        <is>
          <t>Super Carlin Brothers</t>
        </is>
      </c>
      <c r="G26" t="inlineStr">
        <is>
          <t>The SECRET Pattern Hidden in Harry Potter</t>
        </is>
      </c>
      <c r="H26" s="41" t="n">
        <v>0.01267361111111111</v>
      </c>
      <c r="I26" s="42" t="n">
        <v>262533</v>
      </c>
      <c r="J26" s="42" t="n">
        <v>4579</v>
      </c>
      <c r="K26" s="42" t="n">
        <v>501</v>
      </c>
      <c r="L26" s="43" t="n"/>
      <c r="M26" s="44" t="n"/>
      <c r="N26" s="44" t="inlineStr">
        <is>
          <t>UCKZo4N0lVPccBkSiuyVh4yg</t>
        </is>
      </c>
      <c r="O26" s="45" t="n">
        <v>46262.86666666667</v>
      </c>
      <c r="P26" s="46" t="n">
        <v>46262</v>
      </c>
      <c r="Q26" s="44" t="n">
        <v>3246</v>
      </c>
      <c r="R26" s="44" t="inlineStr">
        <is>
          <t>No Video ID yet</t>
        </is>
      </c>
      <c r="S26" s="46" t="n"/>
      <c r="T26" s="46" t="n"/>
      <c r="U26" s="44" t="n"/>
      <c r="V26" s="44">
        <f>IF(AND(P26&gt;=Calendar!$K$2,P26&lt;EDATE(Calendar!$K$2,1),OR(Calendar!$K$4="*",N26=Calendar!$K$4)),P26*100+COUNTIFS($P$6:$P$3271,P26,$Q$6:$Q$3271,"&lt;="&amp;Q26,$N$6:$N$3271,Calendar!$K$4),"")</f>
        <v/>
      </c>
      <c r="W26" s="44">
        <f>IF(AND(B26=Queue!$C$4,OR(Queue!$K$4="*",N26=Queue!$K$4)),Q26,"")</f>
        <v/>
      </c>
    </row>
    <row r="27">
      <c r="A27" s="35">
        <f>IF(M27="","",HYPERLINK("https://www.youtube.com/watch?v="&amp;M27,"▶"))</f>
        <v/>
      </c>
      <c r="B27" s="36">
        <f>IF(C27&lt;&gt;"",C27,IF(P27&lt;=IFERROR(INDEX(tblChannels[Watched Through],MATCH(N27,tblChannels[Channel ID],0)),0),"Watched","Unwatched"))</f>
        <v/>
      </c>
      <c r="C27" s="37" t="n"/>
      <c r="D27" s="38" t="n"/>
      <c r="E27" s="39" t="n">
        <v>46262.41666666666</v>
      </c>
      <c r="F27" s="40" t="inlineStr">
        <is>
          <t>Popcorn Culture</t>
        </is>
      </c>
      <c r="G27" t="inlineStr">
        <is>
          <t>Stop BEING Your Opinions | Popcorn Culture</t>
        </is>
      </c>
      <c r="H27" s="41" t="n">
        <v>0.05579861111111111</v>
      </c>
      <c r="I27" s="42" t="n">
        <v>3488</v>
      </c>
      <c r="J27" s="42" t="n">
        <v>98</v>
      </c>
      <c r="K27" s="42" t="n">
        <v>25</v>
      </c>
      <c r="L27" s="43" t="n"/>
      <c r="M27" s="44" t="n"/>
      <c r="N27" s="44" t="inlineStr">
        <is>
          <t>UCHfIbq9thHPC8yrKjAdJgDA</t>
        </is>
      </c>
      <c r="O27" s="45" t="n">
        <v>46262.58333333334</v>
      </c>
      <c r="P27" s="46" t="n">
        <v>46262</v>
      </c>
      <c r="Q27" s="44" t="n">
        <v>3245</v>
      </c>
      <c r="R27" s="44" t="inlineStr">
        <is>
          <t>No Video ID yet</t>
        </is>
      </c>
      <c r="S27" s="46" t="n"/>
      <c r="T27" s="46" t="n"/>
      <c r="U27" s="44" t="n"/>
      <c r="V27" s="44">
        <f>IF(AND(P27&gt;=Calendar!$K$2,P27&lt;EDATE(Calendar!$K$2,1),OR(Calendar!$K$4="*",N27=Calendar!$K$4)),P27*100+COUNTIFS($P$6:$P$3271,P27,$Q$6:$Q$3271,"&lt;="&amp;Q27,$N$6:$N$3271,Calendar!$K$4),"")</f>
        <v/>
      </c>
      <c r="W27" s="44">
        <f>IF(AND(B27=Queue!$C$4,OR(Queue!$K$4="*",N27=Queue!$K$4)),Q27,"")</f>
        <v/>
      </c>
    </row>
    <row r="28">
      <c r="A28" s="35">
        <f>IF(M28="","",HYPERLINK("https://www.youtube.com/watch?v="&amp;M28,"▶"))</f>
        <v/>
      </c>
      <c r="B28" s="36">
        <f>IF(C28&lt;&gt;"",C28,IF(P28&lt;=IFERROR(INDEX(tblChannels[Watched Through],MATCH(N28,tblChannels[Channel ID],0)),0),"Watched","Unwatched"))</f>
        <v/>
      </c>
      <c r="C28" s="37" t="n"/>
      <c r="D28" s="38" t="n"/>
      <c r="E28" s="39" t="n">
        <v>46260.71875</v>
      </c>
      <c r="F28" s="47" t="inlineStr">
        <is>
          <t>Super Carlin Brothers</t>
        </is>
      </c>
      <c r="G28" t="inlineStr">
        <is>
          <t>J vs Ben: INSANE Harry Potter Muggle Quiz</t>
        </is>
      </c>
      <c r="H28" s="41" t="n">
        <v>0.03006944444444444</v>
      </c>
      <c r="I28" s="42" t="n">
        <v>106086</v>
      </c>
      <c r="J28" s="42" t="n">
        <v>2207</v>
      </c>
      <c r="K28" s="42" t="n">
        <v>258</v>
      </c>
      <c r="L28" s="43" t="n"/>
      <c r="M28" s="44" t="n"/>
      <c r="N28" s="44" t="inlineStr">
        <is>
          <t>UCKZo4N0lVPccBkSiuyVh4yg</t>
        </is>
      </c>
      <c r="O28" s="45" t="n">
        <v>46260.88541666666</v>
      </c>
      <c r="P28" s="46" t="n">
        <v>46260</v>
      </c>
      <c r="Q28" s="44" t="n">
        <v>3244</v>
      </c>
      <c r="R28" s="44" t="inlineStr">
        <is>
          <t>No Video ID yet</t>
        </is>
      </c>
      <c r="S28" s="46" t="n"/>
      <c r="T28" s="46" t="n"/>
      <c r="U28" s="44" t="n"/>
      <c r="V28" s="44">
        <f>IF(AND(P28&gt;=Calendar!$K$2,P28&lt;EDATE(Calendar!$K$2,1),OR(Calendar!$K$4="*",N28=Calendar!$K$4)),P28*100+COUNTIFS($P$6:$P$3271,P28,$Q$6:$Q$3271,"&lt;="&amp;Q28,$N$6:$N$3271,Calendar!$K$4),"")</f>
        <v/>
      </c>
      <c r="W28" s="44">
        <f>IF(AND(B28=Queue!$C$4,OR(Queue!$K$4="*",N28=Queue!$K$4)),Q28,"")</f>
        <v/>
      </c>
    </row>
    <row r="29">
      <c r="A29" s="35">
        <f>IF(M29="","",HYPERLINK("https://www.youtube.com/watch?v="&amp;M29,"▶"))</f>
        <v/>
      </c>
      <c r="B29" s="36">
        <f>IF(C29&lt;&gt;"",C29,IF(P29&lt;=IFERROR(INDEX(tblChannels[Watched Through],MATCH(N29,tblChannels[Channel ID],0)),0),"Watched","Unwatched"))</f>
        <v/>
      </c>
      <c r="C29" s="37" t="n"/>
      <c r="D29" s="38" t="n"/>
      <c r="E29" s="39" t="n">
        <v>46257.41666666666</v>
      </c>
      <c r="F29" s="48" t="inlineStr">
        <is>
          <t>Through The Griffin Door</t>
        </is>
      </c>
      <c r="G29" t="inlineStr">
        <is>
          <t>Chapter 11: Hermione’s Helping Hand | Half-Blood Prince</t>
        </is>
      </c>
      <c r="H29" s="41" t="n">
        <v>0.07094907407407407</v>
      </c>
      <c r="I29" s="42" t="n">
        <v>32211</v>
      </c>
      <c r="J29" s="42" t="n">
        <v>824</v>
      </c>
      <c r="K29" s="42" t="n">
        <v>307</v>
      </c>
      <c r="L29" s="43" t="n"/>
      <c r="M29" s="44" t="n"/>
      <c r="N29" s="44" t="inlineStr">
        <is>
          <t>UCEscP6ETYXWSSvsNrDHekMQ</t>
        </is>
      </c>
      <c r="O29" s="45" t="n">
        <v>46257.58333333334</v>
      </c>
      <c r="P29" s="46" t="n">
        <v>46257</v>
      </c>
      <c r="Q29" s="44" t="n">
        <v>3243</v>
      </c>
      <c r="R29" s="44" t="inlineStr">
        <is>
          <t>No Video ID yet</t>
        </is>
      </c>
      <c r="S29" s="46" t="n"/>
      <c r="T29" s="46" t="n"/>
      <c r="U29" s="44" t="n"/>
      <c r="V29" s="44">
        <f>IF(AND(P29&gt;=Calendar!$K$2,P29&lt;EDATE(Calendar!$K$2,1),OR(Calendar!$K$4="*",N29=Calendar!$K$4)),P29*100+COUNTIFS($P$6:$P$3271,P29,$Q$6:$Q$3271,"&lt;="&amp;Q29,$N$6:$N$3271,Calendar!$K$4),"")</f>
        <v/>
      </c>
      <c r="W29" s="44">
        <f>IF(AND(B29=Queue!$C$4,OR(Queue!$K$4="*",N29=Queue!$K$4)),Q29,"")</f>
        <v/>
      </c>
    </row>
    <row r="30">
      <c r="A30" s="35">
        <f>IF(M30="","",HYPERLINK("https://www.youtube.com/watch?v="&amp;M30,"▶"))</f>
        <v/>
      </c>
      <c r="B30" s="36">
        <f>IF(C30&lt;&gt;"",C30,IF(P30&lt;=IFERROR(INDEX(tblChannels[Watched Through],MATCH(N30,tblChannels[Channel ID],0)),0),"Watched","Unwatched"))</f>
        <v/>
      </c>
      <c r="C30" s="37" t="n"/>
      <c r="D30" s="38" t="n"/>
      <c r="E30" s="39" t="n">
        <v>46255.82222222222</v>
      </c>
      <c r="F30" s="47" t="inlineStr">
        <is>
          <t>Super Carlin Brothers</t>
        </is>
      </c>
      <c r="G30" t="inlineStr">
        <is>
          <t>We Sorted Every Disney Princess Into Hogwarts Houses</t>
        </is>
      </c>
      <c r="H30" s="41" t="n">
        <v>0.01609953703703704</v>
      </c>
      <c r="I30" s="42" t="n">
        <v>102380</v>
      </c>
      <c r="J30" s="42" t="n">
        <v>3701</v>
      </c>
      <c r="K30" s="42" t="n">
        <v>635</v>
      </c>
      <c r="L30" s="43" t="n"/>
      <c r="M30" s="44" t="n"/>
      <c r="N30" s="44" t="inlineStr">
        <is>
          <t>UCKZo4N0lVPccBkSiuyVh4yg</t>
        </is>
      </c>
      <c r="O30" s="45" t="n">
        <v>46255.98888888889</v>
      </c>
      <c r="P30" s="46" t="n">
        <v>46255</v>
      </c>
      <c r="Q30" s="44" t="n">
        <v>3242</v>
      </c>
      <c r="R30" s="44" t="inlineStr">
        <is>
          <t>No Video ID yet</t>
        </is>
      </c>
      <c r="S30" s="46" t="n"/>
      <c r="T30" s="46" t="n"/>
      <c r="U30" s="44" t="n"/>
      <c r="V30" s="44">
        <f>IF(AND(P30&gt;=Calendar!$K$2,P30&lt;EDATE(Calendar!$K$2,1),OR(Calendar!$K$4="*",N30=Calendar!$K$4)),P30*100+COUNTIFS($P$6:$P$3271,P30,$Q$6:$Q$3271,"&lt;="&amp;Q30,$N$6:$N$3271,Calendar!$K$4),"")</f>
        <v/>
      </c>
      <c r="W30" s="44">
        <f>IF(AND(B30=Queue!$C$4,OR(Queue!$K$4="*",N30=Queue!$K$4)),Q30,"")</f>
        <v/>
      </c>
    </row>
    <row r="31">
      <c r="A31" s="35">
        <f>IF(M31="","",HYPERLINK("https://www.youtube.com/watch?v="&amp;M31,"▶"))</f>
        <v/>
      </c>
      <c r="B31" s="36">
        <f>IF(C31&lt;&gt;"",C31,IF(P31&lt;=IFERROR(INDEX(tblChannels[Watched Through],MATCH(N31,tblChannels[Channel ID],0)),0),"Watched","Unwatched"))</f>
        <v/>
      </c>
      <c r="C31" s="37" t="n"/>
      <c r="D31" s="38" t="n"/>
      <c r="E31" s="39" t="n">
        <v>46255.41666666666</v>
      </c>
      <c r="F31" s="40" t="inlineStr">
        <is>
          <t>Popcorn Culture</t>
        </is>
      </c>
      <c r="G31" t="inlineStr">
        <is>
          <t>BEN GOT ROBBED?! | Popcorn Culture</t>
        </is>
      </c>
      <c r="H31" s="41" t="n">
        <v>0.04834490740740741</v>
      </c>
      <c r="I31" s="42" t="n">
        <v>1800</v>
      </c>
      <c r="J31" s="42" t="n">
        <v>86</v>
      </c>
      <c r="K31" s="42" t="n">
        <v>8</v>
      </c>
      <c r="L31" s="43" t="n"/>
      <c r="M31" s="44" t="n"/>
      <c r="N31" s="44" t="inlineStr">
        <is>
          <t>UCHfIbq9thHPC8yrKjAdJgDA</t>
        </is>
      </c>
      <c r="O31" s="45" t="n">
        <v>46255.58333333334</v>
      </c>
      <c r="P31" s="46" t="n">
        <v>46255</v>
      </c>
      <c r="Q31" s="44" t="n">
        <v>3241</v>
      </c>
      <c r="R31" s="44" t="inlineStr">
        <is>
          <t>No Video ID yet</t>
        </is>
      </c>
      <c r="S31" s="46" t="n"/>
      <c r="T31" s="46" t="n"/>
      <c r="U31" s="44" t="n"/>
      <c r="V31" s="44">
        <f>IF(AND(P31&gt;=Calendar!$K$2,P31&lt;EDATE(Calendar!$K$2,1),OR(Calendar!$K$4="*",N31=Calendar!$K$4)),P31*100+COUNTIFS($P$6:$P$3271,P31,$Q$6:$Q$3271,"&lt;="&amp;Q31,$N$6:$N$3271,Calendar!$K$4),"")</f>
        <v/>
      </c>
      <c r="W31" s="44">
        <f>IF(AND(B31=Queue!$C$4,OR(Queue!$K$4="*",N31=Queue!$K$4)),Q31,"")</f>
        <v/>
      </c>
    </row>
    <row r="32">
      <c r="A32" s="35">
        <f>IF(M32="","",HYPERLINK("https://www.youtube.com/watch?v="&amp;M32,"▶"))</f>
        <v/>
      </c>
      <c r="B32" s="36">
        <f>IF(C32&lt;&gt;"",C32,IF(P32&lt;=IFERROR(INDEX(tblChannels[Watched Through],MATCH(N32,tblChannels[Channel ID],0)),0),"Watched","Unwatched"))</f>
        <v/>
      </c>
      <c r="C32" s="37" t="n"/>
      <c r="D32" s="38" t="n"/>
      <c r="E32" s="39" t="n">
        <v>46254.71111111111</v>
      </c>
      <c r="F32" s="47" t="inlineStr">
        <is>
          <t>Super Carlin Brothers</t>
        </is>
      </c>
      <c r="G32" t="inlineStr">
        <is>
          <t>A VERY Important Video About Disney Trash Cans</t>
        </is>
      </c>
      <c r="H32" s="41" t="n">
        <v>0.01306712962962963</v>
      </c>
      <c r="I32" s="42" t="n">
        <v>27324</v>
      </c>
      <c r="J32" s="42" t="n">
        <v>1244</v>
      </c>
      <c r="K32" s="42" t="n">
        <v>210</v>
      </c>
      <c r="L32" s="43" t="n"/>
      <c r="M32" s="44" t="n"/>
      <c r="N32" s="44" t="inlineStr">
        <is>
          <t>UCKZo4N0lVPccBkSiuyVh4yg</t>
        </is>
      </c>
      <c r="O32" s="45" t="n">
        <v>46254.87777777778</v>
      </c>
      <c r="P32" s="46" t="n">
        <v>46254</v>
      </c>
      <c r="Q32" s="44" t="n">
        <v>3240</v>
      </c>
      <c r="R32" s="44" t="inlineStr">
        <is>
          <t>No Video ID yet</t>
        </is>
      </c>
      <c r="S32" s="46" t="n"/>
      <c r="T32" s="46" t="n"/>
      <c r="U32" s="44" t="n"/>
      <c r="V32" s="44">
        <f>IF(AND(P32&gt;=Calendar!$K$2,P32&lt;EDATE(Calendar!$K$2,1),OR(Calendar!$K$4="*",N32=Calendar!$K$4)),P32*100+COUNTIFS($P$6:$P$3271,P32,$Q$6:$Q$3271,"&lt;="&amp;Q32,$N$6:$N$3271,Calendar!$K$4),"")</f>
        <v/>
      </c>
      <c r="W32" s="44">
        <f>IF(AND(B32=Queue!$C$4,OR(Queue!$K$4="*",N32=Queue!$K$4)),Q32,"")</f>
        <v/>
      </c>
    </row>
    <row r="33">
      <c r="A33" s="35">
        <f>IF(M33="","",HYPERLINK("https://www.youtube.com/watch?v="&amp;M33,"▶"))</f>
        <v/>
      </c>
      <c r="B33" s="36">
        <f>IF(C33&lt;&gt;"",C33,IF(P33&lt;=IFERROR(INDEX(tblChannels[Watched Through],MATCH(N33,tblChannels[Channel ID],0)),0),"Watched","Unwatched"))</f>
        <v/>
      </c>
      <c r="C33" s="37" t="n"/>
      <c r="D33" s="38" t="n"/>
      <c r="E33" s="39" t="n">
        <v>46253.65</v>
      </c>
      <c r="F33" s="47" t="inlineStr">
        <is>
          <t>Super Carlin Brothers</t>
        </is>
      </c>
      <c r="G33" t="inlineStr">
        <is>
          <t>Ben Got Robbed...</t>
        </is>
      </c>
      <c r="H33" s="41" t="n">
        <v>0.04917824074074074</v>
      </c>
      <c r="I33" s="42" t="n">
        <v>44963</v>
      </c>
      <c r="J33" s="42" t="n">
        <v>1230</v>
      </c>
      <c r="K33" s="42" t="n">
        <v>175</v>
      </c>
      <c r="L33" s="43" t="n"/>
      <c r="M33" s="44" t="n"/>
      <c r="N33" s="44" t="inlineStr">
        <is>
          <t>UCKZo4N0lVPccBkSiuyVh4yg</t>
        </is>
      </c>
      <c r="O33" s="45" t="n">
        <v>46253.81666666667</v>
      </c>
      <c r="P33" s="46" t="n">
        <v>46253</v>
      </c>
      <c r="Q33" s="44" t="n">
        <v>3239</v>
      </c>
      <c r="R33" s="44" t="inlineStr">
        <is>
          <t>No Video ID yet</t>
        </is>
      </c>
      <c r="S33" s="46" t="n"/>
      <c r="T33" s="46" t="n"/>
      <c r="U33" s="44" t="n"/>
      <c r="V33" s="44">
        <f>IF(AND(P33&gt;=Calendar!$K$2,P33&lt;EDATE(Calendar!$K$2,1),OR(Calendar!$K$4="*",N33=Calendar!$K$4)),P33*100+COUNTIFS($P$6:$P$3271,P33,$Q$6:$Q$3271,"&lt;="&amp;Q33,$N$6:$N$3271,Calendar!$K$4),"")</f>
        <v/>
      </c>
      <c r="W33" s="44">
        <f>IF(AND(B33=Queue!$C$4,OR(Queue!$K$4="*",N33=Queue!$K$4)),Q33,"")</f>
        <v/>
      </c>
    </row>
    <row r="34">
      <c r="A34" s="35">
        <f>IF(M34="","",HYPERLINK("https://www.youtube.com/watch?v="&amp;M34,"▶"))</f>
        <v/>
      </c>
      <c r="B34" s="36">
        <f>IF(C34&lt;&gt;"",C34,IF(P34&lt;=IFERROR(INDEX(tblChannels[Watched Through],MATCH(N34,tblChannels[Channel ID],0)),0),"Watched","Unwatched"))</f>
        <v/>
      </c>
      <c r="C34" s="37" t="n"/>
      <c r="D34" s="38" t="n"/>
      <c r="E34" s="39" t="n">
        <v>46250.41666666666</v>
      </c>
      <c r="F34" s="48" t="inlineStr">
        <is>
          <t>Through The Griffin Door</t>
        </is>
      </c>
      <c r="G34" t="inlineStr">
        <is>
          <t>Chapter 10: The House of Gaunt | Half-Blood Prince</t>
        </is>
      </c>
      <c r="H34" s="41" t="n">
        <v>0.07670138888888889</v>
      </c>
      <c r="I34" s="42" t="n">
        <v>34883</v>
      </c>
      <c r="J34" s="42" t="n">
        <v>872</v>
      </c>
      <c r="K34" s="42" t="n">
        <v>483</v>
      </c>
      <c r="L34" s="43" t="n"/>
      <c r="M34" s="44" t="n"/>
      <c r="N34" s="44" t="inlineStr">
        <is>
          <t>UCEscP6ETYXWSSvsNrDHekMQ</t>
        </is>
      </c>
      <c r="O34" s="45" t="n">
        <v>46250.58333333334</v>
      </c>
      <c r="P34" s="46" t="n">
        <v>46250</v>
      </c>
      <c r="Q34" s="44" t="n">
        <v>3238</v>
      </c>
      <c r="R34" s="44" t="inlineStr">
        <is>
          <t>No Video ID yet</t>
        </is>
      </c>
      <c r="S34" s="46" t="n"/>
      <c r="T34" s="46" t="n"/>
      <c r="U34" s="44" t="n"/>
      <c r="V34" s="44">
        <f>IF(AND(P34&gt;=Calendar!$K$2,P34&lt;EDATE(Calendar!$K$2,1),OR(Calendar!$K$4="*",N34=Calendar!$K$4)),P34*100+COUNTIFS($P$6:$P$3271,P34,$Q$6:$Q$3271,"&lt;="&amp;Q34,$N$6:$N$3271,Calendar!$K$4),"")</f>
        <v/>
      </c>
      <c r="W34" s="44">
        <f>IF(AND(B34=Queue!$C$4,OR(Queue!$K$4="*",N34=Queue!$K$4)),Q34,"")</f>
        <v/>
      </c>
    </row>
    <row r="35">
      <c r="A35" s="35">
        <f>IF(M35="","",HYPERLINK("https://www.youtube.com/watch?v="&amp;M35,"▶"))</f>
        <v/>
      </c>
      <c r="B35" s="36">
        <f>IF(C35&lt;&gt;"",C35,IF(P35&lt;=IFERROR(INDEX(tblChannels[Watched Through],MATCH(N35,tblChannels[Channel ID],0)),0),"Watched","Unwatched"))</f>
        <v/>
      </c>
      <c r="C35" s="37" t="n"/>
      <c r="D35" s="38" t="n"/>
      <c r="E35" s="39" t="n">
        <v>46248.625</v>
      </c>
      <c r="F35" s="47" t="inlineStr">
        <is>
          <t>Super Carlin Brothers</t>
        </is>
      </c>
      <c r="G35" t="inlineStr">
        <is>
          <t>Does Ned REALLY Remember Peter? | Spider-Man: Brand New Day</t>
        </is>
      </c>
      <c r="H35" s="41" t="n">
        <v>0.01256944444444444</v>
      </c>
      <c r="I35" s="42" t="n">
        <v>95831</v>
      </c>
      <c r="J35" s="42" t="n">
        <v>3320</v>
      </c>
      <c r="K35" s="42" t="n">
        <v>561</v>
      </c>
      <c r="L35" s="43" t="n"/>
      <c r="M35" s="44" t="n"/>
      <c r="N35" s="44" t="inlineStr">
        <is>
          <t>UCKZo4N0lVPccBkSiuyVh4yg</t>
        </is>
      </c>
      <c r="O35" s="45" t="n">
        <v>46248.79166666666</v>
      </c>
      <c r="P35" s="46" t="n">
        <v>46248</v>
      </c>
      <c r="Q35" s="44" t="n">
        <v>3237</v>
      </c>
      <c r="R35" s="44" t="inlineStr">
        <is>
          <t>No Video ID yet</t>
        </is>
      </c>
      <c r="S35" s="46" t="n"/>
      <c r="T35" s="46" t="n"/>
      <c r="U35" s="44" t="n"/>
      <c r="V35" s="44">
        <f>IF(AND(P35&gt;=Calendar!$K$2,P35&lt;EDATE(Calendar!$K$2,1),OR(Calendar!$K$4="*",N35=Calendar!$K$4)),P35*100+COUNTIFS($P$6:$P$3271,P35,$Q$6:$Q$3271,"&lt;="&amp;Q35,$N$6:$N$3271,Calendar!$K$4),"")</f>
        <v/>
      </c>
      <c r="W35" s="44">
        <f>IF(AND(B35=Queue!$C$4,OR(Queue!$K$4="*",N35=Queue!$K$4)),Q35,"")</f>
        <v/>
      </c>
    </row>
    <row r="36">
      <c r="A36" s="35">
        <f>IF(M36="","",HYPERLINK("https://www.youtube.com/watch?v="&amp;M36,"▶"))</f>
        <v/>
      </c>
      <c r="B36" s="36">
        <f>IF(C36&lt;&gt;"",C36,IF(P36&lt;=IFERROR(INDEX(tblChannels[Watched Through],MATCH(N36,tblChannels[Channel ID],0)),0),"Watched","Unwatched"))</f>
        <v/>
      </c>
      <c r="C36" s="37" t="n"/>
      <c r="D36" s="38" t="n"/>
      <c r="E36" s="39" t="n">
        <v>46248.41666666666</v>
      </c>
      <c r="F36" s="40" t="inlineStr">
        <is>
          <t>Popcorn Culture</t>
        </is>
      </c>
      <c r="G36" t="inlineStr">
        <is>
          <t>100 Year Storm | Popcorn Culture</t>
        </is>
      </c>
      <c r="H36" s="41" t="n">
        <v>0.05097222222222222</v>
      </c>
      <c r="I36" s="42" t="n">
        <v>1833</v>
      </c>
      <c r="J36" s="42" t="n">
        <v>85</v>
      </c>
      <c r="K36" s="42" t="n">
        <v>17</v>
      </c>
      <c r="L36" s="43" t="n"/>
      <c r="M36" s="44" t="n"/>
      <c r="N36" s="44" t="inlineStr">
        <is>
          <t>UCHfIbq9thHPC8yrKjAdJgDA</t>
        </is>
      </c>
      <c r="O36" s="45" t="n">
        <v>46248.58333333334</v>
      </c>
      <c r="P36" s="46" t="n">
        <v>46248</v>
      </c>
      <c r="Q36" s="44" t="n">
        <v>3236</v>
      </c>
      <c r="R36" s="44" t="inlineStr">
        <is>
          <t>No Video ID yet</t>
        </is>
      </c>
      <c r="S36" s="46" t="n"/>
      <c r="T36" s="46" t="n"/>
      <c r="U36" s="44" t="n"/>
      <c r="V36" s="44">
        <f>IF(AND(P36&gt;=Calendar!$K$2,P36&lt;EDATE(Calendar!$K$2,1),OR(Calendar!$K$4="*",N36=Calendar!$K$4)),P36*100+COUNTIFS($P$6:$P$3271,P36,$Q$6:$Q$3271,"&lt;="&amp;Q36,$N$6:$N$3271,Calendar!$K$4),"")</f>
        <v/>
      </c>
      <c r="W36" s="44">
        <f>IF(AND(B36=Queue!$C$4,OR(Queue!$K$4="*",N36=Queue!$K$4)),Q36,"")</f>
        <v/>
      </c>
    </row>
    <row r="37">
      <c r="A37" s="35">
        <f>IF(M37="","",HYPERLINK("https://www.youtube.com/watch?v="&amp;M37,"▶"))</f>
        <v/>
      </c>
      <c r="B37" s="36">
        <f>IF(C37&lt;&gt;"",C37,IF(P37&lt;=IFERROR(INDEX(tblChannels[Watched Through],MATCH(N37,tblChannels[Channel ID],0)),0),"Watched","Unwatched"))</f>
        <v/>
      </c>
      <c r="C37" s="37" t="n"/>
      <c r="D37" s="38" t="n"/>
      <c r="E37" s="39" t="n">
        <v>46246.81111111111</v>
      </c>
      <c r="F37" s="47" t="inlineStr">
        <is>
          <t>Super Carlin Brothers</t>
        </is>
      </c>
      <c r="G37" t="inlineStr">
        <is>
          <t>J vs Ben: The Impossible Black Family Tree Quiz</t>
        </is>
      </c>
      <c r="H37" s="41" t="n">
        <v>0.03695601851851852</v>
      </c>
      <c r="I37" s="42" t="n">
        <v>73044</v>
      </c>
      <c r="J37" s="42" t="n">
        <v>2244</v>
      </c>
      <c r="K37" s="42" t="n">
        <v>329</v>
      </c>
      <c r="L37" s="43" t="n"/>
      <c r="M37" s="44" t="n"/>
      <c r="N37" s="44" t="inlineStr">
        <is>
          <t>UCKZo4N0lVPccBkSiuyVh4yg</t>
        </is>
      </c>
      <c r="O37" s="45" t="n">
        <v>46246.97777777778</v>
      </c>
      <c r="P37" s="46" t="n">
        <v>46246</v>
      </c>
      <c r="Q37" s="44" t="n">
        <v>3235</v>
      </c>
      <c r="R37" s="44" t="inlineStr">
        <is>
          <t>No Video ID yet</t>
        </is>
      </c>
      <c r="S37" s="46" t="n"/>
      <c r="T37" s="46" t="n"/>
      <c r="U37" s="44" t="n"/>
      <c r="V37" s="44">
        <f>IF(AND(P37&gt;=Calendar!$K$2,P37&lt;EDATE(Calendar!$K$2,1),OR(Calendar!$K$4="*",N37=Calendar!$K$4)),P37*100+COUNTIFS($P$6:$P$3271,P37,$Q$6:$Q$3271,"&lt;="&amp;Q37,$N$6:$N$3271,Calendar!$K$4),"")</f>
        <v/>
      </c>
      <c r="W37" s="44">
        <f>IF(AND(B37=Queue!$C$4,OR(Queue!$K$4="*",N37=Queue!$K$4)),Q37,"")</f>
        <v/>
      </c>
    </row>
    <row r="38">
      <c r="A38" s="35">
        <f>IF(M38="","",HYPERLINK("https://www.youtube.com/watch?v="&amp;M38,"▶"))</f>
        <v/>
      </c>
      <c r="B38" s="36">
        <f>IF(C38&lt;&gt;"",C38,IF(P38&lt;=IFERROR(INDEX(tblChannels[Watched Through],MATCH(N38,tblChannels[Channel ID],0)),0),"Watched","Unwatched"))</f>
        <v/>
      </c>
      <c r="C38" s="37" t="n"/>
      <c r="D38" s="38" t="n"/>
      <c r="E38" s="39" t="n">
        <v>46243.41666666666</v>
      </c>
      <c r="F38" s="48" t="inlineStr">
        <is>
          <t>Through The Griffin Door</t>
        </is>
      </c>
      <c r="G38" t="inlineStr">
        <is>
          <t>Chapter 9: The Half-Blood Prince | Half-Blood Prince</t>
        </is>
      </c>
      <c r="H38" s="41" t="n">
        <v>0.08589120370370371</v>
      </c>
      <c r="I38" s="42" t="n">
        <v>36638</v>
      </c>
      <c r="J38" s="42" t="n">
        <v>873</v>
      </c>
      <c r="K38" s="42" t="n">
        <v>410</v>
      </c>
      <c r="L38" s="43" t="n"/>
      <c r="M38" s="44" t="n"/>
      <c r="N38" s="44" t="inlineStr">
        <is>
          <t>UCEscP6ETYXWSSvsNrDHekMQ</t>
        </is>
      </c>
      <c r="O38" s="45" t="n">
        <v>46243.58333333334</v>
      </c>
      <c r="P38" s="46" t="n">
        <v>46243</v>
      </c>
      <c r="Q38" s="44" t="n">
        <v>3234</v>
      </c>
      <c r="R38" s="44" t="inlineStr">
        <is>
          <t>No Video ID yet</t>
        </is>
      </c>
      <c r="S38" s="46" t="n"/>
      <c r="T38" s="46" t="n"/>
      <c r="U38" s="44" t="n"/>
      <c r="V38" s="44">
        <f>IF(AND(P38&gt;=Calendar!$K$2,P38&lt;EDATE(Calendar!$K$2,1),OR(Calendar!$K$4="*",N38=Calendar!$K$4)),P38*100+COUNTIFS($P$6:$P$3271,P38,$Q$6:$Q$3271,"&lt;="&amp;Q38,$N$6:$N$3271,Calendar!$K$4),"")</f>
        <v/>
      </c>
      <c r="W38" s="44">
        <f>IF(AND(B38=Queue!$C$4,OR(Queue!$K$4="*",N38=Queue!$K$4)),Q38,"")</f>
        <v/>
      </c>
    </row>
    <row r="39">
      <c r="A39" s="35">
        <f>IF(M39="","",HYPERLINK("https://www.youtube.com/watch?v="&amp;M39,"▶"))</f>
        <v/>
      </c>
      <c r="B39" s="36">
        <f>IF(C39&lt;&gt;"",C39,IF(P39&lt;=IFERROR(INDEX(tblChannels[Watched Through],MATCH(N39,tblChannels[Channel ID],0)),0),"Watched","Unwatched"))</f>
        <v/>
      </c>
      <c r="C39" s="37" t="n"/>
      <c r="D39" s="38" t="n"/>
      <c r="E39" s="39" t="n">
        <v>46241.625</v>
      </c>
      <c r="F39" s="47" t="inlineStr">
        <is>
          <t>Super Carlin Brothers</t>
        </is>
      </c>
      <c r="G39" t="inlineStr">
        <is>
          <t>We’re OFFICIALLY Wizards Now | Exit The Game</t>
        </is>
      </c>
      <c r="H39" s="41" t="n">
        <v>0.03973379629629629</v>
      </c>
      <c r="I39" s="42" t="n">
        <v>29905</v>
      </c>
      <c r="J39" s="42" t="n">
        <v>1183</v>
      </c>
      <c r="K39" s="42" t="n">
        <v>122</v>
      </c>
      <c r="L39" s="43" t="n"/>
      <c r="M39" s="44" t="n"/>
      <c r="N39" s="44" t="inlineStr">
        <is>
          <t>UCKZo4N0lVPccBkSiuyVh4yg</t>
        </is>
      </c>
      <c r="O39" s="45" t="n">
        <v>46241.79166666666</v>
      </c>
      <c r="P39" s="46" t="n">
        <v>46241</v>
      </c>
      <c r="Q39" s="44" t="n">
        <v>3233</v>
      </c>
      <c r="R39" s="44" t="inlineStr">
        <is>
          <t>No Video ID yet</t>
        </is>
      </c>
      <c r="S39" s="46" t="n"/>
      <c r="T39" s="46" t="n"/>
      <c r="U39" s="44" t="n"/>
      <c r="V39" s="44">
        <f>IF(AND(P39&gt;=Calendar!$K$2,P39&lt;EDATE(Calendar!$K$2,1),OR(Calendar!$K$4="*",N39=Calendar!$K$4)),P39*100+COUNTIFS($P$6:$P$3271,P39,$Q$6:$Q$3271,"&lt;="&amp;Q39,$N$6:$N$3271,Calendar!$K$4),"")</f>
        <v/>
      </c>
      <c r="W39" s="44">
        <f>IF(AND(B39=Queue!$C$4,OR(Queue!$K$4="*",N39=Queue!$K$4)),Q39,"")</f>
        <v/>
      </c>
    </row>
    <row r="40">
      <c r="A40" s="35">
        <f>IF(M40="","",HYPERLINK("https://www.youtube.com/watch?v="&amp;M40,"▶"))</f>
        <v/>
      </c>
      <c r="B40" s="36">
        <f>IF(C40&lt;&gt;"",C40,IF(P40&lt;=IFERROR(INDEX(tblChannels[Watched Through],MATCH(N40,tblChannels[Channel ID],0)),0),"Watched","Unwatched"))</f>
        <v/>
      </c>
      <c r="C40" s="37" t="n"/>
      <c r="D40" s="38" t="n"/>
      <c r="E40" s="39" t="n">
        <v>46241.41666666666</v>
      </c>
      <c r="F40" s="40" t="inlineStr">
        <is>
          <t>Popcorn Culture</t>
        </is>
      </c>
      <c r="G40" t="inlineStr">
        <is>
          <t>Childhood Blueprints | Popcorn Culture</t>
        </is>
      </c>
      <c r="H40" s="41" t="n">
        <v>0.04722222222222222</v>
      </c>
      <c r="I40" s="42" t="n">
        <v>1964</v>
      </c>
      <c r="J40" s="42" t="n">
        <v>102</v>
      </c>
      <c r="K40" s="42" t="n">
        <v>16</v>
      </c>
      <c r="L40" s="43" t="n"/>
      <c r="M40" s="44" t="n"/>
      <c r="N40" s="44" t="inlineStr">
        <is>
          <t>UCHfIbq9thHPC8yrKjAdJgDA</t>
        </is>
      </c>
      <c r="O40" s="45" t="n">
        <v>46241.58333333334</v>
      </c>
      <c r="P40" s="46" t="n">
        <v>46241</v>
      </c>
      <c r="Q40" s="44" t="n">
        <v>3232</v>
      </c>
      <c r="R40" s="44" t="inlineStr">
        <is>
          <t>No Video ID yet</t>
        </is>
      </c>
      <c r="S40" s="46" t="n"/>
      <c r="T40" s="46" t="n"/>
      <c r="U40" s="44" t="n"/>
      <c r="V40" s="44">
        <f>IF(AND(P40&gt;=Calendar!$K$2,P40&lt;EDATE(Calendar!$K$2,1),OR(Calendar!$K$4="*",N40=Calendar!$K$4)),P40*100+COUNTIFS($P$6:$P$3271,P40,$Q$6:$Q$3271,"&lt;="&amp;Q40,$N$6:$N$3271,Calendar!$K$4),"")</f>
        <v/>
      </c>
      <c r="W40" s="44">
        <f>IF(AND(B40=Queue!$C$4,OR(Queue!$K$4="*",N40=Queue!$K$4)),Q40,"")</f>
        <v/>
      </c>
    </row>
    <row r="41">
      <c r="A41" s="35">
        <f>IF(M41="","",HYPERLINK("https://www.youtube.com/watch?v="&amp;M41,"▶"))</f>
        <v/>
      </c>
      <c r="B41" s="36">
        <f>IF(C41&lt;&gt;"",C41,IF(P41&lt;=IFERROR(INDEX(tblChannels[Watched Through],MATCH(N41,tblChannels[Channel ID],0)),0),"Watched","Unwatched"))</f>
        <v/>
      </c>
      <c r="C41" s="37" t="n"/>
      <c r="D41" s="38" t="n"/>
      <c r="E41" s="39" t="n">
        <v>46239.625</v>
      </c>
      <c r="F41" s="47" t="inlineStr">
        <is>
          <t>Super Carlin Brothers</t>
        </is>
      </c>
      <c r="G41" t="inlineStr">
        <is>
          <t>J vs Ben FUNNIEST Moments Compilation</t>
        </is>
      </c>
      <c r="H41" s="41" t="n">
        <v>0.09592592592592593</v>
      </c>
      <c r="I41" s="42" t="n">
        <v>22200</v>
      </c>
      <c r="J41" s="42" t="n">
        <v>768</v>
      </c>
      <c r="K41" s="42" t="n">
        <v>82</v>
      </c>
      <c r="L41" s="43" t="n"/>
      <c r="M41" s="44" t="n"/>
      <c r="N41" s="44" t="inlineStr">
        <is>
          <t>UCKZo4N0lVPccBkSiuyVh4yg</t>
        </is>
      </c>
      <c r="O41" s="45" t="n">
        <v>46239.79166666666</v>
      </c>
      <c r="P41" s="46" t="n">
        <v>46239</v>
      </c>
      <c r="Q41" s="44" t="n">
        <v>3231</v>
      </c>
      <c r="R41" s="44" t="inlineStr">
        <is>
          <t>No Video ID yet</t>
        </is>
      </c>
      <c r="S41" s="46" t="n"/>
      <c r="T41" s="46" t="n"/>
      <c r="U41" s="44" t="n"/>
      <c r="V41" s="44">
        <f>IF(AND(P41&gt;=Calendar!$K$2,P41&lt;EDATE(Calendar!$K$2,1),OR(Calendar!$K$4="*",N41=Calendar!$K$4)),P41*100+COUNTIFS($P$6:$P$3271,P41,$Q$6:$Q$3271,"&lt;="&amp;Q41,$N$6:$N$3271,Calendar!$K$4),"")</f>
        <v/>
      </c>
      <c r="W41" s="44">
        <f>IF(AND(B41=Queue!$C$4,OR(Queue!$K$4="*",N41=Queue!$K$4)),Q41,"")</f>
        <v/>
      </c>
    </row>
    <row r="42">
      <c r="A42" s="35">
        <f>IF(M42="","",HYPERLINK("https://www.youtube.com/watch?v="&amp;M42,"▶"))</f>
        <v/>
      </c>
      <c r="B42" s="36">
        <f>IF(C42&lt;&gt;"",C42,IF(P42&lt;=IFERROR(INDEX(tblChannels[Watched Through],MATCH(N42,tblChannels[Channel ID],0)),0),"Watched","Unwatched"))</f>
        <v/>
      </c>
      <c r="C42" s="37" t="n"/>
      <c r="D42" s="38" t="n"/>
      <c r="E42" s="39" t="n">
        <v>46236.41666666666</v>
      </c>
      <c r="F42" s="48" t="inlineStr">
        <is>
          <t>Through The Griffin Door</t>
        </is>
      </c>
      <c r="G42" t="inlineStr">
        <is>
          <t>Chapter 8: Snape Victorious | Half-Blood Prince</t>
        </is>
      </c>
      <c r="H42" s="41" t="n">
        <v>0.05710648148148148</v>
      </c>
      <c r="I42" s="42" t="n">
        <v>30213</v>
      </c>
      <c r="J42" s="42" t="n">
        <v>881</v>
      </c>
      <c r="K42" s="42" t="n">
        <v>310</v>
      </c>
      <c r="L42" s="43" t="n"/>
      <c r="M42" s="44" t="n"/>
      <c r="N42" s="44" t="inlineStr">
        <is>
          <t>UCEscP6ETYXWSSvsNrDHekMQ</t>
        </is>
      </c>
      <c r="O42" s="45" t="n">
        <v>46236.58333333334</v>
      </c>
      <c r="P42" s="46" t="n">
        <v>46236</v>
      </c>
      <c r="Q42" s="44" t="n">
        <v>3230</v>
      </c>
      <c r="R42" s="44" t="inlineStr">
        <is>
          <t>No Video ID yet</t>
        </is>
      </c>
      <c r="S42" s="46" t="n"/>
      <c r="T42" s="46" t="n"/>
      <c r="U42" s="44" t="n"/>
      <c r="V42" s="44">
        <f>IF(AND(P42&gt;=Calendar!$K$2,P42&lt;EDATE(Calendar!$K$2,1),OR(Calendar!$K$4="*",N42=Calendar!$K$4)),P42*100+COUNTIFS($P$6:$P$3271,P42,$Q$6:$Q$3271,"&lt;="&amp;Q42,$N$6:$N$3271,Calendar!$K$4),"")</f>
        <v/>
      </c>
      <c r="W42" s="44">
        <f>IF(AND(B42=Queue!$C$4,OR(Queue!$K$4="*",N42=Queue!$K$4)),Q42,"")</f>
        <v/>
      </c>
    </row>
    <row r="43">
      <c r="A43" s="35">
        <f>IF(M43="","",HYPERLINK("https://www.youtube.com/watch?v="&amp;M43,"▶"))</f>
        <v/>
      </c>
      <c r="B43" s="36">
        <f>IF(C43&lt;&gt;"",C43,IF(P43&lt;=IFERROR(INDEX(tblChannels[Watched Through],MATCH(N43,tblChannels[Channel ID],0)),0),"Watched","Unwatched"))</f>
        <v/>
      </c>
      <c r="C43" s="37" t="n"/>
      <c r="D43" s="38" t="n"/>
      <c r="E43" s="39" t="n">
        <v>46234.72638888889</v>
      </c>
      <c r="F43" s="47" t="inlineStr">
        <is>
          <t>Super Carlin Brothers</t>
        </is>
      </c>
      <c r="G43" t="inlineStr">
        <is>
          <t>5 Tiny Harry Potter Secrets Hidden in Plain Sight</t>
        </is>
      </c>
      <c r="H43" s="41" t="n">
        <v>0.01304398148148148</v>
      </c>
      <c r="I43" s="42" t="n">
        <v>115416</v>
      </c>
      <c r="J43" s="42" t="n">
        <v>4077</v>
      </c>
      <c r="K43" s="42" t="n">
        <v>338</v>
      </c>
      <c r="L43" s="43" t="n"/>
      <c r="M43" s="44" t="n"/>
      <c r="N43" s="44" t="inlineStr">
        <is>
          <t>UCKZo4N0lVPccBkSiuyVh4yg</t>
        </is>
      </c>
      <c r="O43" s="45" t="n">
        <v>46234.89305555556</v>
      </c>
      <c r="P43" s="46" t="n">
        <v>46234</v>
      </c>
      <c r="Q43" s="44" t="n">
        <v>3229</v>
      </c>
      <c r="R43" s="44" t="inlineStr">
        <is>
          <t>No Video ID yet</t>
        </is>
      </c>
      <c r="S43" s="46" t="n"/>
      <c r="T43" s="46" t="n"/>
      <c r="U43" s="44" t="n"/>
      <c r="V43" s="44">
        <f>IF(AND(P43&gt;=Calendar!$K$2,P43&lt;EDATE(Calendar!$K$2,1),OR(Calendar!$K$4="*",N43=Calendar!$K$4)),P43*100+COUNTIFS($P$6:$P$3271,P43,$Q$6:$Q$3271,"&lt;="&amp;Q43,$N$6:$N$3271,Calendar!$K$4),"")</f>
        <v/>
      </c>
      <c r="W43" s="44">
        <f>IF(AND(B43=Queue!$C$4,OR(Queue!$K$4="*",N43=Queue!$K$4)),Q43,"")</f>
        <v/>
      </c>
    </row>
    <row r="44">
      <c r="A44" s="35">
        <f>IF(M44="","",HYPERLINK("https://www.youtube.com/watch?v="&amp;M44,"▶"))</f>
        <v/>
      </c>
      <c r="B44" s="36">
        <f>IF(C44&lt;&gt;"",C44,IF(P44&lt;=IFERROR(INDEX(tblChannels[Watched Through],MATCH(N44,tblChannels[Channel ID],0)),0),"Watched","Unwatched"))</f>
        <v/>
      </c>
      <c r="C44" s="37" t="n"/>
      <c r="D44" s="38" t="n"/>
      <c r="E44" s="39" t="n">
        <v>46234.41666666666</v>
      </c>
      <c r="F44" s="40" t="inlineStr">
        <is>
          <t>Popcorn Culture</t>
        </is>
      </c>
      <c r="G44" t="inlineStr">
        <is>
          <t>Beach Wagon Dread | Popcorn Culture</t>
        </is>
      </c>
      <c r="H44" s="41" t="n">
        <v>0.05178240740740741</v>
      </c>
      <c r="I44" s="42" t="n">
        <v>2205</v>
      </c>
      <c r="J44" s="42" t="n">
        <v>105</v>
      </c>
      <c r="K44" s="42" t="n">
        <v>28</v>
      </c>
      <c r="L44" s="43" t="n"/>
      <c r="M44" s="44" t="n"/>
      <c r="N44" s="44" t="inlineStr">
        <is>
          <t>UCHfIbq9thHPC8yrKjAdJgDA</t>
        </is>
      </c>
      <c r="O44" s="45" t="n">
        <v>46234.58333333334</v>
      </c>
      <c r="P44" s="46" t="n">
        <v>46234</v>
      </c>
      <c r="Q44" s="44" t="n">
        <v>3228</v>
      </c>
      <c r="R44" s="44" t="inlineStr">
        <is>
          <t>No Video ID yet</t>
        </is>
      </c>
      <c r="S44" s="46" t="n"/>
      <c r="T44" s="46" t="n"/>
      <c r="U44" s="44" t="n"/>
      <c r="V44" s="44">
        <f>IF(AND(P44&gt;=Calendar!$K$2,P44&lt;EDATE(Calendar!$K$2,1),OR(Calendar!$K$4="*",N44=Calendar!$K$4)),P44*100+COUNTIFS($P$6:$P$3271,P44,$Q$6:$Q$3271,"&lt;="&amp;Q44,$N$6:$N$3271,Calendar!$K$4),"")</f>
        <v/>
      </c>
      <c r="W44" s="44">
        <f>IF(AND(B44=Queue!$C$4,OR(Queue!$K$4="*",N44=Queue!$K$4)),Q44,"")</f>
        <v/>
      </c>
    </row>
    <row r="45">
      <c r="A45" s="35">
        <f>IF(M45="","",HYPERLINK("https://www.youtube.com/watch?v="&amp;M45,"▶"))</f>
        <v/>
      </c>
      <c r="B45" s="36">
        <f>IF(C45&lt;&gt;"",C45,IF(P45&lt;=IFERROR(INDEX(tblChannels[Watched Through],MATCH(N45,tblChannels[Channel ID],0)),0),"Watched","Unwatched"))</f>
        <v/>
      </c>
      <c r="C45" s="37" t="n"/>
      <c r="D45" s="38" t="n"/>
      <c r="E45" s="39" t="n">
        <v>46232.73125</v>
      </c>
      <c r="F45" s="47" t="inlineStr">
        <is>
          <t>Super Carlin Brothers</t>
        </is>
      </c>
      <c r="G45" t="inlineStr">
        <is>
          <t>We Retook Every Question We Got Wrong… | Redemption Quiz</t>
        </is>
      </c>
      <c r="H45" s="41" t="n">
        <v>0.03284722222222222</v>
      </c>
      <c r="I45" s="42" t="n">
        <v>65648</v>
      </c>
      <c r="J45" s="42" t="n">
        <v>2475</v>
      </c>
      <c r="K45" s="42" t="n">
        <v>354</v>
      </c>
      <c r="L45" s="43" t="n"/>
      <c r="M45" s="44" t="n"/>
      <c r="N45" s="44" t="inlineStr">
        <is>
          <t>UCKZo4N0lVPccBkSiuyVh4yg</t>
        </is>
      </c>
      <c r="O45" s="45" t="n">
        <v>46232.89791666667</v>
      </c>
      <c r="P45" s="46" t="n">
        <v>46232</v>
      </c>
      <c r="Q45" s="44" t="n">
        <v>3227</v>
      </c>
      <c r="R45" s="44" t="inlineStr">
        <is>
          <t>No Video ID yet</t>
        </is>
      </c>
      <c r="S45" s="46" t="n"/>
      <c r="T45" s="46" t="n"/>
      <c r="U45" s="44" t="n"/>
      <c r="V45" s="44">
        <f>IF(AND(P45&gt;=Calendar!$K$2,P45&lt;EDATE(Calendar!$K$2,1),OR(Calendar!$K$4="*",N45=Calendar!$K$4)),P45*100+COUNTIFS($P$6:$P$3271,P45,$Q$6:$Q$3271,"&lt;="&amp;Q45,$N$6:$N$3271,Calendar!$K$4),"")</f>
        <v/>
      </c>
      <c r="W45" s="44">
        <f>IF(AND(B45=Queue!$C$4,OR(Queue!$K$4="*",N45=Queue!$K$4)),Q45,"")</f>
        <v/>
      </c>
    </row>
    <row r="46">
      <c r="A46" s="35">
        <f>IF(M46="","",HYPERLINK("https://www.youtube.com/watch?v="&amp;M46,"▶"))</f>
        <v/>
      </c>
      <c r="B46" s="36">
        <f>IF(C46&lt;&gt;"",C46,IF(P46&lt;=IFERROR(INDEX(tblChannels[Watched Through],MATCH(N46,tblChannels[Channel ID],0)),0),"Watched","Unwatched"))</f>
        <v/>
      </c>
      <c r="C46" s="37" t="n"/>
      <c r="D46" s="38" t="n"/>
      <c r="E46" s="39" t="n">
        <v>46229.41666666666</v>
      </c>
      <c r="F46" s="48" t="inlineStr">
        <is>
          <t>Through The Griffin Door</t>
        </is>
      </c>
      <c r="G46" t="inlineStr">
        <is>
          <t>Chapter 7: The Slug Club | Half-Blood Prince</t>
        </is>
      </c>
      <c r="H46" s="41" t="n">
        <v>0.07896990740740741</v>
      </c>
      <c r="I46" s="42" t="n">
        <v>36283</v>
      </c>
      <c r="J46" s="42" t="n">
        <v>926</v>
      </c>
      <c r="K46" s="42" t="n">
        <v>346</v>
      </c>
      <c r="L46" s="43" t="n"/>
      <c r="M46" s="44" t="n"/>
      <c r="N46" s="44" t="inlineStr">
        <is>
          <t>UCEscP6ETYXWSSvsNrDHekMQ</t>
        </is>
      </c>
      <c r="O46" s="45" t="n">
        <v>46229.58333333334</v>
      </c>
      <c r="P46" s="46" t="n">
        <v>46229</v>
      </c>
      <c r="Q46" s="44" t="n">
        <v>3226</v>
      </c>
      <c r="R46" s="44" t="inlineStr">
        <is>
          <t>No Video ID yet</t>
        </is>
      </c>
      <c r="S46" s="46" t="n"/>
      <c r="T46" s="46" t="n"/>
      <c r="U46" s="44" t="n"/>
      <c r="V46" s="44">
        <f>IF(AND(P46&gt;=Calendar!$K$2,P46&lt;EDATE(Calendar!$K$2,1),OR(Calendar!$K$4="*",N46=Calendar!$K$4)),P46*100+COUNTIFS($P$6:$P$3271,P46,$Q$6:$Q$3271,"&lt;="&amp;Q46,$N$6:$N$3271,Calendar!$K$4),"")</f>
        <v/>
      </c>
      <c r="W46" s="44">
        <f>IF(AND(B46=Queue!$C$4,OR(Queue!$K$4="*",N46=Queue!$K$4)),Q46,"")</f>
        <v/>
      </c>
    </row>
    <row r="47">
      <c r="A47" s="35">
        <f>IF(M47="","",HYPERLINK("https://www.youtube.com/watch?v="&amp;M47,"▶"))</f>
        <v/>
      </c>
      <c r="B47" s="36">
        <f>IF(C47&lt;&gt;"",C47,IF(P47&lt;=IFERROR(INDEX(tblChannels[Watched Through],MATCH(N47,tblChannels[Channel ID],0)),0),"Watched","Unwatched"))</f>
        <v/>
      </c>
      <c r="C47" s="37" t="n"/>
      <c r="D47" s="38" t="n"/>
      <c r="E47" s="39" t="n">
        <v>46227.70625</v>
      </c>
      <c r="F47" s="47" t="inlineStr">
        <is>
          <t>Super Carlin Brothers</t>
        </is>
      </c>
      <c r="G47" t="inlineStr">
        <is>
          <t>Defending More WILD Harry Potter Theories | Theories From A Hat</t>
        </is>
      </c>
      <c r="H47" s="41" t="n">
        <v>0.0303125</v>
      </c>
      <c r="I47" s="42" t="n">
        <v>79734</v>
      </c>
      <c r="J47" s="42" t="n">
        <v>2665</v>
      </c>
      <c r="K47" s="42" t="n">
        <v>492</v>
      </c>
      <c r="L47" s="43" t="n"/>
      <c r="M47" s="44" t="n"/>
      <c r="N47" s="44" t="inlineStr">
        <is>
          <t>UCKZo4N0lVPccBkSiuyVh4yg</t>
        </is>
      </c>
      <c r="O47" s="45" t="n">
        <v>46227.87291666667</v>
      </c>
      <c r="P47" s="46" t="n">
        <v>46227</v>
      </c>
      <c r="Q47" s="44" t="n">
        <v>3225</v>
      </c>
      <c r="R47" s="44" t="inlineStr">
        <is>
          <t>No Video ID yet</t>
        </is>
      </c>
      <c r="S47" s="46" t="n"/>
      <c r="T47" s="46" t="n"/>
      <c r="U47" s="44" t="n"/>
      <c r="V47" s="44">
        <f>IF(AND(P47&gt;=Calendar!$K$2,P47&lt;EDATE(Calendar!$K$2,1),OR(Calendar!$K$4="*",N47=Calendar!$K$4)),P47*100+COUNTIFS($P$6:$P$3271,P47,$Q$6:$Q$3271,"&lt;="&amp;Q47,$N$6:$N$3271,Calendar!$K$4),"")</f>
        <v/>
      </c>
      <c r="W47" s="44">
        <f>IF(AND(B47=Queue!$C$4,OR(Queue!$K$4="*",N47=Queue!$K$4)),Q47,"")</f>
        <v/>
      </c>
    </row>
    <row r="48">
      <c r="A48" s="35">
        <f>IF(M48="","",HYPERLINK("https://www.youtube.com/watch?v="&amp;M48,"▶"))</f>
        <v/>
      </c>
      <c r="B48" s="36">
        <f>IF(C48&lt;&gt;"",C48,IF(P48&lt;=IFERROR(INDEX(tblChannels[Watched Through],MATCH(N48,tblChannels[Channel ID],0)),0),"Watched","Unwatched"))</f>
        <v/>
      </c>
      <c r="C48" s="37" t="n"/>
      <c r="D48" s="38" t="n"/>
      <c r="E48" s="39" t="n">
        <v>46227.41666666666</v>
      </c>
      <c r="F48" s="40" t="inlineStr">
        <is>
          <t>Popcorn Culture</t>
        </is>
      </c>
      <c r="G48" t="inlineStr">
        <is>
          <t>Gourmet Orange Slices | Popcorn Culture</t>
        </is>
      </c>
      <c r="H48" s="41" t="n">
        <v>0.0446412037037037</v>
      </c>
      <c r="I48" s="42" t="n">
        <v>2006</v>
      </c>
      <c r="J48" s="42" t="n">
        <v>97</v>
      </c>
      <c r="K48" s="42" t="n">
        <v>15</v>
      </c>
      <c r="L48" s="43" t="n"/>
      <c r="M48" s="44" t="n"/>
      <c r="N48" s="44" t="inlineStr">
        <is>
          <t>UCHfIbq9thHPC8yrKjAdJgDA</t>
        </is>
      </c>
      <c r="O48" s="45" t="n">
        <v>46227.58333333334</v>
      </c>
      <c r="P48" s="46" t="n">
        <v>46227</v>
      </c>
      <c r="Q48" s="44" t="n">
        <v>3224</v>
      </c>
      <c r="R48" s="44" t="inlineStr">
        <is>
          <t>No Video ID yet</t>
        </is>
      </c>
      <c r="S48" s="46" t="n"/>
      <c r="T48" s="46" t="n"/>
      <c r="U48" s="44" t="n"/>
      <c r="V48" s="44">
        <f>IF(AND(P48&gt;=Calendar!$K$2,P48&lt;EDATE(Calendar!$K$2,1),OR(Calendar!$K$4="*",N48=Calendar!$K$4)),P48*100+COUNTIFS($P$6:$P$3271,P48,$Q$6:$Q$3271,"&lt;="&amp;Q48,$N$6:$N$3271,Calendar!$K$4),"")</f>
        <v/>
      </c>
      <c r="W48" s="44">
        <f>IF(AND(B48=Queue!$C$4,OR(Queue!$K$4="*",N48=Queue!$K$4)),Q48,"")</f>
        <v/>
      </c>
    </row>
    <row r="49">
      <c r="A49" s="35">
        <f>IF(M49="","",HYPERLINK("https://www.youtube.com/watch?v="&amp;M49,"▶"))</f>
        <v/>
      </c>
      <c r="B49" s="36">
        <f>IF(C49&lt;&gt;"",C49,IF(P49&lt;=IFERROR(INDEX(tblChannels[Watched Through],MATCH(N49,tblChannels[Channel ID],0)),0),"Watched","Unwatched"))</f>
        <v/>
      </c>
      <c r="C49" s="37" t="n"/>
      <c r="D49" s="38" t="n"/>
      <c r="E49" s="39" t="n">
        <v>46225.60972222222</v>
      </c>
      <c r="F49" s="47" t="inlineStr">
        <is>
          <t>Super Carlin Brothers</t>
        </is>
      </c>
      <c r="G49" t="inlineStr">
        <is>
          <t>Neville Was The REAL Chosen One</t>
        </is>
      </c>
      <c r="H49" s="41" t="n">
        <v>0.01128472222222222</v>
      </c>
      <c r="I49" s="42" t="n">
        <v>62348</v>
      </c>
      <c r="J49" s="42" t="n">
        <v>2909</v>
      </c>
      <c r="K49" s="42" t="n">
        <v>433</v>
      </c>
      <c r="L49" s="43" t="n"/>
      <c r="M49" s="44" t="n"/>
      <c r="N49" s="44" t="inlineStr">
        <is>
          <t>UCKZo4N0lVPccBkSiuyVh4yg</t>
        </is>
      </c>
      <c r="O49" s="45" t="n">
        <v>46225.77638888889</v>
      </c>
      <c r="P49" s="46" t="n">
        <v>46225</v>
      </c>
      <c r="Q49" s="44" t="n">
        <v>3223</v>
      </c>
      <c r="R49" s="44" t="inlineStr">
        <is>
          <t>No Video ID yet</t>
        </is>
      </c>
      <c r="S49" s="46" t="n"/>
      <c r="T49" s="46" t="n"/>
      <c r="U49" s="44" t="n"/>
      <c r="V49" s="44">
        <f>IF(AND(P49&gt;=Calendar!$K$2,P49&lt;EDATE(Calendar!$K$2,1),OR(Calendar!$K$4="*",N49=Calendar!$K$4)),P49*100+COUNTIFS($P$6:$P$3271,P49,$Q$6:$Q$3271,"&lt;="&amp;Q49,$N$6:$N$3271,Calendar!$K$4),"")</f>
        <v/>
      </c>
      <c r="W49" s="44">
        <f>IF(AND(B49=Queue!$C$4,OR(Queue!$K$4="*",N49=Queue!$K$4)),Q49,"")</f>
        <v/>
      </c>
    </row>
    <row r="50">
      <c r="A50" s="35">
        <f>IF(M50="","",HYPERLINK("https://www.youtube.com/watch?v="&amp;M50,"▶"))</f>
        <v/>
      </c>
      <c r="B50" s="36">
        <f>IF(C50&lt;&gt;"",C50,IF(P50&lt;=IFERROR(INDEX(tblChannels[Watched Through],MATCH(N50,tblChannels[Channel ID],0)),0),"Watched","Unwatched"))</f>
        <v/>
      </c>
      <c r="C50" s="37" t="n"/>
      <c r="D50" s="38" t="n"/>
      <c r="E50" s="39" t="n">
        <v>46223.70763888889</v>
      </c>
      <c r="F50" s="47" t="inlineStr">
        <is>
          <t>Super Carlin Brothers</t>
        </is>
      </c>
      <c r="G50" t="inlineStr">
        <is>
          <t>J vs Ben vs THE CAST OF HARRY POTTER!</t>
        </is>
      </c>
      <c r="H50" s="41" t="n">
        <v>0.03878472222222222</v>
      </c>
      <c r="I50" s="42" t="n">
        <v>84727</v>
      </c>
      <c r="J50" s="42" t="n">
        <v>3188</v>
      </c>
      <c r="K50" s="42" t="n">
        <v>374</v>
      </c>
      <c r="L50" s="43" t="n"/>
      <c r="M50" s="44" t="n"/>
      <c r="N50" s="44" t="inlineStr">
        <is>
          <t>UCKZo4N0lVPccBkSiuyVh4yg</t>
        </is>
      </c>
      <c r="O50" s="45" t="n">
        <v>46223.87430555555</v>
      </c>
      <c r="P50" s="46" t="n">
        <v>46223</v>
      </c>
      <c r="Q50" s="44" t="n">
        <v>3222</v>
      </c>
      <c r="R50" s="44" t="inlineStr">
        <is>
          <t>No Video ID yet</t>
        </is>
      </c>
      <c r="S50" s="46" t="n"/>
      <c r="T50" s="46" t="n"/>
      <c r="U50" s="44" t="n"/>
      <c r="V50" s="44">
        <f>IF(AND(P50&gt;=Calendar!$K$2,P50&lt;EDATE(Calendar!$K$2,1),OR(Calendar!$K$4="*",N50=Calendar!$K$4)),P50*100+COUNTIFS($P$6:$P$3271,P50,$Q$6:$Q$3271,"&lt;="&amp;Q50,$N$6:$N$3271,Calendar!$K$4),"")</f>
        <v/>
      </c>
      <c r="W50" s="44">
        <f>IF(AND(B50=Queue!$C$4,OR(Queue!$K$4="*",N50=Queue!$K$4)),Q50,"")</f>
        <v/>
      </c>
    </row>
    <row r="51">
      <c r="A51" s="35">
        <f>IF(M51="","",HYPERLINK("https://www.youtube.com/watch?v="&amp;M51,"▶"))</f>
        <v/>
      </c>
      <c r="B51" s="36">
        <f>IF(C51&lt;&gt;"",C51,IF(P51&lt;=IFERROR(INDEX(tblChannels[Watched Through],MATCH(N51,tblChannels[Channel ID],0)),0),"Watched","Unwatched"))</f>
        <v/>
      </c>
      <c r="C51" s="37" t="n"/>
      <c r="D51" s="38" t="n"/>
      <c r="E51" s="39" t="n">
        <v>46222.41666666666</v>
      </c>
      <c r="F51" s="48" t="inlineStr">
        <is>
          <t>Through The Griffin Door</t>
        </is>
      </c>
      <c r="G51" t="inlineStr">
        <is>
          <t>Chapter 6: Draco’s Detour | Half-Blood Prince</t>
        </is>
      </c>
      <c r="H51" s="41" t="n">
        <v>0.07483796296296297</v>
      </c>
      <c r="I51" s="42" t="n">
        <v>36083</v>
      </c>
      <c r="J51" s="42" t="n">
        <v>915</v>
      </c>
      <c r="K51" s="42" t="n">
        <v>291</v>
      </c>
      <c r="L51" s="43" t="n"/>
      <c r="M51" s="44" t="n"/>
      <c r="N51" s="44" t="inlineStr">
        <is>
          <t>UCEscP6ETYXWSSvsNrDHekMQ</t>
        </is>
      </c>
      <c r="O51" s="45" t="n">
        <v>46222.58333333334</v>
      </c>
      <c r="P51" s="46" t="n">
        <v>46222</v>
      </c>
      <c r="Q51" s="44" t="n">
        <v>3221</v>
      </c>
      <c r="R51" s="44" t="inlineStr">
        <is>
          <t>No Video ID yet</t>
        </is>
      </c>
      <c r="S51" s="46" t="n"/>
      <c r="T51" s="46" t="n"/>
      <c r="U51" s="44" t="n"/>
      <c r="V51" s="44">
        <f>IF(AND(P51&gt;=Calendar!$K$2,P51&lt;EDATE(Calendar!$K$2,1),OR(Calendar!$K$4="*",N51=Calendar!$K$4)),P51*100+COUNTIFS($P$6:$P$3271,P51,$Q$6:$Q$3271,"&lt;="&amp;Q51,$N$6:$N$3271,Calendar!$K$4),"")</f>
        <v/>
      </c>
      <c r="W51" s="44">
        <f>IF(AND(B51=Queue!$C$4,OR(Queue!$K$4="*",N51=Queue!$K$4)),Q51,"")</f>
        <v/>
      </c>
    </row>
    <row r="52">
      <c r="A52" s="35">
        <f>IF(M52="","",HYPERLINK("https://www.youtube.com/watch?v="&amp;M52,"▶"))</f>
        <v/>
      </c>
      <c r="B52" s="36">
        <f>IF(C52&lt;&gt;"",C52,IF(P52&lt;=IFERROR(INDEX(tblChannels[Watched Through],MATCH(N52,tblChannels[Channel ID],0)),0),"Watched","Unwatched"))</f>
        <v/>
      </c>
      <c r="C52" s="37" t="n"/>
      <c r="D52" s="38" t="n"/>
      <c r="E52" s="39" t="n">
        <v>46220.57013888889</v>
      </c>
      <c r="F52" s="47" t="inlineStr">
        <is>
          <t>Super Carlin Brothers</t>
        </is>
      </c>
      <c r="G52" t="inlineStr">
        <is>
          <t>3 MUCH Better Careers for Harry Potter</t>
        </is>
      </c>
      <c r="H52" s="41" t="n">
        <v>0.01484953703703704</v>
      </c>
      <c r="I52" s="42" t="n">
        <v>81403</v>
      </c>
      <c r="J52" s="42" t="n">
        <v>3501</v>
      </c>
      <c r="K52" s="42" t="n">
        <v>585</v>
      </c>
      <c r="L52" s="43" t="n"/>
      <c r="M52" s="44" t="n"/>
      <c r="N52" s="44" t="inlineStr">
        <is>
          <t>UCKZo4N0lVPccBkSiuyVh4yg</t>
        </is>
      </c>
      <c r="O52" s="45" t="n">
        <v>46220.73680555556</v>
      </c>
      <c r="P52" s="46" t="n">
        <v>46220</v>
      </c>
      <c r="Q52" s="44" t="n">
        <v>3220</v>
      </c>
      <c r="R52" s="44" t="inlineStr">
        <is>
          <t>No Video ID yet</t>
        </is>
      </c>
      <c r="S52" s="46" t="n"/>
      <c r="T52" s="46" t="n"/>
      <c r="U52" s="44" t="n"/>
      <c r="V52" s="44">
        <f>IF(AND(P52&gt;=Calendar!$K$2,P52&lt;EDATE(Calendar!$K$2,1),OR(Calendar!$K$4="*",N52=Calendar!$K$4)),P52*100+COUNTIFS($P$6:$P$3271,P52,$Q$6:$Q$3271,"&lt;="&amp;Q52,$N$6:$N$3271,Calendar!$K$4),"")</f>
        <v/>
      </c>
      <c r="W52" s="44">
        <f>IF(AND(B52=Queue!$C$4,OR(Queue!$K$4="*",N52=Queue!$K$4)),Q52,"")</f>
        <v/>
      </c>
    </row>
    <row r="53">
      <c r="A53" s="35">
        <f>IF(M53="","",HYPERLINK("https://www.youtube.com/watch?v="&amp;M53,"▶"))</f>
        <v/>
      </c>
      <c r="B53" s="36">
        <f>IF(C53&lt;&gt;"",C53,IF(P53&lt;=IFERROR(INDEX(tblChannels[Watched Through],MATCH(N53,tblChannels[Channel ID],0)),0),"Watched","Unwatched"))</f>
        <v/>
      </c>
      <c r="C53" s="37" t="n"/>
      <c r="D53" s="38" t="n"/>
      <c r="E53" s="39" t="n">
        <v>46220.41666666666</v>
      </c>
      <c r="F53" s="40" t="inlineStr">
        <is>
          <t>Popcorn Culture</t>
        </is>
      </c>
      <c r="G53" t="inlineStr">
        <is>
          <t>NOTHING Is Better Than Coffee Mate (Deragatory) | Popcorn Culture</t>
        </is>
      </c>
      <c r="H53" s="41" t="n">
        <v>0.04913194444444444</v>
      </c>
      <c r="I53" s="42" t="n">
        <v>2303</v>
      </c>
      <c r="J53" s="42" t="n">
        <v>111</v>
      </c>
      <c r="K53" s="42" t="n">
        <v>14</v>
      </c>
      <c r="L53" s="43" t="n"/>
      <c r="M53" s="44" t="n"/>
      <c r="N53" s="44" t="inlineStr">
        <is>
          <t>UCHfIbq9thHPC8yrKjAdJgDA</t>
        </is>
      </c>
      <c r="O53" s="45" t="n">
        <v>46220.58333333334</v>
      </c>
      <c r="P53" s="46" t="n">
        <v>46220</v>
      </c>
      <c r="Q53" s="44" t="n">
        <v>3219</v>
      </c>
      <c r="R53" s="44" t="inlineStr">
        <is>
          <t>No Video ID yet</t>
        </is>
      </c>
      <c r="S53" s="46" t="n"/>
      <c r="T53" s="46" t="n"/>
      <c r="U53" s="44" t="n"/>
      <c r="V53" s="44">
        <f>IF(AND(P53&gt;=Calendar!$K$2,P53&lt;EDATE(Calendar!$K$2,1),OR(Calendar!$K$4="*",N53=Calendar!$K$4)),P53*100+COUNTIFS($P$6:$P$3271,P53,$Q$6:$Q$3271,"&lt;="&amp;Q53,$N$6:$N$3271,Calendar!$K$4),"")</f>
        <v/>
      </c>
      <c r="W53" s="44">
        <f>IF(AND(B53=Queue!$C$4,OR(Queue!$K$4="*",N53=Queue!$K$4)),Q53,"")</f>
        <v/>
      </c>
    </row>
    <row r="54">
      <c r="A54" s="35">
        <f>IF(M54="","",HYPERLINK("https://www.youtube.com/watch?v="&amp;M54,"▶"))</f>
        <v/>
      </c>
      <c r="B54" s="36">
        <f>IF(C54&lt;&gt;"",C54,IF(P54&lt;=IFERROR(INDEX(tblChannels[Watched Through],MATCH(N54,tblChannels[Channel ID],0)),0),"Watched","Unwatched"))</f>
        <v/>
      </c>
      <c r="C54" s="37" t="n"/>
      <c r="D54" s="38" t="n"/>
      <c r="E54" s="39" t="n">
        <v>46218.66527777778</v>
      </c>
      <c r="F54" s="47" t="inlineStr">
        <is>
          <t>Super Carlin Brothers</t>
        </is>
      </c>
      <c r="G54" t="inlineStr">
        <is>
          <t>Can You Handle This INSANE House Elf Quiz? (we tried our best…)</t>
        </is>
      </c>
      <c r="H54" s="41" t="n">
        <v>0.02325231481481482</v>
      </c>
      <c r="I54" s="42" t="n">
        <v>50624</v>
      </c>
      <c r="J54" s="42" t="n">
        <v>2063</v>
      </c>
      <c r="K54" s="42" t="n">
        <v>232</v>
      </c>
      <c r="L54" s="43" t="n"/>
      <c r="M54" s="44" t="n"/>
      <c r="N54" s="44" t="inlineStr">
        <is>
          <t>UCKZo4N0lVPccBkSiuyVh4yg</t>
        </is>
      </c>
      <c r="O54" s="45" t="n">
        <v>46218.83194444444</v>
      </c>
      <c r="P54" s="46" t="n">
        <v>46218</v>
      </c>
      <c r="Q54" s="44" t="n">
        <v>3218</v>
      </c>
      <c r="R54" s="44" t="inlineStr">
        <is>
          <t>No Video ID yet</t>
        </is>
      </c>
      <c r="S54" s="46" t="n"/>
      <c r="T54" s="46" t="n"/>
      <c r="U54" s="44" t="n"/>
      <c r="V54" s="44">
        <f>IF(AND(P54&gt;=Calendar!$K$2,P54&lt;EDATE(Calendar!$K$2,1),OR(Calendar!$K$4="*",N54=Calendar!$K$4)),P54*100+COUNTIFS($P$6:$P$3271,P54,$Q$6:$Q$3271,"&lt;="&amp;Q54,$N$6:$N$3271,Calendar!$K$4),"")</f>
        <v/>
      </c>
      <c r="W54" s="44">
        <f>IF(AND(B54=Queue!$C$4,OR(Queue!$K$4="*",N54=Queue!$K$4)),Q54,"")</f>
        <v/>
      </c>
    </row>
    <row r="55">
      <c r="A55" s="35">
        <f>IF(M55="","",HYPERLINK("https://www.youtube.com/watch?v="&amp;M55,"▶"))</f>
        <v/>
      </c>
      <c r="B55" s="36">
        <f>IF(C55&lt;&gt;"",C55,IF(P55&lt;=IFERROR(INDEX(tblChannels[Watched Through],MATCH(N55,tblChannels[Channel ID],0)),0),"Watched","Unwatched"))</f>
        <v/>
      </c>
      <c r="C55" s="37" t="n"/>
      <c r="D55" s="38" t="n"/>
      <c r="E55" s="39" t="n">
        <v>46215.41666666666</v>
      </c>
      <c r="F55" s="48" t="inlineStr">
        <is>
          <t>Through The Griffin Door</t>
        </is>
      </c>
      <c r="G55" t="inlineStr">
        <is>
          <t>Chapter 5: An Excess of Phlegm | Half-Blood Prince</t>
        </is>
      </c>
      <c r="H55" s="41" t="n">
        <v>0.08392361111111112</v>
      </c>
      <c r="I55" s="42" t="n">
        <v>39863</v>
      </c>
      <c r="J55" s="42" t="n">
        <v>1025</v>
      </c>
      <c r="K55" s="42" t="n">
        <v>457</v>
      </c>
      <c r="L55" s="43" t="n"/>
      <c r="M55" s="44" t="n"/>
      <c r="N55" s="44" t="inlineStr">
        <is>
          <t>UCEscP6ETYXWSSvsNrDHekMQ</t>
        </is>
      </c>
      <c r="O55" s="45" t="n">
        <v>46215.58333333334</v>
      </c>
      <c r="P55" s="46" t="n">
        <v>46215</v>
      </c>
      <c r="Q55" s="44" t="n">
        <v>3217</v>
      </c>
      <c r="R55" s="44" t="inlineStr">
        <is>
          <t>No Video ID yet</t>
        </is>
      </c>
      <c r="S55" s="46" t="n"/>
      <c r="T55" s="46" t="n"/>
      <c r="U55" s="44" t="n"/>
      <c r="V55" s="44">
        <f>IF(AND(P55&gt;=Calendar!$K$2,P55&lt;EDATE(Calendar!$K$2,1),OR(Calendar!$K$4="*",N55=Calendar!$K$4)),P55*100+COUNTIFS($P$6:$P$3271,P55,$Q$6:$Q$3271,"&lt;="&amp;Q55,$N$6:$N$3271,Calendar!$K$4),"")</f>
        <v/>
      </c>
      <c r="W55" s="44">
        <f>IF(AND(B55=Queue!$C$4,OR(Queue!$K$4="*",N55=Queue!$K$4)),Q55,"")</f>
        <v/>
      </c>
    </row>
    <row r="56">
      <c r="A56" s="35">
        <f>IF(M56="","",HYPERLINK("https://www.youtube.com/watch?v="&amp;M56,"▶"))</f>
        <v/>
      </c>
      <c r="B56" s="36">
        <f>IF(C56&lt;&gt;"",C56,IF(P56&lt;=IFERROR(INDEX(tblChannels[Watched Through],MATCH(N56,tblChannels[Channel ID],0)),0),"Watched","Unwatched"))</f>
        <v/>
      </c>
      <c r="C56" s="37" t="n"/>
      <c r="D56" s="38" t="n"/>
      <c r="E56" s="39" t="n">
        <v>46213.67986111111</v>
      </c>
      <c r="F56" s="47" t="inlineStr">
        <is>
          <t>Super Carlin Brothers</t>
        </is>
      </c>
      <c r="G56" t="inlineStr">
        <is>
          <t>How Voldemort Defeated Himself</t>
        </is>
      </c>
      <c r="H56" s="41" t="n">
        <v>0.01060185185185185</v>
      </c>
      <c r="I56" s="42" t="n">
        <v>55260</v>
      </c>
      <c r="J56" s="42" t="n">
        <v>2623</v>
      </c>
      <c r="K56" s="42" t="n">
        <v>228</v>
      </c>
      <c r="L56" s="43" t="n"/>
      <c r="M56" s="44" t="n"/>
      <c r="N56" s="44" t="inlineStr">
        <is>
          <t>UCKZo4N0lVPccBkSiuyVh4yg</t>
        </is>
      </c>
      <c r="O56" s="45" t="n">
        <v>46213.84652777778</v>
      </c>
      <c r="P56" s="46" t="n">
        <v>46213</v>
      </c>
      <c r="Q56" s="44" t="n">
        <v>3216</v>
      </c>
      <c r="R56" s="44" t="inlineStr">
        <is>
          <t>No Video ID yet</t>
        </is>
      </c>
      <c r="S56" s="46" t="n"/>
      <c r="T56" s="46" t="n"/>
      <c r="U56" s="44" t="n"/>
      <c r="V56" s="44">
        <f>IF(AND(P56&gt;=Calendar!$K$2,P56&lt;EDATE(Calendar!$K$2,1),OR(Calendar!$K$4="*",N56=Calendar!$K$4)),P56*100+COUNTIFS($P$6:$P$3271,P56,$Q$6:$Q$3271,"&lt;="&amp;Q56,$N$6:$N$3271,Calendar!$K$4),"")</f>
        <v/>
      </c>
      <c r="W56" s="44">
        <f>IF(AND(B56=Queue!$C$4,OR(Queue!$K$4="*",N56=Queue!$K$4)),Q56,"")</f>
        <v/>
      </c>
    </row>
    <row r="57">
      <c r="A57" s="35">
        <f>IF(M57="","",HYPERLINK("https://www.youtube.com/watch?v="&amp;M57,"▶"))</f>
        <v/>
      </c>
      <c r="B57" s="36">
        <f>IF(C57&lt;&gt;"",C57,IF(P57&lt;=IFERROR(INDEX(tblChannels[Watched Through],MATCH(N57,tblChannels[Channel ID],0)),0),"Watched","Unwatched"))</f>
        <v/>
      </c>
      <c r="C57" s="37" t="n"/>
      <c r="D57" s="38" t="n"/>
      <c r="E57" s="39" t="n">
        <v>46213.41666666666</v>
      </c>
      <c r="F57" s="40" t="inlineStr">
        <is>
          <t>Popcorn Culture</t>
        </is>
      </c>
      <c r="G57" t="inlineStr">
        <is>
          <t>The California Backflip | Popcorn Culture</t>
        </is>
      </c>
      <c r="H57" s="41" t="n">
        <v>0.05306712962962963</v>
      </c>
      <c r="I57" s="42" t="n">
        <v>2000</v>
      </c>
      <c r="J57" s="42" t="n">
        <v>94</v>
      </c>
      <c r="K57" s="42" t="n">
        <v>9</v>
      </c>
      <c r="L57" s="43" t="n"/>
      <c r="M57" s="44" t="n"/>
      <c r="N57" s="44" t="inlineStr">
        <is>
          <t>UCHfIbq9thHPC8yrKjAdJgDA</t>
        </is>
      </c>
      <c r="O57" s="45" t="n">
        <v>46213.58333333334</v>
      </c>
      <c r="P57" s="46" t="n">
        <v>46213</v>
      </c>
      <c r="Q57" s="44" t="n">
        <v>3215</v>
      </c>
      <c r="R57" s="44" t="inlineStr">
        <is>
          <t>No Video ID yet</t>
        </is>
      </c>
      <c r="S57" s="46" t="n"/>
      <c r="T57" s="46" t="n"/>
      <c r="U57" s="44" t="n"/>
      <c r="V57" s="44">
        <f>IF(AND(P57&gt;=Calendar!$K$2,P57&lt;EDATE(Calendar!$K$2,1),OR(Calendar!$K$4="*",N57=Calendar!$K$4)),P57*100+COUNTIFS($P$6:$P$3271,P57,$Q$6:$Q$3271,"&lt;="&amp;Q57,$N$6:$N$3271,Calendar!$K$4),"")</f>
        <v/>
      </c>
      <c r="W57" s="44">
        <f>IF(AND(B57=Queue!$C$4,OR(Queue!$K$4="*",N57=Queue!$K$4)),Q57,"")</f>
        <v/>
      </c>
    </row>
    <row r="58">
      <c r="A58" s="35">
        <f>IF(M58="","",HYPERLINK("https://www.youtube.com/watch?v="&amp;M58,"▶"))</f>
        <v/>
      </c>
      <c r="B58" s="36">
        <f>IF(C58&lt;&gt;"",C58,IF(P58&lt;=IFERROR(INDEX(tblChannels[Watched Through],MATCH(N58,tblChannels[Channel ID],0)),0),"Watched","Unwatched"))</f>
        <v/>
      </c>
      <c r="C58" s="37" t="n"/>
      <c r="D58" s="38" t="n"/>
      <c r="E58" s="39" t="n">
        <v>46211.71319444444</v>
      </c>
      <c r="F58" s="47" t="inlineStr">
        <is>
          <t>Super Carlin Brothers</t>
        </is>
      </c>
      <c r="G58" t="inlineStr">
        <is>
          <t>Why Does Buzz Freeze? SOLVED</t>
        </is>
      </c>
      <c r="H58" s="41" t="n">
        <v>0.01228009259259259</v>
      </c>
      <c r="I58" s="42" t="n">
        <v>89109</v>
      </c>
      <c r="J58" s="42" t="n">
        <v>4188</v>
      </c>
      <c r="K58" s="42" t="n">
        <v>454</v>
      </c>
      <c r="L58" s="43" t="n"/>
      <c r="M58" s="44" t="n"/>
      <c r="N58" s="44" t="inlineStr">
        <is>
          <t>UCKZo4N0lVPccBkSiuyVh4yg</t>
        </is>
      </c>
      <c r="O58" s="45" t="n">
        <v>46211.87986111111</v>
      </c>
      <c r="P58" s="46" t="n">
        <v>46211</v>
      </c>
      <c r="Q58" s="44" t="n">
        <v>3214</v>
      </c>
      <c r="R58" s="44" t="inlineStr">
        <is>
          <t>No Video ID yet</t>
        </is>
      </c>
      <c r="S58" s="46" t="n"/>
      <c r="T58" s="46" t="n"/>
      <c r="U58" s="44" t="n"/>
      <c r="V58" s="44">
        <f>IF(AND(P58&gt;=Calendar!$K$2,P58&lt;EDATE(Calendar!$K$2,1),OR(Calendar!$K$4="*",N58=Calendar!$K$4)),P58*100+COUNTIFS($P$6:$P$3271,P58,$Q$6:$Q$3271,"&lt;="&amp;Q58,$N$6:$N$3271,Calendar!$K$4),"")</f>
        <v/>
      </c>
      <c r="W58" s="44">
        <f>IF(AND(B58=Queue!$C$4,OR(Queue!$K$4="*",N58=Queue!$K$4)),Q58,"")</f>
        <v/>
      </c>
    </row>
    <row r="59">
      <c r="A59" s="35">
        <f>IF(M59="","",HYPERLINK("https://www.youtube.com/watch?v="&amp;M59,"▶"))</f>
        <v/>
      </c>
      <c r="B59" s="36">
        <f>IF(C59&lt;&gt;"",C59,IF(P59&lt;=IFERROR(INDEX(tblChannels[Watched Through],MATCH(N59,tblChannels[Channel ID],0)),0),"Watched","Unwatched"))</f>
        <v/>
      </c>
      <c r="C59" s="37" t="n"/>
      <c r="D59" s="38" t="n"/>
      <c r="E59" s="39" t="n">
        <v>46208.41666666666</v>
      </c>
      <c r="F59" s="48" t="inlineStr">
        <is>
          <t>Through The Griffin Door</t>
        </is>
      </c>
      <c r="G59" t="inlineStr">
        <is>
          <t>The Owlery Special Part 4!</t>
        </is>
      </c>
      <c r="H59" s="41" t="n">
        <v>0.06575231481481482</v>
      </c>
      <c r="I59" s="42" t="n">
        <v>19724</v>
      </c>
      <c r="J59" s="42" t="n">
        <v>565</v>
      </c>
      <c r="K59" s="42" t="n">
        <v>244</v>
      </c>
      <c r="L59" s="43" t="n"/>
      <c r="M59" s="44" t="n"/>
      <c r="N59" s="44" t="inlineStr">
        <is>
          <t>UCEscP6ETYXWSSvsNrDHekMQ</t>
        </is>
      </c>
      <c r="O59" s="45" t="n">
        <v>46208.58333333334</v>
      </c>
      <c r="P59" s="46" t="n">
        <v>46208</v>
      </c>
      <c r="Q59" s="44" t="n">
        <v>3213</v>
      </c>
      <c r="R59" s="44" t="inlineStr">
        <is>
          <t>No Video ID yet</t>
        </is>
      </c>
      <c r="S59" s="46" t="n"/>
      <c r="T59" s="46" t="n"/>
      <c r="U59" s="44" t="n"/>
      <c r="V59" s="44">
        <f>IF(AND(P59&gt;=Calendar!$K$2,P59&lt;EDATE(Calendar!$K$2,1),OR(Calendar!$K$4="*",N59=Calendar!$K$4)),P59*100+COUNTIFS($P$6:$P$3271,P59,$Q$6:$Q$3271,"&lt;="&amp;Q59,$N$6:$N$3271,Calendar!$K$4),"")</f>
        <v/>
      </c>
      <c r="W59" s="44">
        <f>IF(AND(B59=Queue!$C$4,OR(Queue!$K$4="*",N59=Queue!$K$4)),Q59,"")</f>
        <v/>
      </c>
    </row>
    <row r="60">
      <c r="A60" s="35">
        <f>IF(M60="","",HYPERLINK("https://www.youtube.com/watch?v="&amp;M60,"▶"))</f>
        <v/>
      </c>
      <c r="B60" s="36">
        <f>IF(C60&lt;&gt;"",C60,IF(P60&lt;=IFERROR(INDEX(tblChannels[Watched Through],MATCH(N60,tblChannels[Channel ID],0)),0),"Watched","Unwatched"))</f>
        <v/>
      </c>
      <c r="C60" s="37" t="n"/>
      <c r="D60" s="38" t="n"/>
      <c r="E60" s="39" t="n">
        <v>46206.625</v>
      </c>
      <c r="F60" s="47" t="inlineStr">
        <is>
          <t>Super Carlin Brothers</t>
        </is>
      </c>
      <c r="G60" t="inlineStr">
        <is>
          <t>How Dumbledore Actually LOST Against Grindelwald</t>
        </is>
      </c>
      <c r="H60" s="41" t="n">
        <v>0.01171296296296296</v>
      </c>
      <c r="I60" s="42" t="n">
        <v>54451</v>
      </c>
      <c r="J60" s="42" t="n">
        <v>2395</v>
      </c>
      <c r="K60" s="42" t="n">
        <v>222</v>
      </c>
      <c r="L60" s="43" t="n"/>
      <c r="M60" s="44" t="n"/>
      <c r="N60" s="44" t="inlineStr">
        <is>
          <t>UCKZo4N0lVPccBkSiuyVh4yg</t>
        </is>
      </c>
      <c r="O60" s="45" t="n">
        <v>46206.79166666666</v>
      </c>
      <c r="P60" s="46" t="n">
        <v>46206</v>
      </c>
      <c r="Q60" s="44" t="n">
        <v>3212</v>
      </c>
      <c r="R60" s="44" t="inlineStr">
        <is>
          <t>No Video ID yet</t>
        </is>
      </c>
      <c r="S60" s="46" t="n"/>
      <c r="T60" s="46" t="n"/>
      <c r="U60" s="44" t="n"/>
      <c r="V60" s="44">
        <f>IF(AND(P60&gt;=Calendar!$K$2,P60&lt;EDATE(Calendar!$K$2,1),OR(Calendar!$K$4="*",N60=Calendar!$K$4)),P60*100+COUNTIFS($P$6:$P$3271,P60,$Q$6:$Q$3271,"&lt;="&amp;Q60,$N$6:$N$3271,Calendar!$K$4),"")</f>
        <v/>
      </c>
      <c r="W60" s="44">
        <f>IF(AND(B60=Queue!$C$4,OR(Queue!$K$4="*",N60=Queue!$K$4)),Q60,"")</f>
        <v/>
      </c>
    </row>
    <row r="61">
      <c r="A61" s="35">
        <f>IF(M61="","",HYPERLINK("https://www.youtube.com/watch?v="&amp;M61,"▶"))</f>
        <v/>
      </c>
      <c r="B61" s="36">
        <f>IF(C61&lt;&gt;"",C61,IF(P61&lt;=IFERROR(INDEX(tblChannels[Watched Through],MATCH(N61,tblChannels[Channel ID],0)),0),"Watched","Unwatched"))</f>
        <v/>
      </c>
      <c r="C61" s="37" t="n"/>
      <c r="D61" s="38" t="n"/>
      <c r="E61" s="39" t="n">
        <v>46206.41666666666</v>
      </c>
      <c r="F61" s="40" t="inlineStr">
        <is>
          <t>Popcorn Culture</t>
        </is>
      </c>
      <c r="G61" t="inlineStr">
        <is>
          <t>J is NOT a Capricorn Rabbit | Popcorn Culture</t>
        </is>
      </c>
      <c r="H61" s="41" t="n">
        <v>0.05695601851851852</v>
      </c>
      <c r="I61" s="42" t="n">
        <v>1872</v>
      </c>
      <c r="J61" s="42" t="n">
        <v>103</v>
      </c>
      <c r="K61" s="42" t="n">
        <v>16</v>
      </c>
      <c r="L61" s="43" t="n"/>
      <c r="M61" s="44" t="n"/>
      <c r="N61" s="44" t="inlineStr">
        <is>
          <t>UCHfIbq9thHPC8yrKjAdJgDA</t>
        </is>
      </c>
      <c r="O61" s="45" t="n">
        <v>46206.58333333334</v>
      </c>
      <c r="P61" s="46" t="n">
        <v>46206</v>
      </c>
      <c r="Q61" s="44" t="n">
        <v>3211</v>
      </c>
      <c r="R61" s="44" t="inlineStr">
        <is>
          <t>No Video ID yet</t>
        </is>
      </c>
      <c r="S61" s="46" t="n"/>
      <c r="T61" s="46" t="n"/>
      <c r="U61" s="44" t="n"/>
      <c r="V61" s="44">
        <f>IF(AND(P61&gt;=Calendar!$K$2,P61&lt;EDATE(Calendar!$K$2,1),OR(Calendar!$K$4="*",N61=Calendar!$K$4)),P61*100+COUNTIFS($P$6:$P$3271,P61,$Q$6:$Q$3271,"&lt;="&amp;Q61,$N$6:$N$3271,Calendar!$K$4),"")</f>
        <v/>
      </c>
      <c r="W61" s="44">
        <f>IF(AND(B61=Queue!$C$4,OR(Queue!$K$4="*",N61=Queue!$K$4)),Q61,"")</f>
        <v/>
      </c>
    </row>
    <row r="62">
      <c r="A62" s="35">
        <f>IF(M62="","",HYPERLINK("https://www.youtube.com/watch?v="&amp;M62,"▶"))</f>
        <v/>
      </c>
      <c r="B62" s="36">
        <f>IF(C62&lt;&gt;"",C62,IF(P62&lt;=IFERROR(INDEX(tblChannels[Watched Through],MATCH(N62,tblChannels[Channel ID],0)),0),"Watched","Unwatched"))</f>
        <v/>
      </c>
      <c r="C62" s="37" t="n"/>
      <c r="D62" s="38" t="n"/>
      <c r="E62" s="39" t="n">
        <v>46204.625</v>
      </c>
      <c r="F62" s="47" t="inlineStr">
        <is>
          <t>Super Carlin Brothers</t>
        </is>
      </c>
      <c r="G62" t="inlineStr">
        <is>
          <t>Can We Handle This INSANE Order of The Phoenix Quiz</t>
        </is>
      </c>
      <c r="H62" s="41" t="n">
        <v>0.0278125</v>
      </c>
      <c r="I62" s="42" t="n">
        <v>98144</v>
      </c>
      <c r="J62" s="42" t="n">
        <v>2859</v>
      </c>
      <c r="K62" s="42" t="n">
        <v>263</v>
      </c>
      <c r="L62" s="43" t="n"/>
      <c r="M62" s="44" t="n"/>
      <c r="N62" s="44" t="inlineStr">
        <is>
          <t>UCKZo4N0lVPccBkSiuyVh4yg</t>
        </is>
      </c>
      <c r="O62" s="45" t="n">
        <v>46204.79166666666</v>
      </c>
      <c r="P62" s="46" t="n">
        <v>46204</v>
      </c>
      <c r="Q62" s="44" t="n">
        <v>3210</v>
      </c>
      <c r="R62" s="44" t="inlineStr">
        <is>
          <t>No Video ID yet</t>
        </is>
      </c>
      <c r="S62" s="46" t="n"/>
      <c r="T62" s="46" t="n"/>
      <c r="U62" s="44" t="n"/>
      <c r="V62" s="44">
        <f>IF(AND(P62&gt;=Calendar!$K$2,P62&lt;EDATE(Calendar!$K$2,1),OR(Calendar!$K$4="*",N62=Calendar!$K$4)),P62*100+COUNTIFS($P$6:$P$3271,P62,$Q$6:$Q$3271,"&lt;="&amp;Q62,$N$6:$N$3271,Calendar!$K$4),"")</f>
        <v/>
      </c>
      <c r="W62" s="44">
        <f>IF(AND(B62=Queue!$C$4,OR(Queue!$K$4="*",N62=Queue!$K$4)),Q62,"")</f>
        <v/>
      </c>
    </row>
    <row r="63">
      <c r="A63" s="35">
        <f>IF(M63="","",HYPERLINK("https://www.youtube.com/watch?v="&amp;M63,"▶"))</f>
        <v/>
      </c>
      <c r="B63" s="36">
        <f>IF(C63&lt;&gt;"",C63,IF(P63&lt;=IFERROR(INDEX(tblChannels[Watched Through],MATCH(N63,tblChannels[Channel ID],0)),0),"Watched","Unwatched"))</f>
        <v/>
      </c>
      <c r="C63" s="37" t="n"/>
      <c r="D63" s="38" t="n"/>
      <c r="E63" s="39" t="n">
        <v>46201.41666666666</v>
      </c>
      <c r="F63" s="48" t="inlineStr">
        <is>
          <t>Through The Griffin Door</t>
        </is>
      </c>
      <c r="G63" t="inlineStr">
        <is>
          <t>Chapter 4: Horace Slughorn | Half-Blood Prince</t>
        </is>
      </c>
      <c r="H63" s="41" t="n">
        <v>0.08177083333333333</v>
      </c>
      <c r="I63" s="42" t="n">
        <v>41425</v>
      </c>
      <c r="J63" s="42" t="n">
        <v>1012</v>
      </c>
      <c r="K63" s="42" t="n">
        <v>410</v>
      </c>
      <c r="L63" s="43" t="n"/>
      <c r="M63" s="44" t="n"/>
      <c r="N63" s="44" t="inlineStr">
        <is>
          <t>UCEscP6ETYXWSSvsNrDHekMQ</t>
        </is>
      </c>
      <c r="O63" s="45" t="n">
        <v>46201.58333333334</v>
      </c>
      <c r="P63" s="46" t="n">
        <v>46201</v>
      </c>
      <c r="Q63" s="44" t="n">
        <v>3209</v>
      </c>
      <c r="R63" s="44" t="inlineStr">
        <is>
          <t>No Video ID yet</t>
        </is>
      </c>
      <c r="S63" s="46" t="n"/>
      <c r="T63" s="46" t="n"/>
      <c r="U63" s="44" t="n"/>
      <c r="V63" s="44">
        <f>IF(AND(P63&gt;=Calendar!$K$2,P63&lt;EDATE(Calendar!$K$2,1),OR(Calendar!$K$4="*",N63=Calendar!$K$4)),P63*100+COUNTIFS($P$6:$P$3271,P63,$Q$6:$Q$3271,"&lt;="&amp;Q63,$N$6:$N$3271,Calendar!$K$4),"")</f>
        <v/>
      </c>
      <c r="W63" s="44">
        <f>IF(AND(B63=Queue!$C$4,OR(Queue!$K$4="*",N63=Queue!$K$4)),Q63,"")</f>
        <v/>
      </c>
    </row>
    <row r="64">
      <c r="A64" s="35">
        <f>IF(M64="","",HYPERLINK("https://www.youtube.com/watch?v="&amp;M64,"▶"))</f>
        <v/>
      </c>
      <c r="B64" s="36">
        <f>IF(C64&lt;&gt;"",C64,IF(P64&lt;=IFERROR(INDEX(tblChannels[Watched Through],MATCH(N64,tblChannels[Channel ID],0)),0),"Watched","Unwatched"))</f>
        <v/>
      </c>
      <c r="C64" s="37" t="n"/>
      <c r="D64" s="38" t="n"/>
      <c r="E64" s="39" t="n">
        <v>46199.65277777778</v>
      </c>
      <c r="F64" s="47" t="inlineStr">
        <is>
          <t>Super Carlin Brothers</t>
        </is>
      </c>
      <c r="G64" t="inlineStr">
        <is>
          <t>Dumbledore’s Horcrux</t>
        </is>
      </c>
      <c r="H64" s="41" t="n">
        <v>0.01752314814814815</v>
      </c>
      <c r="I64" s="42" t="n">
        <v>101357</v>
      </c>
      <c r="J64" s="42" t="n">
        <v>4094</v>
      </c>
      <c r="K64" s="42" t="n">
        <v>803</v>
      </c>
      <c r="L64" s="43" t="n"/>
      <c r="M64" s="44" t="n"/>
      <c r="N64" s="44" t="inlineStr">
        <is>
          <t>UCKZo4N0lVPccBkSiuyVh4yg</t>
        </is>
      </c>
      <c r="O64" s="45" t="n">
        <v>46199.81944444445</v>
      </c>
      <c r="P64" s="46" t="n">
        <v>46199</v>
      </c>
      <c r="Q64" s="44" t="n">
        <v>3208</v>
      </c>
      <c r="R64" s="44" t="inlineStr">
        <is>
          <t>No Video ID yet</t>
        </is>
      </c>
      <c r="S64" s="46" t="n"/>
      <c r="T64" s="46" t="n"/>
      <c r="U64" s="44" t="n"/>
      <c r="V64" s="44">
        <f>IF(AND(P64&gt;=Calendar!$K$2,P64&lt;EDATE(Calendar!$K$2,1),OR(Calendar!$K$4="*",N64=Calendar!$K$4)),P64*100+COUNTIFS($P$6:$P$3271,P64,$Q$6:$Q$3271,"&lt;="&amp;Q64,$N$6:$N$3271,Calendar!$K$4),"")</f>
        <v/>
      </c>
      <c r="W64" s="44">
        <f>IF(AND(B64=Queue!$C$4,OR(Queue!$K$4="*",N64=Queue!$K$4)),Q64,"")</f>
        <v/>
      </c>
    </row>
    <row r="65">
      <c r="A65" s="35">
        <f>IF(M65="","",HYPERLINK("https://www.youtube.com/watch?v="&amp;M65,"▶"))</f>
        <v/>
      </c>
      <c r="B65" s="36">
        <f>IF(C65&lt;&gt;"",C65,IF(P65&lt;=IFERROR(INDEX(tblChannels[Watched Through],MATCH(N65,tblChannels[Channel ID],0)),0),"Watched","Unwatched"))</f>
        <v/>
      </c>
      <c r="C65" s="37" t="n"/>
      <c r="D65" s="38" t="n"/>
      <c r="E65" s="39" t="n">
        <v>46199.41666666666</v>
      </c>
      <c r="F65" s="40" t="inlineStr">
        <is>
          <t>Popcorn Culture</t>
        </is>
      </c>
      <c r="G65" t="inlineStr">
        <is>
          <t>Pretending to Be a Dead Ant | Popcorn Culture</t>
        </is>
      </c>
      <c r="H65" s="41" t="n">
        <v>0.05313657407407407</v>
      </c>
      <c r="I65" s="42" t="n">
        <v>2252</v>
      </c>
      <c r="J65" s="42" t="n">
        <v>109</v>
      </c>
      <c r="K65" s="42" t="n">
        <v>21</v>
      </c>
      <c r="L65" s="43" t="n"/>
      <c r="M65" s="44" t="n"/>
      <c r="N65" s="44" t="inlineStr">
        <is>
          <t>UCHfIbq9thHPC8yrKjAdJgDA</t>
        </is>
      </c>
      <c r="O65" s="45" t="n">
        <v>46199.58333333334</v>
      </c>
      <c r="P65" s="46" t="n">
        <v>46199</v>
      </c>
      <c r="Q65" s="44" t="n">
        <v>3207</v>
      </c>
      <c r="R65" s="44" t="inlineStr">
        <is>
          <t>No Video ID yet</t>
        </is>
      </c>
      <c r="S65" s="46" t="n"/>
      <c r="T65" s="46" t="n"/>
      <c r="U65" s="44" t="n"/>
      <c r="V65" s="44">
        <f>IF(AND(P65&gt;=Calendar!$K$2,P65&lt;EDATE(Calendar!$K$2,1),OR(Calendar!$K$4="*",N65=Calendar!$K$4)),P65*100+COUNTIFS($P$6:$P$3271,P65,$Q$6:$Q$3271,"&lt;="&amp;Q65,$N$6:$N$3271,Calendar!$K$4),"")</f>
        <v/>
      </c>
      <c r="W65" s="44">
        <f>IF(AND(B65=Queue!$C$4,OR(Queue!$K$4="*",N65=Queue!$K$4)),Q65,"")</f>
        <v/>
      </c>
    </row>
    <row r="66">
      <c r="A66" s="35">
        <f>IF(M66="","",HYPERLINK("https://www.youtube.com/watch?v="&amp;M66,"▶"))</f>
        <v/>
      </c>
      <c r="B66" s="36">
        <f>IF(C66&lt;&gt;"",C66,IF(P66&lt;=IFERROR(INDEX(tblChannels[Watched Through],MATCH(N66,tblChannels[Channel ID],0)),0),"Watched","Unwatched"))</f>
        <v/>
      </c>
      <c r="C66" s="37" t="n"/>
      <c r="D66" s="38" t="n"/>
      <c r="E66" s="39" t="n">
        <v>46197.72083333333</v>
      </c>
      <c r="F66" s="47" t="inlineStr">
        <is>
          <t>Super Carlin Brothers</t>
        </is>
      </c>
      <c r="G66" t="inlineStr">
        <is>
          <t>Harry Potter's Apparition Problem, FINALLY Explained</t>
        </is>
      </c>
      <c r="H66" s="41" t="n">
        <v>0.01306712962962963</v>
      </c>
      <c r="I66" s="42" t="n">
        <v>76368</v>
      </c>
      <c r="J66" s="42" t="n">
        <v>3062</v>
      </c>
      <c r="K66" s="42" t="n">
        <v>400</v>
      </c>
      <c r="L66" s="43" t="n"/>
      <c r="M66" s="44" t="n"/>
      <c r="N66" s="44" t="inlineStr">
        <is>
          <t>UCKZo4N0lVPccBkSiuyVh4yg</t>
        </is>
      </c>
      <c r="O66" s="45" t="n">
        <v>46197.8875</v>
      </c>
      <c r="P66" s="46" t="n">
        <v>46197</v>
      </c>
      <c r="Q66" s="44" t="n">
        <v>3206</v>
      </c>
      <c r="R66" s="44" t="inlineStr">
        <is>
          <t>No Video ID yet</t>
        </is>
      </c>
      <c r="S66" s="46" t="n"/>
      <c r="T66" s="46" t="n"/>
      <c r="U66" s="44" t="n"/>
      <c r="V66" s="44">
        <f>IF(AND(P66&gt;=Calendar!$K$2,P66&lt;EDATE(Calendar!$K$2,1),OR(Calendar!$K$4="*",N66=Calendar!$K$4)),P66*100+COUNTIFS($P$6:$P$3271,P66,$Q$6:$Q$3271,"&lt;="&amp;Q66,$N$6:$N$3271,Calendar!$K$4),"")</f>
        <v/>
      </c>
      <c r="W66" s="44">
        <f>IF(AND(B66=Queue!$C$4,OR(Queue!$K$4="*",N66=Queue!$K$4)),Q66,"")</f>
        <v/>
      </c>
    </row>
    <row r="67">
      <c r="A67" s="35">
        <f>IF(M67="","",HYPERLINK("https://www.youtube.com/watch?v="&amp;M67,"▶"))</f>
        <v/>
      </c>
      <c r="B67" s="36">
        <f>IF(C67&lt;&gt;"",C67,IF(P67&lt;=IFERROR(INDEX(tblChannels[Watched Through],MATCH(N67,tblChannels[Channel ID],0)),0),"Watched","Unwatched"))</f>
        <v/>
      </c>
      <c r="C67" s="37" t="n"/>
      <c r="D67" s="38" t="n"/>
      <c r="E67" s="39" t="n">
        <v>46195.66180555556</v>
      </c>
      <c r="F67" s="40" t="inlineStr">
        <is>
          <t>Popcorn Culture</t>
        </is>
      </c>
      <c r="G67" t="inlineStr">
        <is>
          <t>Dead Ants..? | Popcorn Culture</t>
        </is>
      </c>
      <c r="H67" s="41" t="n">
        <v>0.001226851851851852</v>
      </c>
      <c r="I67" s="42" t="n">
        <v>1880</v>
      </c>
      <c r="J67" s="42" t="n">
        <v>131</v>
      </c>
      <c r="K67" s="42" t="n">
        <v>6</v>
      </c>
      <c r="L67" s="43" t="n"/>
      <c r="M67" s="44" t="n"/>
      <c r="N67" s="44" t="inlineStr">
        <is>
          <t>UCHfIbq9thHPC8yrKjAdJgDA</t>
        </is>
      </c>
      <c r="O67" s="45" t="n">
        <v>46195.82847222222</v>
      </c>
      <c r="P67" s="46" t="n">
        <v>46195</v>
      </c>
      <c r="Q67" s="44" t="n">
        <v>3205</v>
      </c>
      <c r="R67" s="44" t="inlineStr">
        <is>
          <t>No Video ID yet</t>
        </is>
      </c>
      <c r="S67" s="46" t="n"/>
      <c r="T67" s="46" t="n"/>
      <c r="U67" s="44" t="n"/>
      <c r="V67" s="44">
        <f>IF(AND(P67&gt;=Calendar!$K$2,P67&lt;EDATE(Calendar!$K$2,1),OR(Calendar!$K$4="*",N67=Calendar!$K$4)),P67*100+COUNTIFS($P$6:$P$3271,P67,$Q$6:$Q$3271,"&lt;="&amp;Q67,$N$6:$N$3271,Calendar!$K$4),"")</f>
        <v/>
      </c>
      <c r="W67" s="44">
        <f>IF(AND(B67=Queue!$C$4,OR(Queue!$K$4="*",N67=Queue!$K$4)),Q67,"")</f>
        <v/>
      </c>
    </row>
    <row r="68">
      <c r="A68" s="35">
        <f>IF(M68="","",HYPERLINK("https://www.youtube.com/watch?v="&amp;M68,"▶"))</f>
        <v/>
      </c>
      <c r="B68" s="36">
        <f>IF(C68&lt;&gt;"",C68,IF(P68&lt;=IFERROR(INDEX(tblChannels[Watched Through],MATCH(N68,tblChannels[Channel ID],0)),0),"Watched","Unwatched"))</f>
        <v/>
      </c>
      <c r="C68" s="37" t="n"/>
      <c r="D68" s="38" t="n"/>
      <c r="E68" s="39" t="n">
        <v>46194.41666666666</v>
      </c>
      <c r="F68" s="48" t="inlineStr">
        <is>
          <t>Through The Griffin Door</t>
        </is>
      </c>
      <c r="G68" t="inlineStr">
        <is>
          <t>Chapter 3: Will and Won’t | Half-Blood Prince</t>
        </is>
      </c>
      <c r="H68" s="41" t="n">
        <v>0.0675</v>
      </c>
      <c r="I68" s="42" t="n">
        <v>37936</v>
      </c>
      <c r="J68" s="42" t="n">
        <v>1025</v>
      </c>
      <c r="K68" s="42" t="n">
        <v>438</v>
      </c>
      <c r="L68" s="43" t="n"/>
      <c r="M68" s="44" t="n"/>
      <c r="N68" s="44" t="inlineStr">
        <is>
          <t>UCEscP6ETYXWSSvsNrDHekMQ</t>
        </is>
      </c>
      <c r="O68" s="45" t="n">
        <v>46194.58333333334</v>
      </c>
      <c r="P68" s="46" t="n">
        <v>46194</v>
      </c>
      <c r="Q68" s="44" t="n">
        <v>3204</v>
      </c>
      <c r="R68" s="44" t="inlineStr">
        <is>
          <t>No Video ID yet</t>
        </is>
      </c>
      <c r="S68" s="46" t="n"/>
      <c r="T68" s="46" t="n"/>
      <c r="U68" s="44" t="n"/>
      <c r="V68" s="44">
        <f>IF(AND(P68&gt;=Calendar!$K$2,P68&lt;EDATE(Calendar!$K$2,1),OR(Calendar!$K$4="*",N68=Calendar!$K$4)),P68*100+COUNTIFS($P$6:$P$3271,P68,$Q$6:$Q$3271,"&lt;="&amp;Q68,$N$6:$N$3271,Calendar!$K$4),"")</f>
        <v/>
      </c>
      <c r="W68" s="44">
        <f>IF(AND(B68=Queue!$C$4,OR(Queue!$K$4="*",N68=Queue!$K$4)),Q68,"")</f>
        <v/>
      </c>
    </row>
    <row r="69">
      <c r="A69" s="35">
        <f>IF(M69="","",HYPERLINK("https://www.youtube.com/watch?v="&amp;M69,"▶"))</f>
        <v/>
      </c>
      <c r="B69" s="36">
        <f>IF(C69&lt;&gt;"",C69,IF(P69&lt;=IFERROR(INDEX(tblChannels[Watched Through],MATCH(N69,tblChannels[Channel ID],0)),0),"Watched","Unwatched"))</f>
        <v/>
      </c>
      <c r="C69" s="37" t="n"/>
      <c r="D69" s="38" t="n"/>
      <c r="E69" s="39" t="n">
        <v>46192.65902777778</v>
      </c>
      <c r="F69" s="47" t="inlineStr">
        <is>
          <t>Super Carlin Brothers</t>
        </is>
      </c>
      <c r="G69" t="inlineStr">
        <is>
          <t>We Accidentally Proved James Potter Was The Half-Blood Prince</t>
        </is>
      </c>
      <c r="H69" s="41" t="n">
        <v>0.0119212962962963</v>
      </c>
      <c r="I69" s="42" t="n">
        <v>160920</v>
      </c>
      <c r="J69" s="42" t="n">
        <v>5303</v>
      </c>
      <c r="K69" s="42" t="n">
        <v>671</v>
      </c>
      <c r="L69" s="43" t="n"/>
      <c r="M69" s="44" t="n"/>
      <c r="N69" s="44" t="inlineStr">
        <is>
          <t>UCKZo4N0lVPccBkSiuyVh4yg</t>
        </is>
      </c>
      <c r="O69" s="45" t="n">
        <v>46192.82569444444</v>
      </c>
      <c r="P69" s="46" t="n">
        <v>46192</v>
      </c>
      <c r="Q69" s="44" t="n">
        <v>3203</v>
      </c>
      <c r="R69" s="44" t="inlineStr">
        <is>
          <t>No Video ID yet</t>
        </is>
      </c>
      <c r="S69" s="46" t="n"/>
      <c r="T69" s="46" t="n"/>
      <c r="U69" s="44" t="n"/>
      <c r="V69" s="44">
        <f>IF(AND(P69&gt;=Calendar!$K$2,P69&lt;EDATE(Calendar!$K$2,1),OR(Calendar!$K$4="*",N69=Calendar!$K$4)),P69*100+COUNTIFS($P$6:$P$3271,P69,$Q$6:$Q$3271,"&lt;="&amp;Q69,$N$6:$N$3271,Calendar!$K$4),"")</f>
        <v/>
      </c>
      <c r="W69" s="44">
        <f>IF(AND(B69=Queue!$C$4,OR(Queue!$K$4="*",N69=Queue!$K$4)),Q69,"")</f>
        <v/>
      </c>
    </row>
    <row r="70">
      <c r="A70" s="35">
        <f>IF(M70="","",HYPERLINK("https://www.youtube.com/watch?v="&amp;M70,"▶"))</f>
        <v/>
      </c>
      <c r="B70" s="36">
        <f>IF(C70&lt;&gt;"",C70,IF(P70&lt;=IFERROR(INDEX(tblChannels[Watched Through],MATCH(N70,tblChannels[Channel ID],0)),0),"Watched","Unwatched"))</f>
        <v/>
      </c>
      <c r="C70" s="37" t="n"/>
      <c r="D70" s="38" t="n"/>
      <c r="E70" s="39" t="n">
        <v>46192.41666666666</v>
      </c>
      <c r="F70" s="40" t="inlineStr">
        <is>
          <t>Popcorn Culture</t>
        </is>
      </c>
      <c r="G70" t="inlineStr">
        <is>
          <t>Our FIRST EVER Movie Premiere!! | Popcorn Culture</t>
        </is>
      </c>
      <c r="H70" s="41" t="n">
        <v>0.06755787037037037</v>
      </c>
      <c r="I70" s="42" t="n">
        <v>3183</v>
      </c>
      <c r="J70" s="42" t="n">
        <v>157</v>
      </c>
      <c r="K70" s="42" t="n">
        <v>25</v>
      </c>
      <c r="L70" s="43" t="n"/>
      <c r="M70" s="44" t="n"/>
      <c r="N70" s="44" t="inlineStr">
        <is>
          <t>UCHfIbq9thHPC8yrKjAdJgDA</t>
        </is>
      </c>
      <c r="O70" s="45" t="n">
        <v>46192.58333333334</v>
      </c>
      <c r="P70" s="46" t="n">
        <v>46192</v>
      </c>
      <c r="Q70" s="44" t="n">
        <v>3202</v>
      </c>
      <c r="R70" s="44" t="inlineStr">
        <is>
          <t>No Video ID yet</t>
        </is>
      </c>
      <c r="S70" s="46" t="n"/>
      <c r="T70" s="46" t="n"/>
      <c r="U70" s="44" t="n"/>
      <c r="V70" s="44">
        <f>IF(AND(P70&gt;=Calendar!$K$2,P70&lt;EDATE(Calendar!$K$2,1),OR(Calendar!$K$4="*",N70=Calendar!$K$4)),P70*100+COUNTIFS($P$6:$P$3271,P70,$Q$6:$Q$3271,"&lt;="&amp;Q70,$N$6:$N$3271,Calendar!$K$4),"")</f>
        <v/>
      </c>
      <c r="W70" s="44">
        <f>IF(AND(B70=Queue!$C$4,OR(Queue!$K$4="*",N70=Queue!$K$4)),Q70,"")</f>
        <v/>
      </c>
    </row>
    <row r="71">
      <c r="A71" s="35">
        <f>IF(M71="","",HYPERLINK("https://www.youtube.com/watch?v="&amp;M71,"▶"))</f>
        <v/>
      </c>
      <c r="B71" s="36">
        <f>IF(C71&lt;&gt;"",C71,IF(P71&lt;=IFERROR(INDEX(tblChannels[Watched Through],MATCH(N71,tblChannels[Channel ID],0)),0),"Watched","Unwatched"))</f>
        <v/>
      </c>
      <c r="C71" s="37" t="n"/>
      <c r="D71" s="38" t="n"/>
      <c r="E71" s="39" t="n">
        <v>46190.69791666666</v>
      </c>
      <c r="F71" s="47" t="inlineStr">
        <is>
          <t>Super Carlin Brothers</t>
        </is>
      </c>
      <c r="G71" t="inlineStr">
        <is>
          <t>The ULTIMATE Dumbledore's Army Quiz ⚡️| J vs Ben</t>
        </is>
      </c>
      <c r="H71" s="41" t="n">
        <v>0.02207175925925926</v>
      </c>
      <c r="I71" s="42" t="n">
        <v>55077</v>
      </c>
      <c r="J71" s="42" t="n">
        <v>2209</v>
      </c>
      <c r="K71" s="42" t="n">
        <v>276</v>
      </c>
      <c r="L71" s="43" t="n"/>
      <c r="M71" s="44" t="n"/>
      <c r="N71" s="44" t="inlineStr">
        <is>
          <t>UCKZo4N0lVPccBkSiuyVh4yg</t>
        </is>
      </c>
      <c r="O71" s="45" t="n">
        <v>46190.86458333334</v>
      </c>
      <c r="P71" s="46" t="n">
        <v>46190</v>
      </c>
      <c r="Q71" s="44" t="n">
        <v>3201</v>
      </c>
      <c r="R71" s="44" t="inlineStr">
        <is>
          <t>No Video ID yet</t>
        </is>
      </c>
      <c r="S71" s="46" t="n"/>
      <c r="T71" s="46" t="n"/>
      <c r="U71" s="44" t="n"/>
      <c r="V71" s="44">
        <f>IF(AND(P71&gt;=Calendar!$K$2,P71&lt;EDATE(Calendar!$K$2,1),OR(Calendar!$K$4="*",N71=Calendar!$K$4)),P71*100+COUNTIFS($P$6:$P$3271,P71,$Q$6:$Q$3271,"&lt;="&amp;Q71,$N$6:$N$3271,Calendar!$K$4),"")</f>
        <v/>
      </c>
      <c r="W71" s="44">
        <f>IF(AND(B71=Queue!$C$4,OR(Queue!$K$4="*",N71=Queue!$K$4)),Q71,"")</f>
        <v/>
      </c>
    </row>
    <row r="72">
      <c r="A72" s="35">
        <f>IF(M72="","",HYPERLINK("https://www.youtube.com/watch?v="&amp;M72,"▶"))</f>
        <v/>
      </c>
      <c r="B72" s="36">
        <f>IF(C72&lt;&gt;"",C72,IF(P72&lt;=IFERROR(INDEX(tblChannels[Watched Through],MATCH(N72,tblChannels[Channel ID],0)),0),"Watched","Unwatched"))</f>
        <v/>
      </c>
      <c r="C72" s="37" t="n"/>
      <c r="D72" s="38" t="n"/>
      <c r="E72" s="39" t="n">
        <v>46188.70833333334</v>
      </c>
      <c r="F72" s="48" t="inlineStr">
        <is>
          <t>Through The Griffin Door</t>
        </is>
      </c>
      <c r="G72" t="inlineStr">
        <is>
          <t>LIVE at the Trash Pandas! - Chapter 2: Spinner’s End | Half-Blood Prince</t>
        </is>
      </c>
      <c r="H72" s="41" t="n">
        <v>0.05954861111111111</v>
      </c>
      <c r="I72" s="42" t="n">
        <v>6639</v>
      </c>
      <c r="J72" s="42" t="n">
        <v>205</v>
      </c>
      <c r="K72" s="42" t="n">
        <v>32</v>
      </c>
      <c r="L72" s="43" t="n"/>
      <c r="M72" s="44" t="n"/>
      <c r="N72" s="44" t="inlineStr">
        <is>
          <t>UCEscP6ETYXWSSvsNrDHekMQ</t>
        </is>
      </c>
      <c r="O72" s="45" t="n">
        <v>46188.875</v>
      </c>
      <c r="P72" s="46" t="n">
        <v>46188</v>
      </c>
      <c r="Q72" s="44" t="n">
        <v>3200</v>
      </c>
      <c r="R72" s="44" t="inlineStr">
        <is>
          <t>No Video ID yet</t>
        </is>
      </c>
      <c r="S72" s="46" t="n"/>
      <c r="T72" s="46" t="n"/>
      <c r="U72" s="44" t="n"/>
      <c r="V72" s="44">
        <f>IF(AND(P72&gt;=Calendar!$K$2,P72&lt;EDATE(Calendar!$K$2,1),OR(Calendar!$K$4="*",N72=Calendar!$K$4)),P72*100+COUNTIFS($P$6:$P$3271,P72,$Q$6:$Q$3271,"&lt;="&amp;Q72,$N$6:$N$3271,Calendar!$K$4),"")</f>
        <v/>
      </c>
      <c r="W72" s="44">
        <f>IF(AND(B72=Queue!$C$4,OR(Queue!$K$4="*",N72=Queue!$K$4)),Q72,"")</f>
        <v/>
      </c>
    </row>
    <row r="73">
      <c r="A73" s="35">
        <f>IF(M73="","",HYPERLINK("https://www.youtube.com/watch?v="&amp;M73,"▶"))</f>
        <v/>
      </c>
      <c r="B73" s="36">
        <f>IF(C73&lt;&gt;"",C73,IF(P73&lt;=IFERROR(INDEX(tblChannels[Watched Through],MATCH(N73,tblChannels[Channel ID],0)),0),"Watched","Unwatched"))</f>
        <v/>
      </c>
      <c r="C73" s="37" t="n"/>
      <c r="D73" s="38" t="n"/>
      <c r="E73" s="39" t="n">
        <v>46187.41666666666</v>
      </c>
      <c r="F73" s="48" t="inlineStr">
        <is>
          <t>Through The Griffin Door</t>
        </is>
      </c>
      <c r="G73" t="inlineStr">
        <is>
          <t>Chapter 2: Spinner’s End | Half Blood Prince</t>
        </is>
      </c>
      <c r="H73" s="41" t="n">
        <v>0.06918981481481482</v>
      </c>
      <c r="I73" s="42" t="n">
        <v>35541</v>
      </c>
      <c r="J73" s="42" t="n">
        <v>990</v>
      </c>
      <c r="K73" s="42" t="n">
        <v>333</v>
      </c>
      <c r="L73" s="43" t="n"/>
      <c r="M73" s="44" t="n"/>
      <c r="N73" s="44" t="inlineStr">
        <is>
          <t>UCEscP6ETYXWSSvsNrDHekMQ</t>
        </is>
      </c>
      <c r="O73" s="45" t="n">
        <v>46187.58333333334</v>
      </c>
      <c r="P73" s="46" t="n">
        <v>46187</v>
      </c>
      <c r="Q73" s="44" t="n">
        <v>3199</v>
      </c>
      <c r="R73" s="44" t="inlineStr">
        <is>
          <t>No Video ID yet</t>
        </is>
      </c>
      <c r="S73" s="46" t="n"/>
      <c r="T73" s="46" t="n"/>
      <c r="U73" s="44" t="n"/>
      <c r="V73" s="44">
        <f>IF(AND(P73&gt;=Calendar!$K$2,P73&lt;EDATE(Calendar!$K$2,1),OR(Calendar!$K$4="*",N73=Calendar!$K$4)),P73*100+COUNTIFS($P$6:$P$3271,P73,$Q$6:$Q$3271,"&lt;="&amp;Q73,$N$6:$N$3271,Calendar!$K$4),"")</f>
        <v/>
      </c>
      <c r="W73" s="44">
        <f>IF(AND(B73=Queue!$C$4,OR(Queue!$K$4="*",N73=Queue!$K$4)),Q73,"")</f>
        <v/>
      </c>
    </row>
    <row r="74">
      <c r="A74" s="35">
        <f>IF(M74="","",HYPERLINK("https://www.youtube.com/watch?v="&amp;M74,"▶"))</f>
        <v/>
      </c>
      <c r="B74" s="36">
        <f>IF(C74&lt;&gt;"",C74,IF(P74&lt;=IFERROR(INDEX(tblChannels[Watched Through],MATCH(N74,tblChannels[Channel ID],0)),0),"Watched","Unwatched"))</f>
        <v/>
      </c>
      <c r="C74" s="37" t="n"/>
      <c r="D74" s="38" t="n"/>
      <c r="E74" s="39" t="n">
        <v>46185.625</v>
      </c>
      <c r="F74" s="47" t="inlineStr">
        <is>
          <t>Super Carlin Brothers</t>
        </is>
      </c>
      <c r="G74" t="inlineStr">
        <is>
          <t>Theories From A Hat: Can We Defend These WILD Harry Potter Theories?</t>
        </is>
      </c>
      <c r="H74" s="41" t="n">
        <v>0.03725694444444445</v>
      </c>
      <c r="I74" s="42" t="n">
        <v>86794</v>
      </c>
      <c r="J74" s="42" t="n">
        <v>2776</v>
      </c>
      <c r="K74" s="42" t="n">
        <v>639</v>
      </c>
      <c r="L74" s="43" t="n"/>
      <c r="M74" s="44" t="n"/>
      <c r="N74" s="44" t="inlineStr">
        <is>
          <t>UCKZo4N0lVPccBkSiuyVh4yg</t>
        </is>
      </c>
      <c r="O74" s="45" t="n">
        <v>46185.79166666666</v>
      </c>
      <c r="P74" s="46" t="n">
        <v>46185</v>
      </c>
      <c r="Q74" s="44" t="n">
        <v>3198</v>
      </c>
      <c r="R74" s="44" t="inlineStr">
        <is>
          <t>No Video ID yet</t>
        </is>
      </c>
      <c r="S74" s="46" t="n"/>
      <c r="T74" s="46" t="n"/>
      <c r="U74" s="44" t="n"/>
      <c r="V74" s="44">
        <f>IF(AND(P74&gt;=Calendar!$K$2,P74&lt;EDATE(Calendar!$K$2,1),OR(Calendar!$K$4="*",N74=Calendar!$K$4)),P74*100+COUNTIFS($P$6:$P$3271,P74,$Q$6:$Q$3271,"&lt;="&amp;Q74,$N$6:$N$3271,Calendar!$K$4),"")</f>
        <v/>
      </c>
      <c r="W74" s="44">
        <f>IF(AND(B74=Queue!$C$4,OR(Queue!$K$4="*",N74=Queue!$K$4)),Q74,"")</f>
        <v/>
      </c>
    </row>
    <row r="75">
      <c r="A75" s="35">
        <f>IF(M75="","",HYPERLINK("https://www.youtube.com/watch?v="&amp;M75,"▶"))</f>
        <v/>
      </c>
      <c r="B75" s="36">
        <f>IF(C75&lt;&gt;"",C75,IF(P75&lt;=IFERROR(INDEX(tblChannels[Watched Through],MATCH(N75,tblChannels[Channel ID],0)),0),"Watched","Unwatched"))</f>
        <v/>
      </c>
      <c r="C75" s="37" t="n"/>
      <c r="D75" s="38" t="n"/>
      <c r="E75" s="39" t="n">
        <v>46185.41666666666</v>
      </c>
      <c r="F75" s="40" t="inlineStr">
        <is>
          <t>Popcorn Culture</t>
        </is>
      </c>
      <c r="G75" t="inlineStr">
        <is>
          <t>Locked In the Hospital | Popcorn Culture</t>
        </is>
      </c>
      <c r="H75" s="41" t="n">
        <v>0.04572916666666667</v>
      </c>
      <c r="I75" s="42" t="n">
        <v>2174</v>
      </c>
      <c r="J75" s="42" t="n">
        <v>119</v>
      </c>
      <c r="K75" s="42" t="n">
        <v>12</v>
      </c>
      <c r="L75" s="43" t="n"/>
      <c r="M75" s="44" t="n"/>
      <c r="N75" s="44" t="inlineStr">
        <is>
          <t>UCHfIbq9thHPC8yrKjAdJgDA</t>
        </is>
      </c>
      <c r="O75" s="45" t="n">
        <v>46185.58333333334</v>
      </c>
      <c r="P75" s="46" t="n">
        <v>46185</v>
      </c>
      <c r="Q75" s="44" t="n">
        <v>3197</v>
      </c>
      <c r="R75" s="44" t="inlineStr">
        <is>
          <t>No Video ID yet</t>
        </is>
      </c>
      <c r="S75" s="46" t="n"/>
      <c r="T75" s="46" t="n"/>
      <c r="U75" s="44" t="n"/>
      <c r="V75" s="44">
        <f>IF(AND(P75&gt;=Calendar!$K$2,P75&lt;EDATE(Calendar!$K$2,1),OR(Calendar!$K$4="*",N75=Calendar!$K$4)),P75*100+COUNTIFS($P$6:$P$3271,P75,$Q$6:$Q$3271,"&lt;="&amp;Q75,$N$6:$N$3271,Calendar!$K$4),"")</f>
        <v/>
      </c>
      <c r="W75" s="44">
        <f>IF(AND(B75=Queue!$C$4,OR(Queue!$K$4="*",N75=Queue!$K$4)),Q75,"")</f>
        <v/>
      </c>
    </row>
    <row r="76">
      <c r="A76" s="35">
        <f>IF(M76="","",HYPERLINK("https://www.youtube.com/watch?v="&amp;M76,"▶"))</f>
        <v/>
      </c>
      <c r="B76" s="36">
        <f>IF(C76&lt;&gt;"",C76,IF(P76&lt;=IFERROR(INDEX(tblChannels[Watched Through],MATCH(N76,tblChannels[Channel ID],0)),0),"Watched","Unwatched"))</f>
        <v/>
      </c>
      <c r="C76" s="37" t="n"/>
      <c r="D76" s="38" t="n"/>
      <c r="E76" s="39" t="n">
        <v>46183.625</v>
      </c>
      <c r="F76" s="47" t="inlineStr">
        <is>
          <t>Super Carlin Brothers</t>
        </is>
      </c>
      <c r="G76" t="inlineStr">
        <is>
          <t>Hoppers Just CONFIRMED the Pixar Theory 🪵</t>
        </is>
      </c>
      <c r="H76" s="41" t="n">
        <v>0.01225694444444445</v>
      </c>
      <c r="I76" s="42" t="n">
        <v>93606</v>
      </c>
      <c r="J76" s="42" t="n">
        <v>3627</v>
      </c>
      <c r="K76" s="42" t="n">
        <v>353</v>
      </c>
      <c r="L76" s="43" t="n"/>
      <c r="M76" s="44" t="n"/>
      <c r="N76" s="44" t="inlineStr">
        <is>
          <t>UCKZo4N0lVPccBkSiuyVh4yg</t>
        </is>
      </c>
      <c r="O76" s="45" t="n">
        <v>46183.79166666666</v>
      </c>
      <c r="P76" s="46" t="n">
        <v>46183</v>
      </c>
      <c r="Q76" s="44" t="n">
        <v>3196</v>
      </c>
      <c r="R76" s="44" t="inlineStr">
        <is>
          <t>No Video ID yet</t>
        </is>
      </c>
      <c r="S76" s="46" t="n"/>
      <c r="T76" s="46" t="n"/>
      <c r="U76" s="44" t="n"/>
      <c r="V76" s="44">
        <f>IF(AND(P76&gt;=Calendar!$K$2,P76&lt;EDATE(Calendar!$K$2,1),OR(Calendar!$K$4="*",N76=Calendar!$K$4)),P76*100+COUNTIFS($P$6:$P$3271,P76,$Q$6:$Q$3271,"&lt;="&amp;Q76,$N$6:$N$3271,Calendar!$K$4),"")</f>
        <v/>
      </c>
      <c r="W76" s="44">
        <f>IF(AND(B76=Queue!$C$4,OR(Queue!$K$4="*",N76=Queue!$K$4)),Q76,"")</f>
        <v/>
      </c>
    </row>
    <row r="77">
      <c r="A77" s="35">
        <f>IF(M77="","",HYPERLINK("https://www.youtube.com/watch?v="&amp;M77,"▶"))</f>
        <v/>
      </c>
      <c r="B77" s="36">
        <f>IF(C77&lt;&gt;"",C77,IF(P77&lt;=IFERROR(INDEX(tblChannels[Watched Through],MATCH(N77,tblChannels[Channel ID],0)),0),"Watched","Unwatched"))</f>
        <v/>
      </c>
      <c r="C77" s="37" t="n"/>
      <c r="D77" s="38" t="n"/>
      <c r="E77" s="39" t="n">
        <v>46180.5</v>
      </c>
      <c r="F77" s="48" t="inlineStr">
        <is>
          <t>Through The Griffin Door</t>
        </is>
      </c>
      <c r="G77" t="inlineStr">
        <is>
          <t>Chapter 1: The Other Minister | Half Blood Prince</t>
        </is>
      </c>
      <c r="H77" s="41" t="n">
        <v>0.07152777777777777</v>
      </c>
      <c r="I77" s="42" t="n">
        <v>41332</v>
      </c>
      <c r="J77" s="42" t="n">
        <v>1172</v>
      </c>
      <c r="K77" s="42" t="n">
        <v>467</v>
      </c>
      <c r="L77" s="43" t="n"/>
      <c r="M77" s="44" t="n"/>
      <c r="N77" s="44" t="inlineStr">
        <is>
          <t>UCEscP6ETYXWSSvsNrDHekMQ</t>
        </is>
      </c>
      <c r="O77" s="45" t="n">
        <v>46180.66666666666</v>
      </c>
      <c r="P77" s="46" t="n">
        <v>46180</v>
      </c>
      <c r="Q77" s="44" t="n">
        <v>3195</v>
      </c>
      <c r="R77" s="44" t="inlineStr">
        <is>
          <t>No Video ID yet</t>
        </is>
      </c>
      <c r="S77" s="46" t="n"/>
      <c r="T77" s="46" t="n"/>
      <c r="U77" s="44" t="n"/>
      <c r="V77" s="44">
        <f>IF(AND(P77&gt;=Calendar!$K$2,P77&lt;EDATE(Calendar!$K$2,1),OR(Calendar!$K$4="*",N77=Calendar!$K$4)),P77*100+COUNTIFS($P$6:$P$3271,P77,$Q$6:$Q$3271,"&lt;="&amp;Q77,$N$6:$N$3271,Calendar!$K$4),"")</f>
        <v/>
      </c>
      <c r="W77" s="44">
        <f>IF(AND(B77=Queue!$C$4,OR(Queue!$K$4="*",N77=Queue!$K$4)),Q77,"")</f>
        <v/>
      </c>
    </row>
    <row r="78">
      <c r="A78" s="35">
        <f>IF(M78="","",HYPERLINK("https://www.youtube.com/watch?v="&amp;M78,"▶"))</f>
        <v/>
      </c>
      <c r="B78" s="36">
        <f>IF(C78&lt;&gt;"",C78,IF(P78&lt;=IFERROR(INDEX(tblChannels[Watched Through],MATCH(N78,tblChannels[Channel ID],0)),0),"Watched","Unwatched"))</f>
        <v/>
      </c>
      <c r="C78" s="37" t="n"/>
      <c r="D78" s="38" t="n"/>
      <c r="E78" s="39" t="n">
        <v>46178.67847222222</v>
      </c>
      <c r="F78" s="47" t="inlineStr">
        <is>
          <t>Super Carlin Brothers</t>
        </is>
      </c>
      <c r="G78" t="inlineStr">
        <is>
          <t>Is Mabel Russell's MOM?! 🦫🪵🦎🥔</t>
        </is>
      </c>
      <c r="H78" s="41" t="n">
        <v>0.01231481481481481</v>
      </c>
      <c r="I78" s="42" t="n">
        <v>89208</v>
      </c>
      <c r="J78" s="42" t="n">
        <v>3406</v>
      </c>
      <c r="K78" s="42" t="n">
        <v>371</v>
      </c>
      <c r="L78" s="43" t="n"/>
      <c r="M78" s="44" t="n"/>
      <c r="N78" s="44" t="inlineStr">
        <is>
          <t>UCKZo4N0lVPccBkSiuyVh4yg</t>
        </is>
      </c>
      <c r="O78" s="45" t="n">
        <v>46178.84513888889</v>
      </c>
      <c r="P78" s="46" t="n">
        <v>46178</v>
      </c>
      <c r="Q78" s="44" t="n">
        <v>3194</v>
      </c>
      <c r="R78" s="44" t="inlineStr">
        <is>
          <t>No Video ID yet</t>
        </is>
      </c>
      <c r="S78" s="46" t="n"/>
      <c r="T78" s="46" t="n"/>
      <c r="U78" s="44" t="n"/>
      <c r="V78" s="44">
        <f>IF(AND(P78&gt;=Calendar!$K$2,P78&lt;EDATE(Calendar!$K$2,1),OR(Calendar!$K$4="*",N78=Calendar!$K$4)),P78*100+COUNTIFS($P$6:$P$3271,P78,$Q$6:$Q$3271,"&lt;="&amp;Q78,$N$6:$N$3271,Calendar!$K$4),"")</f>
        <v/>
      </c>
      <c r="W78" s="44">
        <f>IF(AND(B78=Queue!$C$4,OR(Queue!$K$4="*",N78=Queue!$K$4)),Q78,"")</f>
        <v/>
      </c>
    </row>
    <row r="79">
      <c r="A79" s="35">
        <f>IF(M79="","",HYPERLINK("https://www.youtube.com/watch?v="&amp;M79,"▶"))</f>
        <v/>
      </c>
      <c r="B79" s="36">
        <f>IF(C79&lt;&gt;"",C79,IF(P79&lt;=IFERROR(INDEX(tblChannels[Watched Through],MATCH(N79,tblChannels[Channel ID],0)),0),"Watched","Unwatched"))</f>
        <v/>
      </c>
      <c r="C79" s="37" t="n"/>
      <c r="D79" s="38" t="n"/>
      <c r="E79" s="39" t="n">
        <v>46178.41666666666</v>
      </c>
      <c r="F79" s="40" t="inlineStr">
        <is>
          <t>Popcorn Culture</t>
        </is>
      </c>
      <c r="G79" t="inlineStr">
        <is>
          <t>Ben’s Block of Nine | Popcorn Culture</t>
        </is>
      </c>
      <c r="H79" s="41" t="n">
        <v>0.07157407407407407</v>
      </c>
      <c r="I79" s="42" t="n">
        <v>2695</v>
      </c>
      <c r="J79" s="42" t="n">
        <v>115</v>
      </c>
      <c r="K79" s="42" t="n">
        <v>16</v>
      </c>
      <c r="L79" s="43" t="n"/>
      <c r="M79" s="44" t="n"/>
      <c r="N79" s="44" t="inlineStr">
        <is>
          <t>UCHfIbq9thHPC8yrKjAdJgDA</t>
        </is>
      </c>
      <c r="O79" s="45" t="n">
        <v>46178.58333333334</v>
      </c>
      <c r="P79" s="46" t="n">
        <v>46178</v>
      </c>
      <c r="Q79" s="44" t="n">
        <v>3193</v>
      </c>
      <c r="R79" s="44" t="inlineStr">
        <is>
          <t>No Video ID yet</t>
        </is>
      </c>
      <c r="S79" s="46" t="n"/>
      <c r="T79" s="46" t="n"/>
      <c r="U79" s="44" t="n"/>
      <c r="V79" s="44">
        <f>IF(AND(P79&gt;=Calendar!$K$2,P79&lt;EDATE(Calendar!$K$2,1),OR(Calendar!$K$4="*",N79=Calendar!$K$4)),P79*100+COUNTIFS($P$6:$P$3271,P79,$Q$6:$Q$3271,"&lt;="&amp;Q79,$N$6:$N$3271,Calendar!$K$4),"")</f>
        <v/>
      </c>
      <c r="W79" s="44">
        <f>IF(AND(B79=Queue!$C$4,OR(Queue!$K$4="*",N79=Queue!$K$4)),Q79,"")</f>
        <v/>
      </c>
    </row>
    <row r="80">
      <c r="A80" s="35">
        <f>IF(M80="","",HYPERLINK("https://www.youtube.com/watch?v="&amp;M80,"▶"))</f>
        <v/>
      </c>
      <c r="B80" s="36">
        <f>IF(C80&lt;&gt;"",C80,IF(P80&lt;=IFERROR(INDEX(tblChannels[Watched Through],MATCH(N80,tblChannels[Channel ID],0)),0),"Watched","Unwatched"))</f>
        <v/>
      </c>
      <c r="C80" s="37" t="n"/>
      <c r="D80" s="38" t="n"/>
      <c r="E80" s="39" t="n">
        <v>46176.69791666666</v>
      </c>
      <c r="F80" s="47" t="inlineStr">
        <is>
          <t>Super Carlin Brothers</t>
        </is>
      </c>
      <c r="G80" t="inlineStr">
        <is>
          <t>Harry Potter Summer Trivia Is HARDER Than You Think</t>
        </is>
      </c>
      <c r="H80" s="41" t="n">
        <v>0.03185185185185185</v>
      </c>
      <c r="I80" s="42" t="n">
        <v>89071</v>
      </c>
      <c r="J80" s="42" t="n">
        <v>2851</v>
      </c>
      <c r="K80" s="42" t="n">
        <v>362</v>
      </c>
      <c r="L80" s="43" t="n"/>
      <c r="M80" s="44" t="n"/>
      <c r="N80" s="44" t="inlineStr">
        <is>
          <t>UCKZo4N0lVPccBkSiuyVh4yg</t>
        </is>
      </c>
      <c r="O80" s="45" t="n">
        <v>46176.86458333334</v>
      </c>
      <c r="P80" s="46" t="n">
        <v>46176</v>
      </c>
      <c r="Q80" s="44" t="n">
        <v>3192</v>
      </c>
      <c r="R80" s="44" t="inlineStr">
        <is>
          <t>No Video ID yet</t>
        </is>
      </c>
      <c r="S80" s="46" t="n"/>
      <c r="T80" s="46" t="n"/>
      <c r="U80" s="44" t="n"/>
      <c r="V80" s="44">
        <f>IF(AND(P80&gt;=Calendar!$K$2,P80&lt;EDATE(Calendar!$K$2,1),OR(Calendar!$K$4="*",N80=Calendar!$K$4)),P80*100+COUNTIFS($P$6:$P$3271,P80,$Q$6:$Q$3271,"&lt;="&amp;Q80,$N$6:$N$3271,Calendar!$K$4),"")</f>
        <v/>
      </c>
      <c r="W80" s="44">
        <f>IF(AND(B80=Queue!$C$4,OR(Queue!$K$4="*",N80=Queue!$K$4)),Q80,"")</f>
        <v/>
      </c>
    </row>
    <row r="81">
      <c r="A81" s="35">
        <f>IF(M81="","",HYPERLINK("https://www.youtube.com/watch?v="&amp;M81,"▶"))</f>
        <v/>
      </c>
      <c r="B81" s="36">
        <f>IF(C81&lt;&gt;"",C81,IF(P81&lt;=IFERROR(INDEX(tblChannels[Watched Through],MATCH(N81,tblChannels[Channel ID],0)),0),"Watched","Unwatched"))</f>
        <v/>
      </c>
      <c r="C81" s="37" t="n"/>
      <c r="D81" s="38" t="n"/>
      <c r="E81" s="39" t="n">
        <v>46173.41666666666</v>
      </c>
      <c r="F81" s="48" t="inlineStr">
        <is>
          <t>Through The Griffin Door</t>
        </is>
      </c>
      <c r="G81" t="inlineStr">
        <is>
          <t>Dumbledore's Big Plan: Order of the Phoenix Edition</t>
        </is>
      </c>
      <c r="H81" s="41" t="n">
        <v>0.03509259259259259</v>
      </c>
      <c r="I81" s="42" t="n">
        <v>21268</v>
      </c>
      <c r="J81" s="42" t="n">
        <v>806</v>
      </c>
      <c r="K81" s="42" t="n">
        <v>189</v>
      </c>
      <c r="L81" s="43" t="n"/>
      <c r="M81" s="44" t="n"/>
      <c r="N81" s="44" t="inlineStr">
        <is>
          <t>UCEscP6ETYXWSSvsNrDHekMQ</t>
        </is>
      </c>
      <c r="O81" s="45" t="n">
        <v>46173.58333333334</v>
      </c>
      <c r="P81" s="46" t="n">
        <v>46173</v>
      </c>
      <c r="Q81" s="44" t="n">
        <v>3191</v>
      </c>
      <c r="R81" s="44" t="inlineStr">
        <is>
          <t>No Video ID yet</t>
        </is>
      </c>
      <c r="S81" s="46" t="n"/>
      <c r="T81" s="46" t="n"/>
      <c r="U81" s="44" t="n"/>
      <c r="V81" s="44">
        <f>IF(AND(P81&gt;=Calendar!$K$2,P81&lt;EDATE(Calendar!$K$2,1),OR(Calendar!$K$4="*",N81=Calendar!$K$4)),P81*100+COUNTIFS($P$6:$P$3271,P81,$Q$6:$Q$3271,"&lt;="&amp;Q81,$N$6:$N$3271,Calendar!$K$4),"")</f>
        <v/>
      </c>
      <c r="W81" s="44">
        <f>IF(AND(B81=Queue!$C$4,OR(Queue!$K$4="*",N81=Queue!$K$4)),Q81,"")</f>
        <v/>
      </c>
    </row>
    <row r="82">
      <c r="A82" s="35">
        <f>IF(M82="","",HYPERLINK("https://www.youtube.com/watch?v="&amp;M82,"▶"))</f>
        <v/>
      </c>
      <c r="B82" s="36">
        <f>IF(C82&lt;&gt;"",C82,IF(P82&lt;=IFERROR(INDEX(tblChannels[Watched Through],MATCH(N82,tblChannels[Channel ID],0)),0),"Watched","Unwatched"))</f>
        <v/>
      </c>
      <c r="C82" s="37" t="n"/>
      <c r="D82" s="38" t="n"/>
      <c r="E82" s="39" t="n">
        <v>46171.69236111111</v>
      </c>
      <c r="F82" s="47" t="inlineStr">
        <is>
          <t>Super Carlin Brothers</t>
        </is>
      </c>
      <c r="G82" t="inlineStr">
        <is>
          <t>Toy Story 5 Just Revived Pixar's Biggest Theory</t>
        </is>
      </c>
      <c r="H82" s="41" t="n">
        <v>0.01290509259259259</v>
      </c>
      <c r="I82" s="42" t="n">
        <v>104414</v>
      </c>
      <c r="J82" s="42" t="n">
        <v>3294</v>
      </c>
      <c r="K82" s="42" t="n">
        <v>354</v>
      </c>
      <c r="L82" s="43" t="n"/>
      <c r="M82" s="44" t="n"/>
      <c r="N82" s="44" t="inlineStr">
        <is>
          <t>UCKZo4N0lVPccBkSiuyVh4yg</t>
        </is>
      </c>
      <c r="O82" s="45" t="n">
        <v>46171.85902777778</v>
      </c>
      <c r="P82" s="46" t="n">
        <v>46171</v>
      </c>
      <c r="Q82" s="44" t="n">
        <v>3190</v>
      </c>
      <c r="R82" s="44" t="inlineStr">
        <is>
          <t>No Video ID yet</t>
        </is>
      </c>
      <c r="S82" s="46" t="n"/>
      <c r="T82" s="46" t="n"/>
      <c r="U82" s="44" t="n"/>
      <c r="V82" s="44">
        <f>IF(AND(P82&gt;=Calendar!$K$2,P82&lt;EDATE(Calendar!$K$2,1),OR(Calendar!$K$4="*",N82=Calendar!$K$4)),P82*100+COUNTIFS($P$6:$P$3271,P82,$Q$6:$Q$3271,"&lt;="&amp;Q82,$N$6:$N$3271,Calendar!$K$4),"")</f>
        <v/>
      </c>
      <c r="W82" s="44">
        <f>IF(AND(B82=Queue!$C$4,OR(Queue!$K$4="*",N82=Queue!$K$4)),Q82,"")</f>
        <v/>
      </c>
    </row>
    <row r="83">
      <c r="A83" s="35">
        <f>IF(M83="","",HYPERLINK("https://www.youtube.com/watch?v="&amp;M83,"▶"))</f>
        <v/>
      </c>
      <c r="B83" s="36">
        <f>IF(C83&lt;&gt;"",C83,IF(P83&lt;=IFERROR(INDEX(tblChannels[Watched Through],MATCH(N83,tblChannels[Channel ID],0)),0),"Watched","Unwatched"))</f>
        <v/>
      </c>
      <c r="C83" s="37" t="n"/>
      <c r="D83" s="38" t="n"/>
      <c r="E83" s="39" t="n">
        <v>46171.41666666666</v>
      </c>
      <c r="F83" s="40" t="inlineStr">
        <is>
          <t>Popcorn Culture</t>
        </is>
      </c>
      <c r="G83" t="inlineStr">
        <is>
          <t>Soap Mucus | Popcorn Culture</t>
        </is>
      </c>
      <c r="H83" s="41" t="n">
        <v>0.05287037037037037</v>
      </c>
      <c r="I83" s="42" t="n">
        <v>2472</v>
      </c>
      <c r="J83" s="42" t="n">
        <v>110</v>
      </c>
      <c r="K83" s="42" t="n">
        <v>19</v>
      </c>
      <c r="L83" s="43" t="n"/>
      <c r="M83" s="44" t="n"/>
      <c r="N83" s="44" t="inlineStr">
        <is>
          <t>UCHfIbq9thHPC8yrKjAdJgDA</t>
        </is>
      </c>
      <c r="O83" s="45" t="n">
        <v>46171.58333333334</v>
      </c>
      <c r="P83" s="46" t="n">
        <v>46171</v>
      </c>
      <c r="Q83" s="44" t="n">
        <v>3189</v>
      </c>
      <c r="R83" s="44" t="inlineStr">
        <is>
          <t>No Video ID yet</t>
        </is>
      </c>
      <c r="S83" s="46" t="n"/>
      <c r="T83" s="46" t="n"/>
      <c r="U83" s="44" t="n"/>
      <c r="V83" s="44">
        <f>IF(AND(P83&gt;=Calendar!$K$2,P83&lt;EDATE(Calendar!$K$2,1),OR(Calendar!$K$4="*",N83=Calendar!$K$4)),P83*100+COUNTIFS($P$6:$P$3271,P83,$Q$6:$Q$3271,"&lt;="&amp;Q83,$N$6:$N$3271,Calendar!$K$4),"")</f>
        <v/>
      </c>
      <c r="W83" s="44">
        <f>IF(AND(B83=Queue!$C$4,OR(Queue!$K$4="*",N83=Queue!$K$4)),Q83,"")</f>
        <v/>
      </c>
    </row>
    <row r="84">
      <c r="A84" s="35">
        <f>IF(M84="","",HYPERLINK("https://www.youtube.com/watch?v="&amp;M84,"▶"))</f>
        <v/>
      </c>
      <c r="B84" s="36">
        <f>IF(C84&lt;&gt;"",C84,IF(P84&lt;=IFERROR(INDEX(tblChannels[Watched Through],MATCH(N84,tblChannels[Channel ID],0)),0),"Watched","Unwatched"))</f>
        <v/>
      </c>
      <c r="C84" s="37" t="n"/>
      <c r="D84" s="38" t="n"/>
      <c r="E84" s="39" t="n">
        <v>46170.45555555556</v>
      </c>
      <c r="F84" s="47" t="inlineStr">
        <is>
          <t>Super Carlin Brothers</t>
        </is>
      </c>
      <c r="G84" t="inlineStr">
        <is>
          <t>Harry Potter needs GRAPES! 🍇 #harrypotter</t>
        </is>
      </c>
      <c r="H84" s="41" t="n">
        <v>0.001134259259259259</v>
      </c>
      <c r="I84" s="42" t="n">
        <v>57411</v>
      </c>
      <c r="J84" s="42" t="n">
        <v>1996</v>
      </c>
      <c r="K84" s="42" t="n">
        <v>96</v>
      </c>
      <c r="L84" s="43" t="n"/>
      <c r="M84" s="44" t="n"/>
      <c r="N84" s="44" t="inlineStr">
        <is>
          <t>UCKZo4N0lVPccBkSiuyVh4yg</t>
        </is>
      </c>
      <c r="O84" s="45" t="n">
        <v>46170.62222222222</v>
      </c>
      <c r="P84" s="46" t="n">
        <v>46170</v>
      </c>
      <c r="Q84" s="44" t="n">
        <v>3188</v>
      </c>
      <c r="R84" s="44" t="inlineStr">
        <is>
          <t>No Video ID yet</t>
        </is>
      </c>
      <c r="S84" s="46" t="n"/>
      <c r="T84" s="46" t="n"/>
      <c r="U84" s="44" t="n"/>
      <c r="V84" s="44">
        <f>IF(AND(P84&gt;=Calendar!$K$2,P84&lt;EDATE(Calendar!$K$2,1),OR(Calendar!$K$4="*",N84=Calendar!$K$4)),P84*100+COUNTIFS($P$6:$P$3271,P84,$Q$6:$Q$3271,"&lt;="&amp;Q84,$N$6:$N$3271,Calendar!$K$4),"")</f>
        <v/>
      </c>
      <c r="W84" s="44">
        <f>IF(AND(B84=Queue!$C$4,OR(Queue!$K$4="*",N84=Queue!$K$4)),Q84,"")</f>
        <v/>
      </c>
    </row>
    <row r="85">
      <c r="A85" s="35">
        <f>IF(M85="","",HYPERLINK("https://www.youtube.com/watch?v="&amp;M85,"▶"))</f>
        <v/>
      </c>
      <c r="B85" s="36">
        <f>IF(C85&lt;&gt;"",C85,IF(P85&lt;=IFERROR(INDEX(tblChannels[Watched Through],MATCH(N85,tblChannels[Channel ID],0)),0),"Watched","Unwatched"))</f>
        <v/>
      </c>
      <c r="C85" s="37" t="n"/>
      <c r="D85" s="38" t="n"/>
      <c r="E85" s="39" t="n">
        <v>46169.65972222222</v>
      </c>
      <c r="F85" s="47" t="inlineStr">
        <is>
          <t>Super Carlin Brothers</t>
        </is>
      </c>
      <c r="G85" t="inlineStr">
        <is>
          <t>Dumbledore’s Drinking Problem</t>
        </is>
      </c>
      <c r="H85" s="41" t="n">
        <v>0.01197916666666667</v>
      </c>
      <c r="I85" s="42" t="n">
        <v>89866</v>
      </c>
      <c r="J85" s="42" t="n">
        <v>4110</v>
      </c>
      <c r="K85" s="42" t="n">
        <v>575</v>
      </c>
      <c r="L85" s="43" t="n"/>
      <c r="M85" s="44" t="n"/>
      <c r="N85" s="44" t="inlineStr">
        <is>
          <t>UCKZo4N0lVPccBkSiuyVh4yg</t>
        </is>
      </c>
      <c r="O85" s="45" t="n">
        <v>46169.82638888889</v>
      </c>
      <c r="P85" s="46" t="n">
        <v>46169</v>
      </c>
      <c r="Q85" s="44" t="n">
        <v>3187</v>
      </c>
      <c r="R85" s="44" t="inlineStr">
        <is>
          <t>No Video ID yet</t>
        </is>
      </c>
      <c r="S85" s="46" t="n"/>
      <c r="T85" s="46" t="n"/>
      <c r="U85" s="44" t="n"/>
      <c r="V85" s="44">
        <f>IF(AND(P85&gt;=Calendar!$K$2,P85&lt;EDATE(Calendar!$K$2,1),OR(Calendar!$K$4="*",N85=Calendar!$K$4)),P85*100+COUNTIFS($P$6:$P$3271,P85,$Q$6:$Q$3271,"&lt;="&amp;Q85,$N$6:$N$3271,Calendar!$K$4),"")</f>
        <v/>
      </c>
      <c r="W85" s="44">
        <f>IF(AND(B85=Queue!$C$4,OR(Queue!$K$4="*",N85=Queue!$K$4)),Q85,"")</f>
        <v/>
      </c>
    </row>
    <row r="86">
      <c r="A86" s="35">
        <f>IF(M86="","",HYPERLINK("https://www.youtube.com/watch?v="&amp;M86,"▶"))</f>
        <v/>
      </c>
      <c r="B86" s="36">
        <f>IF(C86&lt;&gt;"",C86,IF(P86&lt;=IFERROR(INDEX(tblChannels[Watched Through],MATCH(N86,tblChannels[Channel ID],0)),0),"Watched","Unwatched"))</f>
        <v/>
      </c>
      <c r="C86" s="37" t="n"/>
      <c r="D86" s="38" t="n"/>
      <c r="E86" s="39" t="n">
        <v>46168.72916666666</v>
      </c>
      <c r="F86" s="48" t="inlineStr">
        <is>
          <t>Through The Griffin Door</t>
        </is>
      </c>
      <c r="G86" t="inlineStr">
        <is>
          <t>LIVE in Dallas - Chapter 38: The Second War Begins | Order of the Phoenix</t>
        </is>
      </c>
      <c r="H86" s="41" t="n">
        <v>0.0828125</v>
      </c>
      <c r="I86" s="42" t="n">
        <v>7105</v>
      </c>
      <c r="J86" s="42" t="n">
        <v>240</v>
      </c>
      <c r="K86" s="42" t="n">
        <v>48</v>
      </c>
      <c r="L86" s="43" t="n"/>
      <c r="M86" s="44" t="n"/>
      <c r="N86" s="44" t="inlineStr">
        <is>
          <t>UCEscP6ETYXWSSvsNrDHekMQ</t>
        </is>
      </c>
      <c r="O86" s="45" t="n">
        <v>46168.89583333334</v>
      </c>
      <c r="P86" s="46" t="n">
        <v>46168</v>
      </c>
      <c r="Q86" s="44" t="n">
        <v>3186</v>
      </c>
      <c r="R86" s="44" t="inlineStr">
        <is>
          <t>No Video ID yet</t>
        </is>
      </c>
      <c r="S86" s="46" t="n"/>
      <c r="T86" s="46" t="n"/>
      <c r="U86" s="44" t="n"/>
      <c r="V86" s="44">
        <f>IF(AND(P86&gt;=Calendar!$K$2,P86&lt;EDATE(Calendar!$K$2,1),OR(Calendar!$K$4="*",N86=Calendar!$K$4)),P86*100+COUNTIFS($P$6:$P$3271,P86,$Q$6:$Q$3271,"&lt;="&amp;Q86,$N$6:$N$3271,Calendar!$K$4),"")</f>
        <v/>
      </c>
      <c r="W86" s="44">
        <f>IF(AND(B86=Queue!$C$4,OR(Queue!$K$4="*",N86=Queue!$K$4)),Q86,"")</f>
        <v/>
      </c>
    </row>
    <row r="87">
      <c r="A87" s="35">
        <f>IF(M87="","",HYPERLINK("https://www.youtube.com/watch?v="&amp;M87,"▶"))</f>
        <v/>
      </c>
      <c r="B87" s="36">
        <f>IF(C87&lt;&gt;"",C87,IF(P87&lt;=IFERROR(INDEX(tblChannels[Watched Through],MATCH(N87,tblChannels[Channel ID],0)),0),"Watched","Unwatched"))</f>
        <v/>
      </c>
      <c r="C87" s="37" t="n"/>
      <c r="D87" s="38" t="n"/>
      <c r="E87" s="39" t="n">
        <v>46166.41666666666</v>
      </c>
      <c r="F87" s="48" t="inlineStr">
        <is>
          <t>Through The Griffin Door</t>
        </is>
      </c>
      <c r="G87" t="inlineStr">
        <is>
          <t>Chapter 38: The Second War Begins | Order of the Phoenix</t>
        </is>
      </c>
      <c r="H87" s="41" t="n">
        <v>0.08306712962962963</v>
      </c>
      <c r="I87" s="42" t="n">
        <v>41029</v>
      </c>
      <c r="J87" s="42" t="n">
        <v>1046</v>
      </c>
      <c r="K87" s="42" t="n">
        <v>399</v>
      </c>
      <c r="L87" s="43" t="n"/>
      <c r="M87" s="44" t="n"/>
      <c r="N87" s="44" t="inlineStr">
        <is>
          <t>UCEscP6ETYXWSSvsNrDHekMQ</t>
        </is>
      </c>
      <c r="O87" s="45" t="n">
        <v>46166.58333333334</v>
      </c>
      <c r="P87" s="46" t="n">
        <v>46166</v>
      </c>
      <c r="Q87" s="44" t="n">
        <v>3185</v>
      </c>
      <c r="R87" s="44" t="inlineStr">
        <is>
          <t>No Video ID yet</t>
        </is>
      </c>
      <c r="S87" s="46" t="n"/>
      <c r="T87" s="46" t="n"/>
      <c r="U87" s="44" t="n"/>
      <c r="V87" s="44">
        <f>IF(AND(P87&gt;=Calendar!$K$2,P87&lt;EDATE(Calendar!$K$2,1),OR(Calendar!$K$4="*",N87=Calendar!$K$4)),P87*100+COUNTIFS($P$6:$P$3271,P87,$Q$6:$Q$3271,"&lt;="&amp;Q87,$N$6:$N$3271,Calendar!$K$4),"")</f>
        <v/>
      </c>
      <c r="W87" s="44">
        <f>IF(AND(B87=Queue!$C$4,OR(Queue!$K$4="*",N87=Queue!$K$4)),Q87,"")</f>
        <v/>
      </c>
    </row>
    <row r="88">
      <c r="A88" s="35">
        <f>IF(M88="","",HYPERLINK("https://www.youtube.com/watch?v="&amp;M88,"▶"))</f>
        <v/>
      </c>
      <c r="B88" s="36">
        <f>IF(C88&lt;&gt;"",C88,IF(P88&lt;=IFERROR(INDEX(tblChannels[Watched Through],MATCH(N88,tblChannels[Channel ID],0)),0),"Watched","Unwatched"))</f>
        <v/>
      </c>
      <c r="C88" s="37" t="n"/>
      <c r="D88" s="38" t="n"/>
      <c r="E88" s="39" t="n">
        <v>46164.625</v>
      </c>
      <c r="F88" s="47" t="inlineStr">
        <is>
          <t>Super Carlin Brothers</t>
        </is>
      </c>
      <c r="G88" t="inlineStr">
        <is>
          <t>Did Fiendfyre DESTROY the Room of Requirement?</t>
        </is>
      </c>
      <c r="H88" s="41" t="n">
        <v>0.009780092592592592</v>
      </c>
      <c r="I88" s="42" t="n">
        <v>78545</v>
      </c>
      <c r="J88" s="42" t="n">
        <v>3563</v>
      </c>
      <c r="K88" s="42" t="n">
        <v>477</v>
      </c>
      <c r="L88" s="43" t="n"/>
      <c r="M88" s="44" t="n"/>
      <c r="N88" s="44" t="inlineStr">
        <is>
          <t>UCKZo4N0lVPccBkSiuyVh4yg</t>
        </is>
      </c>
      <c r="O88" s="45" t="n">
        <v>46164.79166666666</v>
      </c>
      <c r="P88" s="46" t="n">
        <v>46164</v>
      </c>
      <c r="Q88" s="44" t="n">
        <v>3184</v>
      </c>
      <c r="R88" s="44" t="inlineStr">
        <is>
          <t>No Video ID yet</t>
        </is>
      </c>
      <c r="S88" s="46" t="n"/>
      <c r="T88" s="46" t="n"/>
      <c r="U88" s="44" t="n"/>
      <c r="V88" s="44">
        <f>IF(AND(P88&gt;=Calendar!$K$2,P88&lt;EDATE(Calendar!$K$2,1),OR(Calendar!$K$4="*",N88=Calendar!$K$4)),P88*100+COUNTIFS($P$6:$P$3271,P88,$Q$6:$Q$3271,"&lt;="&amp;Q88,$N$6:$N$3271,Calendar!$K$4),"")</f>
        <v/>
      </c>
      <c r="W88" s="44">
        <f>IF(AND(B88=Queue!$C$4,OR(Queue!$K$4="*",N88=Queue!$K$4)),Q88,"")</f>
        <v/>
      </c>
    </row>
    <row r="89">
      <c r="A89" s="35">
        <f>IF(M89="","",HYPERLINK("https://www.youtube.com/watch?v="&amp;M89,"▶"))</f>
        <v/>
      </c>
      <c r="B89" s="36">
        <f>IF(C89&lt;&gt;"",C89,IF(P89&lt;=IFERROR(INDEX(tblChannels[Watched Through],MATCH(N89,tblChannels[Channel ID],0)),0),"Watched","Unwatched"))</f>
        <v/>
      </c>
      <c r="C89" s="37" t="n"/>
      <c r="D89" s="38" t="n"/>
      <c r="E89" s="39" t="n">
        <v>46164.41666666666</v>
      </c>
      <c r="F89" s="40" t="inlineStr">
        <is>
          <t>Popcorn Culture</t>
        </is>
      </c>
      <c r="G89" t="inlineStr">
        <is>
          <t>The Beginning of the End | Popcorn Culture</t>
        </is>
      </c>
      <c r="H89" s="41" t="n">
        <v>0.04288194444444444</v>
      </c>
      <c r="I89" s="42" t="n">
        <v>2183</v>
      </c>
      <c r="J89" s="42" t="n">
        <v>123</v>
      </c>
      <c r="K89" s="42" t="n">
        <v>11</v>
      </c>
      <c r="L89" s="43" t="n"/>
      <c r="M89" s="44" t="n"/>
      <c r="N89" s="44" t="inlineStr">
        <is>
          <t>UCHfIbq9thHPC8yrKjAdJgDA</t>
        </is>
      </c>
      <c r="O89" s="45" t="n">
        <v>46164.58333333334</v>
      </c>
      <c r="P89" s="46" t="n">
        <v>46164</v>
      </c>
      <c r="Q89" s="44" t="n">
        <v>3183</v>
      </c>
      <c r="R89" s="44" t="inlineStr">
        <is>
          <t>No Video ID yet</t>
        </is>
      </c>
      <c r="S89" s="46" t="n"/>
      <c r="T89" s="46" t="n"/>
      <c r="U89" s="44" t="n"/>
      <c r="V89" s="44">
        <f>IF(AND(P89&gt;=Calendar!$K$2,P89&lt;EDATE(Calendar!$K$2,1),OR(Calendar!$K$4="*",N89=Calendar!$K$4)),P89*100+COUNTIFS($P$6:$P$3271,P89,$Q$6:$Q$3271,"&lt;="&amp;Q89,$N$6:$N$3271,Calendar!$K$4),"")</f>
        <v/>
      </c>
      <c r="W89" s="44">
        <f>IF(AND(B89=Queue!$C$4,OR(Queue!$K$4="*",N89=Queue!$K$4)),Q89,"")</f>
        <v/>
      </c>
    </row>
    <row r="90">
      <c r="A90" s="35">
        <f>IF(M90="","",HYPERLINK("https://www.youtube.com/watch?v="&amp;M90,"▶"))</f>
        <v/>
      </c>
      <c r="B90" s="36">
        <f>IF(C90&lt;&gt;"",C90,IF(P90&lt;=IFERROR(INDEX(tblChannels[Watched Through],MATCH(N90,tblChannels[Channel ID],0)),0),"Watched","Unwatched"))</f>
        <v/>
      </c>
      <c r="C90" s="37" t="n"/>
      <c r="D90" s="38" t="n"/>
      <c r="E90" s="39" t="n">
        <v>46162.68194444444</v>
      </c>
      <c r="F90" s="47" t="inlineStr">
        <is>
          <t>Super Carlin Brothers</t>
        </is>
      </c>
      <c r="G90" t="inlineStr">
        <is>
          <t>How Well Do You REALLY Know Molly &amp; Arthur?</t>
        </is>
      </c>
      <c r="H90" s="41" t="n">
        <v>0.02572916666666667</v>
      </c>
      <c r="I90" s="42" t="n">
        <v>63662</v>
      </c>
      <c r="J90" s="42" t="n">
        <v>2590</v>
      </c>
      <c r="K90" s="42" t="n">
        <v>318</v>
      </c>
      <c r="L90" s="43" t="n"/>
      <c r="M90" s="44" t="n"/>
      <c r="N90" s="44" t="inlineStr">
        <is>
          <t>UCKZo4N0lVPccBkSiuyVh4yg</t>
        </is>
      </c>
      <c r="O90" s="45" t="n">
        <v>46162.84861111111</v>
      </c>
      <c r="P90" s="46" t="n">
        <v>46162</v>
      </c>
      <c r="Q90" s="44" t="n">
        <v>3182</v>
      </c>
      <c r="R90" s="44" t="inlineStr">
        <is>
          <t>No Video ID yet</t>
        </is>
      </c>
      <c r="S90" s="46" t="n"/>
      <c r="T90" s="46" t="n"/>
      <c r="U90" s="44" t="n"/>
      <c r="V90" s="44">
        <f>IF(AND(P90&gt;=Calendar!$K$2,P90&lt;EDATE(Calendar!$K$2,1),OR(Calendar!$K$4="*",N90=Calendar!$K$4)),P90*100+COUNTIFS($P$6:$P$3271,P90,$Q$6:$Q$3271,"&lt;="&amp;Q90,$N$6:$N$3271,Calendar!$K$4),"")</f>
        <v/>
      </c>
      <c r="W90" s="44">
        <f>IF(AND(B90=Queue!$C$4,OR(Queue!$K$4="*",N90=Queue!$K$4)),Q90,"")</f>
        <v/>
      </c>
    </row>
    <row r="91">
      <c r="A91" s="35">
        <f>IF(M91="","",HYPERLINK("https://www.youtube.com/watch?v="&amp;M91,"▶"))</f>
        <v/>
      </c>
      <c r="B91" s="36">
        <f>IF(C91&lt;&gt;"",C91,IF(P91&lt;=IFERROR(INDEX(tblChannels[Watched Through],MATCH(N91,tblChannels[Channel ID],0)),0),"Watched","Unwatched"))</f>
        <v/>
      </c>
      <c r="C91" s="37" t="n"/>
      <c r="D91" s="38" t="n"/>
      <c r="E91" s="39" t="n">
        <v>46160.70833333334</v>
      </c>
      <c r="F91" s="48" t="inlineStr">
        <is>
          <t>Through The Griffin Door</t>
        </is>
      </c>
      <c r="G91" t="inlineStr">
        <is>
          <t>LIVE in Houston - Chapter 37: The Lost Prophecy | Order of the Phoenix</t>
        </is>
      </c>
      <c r="H91" s="41" t="n">
        <v>0.08097222222222222</v>
      </c>
      <c r="I91" s="42" t="n">
        <v>7040</v>
      </c>
      <c r="J91" s="42" t="n">
        <v>233</v>
      </c>
      <c r="K91" s="42" t="n">
        <v>51</v>
      </c>
      <c r="L91" s="43" t="n"/>
      <c r="M91" s="44" t="n"/>
      <c r="N91" s="44" t="inlineStr">
        <is>
          <t>UCEscP6ETYXWSSvsNrDHekMQ</t>
        </is>
      </c>
      <c r="O91" s="45" t="n">
        <v>46160.875</v>
      </c>
      <c r="P91" s="46" t="n">
        <v>46160</v>
      </c>
      <c r="Q91" s="44" t="n">
        <v>3181</v>
      </c>
      <c r="R91" s="44" t="inlineStr">
        <is>
          <t>No Video ID yet</t>
        </is>
      </c>
      <c r="S91" s="46" t="n"/>
      <c r="T91" s="46" t="n"/>
      <c r="U91" s="44" t="n"/>
      <c r="V91" s="44">
        <f>IF(AND(P91&gt;=Calendar!$K$2,P91&lt;EDATE(Calendar!$K$2,1),OR(Calendar!$K$4="*",N91=Calendar!$K$4)),P91*100+COUNTIFS($P$6:$P$3271,P91,$Q$6:$Q$3271,"&lt;="&amp;Q91,$N$6:$N$3271,Calendar!$K$4),"")</f>
        <v/>
      </c>
      <c r="W91" s="44">
        <f>IF(AND(B91=Queue!$C$4,OR(Queue!$K$4="*",N91=Queue!$K$4)),Q91,"")</f>
        <v/>
      </c>
    </row>
    <row r="92">
      <c r="A92" s="35">
        <f>IF(M92="","",HYPERLINK("https://www.youtube.com/watch?v="&amp;M92,"▶"))</f>
        <v/>
      </c>
      <c r="B92" s="36">
        <f>IF(C92&lt;&gt;"",C92,IF(P92&lt;=IFERROR(INDEX(tblChannels[Watched Through],MATCH(N92,tblChannels[Channel ID],0)),0),"Watched","Unwatched"))</f>
        <v/>
      </c>
      <c r="C92" s="37" t="n"/>
      <c r="D92" s="38" t="n"/>
      <c r="E92" s="39" t="n">
        <v>46160.69652777778</v>
      </c>
      <c r="F92" s="47" t="inlineStr">
        <is>
          <t>Super Carlin Brothers</t>
        </is>
      </c>
      <c r="G92" t="inlineStr">
        <is>
          <t>Can We Beat Our Old Selves?</t>
        </is>
      </c>
      <c r="H92" s="41" t="n">
        <v>0.03231481481481482</v>
      </c>
      <c r="I92" s="42" t="n">
        <v>97853</v>
      </c>
      <c r="J92" s="42" t="n">
        <v>3638</v>
      </c>
      <c r="K92" s="42" t="n">
        <v>386</v>
      </c>
      <c r="L92" s="43" t="n"/>
      <c r="M92" s="44" t="n"/>
      <c r="N92" s="44" t="inlineStr">
        <is>
          <t>UCKZo4N0lVPccBkSiuyVh4yg</t>
        </is>
      </c>
      <c r="O92" s="45" t="n">
        <v>46160.86319444444</v>
      </c>
      <c r="P92" s="46" t="n">
        <v>46160</v>
      </c>
      <c r="Q92" s="44" t="n">
        <v>3180</v>
      </c>
      <c r="R92" s="44" t="inlineStr">
        <is>
          <t>No Video ID yet</t>
        </is>
      </c>
      <c r="S92" s="46" t="n"/>
      <c r="T92" s="46" t="n"/>
      <c r="U92" s="44" t="n"/>
      <c r="V92" s="44">
        <f>IF(AND(P92&gt;=Calendar!$K$2,P92&lt;EDATE(Calendar!$K$2,1),OR(Calendar!$K$4="*",N92=Calendar!$K$4)),P92*100+COUNTIFS($P$6:$P$3271,P92,$Q$6:$Q$3271,"&lt;="&amp;Q92,$N$6:$N$3271,Calendar!$K$4),"")</f>
        <v/>
      </c>
      <c r="W92" s="44">
        <f>IF(AND(B92=Queue!$C$4,OR(Queue!$K$4="*",N92=Queue!$K$4)),Q92,"")</f>
        <v/>
      </c>
    </row>
    <row r="93">
      <c r="A93" s="35">
        <f>IF(M93="","",HYPERLINK("https://www.youtube.com/watch?v="&amp;M93,"▶"))</f>
        <v/>
      </c>
      <c r="B93" s="36">
        <f>IF(C93&lt;&gt;"",C93,IF(P93&lt;=IFERROR(INDEX(tblChannels[Watched Through],MATCH(N93,tblChannels[Channel ID],0)),0),"Watched","Unwatched"))</f>
        <v/>
      </c>
      <c r="C93" s="37" t="n"/>
      <c r="D93" s="38" t="n"/>
      <c r="E93" s="39" t="n">
        <v>46159.41666666666</v>
      </c>
      <c r="F93" s="48" t="inlineStr">
        <is>
          <t>Through The Griffin Door</t>
        </is>
      </c>
      <c r="G93" t="inlineStr">
        <is>
          <t>Chapter 37: The Lost Prophecy | Order of the Phoenix</t>
        </is>
      </c>
      <c r="H93" s="41" t="n">
        <v>0.09283564814814815</v>
      </c>
      <c r="I93" s="42" t="n">
        <v>44658</v>
      </c>
      <c r="J93" s="42" t="n">
        <v>1108</v>
      </c>
      <c r="K93" s="42" t="n">
        <v>350</v>
      </c>
      <c r="L93" s="43" t="n"/>
      <c r="M93" s="44" t="n"/>
      <c r="N93" s="44" t="inlineStr">
        <is>
          <t>UCEscP6ETYXWSSvsNrDHekMQ</t>
        </is>
      </c>
      <c r="O93" s="45" t="n">
        <v>46159.58333333334</v>
      </c>
      <c r="P93" s="46" t="n">
        <v>46159</v>
      </c>
      <c r="Q93" s="44" t="n">
        <v>3179</v>
      </c>
      <c r="R93" s="44" t="inlineStr">
        <is>
          <t>No Video ID yet</t>
        </is>
      </c>
      <c r="S93" s="46" t="n"/>
      <c r="T93" s="46" t="n"/>
      <c r="U93" s="44" t="n"/>
      <c r="V93" s="44">
        <f>IF(AND(P93&gt;=Calendar!$K$2,P93&lt;EDATE(Calendar!$K$2,1),OR(Calendar!$K$4="*",N93=Calendar!$K$4)),P93*100+COUNTIFS($P$6:$P$3271,P93,$Q$6:$Q$3271,"&lt;="&amp;Q93,$N$6:$N$3271,Calendar!$K$4),"")</f>
        <v/>
      </c>
      <c r="W93" s="44">
        <f>IF(AND(B93=Queue!$C$4,OR(Queue!$K$4="*",N93=Queue!$K$4)),Q93,"")</f>
        <v/>
      </c>
    </row>
    <row r="94">
      <c r="A94" s="35">
        <f>IF(M94="","",HYPERLINK("https://www.youtube.com/watch?v="&amp;M94,"▶"))</f>
        <v/>
      </c>
      <c r="B94" s="36">
        <f>IF(C94&lt;&gt;"",C94,IF(P94&lt;=IFERROR(INDEX(tblChannels[Watched Through],MATCH(N94,tblChannels[Channel ID],0)),0),"Watched","Unwatched"))</f>
        <v/>
      </c>
      <c r="C94" s="37" t="n"/>
      <c r="D94" s="38" t="n"/>
      <c r="E94" s="39" t="n">
        <v>46157.68402777778</v>
      </c>
      <c r="F94" s="47" t="inlineStr">
        <is>
          <t>Super Carlin Brothers</t>
        </is>
      </c>
      <c r="G94" t="inlineStr">
        <is>
          <t>This Voldemort Theory Is WAY Too Dark</t>
        </is>
      </c>
      <c r="H94" s="41" t="n">
        <v>0.01153935185185185</v>
      </c>
      <c r="I94" s="42" t="n">
        <v>340843</v>
      </c>
      <c r="J94" s="42" t="n">
        <v>10526</v>
      </c>
      <c r="K94" s="42" t="n">
        <v>911</v>
      </c>
      <c r="L94" s="43" t="n"/>
      <c r="M94" s="44" t="n"/>
      <c r="N94" s="44" t="inlineStr">
        <is>
          <t>UCKZo4N0lVPccBkSiuyVh4yg</t>
        </is>
      </c>
      <c r="O94" s="45" t="n">
        <v>46157.85069444445</v>
      </c>
      <c r="P94" s="46" t="n">
        <v>46157</v>
      </c>
      <c r="Q94" s="44" t="n">
        <v>3178</v>
      </c>
      <c r="R94" s="44" t="inlineStr">
        <is>
          <t>No Video ID yet</t>
        </is>
      </c>
      <c r="S94" s="46" t="n"/>
      <c r="T94" s="46" t="n"/>
      <c r="U94" s="44" t="n"/>
      <c r="V94" s="44">
        <f>IF(AND(P94&gt;=Calendar!$K$2,P94&lt;EDATE(Calendar!$K$2,1),OR(Calendar!$K$4="*",N94=Calendar!$K$4)),P94*100+COUNTIFS($P$6:$P$3271,P94,$Q$6:$Q$3271,"&lt;="&amp;Q94,$N$6:$N$3271,Calendar!$K$4),"")</f>
        <v/>
      </c>
      <c r="W94" s="44">
        <f>IF(AND(B94=Queue!$C$4,OR(Queue!$K$4="*",N94=Queue!$K$4)),Q94,"")</f>
        <v/>
      </c>
    </row>
    <row r="95">
      <c r="A95" s="35">
        <f>IF(M95="","",HYPERLINK("https://www.youtube.com/watch?v="&amp;M95,"▶"))</f>
        <v/>
      </c>
      <c r="B95" s="36">
        <f>IF(C95&lt;&gt;"",C95,IF(P95&lt;=IFERROR(INDEX(tblChannels[Watched Through],MATCH(N95,tblChannels[Channel ID],0)),0),"Watched","Unwatched"))</f>
        <v/>
      </c>
      <c r="C95" s="37" t="n"/>
      <c r="D95" s="38" t="n"/>
      <c r="E95" s="39" t="n">
        <v>46157.41666666666</v>
      </c>
      <c r="F95" s="40" t="inlineStr">
        <is>
          <t>Popcorn Culture</t>
        </is>
      </c>
      <c r="G95" t="inlineStr">
        <is>
          <t>The Button Experiment | Popcorn Culture</t>
        </is>
      </c>
      <c r="H95" s="41" t="n">
        <v>0.04542824074074074</v>
      </c>
      <c r="I95" s="42" t="n">
        <v>2116</v>
      </c>
      <c r="J95" s="42" t="n">
        <v>110</v>
      </c>
      <c r="K95" s="42" t="n">
        <v>16</v>
      </c>
      <c r="L95" s="43" t="n"/>
      <c r="M95" s="44" t="n"/>
      <c r="N95" s="44" t="inlineStr">
        <is>
          <t>UCHfIbq9thHPC8yrKjAdJgDA</t>
        </is>
      </c>
      <c r="O95" s="45" t="n">
        <v>46157.58333333334</v>
      </c>
      <c r="P95" s="46" t="n">
        <v>46157</v>
      </c>
      <c r="Q95" s="44" t="n">
        <v>3177</v>
      </c>
      <c r="R95" s="44" t="inlineStr">
        <is>
          <t>No Video ID yet</t>
        </is>
      </c>
      <c r="S95" s="46" t="n"/>
      <c r="T95" s="46" t="n"/>
      <c r="U95" s="44" t="n"/>
      <c r="V95" s="44">
        <f>IF(AND(P95&gt;=Calendar!$K$2,P95&lt;EDATE(Calendar!$K$2,1),OR(Calendar!$K$4="*",N95=Calendar!$K$4)),P95*100+COUNTIFS($P$6:$P$3271,P95,$Q$6:$Q$3271,"&lt;="&amp;Q95,$N$6:$N$3271,Calendar!$K$4),"")</f>
        <v/>
      </c>
      <c r="W95" s="44">
        <f>IF(AND(B95=Queue!$C$4,OR(Queue!$K$4="*",N95=Queue!$K$4)),Q95,"")</f>
        <v/>
      </c>
    </row>
    <row r="96">
      <c r="A96" s="35">
        <f>IF(M96="","",HYPERLINK("https://www.youtube.com/watch?v="&amp;M96,"▶"))</f>
        <v/>
      </c>
      <c r="B96" s="36">
        <f>IF(C96&lt;&gt;"",C96,IF(P96&lt;=IFERROR(INDEX(tblChannels[Watched Through],MATCH(N96,tblChannels[Channel ID],0)),0),"Watched","Unwatched"))</f>
        <v/>
      </c>
      <c r="C96" s="37" t="n"/>
      <c r="D96" s="38" t="n"/>
      <c r="E96" s="39" t="n">
        <v>46155.68402777778</v>
      </c>
      <c r="F96" s="47" t="inlineStr">
        <is>
          <t>Super Carlin Brothers</t>
        </is>
      </c>
      <c r="G96" t="inlineStr">
        <is>
          <t>Who REALLY Would’ve Won the Triwizard Tournament?</t>
        </is>
      </c>
      <c r="H96" s="41" t="n">
        <v>0.01282407407407407</v>
      </c>
      <c r="I96" s="42" t="n">
        <v>171352</v>
      </c>
      <c r="J96" s="42" t="n">
        <v>5096</v>
      </c>
      <c r="K96" s="42" t="n">
        <v>674</v>
      </c>
      <c r="L96" s="43" t="n"/>
      <c r="M96" s="44" t="n"/>
      <c r="N96" s="44" t="inlineStr">
        <is>
          <t>UCKZo4N0lVPccBkSiuyVh4yg</t>
        </is>
      </c>
      <c r="O96" s="45" t="n">
        <v>46155.85069444445</v>
      </c>
      <c r="P96" s="46" t="n">
        <v>46155</v>
      </c>
      <c r="Q96" s="44" t="n">
        <v>3176</v>
      </c>
      <c r="R96" s="44" t="inlineStr">
        <is>
          <t>No Video ID yet</t>
        </is>
      </c>
      <c r="S96" s="46" t="n"/>
      <c r="T96" s="46" t="n"/>
      <c r="U96" s="44" t="n"/>
      <c r="V96" s="44">
        <f>IF(AND(P96&gt;=Calendar!$K$2,P96&lt;EDATE(Calendar!$K$2,1),OR(Calendar!$K$4="*",N96=Calendar!$K$4)),P96*100+COUNTIFS($P$6:$P$3271,P96,$Q$6:$Q$3271,"&lt;="&amp;Q96,$N$6:$N$3271,Calendar!$K$4),"")</f>
        <v/>
      </c>
      <c r="W96" s="44">
        <f>IF(AND(B96=Queue!$C$4,OR(Queue!$K$4="*",N96=Queue!$K$4)),Q96,"")</f>
        <v/>
      </c>
    </row>
    <row r="97">
      <c r="A97" s="35">
        <f>IF(M97="","",HYPERLINK("https://www.youtube.com/watch?v="&amp;M97,"▶"))</f>
        <v/>
      </c>
      <c r="B97" s="36">
        <f>IF(C97&lt;&gt;"",C97,IF(P97&lt;=IFERROR(INDEX(tblChannels[Watched Through],MATCH(N97,tblChannels[Channel ID],0)),0),"Watched","Unwatched"))</f>
        <v/>
      </c>
      <c r="C97" s="37" t="n"/>
      <c r="D97" s="38" t="n"/>
      <c r="E97" s="39" t="n">
        <v>46153.70833333334</v>
      </c>
      <c r="F97" s="48" t="inlineStr">
        <is>
          <t>Through The Griffin Door</t>
        </is>
      </c>
      <c r="G97" t="inlineStr">
        <is>
          <t>LIVE in Phoenix - Chapter 36: The Only One He Ever Feared | Order of the Phoenix</t>
        </is>
      </c>
      <c r="H97" s="41" t="n">
        <v>0.07519675925925925</v>
      </c>
      <c r="I97" s="42" t="n">
        <v>7736</v>
      </c>
      <c r="J97" s="42" t="n">
        <v>285</v>
      </c>
      <c r="K97" s="42" t="n">
        <v>55</v>
      </c>
      <c r="L97" s="43" t="n"/>
      <c r="M97" s="44" t="n"/>
      <c r="N97" s="44" t="inlineStr">
        <is>
          <t>UCEscP6ETYXWSSvsNrDHekMQ</t>
        </is>
      </c>
      <c r="O97" s="45" t="n">
        <v>46153.875</v>
      </c>
      <c r="P97" s="46" t="n">
        <v>46153</v>
      </c>
      <c r="Q97" s="44" t="n">
        <v>3175</v>
      </c>
      <c r="R97" s="44" t="inlineStr">
        <is>
          <t>No Video ID yet</t>
        </is>
      </c>
      <c r="S97" s="46" t="n"/>
      <c r="T97" s="46" t="n"/>
      <c r="U97" s="44" t="n"/>
      <c r="V97" s="44">
        <f>IF(AND(P97&gt;=Calendar!$K$2,P97&lt;EDATE(Calendar!$K$2,1),OR(Calendar!$K$4="*",N97=Calendar!$K$4)),P97*100+COUNTIFS($P$6:$P$3271,P97,$Q$6:$Q$3271,"&lt;="&amp;Q97,$N$6:$N$3271,Calendar!$K$4),"")</f>
        <v/>
      </c>
      <c r="W97" s="44">
        <f>IF(AND(B97=Queue!$C$4,OR(Queue!$K$4="*",N97=Queue!$K$4)),Q97,"")</f>
        <v/>
      </c>
    </row>
    <row r="98">
      <c r="A98" s="35">
        <f>IF(M98="","",HYPERLINK("https://www.youtube.com/watch?v="&amp;M98,"▶"))</f>
        <v/>
      </c>
      <c r="B98" s="36">
        <f>IF(C98&lt;&gt;"",C98,IF(P98&lt;=IFERROR(INDEX(tblChannels[Watched Through],MATCH(N98,tblChannels[Channel ID],0)),0),"Watched","Unwatched"))</f>
        <v/>
      </c>
      <c r="C98" s="37" t="n"/>
      <c r="D98" s="38" t="n"/>
      <c r="E98" s="39" t="n">
        <v>46152.41736111111</v>
      </c>
      <c r="F98" s="48" t="inlineStr">
        <is>
          <t>Through The Griffin Door</t>
        </is>
      </c>
      <c r="G98" t="inlineStr">
        <is>
          <t>Chapter 36: The Only One He Ever Feared | Order of the Phoenix</t>
        </is>
      </c>
      <c r="H98" s="41" t="n">
        <v>0.06488425925925925</v>
      </c>
      <c r="I98" s="42" t="n">
        <v>35633</v>
      </c>
      <c r="J98" s="42" t="n">
        <v>1019</v>
      </c>
      <c r="K98" s="42" t="n">
        <v>352</v>
      </c>
      <c r="L98" s="43" t="n"/>
      <c r="M98" s="44" t="n"/>
      <c r="N98" s="44" t="inlineStr">
        <is>
          <t>UCEscP6ETYXWSSvsNrDHekMQ</t>
        </is>
      </c>
      <c r="O98" s="45" t="n">
        <v>46152.58402777778</v>
      </c>
      <c r="P98" s="46" t="n">
        <v>46152</v>
      </c>
      <c r="Q98" s="44" t="n">
        <v>3174</v>
      </c>
      <c r="R98" s="44" t="inlineStr">
        <is>
          <t>No Video ID yet</t>
        </is>
      </c>
      <c r="S98" s="46" t="n"/>
      <c r="T98" s="46" t="n"/>
      <c r="U98" s="44" t="n"/>
      <c r="V98" s="44">
        <f>IF(AND(P98&gt;=Calendar!$K$2,P98&lt;EDATE(Calendar!$K$2,1),OR(Calendar!$K$4="*",N98=Calendar!$K$4)),P98*100+COUNTIFS($P$6:$P$3271,P98,$Q$6:$Q$3271,"&lt;="&amp;Q98,$N$6:$N$3271,Calendar!$K$4),"")</f>
        <v/>
      </c>
      <c r="W98" s="44">
        <f>IF(AND(B98=Queue!$C$4,OR(Queue!$K$4="*",N98=Queue!$K$4)),Q98,"")</f>
        <v/>
      </c>
    </row>
    <row r="99">
      <c r="A99" s="35">
        <f>IF(M99="","",HYPERLINK("https://www.youtube.com/watch?v="&amp;M99,"▶"))</f>
        <v/>
      </c>
      <c r="B99" s="36">
        <f>IF(C99&lt;&gt;"",C99,IF(P99&lt;=IFERROR(INDEX(tblChannels[Watched Through],MATCH(N99,tblChannels[Channel ID],0)),0),"Watched","Unwatched"))</f>
        <v/>
      </c>
      <c r="C99" s="37" t="n"/>
      <c r="D99" s="38" t="n"/>
      <c r="E99" s="39" t="n">
        <v>46150.63333333333</v>
      </c>
      <c r="F99" s="47" t="inlineStr">
        <is>
          <t>Super Carlin Brothers</t>
        </is>
      </c>
      <c r="G99" t="inlineStr">
        <is>
          <t>Why Harry Chose Sirius Over Lupin</t>
        </is>
      </c>
      <c r="H99" s="41" t="n">
        <v>0.01011574074074074</v>
      </c>
      <c r="I99" s="42" t="n">
        <v>69864</v>
      </c>
      <c r="J99" s="42" t="n">
        <v>3184</v>
      </c>
      <c r="K99" s="42" t="n">
        <v>296</v>
      </c>
      <c r="L99" s="43" t="n"/>
      <c r="M99" s="44" t="n"/>
      <c r="N99" s="44" t="inlineStr">
        <is>
          <t>UCKZo4N0lVPccBkSiuyVh4yg</t>
        </is>
      </c>
      <c r="O99" s="45" t="n">
        <v>46150.8</v>
      </c>
      <c r="P99" s="46" t="n">
        <v>46150</v>
      </c>
      <c r="Q99" s="44" t="n">
        <v>3173</v>
      </c>
      <c r="R99" s="44" t="inlineStr">
        <is>
          <t>No Video ID yet</t>
        </is>
      </c>
      <c r="S99" s="46" t="n"/>
      <c r="T99" s="46" t="n"/>
      <c r="U99" s="44" t="n"/>
      <c r="V99" s="44">
        <f>IF(AND(P99&gt;=Calendar!$K$2,P99&lt;EDATE(Calendar!$K$2,1),OR(Calendar!$K$4="*",N99=Calendar!$K$4)),P99*100+COUNTIFS($P$6:$P$3271,P99,$Q$6:$Q$3271,"&lt;="&amp;Q99,$N$6:$N$3271,Calendar!$K$4),"")</f>
        <v/>
      </c>
      <c r="W99" s="44">
        <f>IF(AND(B99=Queue!$C$4,OR(Queue!$K$4="*",N99=Queue!$K$4)),Q99,"")</f>
        <v/>
      </c>
    </row>
    <row r="100">
      <c r="A100" s="35">
        <f>IF(M100="","",HYPERLINK("https://www.youtube.com/watch?v="&amp;M100,"▶"))</f>
        <v/>
      </c>
      <c r="B100" s="36">
        <f>IF(C100&lt;&gt;"",C100,IF(P100&lt;=IFERROR(INDEX(tblChannels[Watched Through],MATCH(N100,tblChannels[Channel ID],0)),0),"Watched","Unwatched"))</f>
        <v/>
      </c>
      <c r="C100" s="37" t="n"/>
      <c r="D100" s="38" t="n"/>
      <c r="E100" s="39" t="n">
        <v>46150.41666666666</v>
      </c>
      <c r="F100" s="40" t="inlineStr">
        <is>
          <t>Popcorn Culture</t>
        </is>
      </c>
      <c r="G100" t="inlineStr">
        <is>
          <t>How To Fix The World | Popcorn Culture</t>
        </is>
      </c>
      <c r="H100" s="41" t="n">
        <v>0.04258101851851852</v>
      </c>
      <c r="I100" s="42" t="n">
        <v>2143</v>
      </c>
      <c r="J100" s="42" t="n">
        <v>112</v>
      </c>
      <c r="K100" s="42" t="n">
        <v>26</v>
      </c>
      <c r="L100" s="43" t="n"/>
      <c r="M100" s="44" t="n"/>
      <c r="N100" s="44" t="inlineStr">
        <is>
          <t>UCHfIbq9thHPC8yrKjAdJgDA</t>
        </is>
      </c>
      <c r="O100" s="45" t="n">
        <v>46150.58333333334</v>
      </c>
      <c r="P100" s="46" t="n">
        <v>46150</v>
      </c>
      <c r="Q100" s="44" t="n">
        <v>3172</v>
      </c>
      <c r="R100" s="44" t="inlineStr">
        <is>
          <t>No Video ID yet</t>
        </is>
      </c>
      <c r="S100" s="46" t="n"/>
      <c r="T100" s="46" t="n"/>
      <c r="U100" s="44" t="n"/>
      <c r="V100" s="44">
        <f>IF(AND(P100&gt;=Calendar!$K$2,P100&lt;EDATE(Calendar!$K$2,1),OR(Calendar!$K$4="*",N100=Calendar!$K$4)),P100*100+COUNTIFS($P$6:$P$3271,P100,$Q$6:$Q$3271,"&lt;="&amp;Q100,$N$6:$N$3271,Calendar!$K$4),"")</f>
        <v/>
      </c>
      <c r="W100" s="44">
        <f>IF(AND(B100=Queue!$C$4,OR(Queue!$K$4="*",N100=Queue!$K$4)),Q100,"")</f>
        <v/>
      </c>
    </row>
    <row r="101">
      <c r="A101" s="35">
        <f>IF(M101="","",HYPERLINK("https://www.youtube.com/watch?v="&amp;M101,"▶"))</f>
        <v/>
      </c>
      <c r="B101" s="36">
        <f>IF(C101&lt;&gt;"",C101,IF(P101&lt;=IFERROR(INDEX(tblChannels[Watched Through],MATCH(N101,tblChannels[Channel ID],0)),0),"Watched","Unwatched"))</f>
        <v/>
      </c>
      <c r="C101" s="37" t="n"/>
      <c r="D101" s="38" t="n"/>
      <c r="E101" s="39" t="n">
        <v>46148.72430555556</v>
      </c>
      <c r="F101" s="47" t="inlineStr">
        <is>
          <t>Super Carlin Brothers</t>
        </is>
      </c>
      <c r="G101" t="inlineStr">
        <is>
          <t>Can We Pass This BRUTAL Mauraders Quiz?! | J vs Ben</t>
        </is>
      </c>
      <c r="H101" s="41" t="n">
        <v>0.02806712962962963</v>
      </c>
      <c r="I101" s="42" t="n">
        <v>73045</v>
      </c>
      <c r="J101" s="42" t="n">
        <v>2654</v>
      </c>
      <c r="K101" s="42" t="n">
        <v>263</v>
      </c>
      <c r="L101" s="43" t="n"/>
      <c r="M101" s="44" t="n"/>
      <c r="N101" s="44" t="inlineStr">
        <is>
          <t>UCKZo4N0lVPccBkSiuyVh4yg</t>
        </is>
      </c>
      <c r="O101" s="45" t="n">
        <v>46148.89097222222</v>
      </c>
      <c r="P101" s="46" t="n">
        <v>46148</v>
      </c>
      <c r="Q101" s="44" t="n">
        <v>3171</v>
      </c>
      <c r="R101" s="44" t="inlineStr">
        <is>
          <t>No Video ID yet</t>
        </is>
      </c>
      <c r="S101" s="46" t="n"/>
      <c r="T101" s="46" t="n"/>
      <c r="U101" s="44" t="n"/>
      <c r="V101" s="44">
        <f>IF(AND(P101&gt;=Calendar!$K$2,P101&lt;EDATE(Calendar!$K$2,1),OR(Calendar!$K$4="*",N101=Calendar!$K$4)),P101*100+COUNTIFS($P$6:$P$3271,P101,$Q$6:$Q$3271,"&lt;="&amp;Q101,$N$6:$N$3271,Calendar!$K$4),"")</f>
        <v/>
      </c>
      <c r="W101" s="44">
        <f>IF(AND(B101=Queue!$C$4,OR(Queue!$K$4="*",N101=Queue!$K$4)),Q101,"")</f>
        <v/>
      </c>
    </row>
    <row r="102">
      <c r="A102" s="35">
        <f>IF(M102="","",HYPERLINK("https://www.youtube.com/watch?v="&amp;M102,"▶"))</f>
        <v/>
      </c>
      <c r="B102" s="36">
        <f>IF(C102&lt;&gt;"",C102,IF(P102&lt;=IFERROR(INDEX(tblChannels[Watched Through],MATCH(N102,tblChannels[Channel ID],0)),0),"Watched","Unwatched"))</f>
        <v/>
      </c>
      <c r="C102" s="37" t="n"/>
      <c r="D102" s="38" t="n"/>
      <c r="E102" s="39" t="n">
        <v>46146.70833333334</v>
      </c>
      <c r="F102" s="48" t="inlineStr">
        <is>
          <t>Through The Griffin Door</t>
        </is>
      </c>
      <c r="G102" t="inlineStr">
        <is>
          <t>LIVE in Las Vegas - Chapter 35: Beyond the Veil | Order of the Phoenix</t>
        </is>
      </c>
      <c r="H102" s="41" t="n">
        <v>0.0862037037037037</v>
      </c>
      <c r="I102" s="42" t="n">
        <v>7030</v>
      </c>
      <c r="J102" s="42" t="n">
        <v>259</v>
      </c>
      <c r="K102" s="42" t="n">
        <v>75</v>
      </c>
      <c r="L102" s="43" t="n"/>
      <c r="M102" s="44" t="n"/>
      <c r="N102" s="44" t="inlineStr">
        <is>
          <t>UCEscP6ETYXWSSvsNrDHekMQ</t>
        </is>
      </c>
      <c r="O102" s="45" t="n">
        <v>46146.875</v>
      </c>
      <c r="P102" s="46" t="n">
        <v>46146</v>
      </c>
      <c r="Q102" s="44" t="n">
        <v>3170</v>
      </c>
      <c r="R102" s="44" t="inlineStr">
        <is>
          <t>No Video ID yet</t>
        </is>
      </c>
      <c r="S102" s="46" t="n"/>
      <c r="T102" s="46" t="n"/>
      <c r="U102" s="44" t="n"/>
      <c r="V102" s="44">
        <f>IF(AND(P102&gt;=Calendar!$K$2,P102&lt;EDATE(Calendar!$K$2,1),OR(Calendar!$K$4="*",N102=Calendar!$K$4)),P102*100+COUNTIFS($P$6:$P$3271,P102,$Q$6:$Q$3271,"&lt;="&amp;Q102,$N$6:$N$3271,Calendar!$K$4),"")</f>
        <v/>
      </c>
      <c r="W102" s="44">
        <f>IF(AND(B102=Queue!$C$4,OR(Queue!$K$4="*",N102=Queue!$K$4)),Q102,"")</f>
        <v/>
      </c>
    </row>
    <row r="103">
      <c r="A103" s="35">
        <f>IF(M103="","",HYPERLINK("https://www.youtube.com/watch?v="&amp;M103,"▶"))</f>
        <v/>
      </c>
      <c r="B103" s="36">
        <f>IF(C103&lt;&gt;"",C103,IF(P103&lt;=IFERROR(INDEX(tblChannels[Watched Through],MATCH(N103,tblChannels[Channel ID],0)),0),"Watched","Unwatched"))</f>
        <v/>
      </c>
      <c r="C103" s="37" t="n"/>
      <c r="D103" s="38" t="n"/>
      <c r="E103" s="39" t="n">
        <v>46145.41666666666</v>
      </c>
      <c r="F103" s="48" t="inlineStr">
        <is>
          <t>Through The Griffin Door</t>
        </is>
      </c>
      <c r="G103" t="inlineStr">
        <is>
          <t>Chapter 35: Beyond the Veil | Order of the Phoenix</t>
        </is>
      </c>
      <c r="H103" s="41" t="n">
        <v>0.07930555555555556</v>
      </c>
      <c r="I103" s="42" t="n">
        <v>37621</v>
      </c>
      <c r="J103" s="42" t="n">
        <v>1044</v>
      </c>
      <c r="K103" s="42" t="n">
        <v>349</v>
      </c>
      <c r="L103" s="43" t="n"/>
      <c r="M103" s="44" t="n"/>
      <c r="N103" s="44" t="inlineStr">
        <is>
          <t>UCEscP6ETYXWSSvsNrDHekMQ</t>
        </is>
      </c>
      <c r="O103" s="45" t="n">
        <v>46145.58333333334</v>
      </c>
      <c r="P103" s="46" t="n">
        <v>46145</v>
      </c>
      <c r="Q103" s="44" t="n">
        <v>3169</v>
      </c>
      <c r="R103" s="44" t="inlineStr">
        <is>
          <t>No Video ID yet</t>
        </is>
      </c>
      <c r="S103" s="46" t="n"/>
      <c r="T103" s="46" t="n"/>
      <c r="U103" s="44" t="n"/>
      <c r="V103" s="44">
        <f>IF(AND(P103&gt;=Calendar!$K$2,P103&lt;EDATE(Calendar!$K$2,1),OR(Calendar!$K$4="*",N103=Calendar!$K$4)),P103*100+COUNTIFS($P$6:$P$3271,P103,$Q$6:$Q$3271,"&lt;="&amp;Q103,$N$6:$N$3271,Calendar!$K$4),"")</f>
        <v/>
      </c>
      <c r="W103" s="44">
        <f>IF(AND(B103=Queue!$C$4,OR(Queue!$K$4="*",N103=Queue!$K$4)),Q103,"")</f>
        <v/>
      </c>
    </row>
    <row r="104">
      <c r="A104" s="35">
        <f>IF(M104="","",HYPERLINK("https://www.youtube.com/watch?v="&amp;M104,"▶"))</f>
        <v/>
      </c>
      <c r="B104" s="36">
        <f>IF(C104&lt;&gt;"",C104,IF(P104&lt;=IFERROR(INDEX(tblChannels[Watched Through],MATCH(N104,tblChannels[Channel ID],0)),0),"Watched","Unwatched"))</f>
        <v/>
      </c>
      <c r="C104" s="37" t="n"/>
      <c r="D104" s="38" t="n"/>
      <c r="E104" s="39" t="n">
        <v>46143.71041666667</v>
      </c>
      <c r="F104" s="47" t="inlineStr">
        <is>
          <t>Super Carlin Brothers</t>
        </is>
      </c>
      <c r="G104" t="inlineStr">
        <is>
          <t>The Horcrux Kill That NEVER Made Sense… Until Now</t>
        </is>
      </c>
      <c r="H104" s="41" t="n">
        <v>0.01324074074074074</v>
      </c>
      <c r="I104" s="42" t="n">
        <v>343092</v>
      </c>
      <c r="J104" s="42" t="n">
        <v>9038</v>
      </c>
      <c r="K104" s="42" t="n">
        <v>937</v>
      </c>
      <c r="L104" s="43" t="n"/>
      <c r="M104" s="44" t="n"/>
      <c r="N104" s="44" t="inlineStr">
        <is>
          <t>UCKZo4N0lVPccBkSiuyVh4yg</t>
        </is>
      </c>
      <c r="O104" s="45" t="n">
        <v>46143.87708333333</v>
      </c>
      <c r="P104" s="46" t="n">
        <v>46143</v>
      </c>
      <c r="Q104" s="44" t="n">
        <v>3168</v>
      </c>
      <c r="R104" s="44" t="inlineStr">
        <is>
          <t>No Video ID yet</t>
        </is>
      </c>
      <c r="S104" s="46" t="n"/>
      <c r="T104" s="46" t="n"/>
      <c r="U104" s="44" t="n"/>
      <c r="V104" s="44">
        <f>IF(AND(P104&gt;=Calendar!$K$2,P104&lt;EDATE(Calendar!$K$2,1),OR(Calendar!$K$4="*",N104=Calendar!$K$4)),P104*100+COUNTIFS($P$6:$P$3271,P104,$Q$6:$Q$3271,"&lt;="&amp;Q104,$N$6:$N$3271,Calendar!$K$4),"")</f>
        <v/>
      </c>
      <c r="W104" s="44">
        <f>IF(AND(B104=Queue!$C$4,OR(Queue!$K$4="*",N104=Queue!$K$4)),Q104,"")</f>
        <v/>
      </c>
    </row>
    <row r="105">
      <c r="A105" s="35">
        <f>IF(M105="","",HYPERLINK("https://www.youtube.com/watch?v="&amp;M105,"▶"))</f>
        <v/>
      </c>
      <c r="B105" s="36">
        <f>IF(C105&lt;&gt;"",C105,IF(P105&lt;=IFERROR(INDEX(tblChannels[Watched Through],MATCH(N105,tblChannels[Channel ID],0)),0),"Watched","Unwatched"))</f>
        <v/>
      </c>
      <c r="C105" s="37" t="n"/>
      <c r="D105" s="38" t="n"/>
      <c r="E105" s="39" t="n">
        <v>46143.41666666666</v>
      </c>
      <c r="F105" s="40" t="inlineStr">
        <is>
          <t>Popcorn Culture</t>
        </is>
      </c>
      <c r="G105" t="inlineStr">
        <is>
          <t>The Reverse Onus | Popcorn Culture</t>
        </is>
      </c>
      <c r="H105" s="41" t="n">
        <v>0.04328703703703703</v>
      </c>
      <c r="I105" s="42" t="n">
        <v>2153</v>
      </c>
      <c r="J105" s="42" t="n">
        <v>115</v>
      </c>
      <c r="K105" s="42" t="n">
        <v>25</v>
      </c>
      <c r="L105" s="43" t="n"/>
      <c r="M105" s="44" t="n"/>
      <c r="N105" s="44" t="inlineStr">
        <is>
          <t>UCHfIbq9thHPC8yrKjAdJgDA</t>
        </is>
      </c>
      <c r="O105" s="45" t="n">
        <v>46143.58333333334</v>
      </c>
      <c r="P105" s="46" t="n">
        <v>46143</v>
      </c>
      <c r="Q105" s="44" t="n">
        <v>3167</v>
      </c>
      <c r="R105" s="44" t="inlineStr">
        <is>
          <t>No Video ID yet</t>
        </is>
      </c>
      <c r="S105" s="46" t="n"/>
      <c r="T105" s="46" t="n"/>
      <c r="U105" s="44" t="n"/>
      <c r="V105" s="44">
        <f>IF(AND(P105&gt;=Calendar!$K$2,P105&lt;EDATE(Calendar!$K$2,1),OR(Calendar!$K$4="*",N105=Calendar!$K$4)),P105*100+COUNTIFS($P$6:$P$3271,P105,$Q$6:$Q$3271,"&lt;="&amp;Q105,$N$6:$N$3271,Calendar!$K$4),"")</f>
        <v/>
      </c>
      <c r="W105" s="44">
        <f>IF(AND(B105=Queue!$C$4,OR(Queue!$K$4="*",N105=Queue!$K$4)),Q105,"")</f>
        <v/>
      </c>
    </row>
    <row r="106">
      <c r="A106" s="35">
        <f>IF(M106="","",HYPERLINK("https://www.youtube.com/watch?v="&amp;M106,"▶"))</f>
        <v/>
      </c>
      <c r="B106" s="36">
        <f>IF(C106&lt;&gt;"",C106,IF(P106&lt;=IFERROR(INDEX(tblChannels[Watched Through],MATCH(N106,tblChannels[Channel ID],0)),0),"Watched","Unwatched"))</f>
        <v/>
      </c>
      <c r="C106" s="37" t="n"/>
      <c r="D106" s="38" t="n"/>
      <c r="E106" s="39" t="n">
        <v>46141.67222222222</v>
      </c>
      <c r="F106" s="47" t="inlineStr">
        <is>
          <t>Super Carlin Brothers</t>
        </is>
      </c>
      <c r="G106" t="inlineStr">
        <is>
          <t>Harry Potter Killed Dobby (And I Can Prove It)</t>
        </is>
      </c>
      <c r="H106" s="41" t="n">
        <v>0.009988425925925927</v>
      </c>
      <c r="I106" s="42" t="n">
        <v>56116</v>
      </c>
      <c r="J106" s="42" t="n">
        <v>2715</v>
      </c>
      <c r="K106" s="42" t="n">
        <v>354</v>
      </c>
      <c r="L106" s="43" t="n"/>
      <c r="M106" s="44" t="n"/>
      <c r="N106" s="44" t="inlineStr">
        <is>
          <t>UCKZo4N0lVPccBkSiuyVh4yg</t>
        </is>
      </c>
      <c r="O106" s="45" t="n">
        <v>46141.83888888889</v>
      </c>
      <c r="P106" s="46" t="n">
        <v>46141</v>
      </c>
      <c r="Q106" s="44" t="n">
        <v>3166</v>
      </c>
      <c r="R106" s="44" t="inlineStr">
        <is>
          <t>No Video ID yet</t>
        </is>
      </c>
      <c r="S106" s="46" t="n"/>
      <c r="T106" s="46" t="n"/>
      <c r="U106" s="44" t="n"/>
      <c r="V106" s="44">
        <f>IF(AND(P106&gt;=Calendar!$K$2,P106&lt;EDATE(Calendar!$K$2,1),OR(Calendar!$K$4="*",N106=Calendar!$K$4)),P106*100+COUNTIFS($P$6:$P$3271,P106,$Q$6:$Q$3271,"&lt;="&amp;Q106,$N$6:$N$3271,Calendar!$K$4),"")</f>
        <v/>
      </c>
      <c r="W106" s="44">
        <f>IF(AND(B106=Queue!$C$4,OR(Queue!$K$4="*",N106=Queue!$K$4)),Q106,"")</f>
        <v/>
      </c>
    </row>
    <row r="107">
      <c r="A107" s="35">
        <f>IF(M107="","",HYPERLINK("https://www.youtube.com/watch?v="&amp;M107,"▶"))</f>
        <v/>
      </c>
      <c r="B107" s="36">
        <f>IF(C107&lt;&gt;"",C107,IF(P107&lt;=IFERROR(INDEX(tblChannels[Watched Through],MATCH(N107,tblChannels[Channel ID],0)),0),"Watched","Unwatched"))</f>
        <v/>
      </c>
      <c r="C107" s="37" t="n"/>
      <c r="D107" s="38" t="n"/>
      <c r="E107" s="39" t="n">
        <v>46140.70833333334</v>
      </c>
      <c r="F107" s="48" t="inlineStr">
        <is>
          <t>Through The Griffin Door</t>
        </is>
      </c>
      <c r="G107" t="inlineStr">
        <is>
          <t>LIVE in Salt Lake City - Chapter 34: The Department of Mysteries | Order of the Phoenix</t>
        </is>
      </c>
      <c r="H107" s="41" t="n">
        <v>0.06944444444444445</v>
      </c>
      <c r="I107" s="42" t="n">
        <v>8074</v>
      </c>
      <c r="J107" s="42" t="n">
        <v>310</v>
      </c>
      <c r="K107" s="42" t="n">
        <v>97</v>
      </c>
      <c r="L107" s="43" t="n"/>
      <c r="M107" s="44" t="n"/>
      <c r="N107" s="44" t="inlineStr">
        <is>
          <t>UCEscP6ETYXWSSvsNrDHekMQ</t>
        </is>
      </c>
      <c r="O107" s="45" t="n">
        <v>46140.875</v>
      </c>
      <c r="P107" s="46" t="n">
        <v>46140</v>
      </c>
      <c r="Q107" s="44" t="n">
        <v>3165</v>
      </c>
      <c r="R107" s="44" t="inlineStr">
        <is>
          <t>No Video ID yet</t>
        </is>
      </c>
      <c r="S107" s="46" t="n"/>
      <c r="T107" s="46" t="n"/>
      <c r="U107" s="44" t="n"/>
      <c r="V107" s="44">
        <f>IF(AND(P107&gt;=Calendar!$K$2,P107&lt;EDATE(Calendar!$K$2,1),OR(Calendar!$K$4="*",N107=Calendar!$K$4)),P107*100+COUNTIFS($P$6:$P$3271,P107,$Q$6:$Q$3271,"&lt;="&amp;Q107,$N$6:$N$3271,Calendar!$K$4),"")</f>
        <v/>
      </c>
      <c r="W107" s="44">
        <f>IF(AND(B107=Queue!$C$4,OR(Queue!$K$4="*",N107=Queue!$K$4)),Q107,"")</f>
        <v/>
      </c>
    </row>
    <row r="108">
      <c r="A108" s="35">
        <f>IF(M108="","",HYPERLINK("https://www.youtube.com/watch?v="&amp;M108,"▶"))</f>
        <v/>
      </c>
      <c r="B108" s="36">
        <f>IF(C108&lt;&gt;"",C108,IF(P108&lt;=IFERROR(INDEX(tblChannels[Watched Through],MATCH(N108,tblChannels[Channel ID],0)),0),"Watched","Unwatched"))</f>
        <v/>
      </c>
      <c r="C108" s="37" t="n"/>
      <c r="D108" s="38" t="n"/>
      <c r="E108" s="39" t="n">
        <v>46138.41736111111</v>
      </c>
      <c r="F108" s="48" t="inlineStr">
        <is>
          <t>Through The Griffin Door</t>
        </is>
      </c>
      <c r="G108" t="inlineStr">
        <is>
          <t>Chapter 34: The Department of Mysteries | Order of the Phoenix</t>
        </is>
      </c>
      <c r="H108" s="41" t="n">
        <v>0.06938657407407407</v>
      </c>
      <c r="I108" s="42" t="n">
        <v>36004</v>
      </c>
      <c r="J108" s="42" t="n">
        <v>981</v>
      </c>
      <c r="K108" s="42" t="n">
        <v>378</v>
      </c>
      <c r="L108" s="43" t="n"/>
      <c r="M108" s="44" t="n"/>
      <c r="N108" s="44" t="inlineStr">
        <is>
          <t>UCEscP6ETYXWSSvsNrDHekMQ</t>
        </is>
      </c>
      <c r="O108" s="45" t="n">
        <v>46138.58402777778</v>
      </c>
      <c r="P108" s="46" t="n">
        <v>46138</v>
      </c>
      <c r="Q108" s="44" t="n">
        <v>3164</v>
      </c>
      <c r="R108" s="44" t="inlineStr">
        <is>
          <t>No Video ID yet</t>
        </is>
      </c>
      <c r="S108" s="46" t="n"/>
      <c r="T108" s="46" t="n"/>
      <c r="U108" s="44" t="n"/>
      <c r="V108" s="44">
        <f>IF(AND(P108&gt;=Calendar!$K$2,P108&lt;EDATE(Calendar!$K$2,1),OR(Calendar!$K$4="*",N108=Calendar!$K$4)),P108*100+COUNTIFS($P$6:$P$3271,P108,$Q$6:$Q$3271,"&lt;="&amp;Q108,$N$6:$N$3271,Calendar!$K$4),"")</f>
        <v/>
      </c>
      <c r="W108" s="44">
        <f>IF(AND(B108=Queue!$C$4,OR(Queue!$K$4="*",N108=Queue!$K$4)),Q108,"")</f>
        <v/>
      </c>
    </row>
    <row r="109">
      <c r="A109" s="35">
        <f>IF(M109="","",HYPERLINK("https://www.youtube.com/watch?v="&amp;M109,"▶"))</f>
        <v/>
      </c>
      <c r="B109" s="36">
        <f>IF(C109&lt;&gt;"",C109,IF(P109&lt;=IFERROR(INDEX(tblChannels[Watched Through],MATCH(N109,tblChannels[Channel ID],0)),0),"Watched","Unwatched"))</f>
        <v/>
      </c>
      <c r="C109" s="37" t="n"/>
      <c r="D109" s="38" t="n"/>
      <c r="E109" s="39" t="n">
        <v>46136.7625</v>
      </c>
      <c r="F109" s="47" t="inlineStr">
        <is>
          <t>Super Carlin Brothers</t>
        </is>
      </c>
      <c r="G109" t="inlineStr">
        <is>
          <t>Theories from a Hat: We Defend UNHINGED Harry Potter Theories</t>
        </is>
      </c>
      <c r="H109" s="41" t="n">
        <v>0.03434027777777778</v>
      </c>
      <c r="I109" s="42" t="n">
        <v>88090</v>
      </c>
      <c r="J109" s="42" t="n">
        <v>2956</v>
      </c>
      <c r="K109" s="42" t="n">
        <v>483</v>
      </c>
      <c r="L109" s="43" t="n"/>
      <c r="M109" s="44" t="n"/>
      <c r="N109" s="44" t="inlineStr">
        <is>
          <t>UCKZo4N0lVPccBkSiuyVh4yg</t>
        </is>
      </c>
      <c r="O109" s="45" t="n">
        <v>46136.92916666667</v>
      </c>
      <c r="P109" s="46" t="n">
        <v>46136</v>
      </c>
      <c r="Q109" s="44" t="n">
        <v>3163</v>
      </c>
      <c r="R109" s="44" t="inlineStr">
        <is>
          <t>No Video ID yet</t>
        </is>
      </c>
      <c r="S109" s="46" t="n"/>
      <c r="T109" s="46" t="n"/>
      <c r="U109" s="44" t="n"/>
      <c r="V109" s="44">
        <f>IF(AND(P109&gt;=Calendar!$K$2,P109&lt;EDATE(Calendar!$K$2,1),OR(Calendar!$K$4="*",N109=Calendar!$K$4)),P109*100+COUNTIFS($P$6:$P$3271,P109,$Q$6:$Q$3271,"&lt;="&amp;Q109,$N$6:$N$3271,Calendar!$K$4),"")</f>
        <v/>
      </c>
      <c r="W109" s="44">
        <f>IF(AND(B109=Queue!$C$4,OR(Queue!$K$4="*",N109=Queue!$K$4)),Q109,"")</f>
        <v/>
      </c>
    </row>
    <row r="110">
      <c r="A110" s="35">
        <f>IF(M110="","",HYPERLINK("https://www.youtube.com/watch?v="&amp;M110,"▶"))</f>
        <v/>
      </c>
      <c r="B110" s="36">
        <f>IF(C110&lt;&gt;"",C110,IF(P110&lt;=IFERROR(INDEX(tblChannels[Watched Through],MATCH(N110,tblChannels[Channel ID],0)),0),"Watched","Unwatched"))</f>
        <v/>
      </c>
      <c r="C110" s="37" t="n"/>
      <c r="D110" s="38" t="n"/>
      <c r="E110" s="39" t="n">
        <v>46136.64444444444</v>
      </c>
      <c r="F110" s="47" t="inlineStr">
        <is>
          <t>Super Carlin Brothers</t>
        </is>
      </c>
      <c r="G110" t="inlineStr">
        <is>
          <t>Voldemort’s Chipotle Order.. 🫘 #harrypotter</t>
        </is>
      </c>
      <c r="H110" s="41" t="n">
        <v>0.0007291666666666667</v>
      </c>
      <c r="I110" s="42" t="n">
        <v>34302</v>
      </c>
      <c r="J110" s="42" t="n">
        <v>1111</v>
      </c>
      <c r="K110" s="42" t="n">
        <v>33</v>
      </c>
      <c r="L110" s="43" t="n"/>
      <c r="M110" s="44" t="n"/>
      <c r="N110" s="44" t="inlineStr">
        <is>
          <t>UCKZo4N0lVPccBkSiuyVh4yg</t>
        </is>
      </c>
      <c r="O110" s="45" t="n">
        <v>46136.81111111111</v>
      </c>
      <c r="P110" s="46" t="n">
        <v>46136</v>
      </c>
      <c r="Q110" s="44" t="n">
        <v>3162</v>
      </c>
      <c r="R110" s="44" t="inlineStr">
        <is>
          <t>No Video ID yet</t>
        </is>
      </c>
      <c r="S110" s="46" t="n"/>
      <c r="T110" s="46" t="n"/>
      <c r="U110" s="44" t="n"/>
      <c r="V110" s="44">
        <f>IF(AND(P110&gt;=Calendar!$K$2,P110&lt;EDATE(Calendar!$K$2,1),OR(Calendar!$K$4="*",N110=Calendar!$K$4)),P110*100+COUNTIFS($P$6:$P$3271,P110,$Q$6:$Q$3271,"&lt;="&amp;Q110,$N$6:$N$3271,Calendar!$K$4),"")</f>
        <v/>
      </c>
      <c r="W110" s="44">
        <f>IF(AND(B110=Queue!$C$4,OR(Queue!$K$4="*",N110=Queue!$K$4)),Q110,"")</f>
        <v/>
      </c>
    </row>
    <row r="111">
      <c r="A111" s="35">
        <f>IF(M111="","",HYPERLINK("https://www.youtube.com/watch?v="&amp;M111,"▶"))</f>
        <v/>
      </c>
      <c r="B111" s="36">
        <f>IF(C111&lt;&gt;"",C111,IF(P111&lt;=IFERROR(INDEX(tblChannels[Watched Through],MATCH(N111,tblChannels[Channel ID],0)),0),"Watched","Unwatched"))</f>
        <v/>
      </c>
      <c r="C111" s="37" t="n"/>
      <c r="D111" s="38" t="n"/>
      <c r="E111" s="39" t="n">
        <v>46136.41666666666</v>
      </c>
      <c r="F111" s="40" t="inlineStr">
        <is>
          <t>Popcorn Culture</t>
        </is>
      </c>
      <c r="G111" t="inlineStr">
        <is>
          <t>Youth’s Handholds | Popcorn Culture</t>
        </is>
      </c>
      <c r="H111" s="41" t="n">
        <v>0.04502314814814815</v>
      </c>
      <c r="I111" s="42" t="n">
        <v>2085</v>
      </c>
      <c r="J111" s="42" t="n">
        <v>94</v>
      </c>
      <c r="K111" s="42" t="n">
        <v>6</v>
      </c>
      <c r="L111" s="43" t="n"/>
      <c r="M111" s="44" t="n"/>
      <c r="N111" s="44" t="inlineStr">
        <is>
          <t>UCHfIbq9thHPC8yrKjAdJgDA</t>
        </is>
      </c>
      <c r="O111" s="45" t="n">
        <v>46136.58333333334</v>
      </c>
      <c r="P111" s="46" t="n">
        <v>46136</v>
      </c>
      <c r="Q111" s="44" t="n">
        <v>3161</v>
      </c>
      <c r="R111" s="44" t="inlineStr">
        <is>
          <t>No Video ID yet</t>
        </is>
      </c>
      <c r="S111" s="46" t="n"/>
      <c r="T111" s="46" t="n"/>
      <c r="U111" s="44" t="n"/>
      <c r="V111" s="44">
        <f>IF(AND(P111&gt;=Calendar!$K$2,P111&lt;EDATE(Calendar!$K$2,1),OR(Calendar!$K$4="*",N111=Calendar!$K$4)),P111*100+COUNTIFS($P$6:$P$3271,P111,$Q$6:$Q$3271,"&lt;="&amp;Q111,$N$6:$N$3271,Calendar!$K$4),"")</f>
        <v/>
      </c>
      <c r="W111" s="44">
        <f>IF(AND(B111=Queue!$C$4,OR(Queue!$K$4="*",N111=Queue!$K$4)),Q111,"")</f>
        <v/>
      </c>
    </row>
    <row r="112">
      <c r="A112" s="35">
        <f>IF(M112="","",HYPERLINK("https://www.youtube.com/watch?v="&amp;M112,"▶"))</f>
        <v/>
      </c>
      <c r="B112" s="36">
        <f>IF(C112&lt;&gt;"",C112,IF(P112&lt;=IFERROR(INDEX(tblChannels[Watched Through],MATCH(N112,tblChannels[Channel ID],0)),0),"Watched","Unwatched"))</f>
        <v/>
      </c>
      <c r="C112" s="37" t="n"/>
      <c r="D112" s="38" t="n"/>
      <c r="E112" s="39" t="n">
        <v>46135.48472222222</v>
      </c>
      <c r="F112" s="47" t="inlineStr">
        <is>
          <t>Super Carlin Brothers</t>
        </is>
      </c>
      <c r="G112" t="inlineStr">
        <is>
          <t>Council of Dumbledores: ASSEMBLE!</t>
        </is>
      </c>
      <c r="H112" s="41" t="n">
        <v>0.0002314814814814815</v>
      </c>
      <c r="I112" s="42" t="n">
        <v>30359</v>
      </c>
      <c r="J112" s="42" t="n">
        <v>635</v>
      </c>
      <c r="K112" s="42" t="n">
        <v>25</v>
      </c>
      <c r="L112" s="43" t="n"/>
      <c r="M112" s="44" t="n"/>
      <c r="N112" s="44" t="inlineStr">
        <is>
          <t>UCKZo4N0lVPccBkSiuyVh4yg</t>
        </is>
      </c>
      <c r="O112" s="45" t="n">
        <v>46135.65138888889</v>
      </c>
      <c r="P112" s="46" t="n">
        <v>46135</v>
      </c>
      <c r="Q112" s="44" t="n">
        <v>3160</v>
      </c>
      <c r="R112" s="44" t="inlineStr">
        <is>
          <t>No Video ID yet</t>
        </is>
      </c>
      <c r="S112" s="46" t="n"/>
      <c r="T112" s="46" t="n"/>
      <c r="U112" s="44" t="n"/>
      <c r="V112" s="44">
        <f>IF(AND(P112&gt;=Calendar!$K$2,P112&lt;EDATE(Calendar!$K$2,1),OR(Calendar!$K$4="*",N112=Calendar!$K$4)),P112*100+COUNTIFS($P$6:$P$3271,P112,$Q$6:$Q$3271,"&lt;="&amp;Q112,$N$6:$N$3271,Calendar!$K$4),"")</f>
        <v/>
      </c>
      <c r="W112" s="44">
        <f>IF(AND(B112=Queue!$C$4,OR(Queue!$K$4="*",N112=Queue!$K$4)),Q112,"")</f>
        <v/>
      </c>
    </row>
    <row r="113">
      <c r="A113" s="35">
        <f>IF(M113="","",HYPERLINK("https://www.youtube.com/watch?v="&amp;M113,"▶"))</f>
        <v/>
      </c>
      <c r="B113" s="36">
        <f>IF(C113&lt;&gt;"",C113,IF(P113&lt;=IFERROR(INDEX(tblChannels[Watched Through],MATCH(N113,tblChannels[Channel ID],0)),0),"Watched","Unwatched"))</f>
        <v/>
      </c>
      <c r="C113" s="37" t="n"/>
      <c r="D113" s="38" t="n"/>
      <c r="E113" s="39" t="n">
        <v>46134.68680555555</v>
      </c>
      <c r="F113" s="47" t="inlineStr">
        <is>
          <t>Super Carlin Brothers</t>
        </is>
      </c>
      <c r="G113" t="inlineStr">
        <is>
          <t>Can We Pass the Hardest Hogwarts Professors Quiz? | J vs Ben</t>
        </is>
      </c>
      <c r="H113" s="41" t="n">
        <v>0.03131944444444444</v>
      </c>
      <c r="I113" s="42" t="n">
        <v>99657</v>
      </c>
      <c r="J113" s="42" t="n">
        <v>3163</v>
      </c>
      <c r="K113" s="42" t="n">
        <v>359</v>
      </c>
      <c r="L113" s="43" t="n"/>
      <c r="M113" s="44" t="n"/>
      <c r="N113" s="44" t="inlineStr">
        <is>
          <t>UCKZo4N0lVPccBkSiuyVh4yg</t>
        </is>
      </c>
      <c r="O113" s="45" t="n">
        <v>46134.85347222222</v>
      </c>
      <c r="P113" s="46" t="n">
        <v>46134</v>
      </c>
      <c r="Q113" s="44" t="n">
        <v>3159</v>
      </c>
      <c r="R113" s="44" t="inlineStr">
        <is>
          <t>No Video ID yet</t>
        </is>
      </c>
      <c r="S113" s="46" t="n"/>
      <c r="T113" s="46" t="n"/>
      <c r="U113" s="44" t="n"/>
      <c r="V113" s="44">
        <f>IF(AND(P113&gt;=Calendar!$K$2,P113&lt;EDATE(Calendar!$K$2,1),OR(Calendar!$K$4="*",N113=Calendar!$K$4)),P113*100+COUNTIFS($P$6:$P$3271,P113,$Q$6:$Q$3271,"&lt;="&amp;Q113,$N$6:$N$3271,Calendar!$K$4),"")</f>
        <v/>
      </c>
      <c r="W113" s="44">
        <f>IF(AND(B113=Queue!$C$4,OR(Queue!$K$4="*",N113=Queue!$K$4)),Q113,"")</f>
        <v/>
      </c>
    </row>
    <row r="114">
      <c r="A114" s="35">
        <f>IF(M114="","",HYPERLINK("https://www.youtube.com/watch?v="&amp;M114,"▶"))</f>
        <v/>
      </c>
      <c r="B114" s="36">
        <f>IF(C114&lt;&gt;"",C114,IF(P114&lt;=IFERROR(INDEX(tblChannels[Watched Through],MATCH(N114,tblChannels[Channel ID],0)),0),"Watched","Unwatched"))</f>
        <v/>
      </c>
      <c r="C114" s="37" t="n"/>
      <c r="D114" s="38" t="n"/>
      <c r="E114" s="39" t="n">
        <v>46131.41736111111</v>
      </c>
      <c r="F114" s="48" t="inlineStr">
        <is>
          <t>Through The Griffin Door</t>
        </is>
      </c>
      <c r="G114" t="inlineStr">
        <is>
          <t>Chapter 33: Fight and Flight | Order of the Phoenix</t>
        </is>
      </c>
      <c r="H114" s="41" t="n">
        <v>0.05015046296296297</v>
      </c>
      <c r="I114" s="42" t="n">
        <v>29283</v>
      </c>
      <c r="J114" s="42" t="n">
        <v>967</v>
      </c>
      <c r="K114" s="42" t="n">
        <v>234</v>
      </c>
      <c r="L114" s="43" t="n"/>
      <c r="M114" s="44" t="n"/>
      <c r="N114" s="44" t="inlineStr">
        <is>
          <t>UCEscP6ETYXWSSvsNrDHekMQ</t>
        </is>
      </c>
      <c r="O114" s="45" t="n">
        <v>46131.58402777778</v>
      </c>
      <c r="P114" s="46" t="n">
        <v>46131</v>
      </c>
      <c r="Q114" s="44" t="n">
        <v>3158</v>
      </c>
      <c r="R114" s="44" t="inlineStr">
        <is>
          <t>No Video ID yet</t>
        </is>
      </c>
      <c r="S114" s="46" t="n"/>
      <c r="T114" s="46" t="n"/>
      <c r="U114" s="44" t="n"/>
      <c r="V114" s="44">
        <f>IF(AND(P114&gt;=Calendar!$K$2,P114&lt;EDATE(Calendar!$K$2,1),OR(Calendar!$K$4="*",N114=Calendar!$K$4)),P114*100+COUNTIFS($P$6:$P$3271,P114,$Q$6:$Q$3271,"&lt;="&amp;Q114,$N$6:$N$3271,Calendar!$K$4),"")</f>
        <v/>
      </c>
      <c r="W114" s="44">
        <f>IF(AND(B114=Queue!$C$4,OR(Queue!$K$4="*",N114=Queue!$K$4)),Q114,"")</f>
        <v/>
      </c>
    </row>
    <row r="115">
      <c r="A115" s="35">
        <f>IF(M115="","",HYPERLINK("https://www.youtube.com/watch?v="&amp;M115,"▶"))</f>
        <v/>
      </c>
      <c r="B115" s="36">
        <f>IF(C115&lt;&gt;"",C115,IF(P115&lt;=IFERROR(INDEX(tblChannels[Watched Through],MATCH(N115,tblChannels[Channel ID],0)),0),"Watched","Unwatched"))</f>
        <v/>
      </c>
      <c r="C115" s="37" t="n"/>
      <c r="D115" s="38" t="n"/>
      <c r="E115" s="39" t="n">
        <v>46129.68055555555</v>
      </c>
      <c r="F115" s="47" t="inlineStr">
        <is>
          <t>Super Carlin Brothers</t>
        </is>
      </c>
      <c r="G115" t="inlineStr">
        <is>
          <t>Was Ginny the TRUE Master of Harry’s Wand?</t>
        </is>
      </c>
      <c r="H115" s="41" t="n">
        <v>0.01385416666666667</v>
      </c>
      <c r="I115" s="42" t="n">
        <v>70564</v>
      </c>
      <c r="J115" s="42" t="n">
        <v>3121</v>
      </c>
      <c r="K115" s="42" t="n">
        <v>627</v>
      </c>
      <c r="L115" s="43" t="n"/>
      <c r="M115" s="44" t="n"/>
      <c r="N115" s="44" t="inlineStr">
        <is>
          <t>UCKZo4N0lVPccBkSiuyVh4yg</t>
        </is>
      </c>
      <c r="O115" s="45" t="n">
        <v>46129.84722222222</v>
      </c>
      <c r="P115" s="46" t="n">
        <v>46129</v>
      </c>
      <c r="Q115" s="44" t="n">
        <v>3157</v>
      </c>
      <c r="R115" s="44" t="inlineStr">
        <is>
          <t>No Video ID yet</t>
        </is>
      </c>
      <c r="S115" s="46" t="n"/>
      <c r="T115" s="46" t="n"/>
      <c r="U115" s="44" t="n"/>
      <c r="V115" s="44">
        <f>IF(AND(P115&gt;=Calendar!$K$2,P115&lt;EDATE(Calendar!$K$2,1),OR(Calendar!$K$4="*",N115=Calendar!$K$4)),P115*100+COUNTIFS($P$6:$P$3271,P115,$Q$6:$Q$3271,"&lt;="&amp;Q115,$N$6:$N$3271,Calendar!$K$4),"")</f>
        <v/>
      </c>
      <c r="W115" s="44">
        <f>IF(AND(B115=Queue!$C$4,OR(Queue!$K$4="*",N115=Queue!$K$4)),Q115,"")</f>
        <v/>
      </c>
    </row>
    <row r="116">
      <c r="A116" s="35">
        <f>IF(M116="","",HYPERLINK("https://www.youtube.com/watch?v="&amp;M116,"▶"))</f>
        <v/>
      </c>
      <c r="B116" s="36">
        <f>IF(C116&lt;&gt;"",C116,IF(P116&lt;=IFERROR(INDEX(tblChannels[Watched Through],MATCH(N116,tblChannels[Channel ID],0)),0),"Watched","Unwatched"))</f>
        <v/>
      </c>
      <c r="C116" s="37" t="n"/>
      <c r="D116" s="38" t="n"/>
      <c r="E116" s="39" t="n">
        <v>46129.41666666666</v>
      </c>
      <c r="F116" s="40" t="inlineStr">
        <is>
          <t>Popcorn Culture</t>
        </is>
      </c>
      <c r="G116" t="inlineStr">
        <is>
          <t>Chaotic Neutral Tunnel Girl | Popcorn Culture</t>
        </is>
      </c>
      <c r="H116" s="41" t="n">
        <v>0.04824074074074074</v>
      </c>
      <c r="I116" s="42" t="n">
        <v>2436</v>
      </c>
      <c r="J116" s="42" t="n">
        <v>113</v>
      </c>
      <c r="K116" s="42" t="n">
        <v>24</v>
      </c>
      <c r="L116" s="43" t="n"/>
      <c r="M116" s="44" t="n"/>
      <c r="N116" s="44" t="inlineStr">
        <is>
          <t>UCHfIbq9thHPC8yrKjAdJgDA</t>
        </is>
      </c>
      <c r="O116" s="45" t="n">
        <v>46129.58333333334</v>
      </c>
      <c r="P116" s="46" t="n">
        <v>46129</v>
      </c>
      <c r="Q116" s="44" t="n">
        <v>3156</v>
      </c>
      <c r="R116" s="44" t="inlineStr">
        <is>
          <t>No Video ID yet</t>
        </is>
      </c>
      <c r="S116" s="46" t="n"/>
      <c r="T116" s="46" t="n"/>
      <c r="U116" s="44" t="n"/>
      <c r="V116" s="44">
        <f>IF(AND(P116&gt;=Calendar!$K$2,P116&lt;EDATE(Calendar!$K$2,1),OR(Calendar!$K$4="*",N116=Calendar!$K$4)),P116*100+COUNTIFS($P$6:$P$3271,P116,$Q$6:$Q$3271,"&lt;="&amp;Q116,$N$6:$N$3271,Calendar!$K$4),"")</f>
        <v/>
      </c>
      <c r="W116" s="44">
        <f>IF(AND(B116=Queue!$C$4,OR(Queue!$K$4="*",N116=Queue!$K$4)),Q116,"")</f>
        <v/>
      </c>
    </row>
    <row r="117">
      <c r="A117" s="35">
        <f>IF(M117="","",HYPERLINK("https://www.youtube.com/watch?v="&amp;M117,"▶"))</f>
        <v/>
      </c>
      <c r="B117" s="36">
        <f>IF(C117&lt;&gt;"",C117,IF(P117&lt;=IFERROR(INDEX(tblChannels[Watched Through],MATCH(N117,tblChannels[Channel ID],0)),0),"Watched","Unwatched"))</f>
        <v/>
      </c>
      <c r="C117" s="37" t="n"/>
      <c r="D117" s="38" t="n"/>
      <c r="E117" s="39" t="n">
        <v>46127.70277777778</v>
      </c>
      <c r="F117" s="47" t="inlineStr">
        <is>
          <t>Super Carlin Brothers</t>
        </is>
      </c>
      <c r="G117" t="inlineStr">
        <is>
          <t>Can You LOSE the Ability to See Thestrals?</t>
        </is>
      </c>
      <c r="H117" s="41" t="n">
        <v>0.00974537037037037</v>
      </c>
      <c r="I117" s="42" t="n">
        <v>54264</v>
      </c>
      <c r="J117" s="42" t="n">
        <v>2734</v>
      </c>
      <c r="K117" s="42" t="n">
        <v>320</v>
      </c>
      <c r="L117" s="43" t="n"/>
      <c r="M117" s="44" t="n"/>
      <c r="N117" s="44" t="inlineStr">
        <is>
          <t>UCKZo4N0lVPccBkSiuyVh4yg</t>
        </is>
      </c>
      <c r="O117" s="45" t="n">
        <v>46127.86944444444</v>
      </c>
      <c r="P117" s="46" t="n">
        <v>46127</v>
      </c>
      <c r="Q117" s="44" t="n">
        <v>3155</v>
      </c>
      <c r="R117" s="44" t="inlineStr">
        <is>
          <t>No Video ID yet</t>
        </is>
      </c>
      <c r="S117" s="46" t="n"/>
      <c r="T117" s="46" t="n"/>
      <c r="U117" s="44" t="n"/>
      <c r="V117" s="44">
        <f>IF(AND(P117&gt;=Calendar!$K$2,P117&lt;EDATE(Calendar!$K$2,1),OR(Calendar!$K$4="*",N117=Calendar!$K$4)),P117*100+COUNTIFS($P$6:$P$3271,P117,$Q$6:$Q$3271,"&lt;="&amp;Q117,$N$6:$N$3271,Calendar!$K$4),"")</f>
        <v/>
      </c>
      <c r="W117" s="44">
        <f>IF(AND(B117=Queue!$C$4,OR(Queue!$K$4="*",N117=Queue!$K$4)),Q117,"")</f>
        <v/>
      </c>
    </row>
    <row r="118">
      <c r="A118" s="35">
        <f>IF(M118="","",HYPERLINK("https://www.youtube.com/watch?v="&amp;M118,"▶"))</f>
        <v/>
      </c>
      <c r="B118" s="36">
        <f>IF(C118&lt;&gt;"",C118,IF(P118&lt;=IFERROR(INDEX(tblChannels[Watched Through],MATCH(N118,tblChannels[Channel ID],0)),0),"Watched","Unwatched"))</f>
        <v/>
      </c>
      <c r="C118" s="37" t="n"/>
      <c r="D118" s="38" t="n"/>
      <c r="E118" s="39" t="n">
        <v>46124.41736111111</v>
      </c>
      <c r="F118" s="48" t="inlineStr">
        <is>
          <t>Through The Griffin Door</t>
        </is>
      </c>
      <c r="G118" t="inlineStr">
        <is>
          <t>Chapter 32: Out of the Fire | Order of the Phoenix</t>
        </is>
      </c>
      <c r="H118" s="41" t="n">
        <v>0.05833333333333333</v>
      </c>
      <c r="I118" s="42" t="n">
        <v>33932</v>
      </c>
      <c r="J118" s="42" t="n">
        <v>1005</v>
      </c>
      <c r="K118" s="42" t="n">
        <v>294</v>
      </c>
      <c r="L118" s="43" t="n"/>
      <c r="M118" s="44" t="n"/>
      <c r="N118" s="44" t="inlineStr">
        <is>
          <t>UCEscP6ETYXWSSvsNrDHekMQ</t>
        </is>
      </c>
      <c r="O118" s="45" t="n">
        <v>46124.58402777778</v>
      </c>
      <c r="P118" s="46" t="n">
        <v>46124</v>
      </c>
      <c r="Q118" s="44" t="n">
        <v>3154</v>
      </c>
      <c r="R118" s="44" t="inlineStr">
        <is>
          <t>No Video ID yet</t>
        </is>
      </c>
      <c r="S118" s="46" t="n"/>
      <c r="T118" s="46" t="n"/>
      <c r="U118" s="44" t="n"/>
      <c r="V118" s="44">
        <f>IF(AND(P118&gt;=Calendar!$K$2,P118&lt;EDATE(Calendar!$K$2,1),OR(Calendar!$K$4="*",N118=Calendar!$K$4)),P118*100+COUNTIFS($P$6:$P$3271,P118,$Q$6:$Q$3271,"&lt;="&amp;Q118,$N$6:$N$3271,Calendar!$K$4),"")</f>
        <v/>
      </c>
      <c r="W118" s="44">
        <f>IF(AND(B118=Queue!$C$4,OR(Queue!$K$4="*",N118=Queue!$K$4)),Q118,"")</f>
        <v/>
      </c>
    </row>
    <row r="119">
      <c r="A119" s="35">
        <f>IF(M119="","",HYPERLINK("https://www.youtube.com/watch?v="&amp;M119,"▶"))</f>
        <v/>
      </c>
      <c r="B119" s="36">
        <f>IF(C119&lt;&gt;"",C119,IF(P119&lt;=IFERROR(INDEX(tblChannels[Watched Through],MATCH(N119,tblChannels[Channel ID],0)),0),"Watched","Unwatched"))</f>
        <v/>
      </c>
      <c r="C119" s="37" t="n"/>
      <c r="D119" s="38" t="n"/>
      <c r="E119" s="39" t="n">
        <v>46122.68472222222</v>
      </c>
      <c r="F119" s="47" t="inlineStr">
        <is>
          <t>Super Carlin Brothers</t>
        </is>
      </c>
      <c r="G119" t="inlineStr">
        <is>
          <t>Why the Harry Potter Reboot Changes Everything (Marauders Series Explained)</t>
        </is>
      </c>
      <c r="H119" s="41" t="n">
        <v>0.01052083333333333</v>
      </c>
      <c r="I119" s="42" t="n">
        <v>111801</v>
      </c>
      <c r="J119" s="42" t="n">
        <v>4133</v>
      </c>
      <c r="K119" s="42" t="n">
        <v>716</v>
      </c>
      <c r="L119" s="43" t="n"/>
      <c r="M119" s="44" t="n"/>
      <c r="N119" s="44" t="inlineStr">
        <is>
          <t>UCKZo4N0lVPccBkSiuyVh4yg</t>
        </is>
      </c>
      <c r="O119" s="45" t="n">
        <v>46122.85138888889</v>
      </c>
      <c r="P119" s="46" t="n">
        <v>46122</v>
      </c>
      <c r="Q119" s="44" t="n">
        <v>3153</v>
      </c>
      <c r="R119" s="44" t="inlineStr">
        <is>
          <t>No Video ID yet</t>
        </is>
      </c>
      <c r="S119" s="46" t="n"/>
      <c r="T119" s="46" t="n"/>
      <c r="U119" s="44" t="n"/>
      <c r="V119" s="44">
        <f>IF(AND(P119&gt;=Calendar!$K$2,P119&lt;EDATE(Calendar!$K$2,1),OR(Calendar!$K$4="*",N119=Calendar!$K$4)),P119*100+COUNTIFS($P$6:$P$3271,P119,$Q$6:$Q$3271,"&lt;="&amp;Q119,$N$6:$N$3271,Calendar!$K$4),"")</f>
        <v/>
      </c>
      <c r="W119" s="44">
        <f>IF(AND(B119=Queue!$C$4,OR(Queue!$K$4="*",N119=Queue!$K$4)),Q119,"")</f>
        <v/>
      </c>
    </row>
    <row r="120">
      <c r="A120" s="35">
        <f>IF(M120="","",HYPERLINK("https://www.youtube.com/watch?v="&amp;M120,"▶"))</f>
        <v/>
      </c>
      <c r="B120" s="36">
        <f>IF(C120&lt;&gt;"",C120,IF(P120&lt;=IFERROR(INDEX(tblChannels[Watched Through],MATCH(N120,tblChannels[Channel ID],0)),0),"Watched","Unwatched"))</f>
        <v/>
      </c>
      <c r="C120" s="37" t="n"/>
      <c r="D120" s="38" t="n"/>
      <c r="E120" s="39" t="n">
        <v>46122.41666666666</v>
      </c>
      <c r="F120" s="40" t="inlineStr">
        <is>
          <t>Popcorn Culture</t>
        </is>
      </c>
      <c r="G120" t="inlineStr">
        <is>
          <t>What Do You Like About Yourself? | Popcorn Culture</t>
        </is>
      </c>
      <c r="H120" s="41" t="n">
        <v>0.05575231481481482</v>
      </c>
      <c r="I120" s="42" t="n">
        <v>2509</v>
      </c>
      <c r="J120" s="42" t="n">
        <v>107</v>
      </c>
      <c r="K120" s="42" t="n">
        <v>22</v>
      </c>
      <c r="L120" s="43" t="n"/>
      <c r="M120" s="44" t="n"/>
      <c r="N120" s="44" t="inlineStr">
        <is>
          <t>UCHfIbq9thHPC8yrKjAdJgDA</t>
        </is>
      </c>
      <c r="O120" s="45" t="n">
        <v>46122.58333333334</v>
      </c>
      <c r="P120" s="46" t="n">
        <v>46122</v>
      </c>
      <c r="Q120" s="44" t="n">
        <v>3152</v>
      </c>
      <c r="R120" s="44" t="inlineStr">
        <is>
          <t>No Video ID yet</t>
        </is>
      </c>
      <c r="S120" s="46" t="n"/>
      <c r="T120" s="46" t="n"/>
      <c r="U120" s="44" t="n"/>
      <c r="V120" s="44">
        <f>IF(AND(P120&gt;=Calendar!$K$2,P120&lt;EDATE(Calendar!$K$2,1),OR(Calendar!$K$4="*",N120=Calendar!$K$4)),P120*100+COUNTIFS($P$6:$P$3271,P120,$Q$6:$Q$3271,"&lt;="&amp;Q120,$N$6:$N$3271,Calendar!$K$4),"")</f>
        <v/>
      </c>
      <c r="W120" s="44">
        <f>IF(AND(B120=Queue!$C$4,OR(Queue!$K$4="*",N120=Queue!$K$4)),Q120,"")</f>
        <v/>
      </c>
    </row>
    <row r="121">
      <c r="A121" s="35">
        <f>IF(M121="","",HYPERLINK("https://www.youtube.com/watch?v="&amp;M121,"▶"))</f>
        <v/>
      </c>
      <c r="B121" s="36">
        <f>IF(C121&lt;&gt;"",C121,IF(P121&lt;=IFERROR(INDEX(tblChannels[Watched Through],MATCH(N121,tblChannels[Channel ID],0)),0),"Watched","Unwatched"))</f>
        <v/>
      </c>
      <c r="C121" s="37" t="n"/>
      <c r="D121" s="38" t="n"/>
      <c r="E121" s="39" t="n">
        <v>46120.68611111111</v>
      </c>
      <c r="F121" s="47" t="inlineStr">
        <is>
          <t>Super Carlin Brothers</t>
        </is>
      </c>
      <c r="G121" t="inlineStr">
        <is>
          <t>J vs Ben: Harry Potter Jeopardy Challenge (AGAIN)</t>
        </is>
      </c>
      <c r="H121" s="41" t="n">
        <v>0.03236111111111111</v>
      </c>
      <c r="I121" s="42" t="n">
        <v>118433</v>
      </c>
      <c r="J121" s="42" t="n">
        <v>4171</v>
      </c>
      <c r="K121" s="42" t="n">
        <v>947</v>
      </c>
      <c r="L121" s="43" t="n"/>
      <c r="M121" s="44" t="n"/>
      <c r="N121" s="44" t="inlineStr">
        <is>
          <t>UCKZo4N0lVPccBkSiuyVh4yg</t>
        </is>
      </c>
      <c r="O121" s="45" t="n">
        <v>46120.85277777778</v>
      </c>
      <c r="P121" s="46" t="n">
        <v>46120</v>
      </c>
      <c r="Q121" s="44" t="n">
        <v>3151</v>
      </c>
      <c r="R121" s="44" t="inlineStr">
        <is>
          <t>No Video ID yet</t>
        </is>
      </c>
      <c r="S121" s="46" t="n"/>
      <c r="T121" s="46" t="n"/>
      <c r="U121" s="44" t="n"/>
      <c r="V121" s="44">
        <f>IF(AND(P121&gt;=Calendar!$K$2,P121&lt;EDATE(Calendar!$K$2,1),OR(Calendar!$K$4="*",N121=Calendar!$K$4)),P121*100+COUNTIFS($P$6:$P$3271,P121,$Q$6:$Q$3271,"&lt;="&amp;Q121,$N$6:$N$3271,Calendar!$K$4),"")</f>
        <v/>
      </c>
      <c r="W121" s="44">
        <f>IF(AND(B121=Queue!$C$4,OR(Queue!$K$4="*",N121=Queue!$K$4)),Q121,"")</f>
        <v/>
      </c>
    </row>
    <row r="122">
      <c r="A122" s="35">
        <f>IF(M122="","",HYPERLINK("https://www.youtube.com/watch?v="&amp;M122,"▶"))</f>
        <v/>
      </c>
      <c r="B122" s="36">
        <f>IF(C122&lt;&gt;"",C122,IF(P122&lt;=IFERROR(INDEX(tblChannels[Watched Through],MATCH(N122,tblChannels[Channel ID],0)),0),"Watched","Unwatched"))</f>
        <v/>
      </c>
      <c r="C122" s="37" t="n"/>
      <c r="D122" s="38" t="n"/>
      <c r="E122" s="39" t="n">
        <v>46120.41736111111</v>
      </c>
      <c r="F122" s="47" t="inlineStr">
        <is>
          <t>Super Carlin Brothers</t>
        </is>
      </c>
      <c r="G122" t="inlineStr">
        <is>
          <t>THROUGH THE GRIFFIN TOUR NORTHEAST 2026!!!</t>
        </is>
      </c>
      <c r="H122" s="41" t="n">
        <v>0.0009606481481481482</v>
      </c>
      <c r="I122" s="42" t="n">
        <v>4436</v>
      </c>
      <c r="J122" s="42" t="n">
        <v>234</v>
      </c>
      <c r="K122" s="42" t="n">
        <v>60</v>
      </c>
      <c r="L122" s="43" t="n"/>
      <c r="M122" s="44" t="n"/>
      <c r="N122" s="44" t="inlineStr">
        <is>
          <t>UCKZo4N0lVPccBkSiuyVh4yg</t>
        </is>
      </c>
      <c r="O122" s="45" t="n">
        <v>46120.58402777778</v>
      </c>
      <c r="P122" s="46" t="n">
        <v>46120</v>
      </c>
      <c r="Q122" s="44" t="n">
        <v>3150</v>
      </c>
      <c r="R122" s="44" t="inlineStr">
        <is>
          <t>No Video ID yet</t>
        </is>
      </c>
      <c r="S122" s="46" t="n"/>
      <c r="T122" s="46" t="n"/>
      <c r="U122" s="44" t="n"/>
      <c r="V122" s="44">
        <f>IF(AND(P122&gt;=Calendar!$K$2,P122&lt;EDATE(Calendar!$K$2,1),OR(Calendar!$K$4="*",N122=Calendar!$K$4)),P122*100+COUNTIFS($P$6:$P$3271,P122,$Q$6:$Q$3271,"&lt;="&amp;Q122,$N$6:$N$3271,Calendar!$K$4),"")</f>
        <v/>
      </c>
      <c r="W122" s="44">
        <f>IF(AND(B122=Queue!$C$4,OR(Queue!$K$4="*",N122=Queue!$K$4)),Q122,"")</f>
        <v/>
      </c>
    </row>
    <row r="123">
      <c r="A123" s="35">
        <f>IF(M123="","",HYPERLINK("https://www.youtube.com/watch?v="&amp;M123,"▶"))</f>
        <v/>
      </c>
      <c r="B123" s="36">
        <f>IF(C123&lt;&gt;"",C123,IF(P123&lt;=IFERROR(INDEX(tblChannels[Watched Through],MATCH(N123,tblChannels[Channel ID],0)),0),"Watched","Unwatched"))</f>
        <v/>
      </c>
      <c r="C123" s="37" t="n"/>
      <c r="D123" s="38" t="n"/>
      <c r="E123" s="39" t="n">
        <v>46120.41666666666</v>
      </c>
      <c r="F123" s="48" t="inlineStr">
        <is>
          <t>Through The Griffin Door</t>
        </is>
      </c>
      <c r="G123" t="inlineStr">
        <is>
          <t>THROUGH THE GRIFFIN TOUR NORTHEAST 2026!!!</t>
        </is>
      </c>
      <c r="H123" s="41" t="n">
        <v>0.001122685185185185</v>
      </c>
      <c r="I123" s="42" t="n">
        <v>1728</v>
      </c>
      <c r="J123" s="42" t="n">
        <v>107</v>
      </c>
      <c r="K123" s="42" t="n">
        <v>28</v>
      </c>
      <c r="L123" s="43" t="n"/>
      <c r="M123" s="44" t="n"/>
      <c r="N123" s="44" t="inlineStr">
        <is>
          <t>UCEscP6ETYXWSSvsNrDHekMQ</t>
        </is>
      </c>
      <c r="O123" s="45" t="n">
        <v>46120.58333333334</v>
      </c>
      <c r="P123" s="46" t="n">
        <v>46120</v>
      </c>
      <c r="Q123" s="44" t="n">
        <v>3149</v>
      </c>
      <c r="R123" s="44" t="inlineStr">
        <is>
          <t>No Video ID yet</t>
        </is>
      </c>
      <c r="S123" s="46" t="n"/>
      <c r="T123" s="46" t="n"/>
      <c r="U123" s="44" t="n"/>
      <c r="V123" s="44">
        <f>IF(AND(P123&gt;=Calendar!$K$2,P123&lt;EDATE(Calendar!$K$2,1),OR(Calendar!$K$4="*",N123=Calendar!$K$4)),P123*100+COUNTIFS($P$6:$P$3271,P123,$Q$6:$Q$3271,"&lt;="&amp;Q123,$N$6:$N$3271,Calendar!$K$4),"")</f>
        <v/>
      </c>
      <c r="W123" s="44">
        <f>IF(AND(B123=Queue!$C$4,OR(Queue!$K$4="*",N123=Queue!$K$4)),Q123,"")</f>
        <v/>
      </c>
    </row>
    <row r="124">
      <c r="A124" s="35">
        <f>IF(M124="","",HYPERLINK("https://www.youtube.com/watch?v="&amp;M124,"▶"))</f>
        <v/>
      </c>
      <c r="B124" s="36">
        <f>IF(C124&lt;&gt;"",C124,IF(P124&lt;=IFERROR(INDEX(tblChannels[Watched Through],MATCH(N124,tblChannels[Channel ID],0)),0),"Watched","Unwatched"))</f>
        <v/>
      </c>
      <c r="C124" s="37" t="n"/>
      <c r="D124" s="38" t="n"/>
      <c r="E124" s="39" t="n">
        <v>46117.41666666666</v>
      </c>
      <c r="F124" s="48" t="inlineStr">
        <is>
          <t>Through The Griffin Door</t>
        </is>
      </c>
      <c r="G124" t="inlineStr">
        <is>
          <t>Chapter 31: O.W.L.s | Order of the Phoenix</t>
        </is>
      </c>
      <c r="H124" s="41" t="n">
        <v>0.07328703703703704</v>
      </c>
      <c r="I124" s="42" t="n">
        <v>40136</v>
      </c>
      <c r="J124" s="42" t="n">
        <v>1049</v>
      </c>
      <c r="K124" s="42" t="n">
        <v>291</v>
      </c>
      <c r="L124" s="43" t="n"/>
      <c r="M124" s="44" t="n"/>
      <c r="N124" s="44" t="inlineStr">
        <is>
          <t>UCEscP6ETYXWSSvsNrDHekMQ</t>
        </is>
      </c>
      <c r="O124" s="45" t="n">
        <v>46117.58333333334</v>
      </c>
      <c r="P124" s="46" t="n">
        <v>46117</v>
      </c>
      <c r="Q124" s="44" t="n">
        <v>3148</v>
      </c>
      <c r="R124" s="44" t="inlineStr">
        <is>
          <t>No Video ID yet</t>
        </is>
      </c>
      <c r="S124" s="46" t="n"/>
      <c r="T124" s="46" t="n"/>
      <c r="U124" s="44" t="n"/>
      <c r="V124" s="44">
        <f>IF(AND(P124&gt;=Calendar!$K$2,P124&lt;EDATE(Calendar!$K$2,1),OR(Calendar!$K$4="*",N124=Calendar!$K$4)),P124*100+COUNTIFS($P$6:$P$3271,P124,$Q$6:$Q$3271,"&lt;="&amp;Q124,$N$6:$N$3271,Calendar!$K$4),"")</f>
        <v/>
      </c>
      <c r="W124" s="44">
        <f>IF(AND(B124=Queue!$C$4,OR(Queue!$K$4="*",N124=Queue!$K$4)),Q124,"")</f>
        <v/>
      </c>
    </row>
    <row r="125">
      <c r="A125" s="35">
        <f>IF(M125="","",HYPERLINK("https://www.youtube.com/watch?v="&amp;M125,"▶"))</f>
        <v/>
      </c>
      <c r="B125" s="36">
        <f>IF(C125&lt;&gt;"",C125,IF(P125&lt;=IFERROR(INDEX(tblChannels[Watched Through],MATCH(N125,tblChannels[Channel ID],0)),0),"Watched","Unwatched"))</f>
        <v/>
      </c>
      <c r="C125" s="37" t="n"/>
      <c r="D125" s="38" t="n"/>
      <c r="E125" s="39" t="n">
        <v>46115.66666666666</v>
      </c>
      <c r="F125" s="47" t="inlineStr">
        <is>
          <t>Super Carlin Brothers</t>
        </is>
      </c>
      <c r="G125" t="inlineStr">
        <is>
          <t>Why Did Harry Drop the Resurrection Stone?</t>
        </is>
      </c>
      <c r="H125" s="41" t="n">
        <v>0.009502314814814814</v>
      </c>
      <c r="I125" s="42" t="n">
        <v>91478</v>
      </c>
      <c r="J125" s="42" t="n">
        <v>3747</v>
      </c>
      <c r="K125" s="42" t="n">
        <v>403</v>
      </c>
      <c r="L125" s="43" t="n"/>
      <c r="M125" s="44" t="n"/>
      <c r="N125" s="44" t="inlineStr">
        <is>
          <t>UCKZo4N0lVPccBkSiuyVh4yg</t>
        </is>
      </c>
      <c r="O125" s="45" t="n">
        <v>46115.83333333334</v>
      </c>
      <c r="P125" s="46" t="n">
        <v>46115</v>
      </c>
      <c r="Q125" s="44" t="n">
        <v>3147</v>
      </c>
      <c r="R125" s="44" t="inlineStr">
        <is>
          <t>No Video ID yet</t>
        </is>
      </c>
      <c r="S125" s="46" t="n"/>
      <c r="T125" s="46" t="n"/>
      <c r="U125" s="44" t="n"/>
      <c r="V125" s="44">
        <f>IF(AND(P125&gt;=Calendar!$K$2,P125&lt;EDATE(Calendar!$K$2,1),OR(Calendar!$K$4="*",N125=Calendar!$K$4)),P125*100+COUNTIFS($P$6:$P$3271,P125,$Q$6:$Q$3271,"&lt;="&amp;Q125,$N$6:$N$3271,Calendar!$K$4),"")</f>
        <v/>
      </c>
      <c r="W125" s="44">
        <f>IF(AND(B125=Queue!$C$4,OR(Queue!$K$4="*",N125=Queue!$K$4)),Q125,"")</f>
        <v/>
      </c>
    </row>
    <row r="126">
      <c r="A126" s="35">
        <f>IF(M126="","",HYPERLINK("https://www.youtube.com/watch?v="&amp;M126,"▶"))</f>
        <v/>
      </c>
      <c r="B126" s="36">
        <f>IF(C126&lt;&gt;"",C126,IF(P126&lt;=IFERROR(INDEX(tblChannels[Watched Through],MATCH(N126,tblChannels[Channel ID],0)),0),"Watched","Unwatched"))</f>
        <v/>
      </c>
      <c r="C126" s="37" t="n"/>
      <c r="D126" s="38" t="n"/>
      <c r="E126" s="39" t="n">
        <v>46115.41666666666</v>
      </c>
      <c r="F126" s="40" t="inlineStr">
        <is>
          <t>Popcorn Culture</t>
        </is>
      </c>
      <c r="G126" t="inlineStr">
        <is>
          <t>Whimsical Pumpkins | Popcorn Culture</t>
        </is>
      </c>
      <c r="H126" s="41" t="n">
        <v>0.04594907407407407</v>
      </c>
      <c r="I126" s="42" t="n">
        <v>2644</v>
      </c>
      <c r="J126" s="42" t="n">
        <v>117</v>
      </c>
      <c r="K126" s="42" t="n">
        <v>17</v>
      </c>
      <c r="L126" s="43" t="n"/>
      <c r="M126" s="44" t="n"/>
      <c r="N126" s="44" t="inlineStr">
        <is>
          <t>UCHfIbq9thHPC8yrKjAdJgDA</t>
        </is>
      </c>
      <c r="O126" s="45" t="n">
        <v>46115.58333333334</v>
      </c>
      <c r="P126" s="46" t="n">
        <v>46115</v>
      </c>
      <c r="Q126" s="44" t="n">
        <v>3146</v>
      </c>
      <c r="R126" s="44" t="inlineStr">
        <is>
          <t>No Video ID yet</t>
        </is>
      </c>
      <c r="S126" s="46" t="n"/>
      <c r="T126" s="46" t="n"/>
      <c r="U126" s="44" t="n"/>
      <c r="V126" s="44">
        <f>IF(AND(P126&gt;=Calendar!$K$2,P126&lt;EDATE(Calendar!$K$2,1),OR(Calendar!$K$4="*",N126=Calendar!$K$4)),P126*100+COUNTIFS($P$6:$P$3271,P126,$Q$6:$Q$3271,"&lt;="&amp;Q126,$N$6:$N$3271,Calendar!$K$4),"")</f>
        <v/>
      </c>
      <c r="W126" s="44">
        <f>IF(AND(B126=Queue!$C$4,OR(Queue!$K$4="*",N126=Queue!$K$4)),Q126,"")</f>
        <v/>
      </c>
    </row>
    <row r="127">
      <c r="A127" s="35">
        <f>IF(M127="","",HYPERLINK("https://www.youtube.com/watch?v="&amp;M127,"▶"))</f>
        <v/>
      </c>
      <c r="B127" s="36">
        <f>IF(C127&lt;&gt;"",C127,IF(P127&lt;=IFERROR(INDEX(tblChannels[Watched Through],MATCH(N127,tblChannels[Channel ID],0)),0),"Watched","Unwatched"))</f>
        <v/>
      </c>
      <c r="C127" s="37" t="n"/>
      <c r="D127" s="38" t="n"/>
      <c r="E127" s="39" t="n">
        <v>46113.67013888889</v>
      </c>
      <c r="F127" s="47" t="inlineStr">
        <is>
          <t>Super Carlin Brothers</t>
        </is>
      </c>
      <c r="G127" t="inlineStr">
        <is>
          <t>Why Didn’t Voldemort Make His Own Sorcerer’s Stone?</t>
        </is>
      </c>
      <c r="H127" s="41" t="n">
        <v>0.01100694444444444</v>
      </c>
      <c r="I127" s="42" t="n">
        <v>162522</v>
      </c>
      <c r="J127" s="42" t="n">
        <v>6257</v>
      </c>
      <c r="K127" s="42" t="n">
        <v>713</v>
      </c>
      <c r="L127" s="43" t="n"/>
      <c r="M127" s="44" t="n"/>
      <c r="N127" s="44" t="inlineStr">
        <is>
          <t>UCKZo4N0lVPccBkSiuyVh4yg</t>
        </is>
      </c>
      <c r="O127" s="45" t="n">
        <v>46113.83680555555</v>
      </c>
      <c r="P127" s="46" t="n">
        <v>46113</v>
      </c>
      <c r="Q127" s="44" t="n">
        <v>3145</v>
      </c>
      <c r="R127" s="44" t="inlineStr">
        <is>
          <t>No Video ID yet</t>
        </is>
      </c>
      <c r="S127" s="46" t="n"/>
      <c r="T127" s="46" t="n"/>
      <c r="U127" s="44" t="n"/>
      <c r="V127" s="44">
        <f>IF(AND(P127&gt;=Calendar!$K$2,P127&lt;EDATE(Calendar!$K$2,1),OR(Calendar!$K$4="*",N127=Calendar!$K$4)),P127*100+COUNTIFS($P$6:$P$3271,P127,$Q$6:$Q$3271,"&lt;="&amp;Q127,$N$6:$N$3271,Calendar!$K$4),"")</f>
        <v/>
      </c>
      <c r="W127" s="44">
        <f>IF(AND(B127=Queue!$C$4,OR(Queue!$K$4="*",N127=Queue!$K$4)),Q127,"")</f>
        <v/>
      </c>
    </row>
    <row r="128">
      <c r="A128" s="35">
        <f>IF(M128="","",HYPERLINK("https://www.youtube.com/watch?v="&amp;M128,"▶"))</f>
        <v/>
      </c>
      <c r="B128" s="36">
        <f>IF(C128&lt;&gt;"",C128,IF(P128&lt;=IFERROR(INDEX(tblChannels[Watched Through],MATCH(N128,tblChannels[Channel ID],0)),0),"Watched","Unwatched"))</f>
        <v/>
      </c>
      <c r="C128" s="37" t="n"/>
      <c r="D128" s="38" t="n"/>
      <c r="E128" s="39" t="n">
        <v>46110.41666666666</v>
      </c>
      <c r="F128" s="48" t="inlineStr">
        <is>
          <t>Through The Griffin Door</t>
        </is>
      </c>
      <c r="G128" t="inlineStr">
        <is>
          <t>Chapter 30: Grawp | Order of the Phoenix</t>
        </is>
      </c>
      <c r="H128" s="41" t="n">
        <v>0.07718750000000001</v>
      </c>
      <c r="I128" s="42" t="n">
        <v>39907</v>
      </c>
      <c r="J128" s="42" t="n">
        <v>1076</v>
      </c>
      <c r="K128" s="42" t="n">
        <v>366</v>
      </c>
      <c r="L128" s="43" t="n"/>
      <c r="M128" s="44" t="n"/>
      <c r="N128" s="44" t="inlineStr">
        <is>
          <t>UCEscP6ETYXWSSvsNrDHekMQ</t>
        </is>
      </c>
      <c r="O128" s="45" t="n">
        <v>46110.58333333334</v>
      </c>
      <c r="P128" s="46" t="n">
        <v>46110</v>
      </c>
      <c r="Q128" s="44" t="n">
        <v>3144</v>
      </c>
      <c r="R128" s="44" t="inlineStr">
        <is>
          <t>No Video ID yet</t>
        </is>
      </c>
      <c r="S128" s="46" t="n"/>
      <c r="T128" s="46" t="n"/>
      <c r="U128" s="44" t="n"/>
      <c r="V128" s="44">
        <f>IF(AND(P128&gt;=Calendar!$K$2,P128&lt;EDATE(Calendar!$K$2,1),OR(Calendar!$K$4="*",N128=Calendar!$K$4)),P128*100+COUNTIFS($P$6:$P$3271,P128,$Q$6:$Q$3271,"&lt;="&amp;Q128,$N$6:$N$3271,Calendar!$K$4),"")</f>
        <v/>
      </c>
      <c r="W128" s="44">
        <f>IF(AND(B128=Queue!$C$4,OR(Queue!$K$4="*",N128=Queue!$K$4)),Q128,"")</f>
        <v/>
      </c>
    </row>
    <row r="129">
      <c r="A129" s="35">
        <f>IF(M129="","",HYPERLINK("https://www.youtube.com/watch?v="&amp;M129,"▶"))</f>
        <v/>
      </c>
      <c r="B129" s="36">
        <f>IF(C129&lt;&gt;"",C129,IF(P129&lt;=IFERROR(INDEX(tblChannels[Watched Through],MATCH(N129,tblChannels[Channel ID],0)),0),"Watched","Unwatched"))</f>
        <v/>
      </c>
      <c r="C129" s="37" t="n"/>
      <c r="D129" s="38" t="n"/>
      <c r="E129" s="39" t="n">
        <v>46108.625</v>
      </c>
      <c r="F129" s="47" t="inlineStr">
        <is>
          <t>Super Carlin Brothers</t>
        </is>
      </c>
      <c r="G129" t="inlineStr">
        <is>
          <t>Hermione Would Ace This Quiz… Can We? | J vs Ben</t>
        </is>
      </c>
      <c r="H129" s="41" t="n">
        <v>0.03050925925925926</v>
      </c>
      <c r="I129" s="42" t="n">
        <v>101608</v>
      </c>
      <c r="J129" s="42" t="n">
        <v>3382</v>
      </c>
      <c r="K129" s="42" t="n">
        <v>438</v>
      </c>
      <c r="L129" s="43" t="n"/>
      <c r="M129" s="44" t="n"/>
      <c r="N129" s="44" t="inlineStr">
        <is>
          <t>UCKZo4N0lVPccBkSiuyVh4yg</t>
        </is>
      </c>
      <c r="O129" s="45" t="n">
        <v>46108.79166666666</v>
      </c>
      <c r="P129" s="46" t="n">
        <v>46108</v>
      </c>
      <c r="Q129" s="44" t="n">
        <v>3143</v>
      </c>
      <c r="R129" s="44" t="inlineStr">
        <is>
          <t>No Video ID yet</t>
        </is>
      </c>
      <c r="S129" s="46" t="n"/>
      <c r="T129" s="46" t="n"/>
      <c r="U129" s="44" t="n"/>
      <c r="V129" s="44">
        <f>IF(AND(P129&gt;=Calendar!$K$2,P129&lt;EDATE(Calendar!$K$2,1),OR(Calendar!$K$4="*",N129=Calendar!$K$4)),P129*100+COUNTIFS($P$6:$P$3271,P129,$Q$6:$Q$3271,"&lt;="&amp;Q129,$N$6:$N$3271,Calendar!$K$4),"")</f>
        <v/>
      </c>
      <c r="W129" s="44">
        <f>IF(AND(B129=Queue!$C$4,OR(Queue!$K$4="*",N129=Queue!$K$4)),Q129,"")</f>
        <v/>
      </c>
    </row>
    <row r="130">
      <c r="A130" s="35">
        <f>IF(M130="","",HYPERLINK("https://www.youtube.com/watch?v="&amp;M130,"▶"))</f>
        <v/>
      </c>
      <c r="B130" s="36">
        <f>IF(C130&lt;&gt;"",C130,IF(P130&lt;=IFERROR(INDEX(tblChannels[Watched Through],MATCH(N130,tblChannels[Channel ID],0)),0),"Watched","Unwatched"))</f>
        <v/>
      </c>
      <c r="C130" s="37" t="n"/>
      <c r="D130" s="38" t="n"/>
      <c r="E130" s="39" t="n">
        <v>46108.41666666666</v>
      </c>
      <c r="F130" s="40" t="inlineStr">
        <is>
          <t>Popcorn Culture</t>
        </is>
      </c>
      <c r="G130" t="inlineStr">
        <is>
          <t>Sports Build Culture | Popcorn Culture</t>
        </is>
      </c>
      <c r="H130" s="41" t="n">
        <v>0.04847222222222222</v>
      </c>
      <c r="I130" s="42" t="n">
        <v>2305</v>
      </c>
      <c r="J130" s="42" t="n">
        <v>119</v>
      </c>
      <c r="K130" s="42" t="n">
        <v>15</v>
      </c>
      <c r="L130" s="43" t="n"/>
      <c r="M130" s="44" t="n"/>
      <c r="N130" s="44" t="inlineStr">
        <is>
          <t>UCHfIbq9thHPC8yrKjAdJgDA</t>
        </is>
      </c>
      <c r="O130" s="45" t="n">
        <v>46108.58333333334</v>
      </c>
      <c r="P130" s="46" t="n">
        <v>46108</v>
      </c>
      <c r="Q130" s="44" t="n">
        <v>3142</v>
      </c>
      <c r="R130" s="44" t="inlineStr">
        <is>
          <t>No Video ID yet</t>
        </is>
      </c>
      <c r="S130" s="46" t="n"/>
      <c r="T130" s="46" t="n"/>
      <c r="U130" s="44" t="n"/>
      <c r="V130" s="44">
        <f>IF(AND(P130&gt;=Calendar!$K$2,P130&lt;EDATE(Calendar!$K$2,1),OR(Calendar!$K$4="*",N130=Calendar!$K$4)),P130*100+COUNTIFS($P$6:$P$3271,P130,$Q$6:$Q$3271,"&lt;="&amp;Q130,$N$6:$N$3271,Calendar!$K$4),"")</f>
        <v/>
      </c>
      <c r="W130" s="44">
        <f>IF(AND(B130=Queue!$C$4,OR(Queue!$K$4="*",N130=Queue!$K$4)),Q130,"")</f>
        <v/>
      </c>
    </row>
    <row r="131">
      <c r="A131" s="35">
        <f>IF(M131="","",HYPERLINK("https://www.youtube.com/watch?v="&amp;M131,"▶"))</f>
        <v/>
      </c>
      <c r="B131" s="36">
        <f>IF(C131&lt;&gt;"",C131,IF(P131&lt;=IFERROR(INDEX(tblChannels[Watched Through],MATCH(N131,tblChannels[Channel ID],0)),0),"Watched","Unwatched"))</f>
        <v/>
      </c>
      <c r="C131" s="37" t="n"/>
      <c r="D131" s="38" t="n"/>
      <c r="E131" s="39" t="n">
        <v>46106.94722222222</v>
      </c>
      <c r="F131" s="47" t="inlineStr">
        <is>
          <t>Super Carlin Brothers</t>
        </is>
      </c>
      <c r="G131" t="inlineStr">
        <is>
          <t>Harry Potter HBO Trailer Breakdown (Big Changes!)</t>
        </is>
      </c>
      <c r="H131" s="41" t="n">
        <v>0.01983796296296296</v>
      </c>
      <c r="I131" s="42" t="n">
        <v>360441</v>
      </c>
      <c r="J131" s="42" t="n">
        <v>14077</v>
      </c>
      <c r="K131" s="42" t="n">
        <v>2549</v>
      </c>
      <c r="L131" s="43" t="n"/>
      <c r="M131" s="44" t="n"/>
      <c r="N131" s="44" t="inlineStr">
        <is>
          <t>UCKZo4N0lVPccBkSiuyVh4yg</t>
        </is>
      </c>
      <c r="O131" s="45" t="n">
        <v>46107.11388888889</v>
      </c>
      <c r="P131" s="46" t="n">
        <v>46106</v>
      </c>
      <c r="Q131" s="44" t="n">
        <v>3141</v>
      </c>
      <c r="R131" s="44" t="inlineStr">
        <is>
          <t>No Video ID yet</t>
        </is>
      </c>
      <c r="S131" s="46" t="n"/>
      <c r="T131" s="46" t="n"/>
      <c r="U131" s="44" t="n"/>
      <c r="V131" s="44">
        <f>IF(AND(P131&gt;=Calendar!$K$2,P131&lt;EDATE(Calendar!$K$2,1),OR(Calendar!$K$4="*",N131=Calendar!$K$4)),P131*100+COUNTIFS($P$6:$P$3271,P131,$Q$6:$Q$3271,"&lt;="&amp;Q131,$N$6:$N$3271,Calendar!$K$4),"")</f>
        <v/>
      </c>
      <c r="W131" s="44">
        <f>IF(AND(B131=Queue!$C$4,OR(Queue!$K$4="*",N131=Queue!$K$4)),Q131,"")</f>
        <v/>
      </c>
    </row>
    <row r="132">
      <c r="A132" s="35">
        <f>IF(M132="","",HYPERLINK("https://www.youtube.com/watch?v="&amp;M132,"▶"))</f>
        <v/>
      </c>
      <c r="B132" s="36">
        <f>IF(C132&lt;&gt;"",C132,IF(P132&lt;=IFERROR(INDEX(tblChannels[Watched Through],MATCH(N132,tblChannels[Channel ID],0)),0),"Watched","Unwatched"))</f>
        <v/>
      </c>
      <c r="C132" s="37" t="n"/>
      <c r="D132" s="38" t="n"/>
      <c r="E132" s="39" t="n">
        <v>46103.41666666666</v>
      </c>
      <c r="F132" s="48" t="inlineStr">
        <is>
          <t>Through The Griffin Door</t>
        </is>
      </c>
      <c r="G132" t="inlineStr">
        <is>
          <t>Chapter 29: Career Advice | Order of the Phoenix</t>
        </is>
      </c>
      <c r="H132" s="41" t="n">
        <v>0.08479166666666667</v>
      </c>
      <c r="I132" s="42" t="n">
        <v>44866</v>
      </c>
      <c r="J132" s="42" t="n">
        <v>1154</v>
      </c>
      <c r="K132" s="42" t="n">
        <v>356</v>
      </c>
      <c r="L132" s="43" t="n"/>
      <c r="M132" s="44" t="n"/>
      <c r="N132" s="44" t="inlineStr">
        <is>
          <t>UCEscP6ETYXWSSvsNrDHekMQ</t>
        </is>
      </c>
      <c r="O132" s="45" t="n">
        <v>46103.58333333334</v>
      </c>
      <c r="P132" s="46" t="n">
        <v>46103</v>
      </c>
      <c r="Q132" s="44" t="n">
        <v>3140</v>
      </c>
      <c r="R132" s="44" t="inlineStr">
        <is>
          <t>No Video ID yet</t>
        </is>
      </c>
      <c r="S132" s="46" t="n"/>
      <c r="T132" s="46" t="n"/>
      <c r="U132" s="44" t="n"/>
      <c r="V132" s="44">
        <f>IF(AND(P132&gt;=Calendar!$K$2,P132&lt;EDATE(Calendar!$K$2,1),OR(Calendar!$K$4="*",N132=Calendar!$K$4)),P132*100+COUNTIFS($P$6:$P$3271,P132,$Q$6:$Q$3271,"&lt;="&amp;Q132,$N$6:$N$3271,Calendar!$K$4),"")</f>
        <v/>
      </c>
      <c r="W132" s="44">
        <f>IF(AND(B132=Queue!$C$4,OR(Queue!$K$4="*",N132=Queue!$K$4)),Q132,"")</f>
        <v/>
      </c>
    </row>
    <row r="133">
      <c r="A133" s="35">
        <f>IF(M133="","",HYPERLINK("https://www.youtube.com/watch?v="&amp;M133,"▶"))</f>
        <v/>
      </c>
      <c r="B133" s="36">
        <f>IF(C133&lt;&gt;"",C133,IF(P133&lt;=IFERROR(INDEX(tblChannels[Watched Through],MATCH(N133,tblChannels[Channel ID],0)),0),"Watched","Unwatched"))</f>
        <v/>
      </c>
      <c r="C133" s="37" t="n"/>
      <c r="D133" s="38" t="n"/>
      <c r="E133" s="39" t="n">
        <v>46101.66944444444</v>
      </c>
      <c r="F133" s="47" t="inlineStr">
        <is>
          <t>Super Carlin Brothers</t>
        </is>
      </c>
      <c r="G133" t="inlineStr">
        <is>
          <t>This may be our darkest Harry Potter Theory Ever..</t>
        </is>
      </c>
      <c r="H133" s="41" t="n">
        <v>0.0103125</v>
      </c>
      <c r="I133" s="42" t="n">
        <v>160107</v>
      </c>
      <c r="J133" s="42" t="n">
        <v>6094</v>
      </c>
      <c r="K133" s="42" t="n">
        <v>634</v>
      </c>
      <c r="L133" s="43" t="n"/>
      <c r="M133" s="44" t="n"/>
      <c r="N133" s="44" t="inlineStr">
        <is>
          <t>UCKZo4N0lVPccBkSiuyVh4yg</t>
        </is>
      </c>
      <c r="O133" s="45" t="n">
        <v>46101.83611111111</v>
      </c>
      <c r="P133" s="46" t="n">
        <v>46101</v>
      </c>
      <c r="Q133" s="44" t="n">
        <v>3139</v>
      </c>
      <c r="R133" s="44" t="inlineStr">
        <is>
          <t>No Video ID yet</t>
        </is>
      </c>
      <c r="S133" s="46" t="n"/>
      <c r="T133" s="46" t="n"/>
      <c r="U133" s="44" t="n"/>
      <c r="V133" s="44">
        <f>IF(AND(P133&gt;=Calendar!$K$2,P133&lt;EDATE(Calendar!$K$2,1),OR(Calendar!$K$4="*",N133=Calendar!$K$4)),P133*100+COUNTIFS($P$6:$P$3271,P133,$Q$6:$Q$3271,"&lt;="&amp;Q133,$N$6:$N$3271,Calendar!$K$4),"")</f>
        <v/>
      </c>
      <c r="W133" s="44">
        <f>IF(AND(B133=Queue!$C$4,OR(Queue!$K$4="*",N133=Queue!$K$4)),Q133,"")</f>
        <v/>
      </c>
    </row>
    <row r="134">
      <c r="A134" s="35">
        <f>IF(M134="","",HYPERLINK("https://www.youtube.com/watch?v="&amp;M134,"▶"))</f>
        <v/>
      </c>
      <c r="B134" s="36">
        <f>IF(C134&lt;&gt;"",C134,IF(P134&lt;=IFERROR(INDEX(tblChannels[Watched Through],MATCH(N134,tblChannels[Channel ID],0)),0),"Watched","Unwatched"))</f>
        <v/>
      </c>
      <c r="C134" s="37" t="n"/>
      <c r="D134" s="38" t="n"/>
      <c r="E134" s="39" t="n">
        <v>46101.42708333334</v>
      </c>
      <c r="F134" s="40" t="inlineStr">
        <is>
          <t>Popcorn Culture</t>
        </is>
      </c>
      <c r="G134" t="inlineStr">
        <is>
          <t>The Tour Odyssey | Popcorn Culture</t>
        </is>
      </c>
      <c r="H134" s="41" t="n">
        <v>0.05023148148148148</v>
      </c>
      <c r="I134" s="42" t="n">
        <v>2304</v>
      </c>
      <c r="J134" s="42" t="n">
        <v>132</v>
      </c>
      <c r="K134" s="42" t="n">
        <v>28</v>
      </c>
      <c r="L134" s="43" t="n"/>
      <c r="M134" s="44" t="n"/>
      <c r="N134" s="44" t="inlineStr">
        <is>
          <t>UCHfIbq9thHPC8yrKjAdJgDA</t>
        </is>
      </c>
      <c r="O134" s="45" t="n">
        <v>46101.59375</v>
      </c>
      <c r="P134" s="46" t="n">
        <v>46101</v>
      </c>
      <c r="Q134" s="44" t="n">
        <v>3138</v>
      </c>
      <c r="R134" s="44" t="inlineStr">
        <is>
          <t>No Video ID yet</t>
        </is>
      </c>
      <c r="S134" s="46" t="n"/>
      <c r="T134" s="46" t="n"/>
      <c r="U134" s="44" t="n"/>
      <c r="V134" s="44">
        <f>IF(AND(P134&gt;=Calendar!$K$2,P134&lt;EDATE(Calendar!$K$2,1),OR(Calendar!$K$4="*",N134=Calendar!$K$4)),P134*100+COUNTIFS($P$6:$P$3271,P134,$Q$6:$Q$3271,"&lt;="&amp;Q134,$N$6:$N$3271,Calendar!$K$4),"")</f>
        <v/>
      </c>
      <c r="W134" s="44">
        <f>IF(AND(B134=Queue!$C$4,OR(Queue!$K$4="*",N134=Queue!$K$4)),Q134,"")</f>
        <v/>
      </c>
    </row>
    <row r="135">
      <c r="A135" s="35">
        <f>IF(M135="","",HYPERLINK("https://www.youtube.com/watch?v="&amp;M135,"▶"))</f>
        <v/>
      </c>
      <c r="B135" s="36">
        <f>IF(C135&lt;&gt;"",C135,IF(P135&lt;=IFERROR(INDEX(tblChannels[Watched Through],MATCH(N135,tblChannels[Channel ID],0)),0),"Watched","Unwatched"))</f>
        <v/>
      </c>
      <c r="C135" s="37" t="n"/>
      <c r="D135" s="38" t="n"/>
      <c r="E135" s="39" t="n">
        <v>46099.71041666667</v>
      </c>
      <c r="F135" s="47" t="inlineStr">
        <is>
          <t>Super Carlin Brothers</t>
        </is>
      </c>
      <c r="G135" t="inlineStr">
        <is>
          <t>2 EVEN MORE Hours of Harry Potter Theories to Binge</t>
        </is>
      </c>
      <c r="H135" s="41" t="n">
        <v>0.08836805555555556</v>
      </c>
      <c r="I135" s="42" t="n">
        <v>141726</v>
      </c>
      <c r="J135" s="42" t="n">
        <v>1603</v>
      </c>
      <c r="K135" s="42" t="n">
        <v>244</v>
      </c>
      <c r="L135" s="43" t="n"/>
      <c r="M135" s="44" t="n"/>
      <c r="N135" s="44" t="inlineStr">
        <is>
          <t>UCKZo4N0lVPccBkSiuyVh4yg</t>
        </is>
      </c>
      <c r="O135" s="45" t="n">
        <v>46099.87708333333</v>
      </c>
      <c r="P135" s="46" t="n">
        <v>46099</v>
      </c>
      <c r="Q135" s="44" t="n">
        <v>3137</v>
      </c>
      <c r="R135" s="44" t="inlineStr">
        <is>
          <t>No Video ID yet</t>
        </is>
      </c>
      <c r="S135" s="46" t="n"/>
      <c r="T135" s="46" t="n"/>
      <c r="U135" s="44" t="n"/>
      <c r="V135" s="44">
        <f>IF(AND(P135&gt;=Calendar!$K$2,P135&lt;EDATE(Calendar!$K$2,1),OR(Calendar!$K$4="*",N135=Calendar!$K$4)),P135*100+COUNTIFS($P$6:$P$3271,P135,$Q$6:$Q$3271,"&lt;="&amp;Q135,$N$6:$N$3271,Calendar!$K$4),"")</f>
        <v/>
      </c>
      <c r="W135" s="44">
        <f>IF(AND(B135=Queue!$C$4,OR(Queue!$K$4="*",N135=Queue!$K$4)),Q135,"")</f>
        <v/>
      </c>
    </row>
    <row r="136">
      <c r="A136" s="35">
        <f>IF(M136="","",HYPERLINK("https://www.youtube.com/watch?v="&amp;M136,"▶"))</f>
        <v/>
      </c>
      <c r="B136" s="36">
        <f>IF(C136&lt;&gt;"",C136,IF(P136&lt;=IFERROR(INDEX(tblChannels[Watched Through],MATCH(N136,tblChannels[Channel ID],0)),0),"Watched","Unwatched"))</f>
        <v/>
      </c>
      <c r="C136" s="37" t="n"/>
      <c r="D136" s="38" t="n"/>
      <c r="E136" s="39" t="n">
        <v>46096.54236111111</v>
      </c>
      <c r="F136" s="48" t="inlineStr">
        <is>
          <t>Through The Griffin Door</t>
        </is>
      </c>
      <c r="G136" t="inlineStr">
        <is>
          <t>Chapter 28: Snape’s Worst Memory | Order of the Phoenix</t>
        </is>
      </c>
      <c r="H136" s="41" t="n">
        <v>0.07962962962962963</v>
      </c>
      <c r="I136" s="42" t="n">
        <v>41889</v>
      </c>
      <c r="J136" s="42" t="n">
        <v>1093</v>
      </c>
      <c r="K136" s="42" t="n">
        <v>408</v>
      </c>
      <c r="L136" s="43" t="n"/>
      <c r="M136" s="44" t="n"/>
      <c r="N136" s="44" t="inlineStr">
        <is>
          <t>UCEscP6ETYXWSSvsNrDHekMQ</t>
        </is>
      </c>
      <c r="O136" s="45" t="n">
        <v>46096.70902777778</v>
      </c>
      <c r="P136" s="46" t="n">
        <v>46096</v>
      </c>
      <c r="Q136" s="44" t="n">
        <v>3136</v>
      </c>
      <c r="R136" s="44" t="inlineStr">
        <is>
          <t>No Video ID yet</t>
        </is>
      </c>
      <c r="S136" s="46" t="n"/>
      <c r="T136" s="46" t="n"/>
      <c r="U136" s="44" t="n"/>
      <c r="V136" s="44">
        <f>IF(AND(P136&gt;=Calendar!$K$2,P136&lt;EDATE(Calendar!$K$2,1),OR(Calendar!$K$4="*",N136=Calendar!$K$4)),P136*100+COUNTIFS($P$6:$P$3271,P136,$Q$6:$Q$3271,"&lt;="&amp;Q136,$N$6:$N$3271,Calendar!$K$4),"")</f>
        <v/>
      </c>
      <c r="W136" s="44">
        <f>IF(AND(B136=Queue!$C$4,OR(Queue!$K$4="*",N136=Queue!$K$4)),Q136,"")</f>
        <v/>
      </c>
    </row>
    <row r="137">
      <c r="A137" s="35">
        <f>IF(M137="","",HYPERLINK("https://www.youtube.com/watch?v="&amp;M137,"▶"))</f>
        <v/>
      </c>
      <c r="B137" s="36">
        <f>IF(C137&lt;&gt;"",C137,IF(P137&lt;=IFERROR(INDEX(tblChannels[Watched Through],MATCH(N137,tblChannels[Channel ID],0)),0),"Watched","Unwatched"))</f>
        <v/>
      </c>
      <c r="C137" s="37" t="n"/>
      <c r="D137" s="38" t="n"/>
      <c r="E137" s="39" t="n">
        <v>46094.625</v>
      </c>
      <c r="F137" s="47" t="inlineStr">
        <is>
          <t>Super Carlin Brothers</t>
        </is>
      </c>
      <c r="G137" t="inlineStr">
        <is>
          <t>Umbridge Is ACTUALLY A Poltergeist | Harry Potter Theory</t>
        </is>
      </c>
      <c r="H137" s="41" t="n">
        <v>0.009050925925925926</v>
      </c>
      <c r="I137" s="42" t="n">
        <v>58286</v>
      </c>
      <c r="J137" s="42" t="n">
        <v>2977</v>
      </c>
      <c r="K137" s="42" t="n">
        <v>341</v>
      </c>
      <c r="L137" s="43" t="n"/>
      <c r="M137" s="44" t="n"/>
      <c r="N137" s="44" t="inlineStr">
        <is>
          <t>UCKZo4N0lVPccBkSiuyVh4yg</t>
        </is>
      </c>
      <c r="O137" s="45" t="n">
        <v>46094.79166666666</v>
      </c>
      <c r="P137" s="46" t="n">
        <v>46094</v>
      </c>
      <c r="Q137" s="44" t="n">
        <v>3135</v>
      </c>
      <c r="R137" s="44" t="inlineStr">
        <is>
          <t>No Video ID yet</t>
        </is>
      </c>
      <c r="S137" s="46" t="n"/>
      <c r="T137" s="46" t="n"/>
      <c r="U137" s="44" t="n"/>
      <c r="V137" s="44">
        <f>IF(AND(P137&gt;=Calendar!$K$2,P137&lt;EDATE(Calendar!$K$2,1),OR(Calendar!$K$4="*",N137=Calendar!$K$4)),P137*100+COUNTIFS($P$6:$P$3271,P137,$Q$6:$Q$3271,"&lt;="&amp;Q137,$N$6:$N$3271,Calendar!$K$4),"")</f>
        <v/>
      </c>
      <c r="W137" s="44">
        <f>IF(AND(B137=Queue!$C$4,OR(Queue!$K$4="*",N137=Queue!$K$4)),Q137,"")</f>
        <v/>
      </c>
    </row>
    <row r="138">
      <c r="A138" s="35">
        <f>IF(M138="","",HYPERLINK("https://www.youtube.com/watch?v="&amp;M138,"▶"))</f>
        <v/>
      </c>
      <c r="B138" s="36">
        <f>IF(C138&lt;&gt;"",C138,IF(P138&lt;=IFERROR(INDEX(tblChannels[Watched Through],MATCH(N138,tblChannels[Channel ID],0)),0),"Watched","Unwatched"))</f>
        <v/>
      </c>
      <c r="C138" s="37" t="n"/>
      <c r="D138" s="38" t="n"/>
      <c r="E138" s="39" t="n">
        <v>46094.41666666666</v>
      </c>
      <c r="F138" s="40" t="inlineStr">
        <is>
          <t>Popcorn Culture</t>
        </is>
      </c>
      <c r="G138" t="inlineStr">
        <is>
          <t>How UNLIKELY Is J? | Popcorn Culture</t>
        </is>
      </c>
      <c r="H138" s="41" t="n">
        <v>0.04333333333333333</v>
      </c>
      <c r="I138" s="42" t="n">
        <v>2207</v>
      </c>
      <c r="J138" s="42" t="n">
        <v>132</v>
      </c>
      <c r="K138" s="42" t="n">
        <v>31</v>
      </c>
      <c r="L138" s="43" t="n"/>
      <c r="M138" s="44" t="n"/>
      <c r="N138" s="44" t="inlineStr">
        <is>
          <t>UCHfIbq9thHPC8yrKjAdJgDA</t>
        </is>
      </c>
      <c r="O138" s="45" t="n">
        <v>46094.58333333334</v>
      </c>
      <c r="P138" s="46" t="n">
        <v>46094</v>
      </c>
      <c r="Q138" s="44" t="n">
        <v>3134</v>
      </c>
      <c r="R138" s="44" t="inlineStr">
        <is>
          <t>No Video ID yet</t>
        </is>
      </c>
      <c r="S138" s="46" t="n"/>
      <c r="T138" s="46" t="n"/>
      <c r="U138" s="44" t="n"/>
      <c r="V138" s="44">
        <f>IF(AND(P138&gt;=Calendar!$K$2,P138&lt;EDATE(Calendar!$K$2,1),OR(Calendar!$K$4="*",N138=Calendar!$K$4)),P138*100+COUNTIFS($P$6:$P$3271,P138,$Q$6:$Q$3271,"&lt;="&amp;Q138,$N$6:$N$3271,Calendar!$K$4),"")</f>
        <v/>
      </c>
      <c r="W138" s="44">
        <f>IF(AND(B138=Queue!$C$4,OR(Queue!$K$4="*",N138=Queue!$K$4)),Q138,"")</f>
        <v/>
      </c>
    </row>
    <row r="139">
      <c r="A139" s="35">
        <f>IF(M139="","",HYPERLINK("https://www.youtube.com/watch?v="&amp;M139,"▶"))</f>
        <v/>
      </c>
      <c r="B139" s="36">
        <f>IF(C139&lt;&gt;"",C139,IF(P139&lt;=IFERROR(INDEX(tblChannels[Watched Through],MATCH(N139,tblChannels[Channel ID],0)),0),"Watched","Unwatched"))</f>
        <v/>
      </c>
      <c r="C139" s="37" t="n"/>
      <c r="D139" s="38" t="n"/>
      <c r="E139" s="39" t="n">
        <v>46092.625</v>
      </c>
      <c r="F139" s="47" t="inlineStr">
        <is>
          <t>Super Carlin Brothers</t>
        </is>
      </c>
      <c r="G139" t="inlineStr">
        <is>
          <t>J vs Ben: ULTIMATE Umbridge Quiz | Harry Potter Trivia</t>
        </is>
      </c>
      <c r="H139" s="41" t="n">
        <v>0.03160879629629629</v>
      </c>
      <c r="I139" s="42" t="n">
        <v>87521</v>
      </c>
      <c r="J139" s="42" t="n">
        <v>3280</v>
      </c>
      <c r="K139" s="42" t="n">
        <v>576</v>
      </c>
      <c r="L139" s="43" t="n"/>
      <c r="M139" s="44" t="n"/>
      <c r="N139" s="44" t="inlineStr">
        <is>
          <t>UCKZo4N0lVPccBkSiuyVh4yg</t>
        </is>
      </c>
      <c r="O139" s="45" t="n">
        <v>46092.79166666666</v>
      </c>
      <c r="P139" s="46" t="n">
        <v>46092</v>
      </c>
      <c r="Q139" s="44" t="n">
        <v>3133</v>
      </c>
      <c r="R139" s="44" t="inlineStr">
        <is>
          <t>No Video ID yet</t>
        </is>
      </c>
      <c r="S139" s="46" t="n"/>
      <c r="T139" s="46" t="n"/>
      <c r="U139" s="44" t="n"/>
      <c r="V139" s="44">
        <f>IF(AND(P139&gt;=Calendar!$K$2,P139&lt;EDATE(Calendar!$K$2,1),OR(Calendar!$K$4="*",N139=Calendar!$K$4)),P139*100+COUNTIFS($P$6:$P$3271,P139,$Q$6:$Q$3271,"&lt;="&amp;Q139,$N$6:$N$3271,Calendar!$K$4),"")</f>
        <v/>
      </c>
      <c r="W139" s="44">
        <f>IF(AND(B139=Queue!$C$4,OR(Queue!$K$4="*",N139=Queue!$K$4)),Q139,"")</f>
        <v/>
      </c>
    </row>
    <row r="140">
      <c r="A140" s="35">
        <f>IF(M140="","",HYPERLINK("https://www.youtube.com/watch?v="&amp;M140,"▶"))</f>
        <v/>
      </c>
      <c r="B140" s="36">
        <f>IF(C140&lt;&gt;"",C140,IF(P140&lt;=IFERROR(INDEX(tblChannels[Watched Through],MATCH(N140,tblChannels[Channel ID],0)),0),"Watched","Unwatched"))</f>
        <v/>
      </c>
      <c r="C140" s="37" t="n"/>
      <c r="D140" s="38" t="n"/>
      <c r="E140" s="39" t="n">
        <v>46089.41666666666</v>
      </c>
      <c r="F140" s="48" t="inlineStr">
        <is>
          <t>Through The Griffin Door</t>
        </is>
      </c>
      <c r="G140" t="inlineStr">
        <is>
          <t>Chapter 27: The Centaur and the Sneak | Order of the Phoenix</t>
        </is>
      </c>
      <c r="H140" s="41" t="n">
        <v>0.06888888888888889</v>
      </c>
      <c r="I140" s="42" t="n">
        <v>37299</v>
      </c>
      <c r="J140" s="42" t="n">
        <v>1102</v>
      </c>
      <c r="K140" s="42" t="n">
        <v>317</v>
      </c>
      <c r="L140" s="43" t="n"/>
      <c r="M140" s="44" t="n"/>
      <c r="N140" s="44" t="inlineStr">
        <is>
          <t>UCEscP6ETYXWSSvsNrDHekMQ</t>
        </is>
      </c>
      <c r="O140" s="45" t="n">
        <v>46089.58333333334</v>
      </c>
      <c r="P140" s="46" t="n">
        <v>46089</v>
      </c>
      <c r="Q140" s="44" t="n">
        <v>3132</v>
      </c>
      <c r="R140" s="44" t="inlineStr">
        <is>
          <t>No Video ID yet</t>
        </is>
      </c>
      <c r="S140" s="46" t="n"/>
      <c r="T140" s="46" t="n"/>
      <c r="U140" s="44" t="n"/>
      <c r="V140" s="44">
        <f>IF(AND(P140&gt;=Calendar!$K$2,P140&lt;EDATE(Calendar!$K$2,1),OR(Calendar!$K$4="*",N140=Calendar!$K$4)),P140*100+COUNTIFS($P$6:$P$3271,P140,$Q$6:$Q$3271,"&lt;="&amp;Q140,$N$6:$N$3271,Calendar!$K$4),"")</f>
        <v/>
      </c>
      <c r="W140" s="44">
        <f>IF(AND(B140=Queue!$C$4,OR(Queue!$K$4="*",N140=Queue!$K$4)),Q140,"")</f>
        <v/>
      </c>
    </row>
    <row r="141">
      <c r="A141" s="35">
        <f>IF(M141="","",HYPERLINK("https://www.youtube.com/watch?v="&amp;M141,"▶"))</f>
        <v/>
      </c>
      <c r="B141" s="36">
        <f>IF(C141&lt;&gt;"",C141,IF(P141&lt;=IFERROR(INDEX(tblChannels[Watched Through],MATCH(N141,tblChannels[Channel ID],0)),0),"Watched","Unwatched"))</f>
        <v/>
      </c>
      <c r="C141" s="37" t="n"/>
      <c r="D141" s="38" t="n"/>
      <c r="E141" s="39" t="n">
        <v>46087.625</v>
      </c>
      <c r="F141" s="47" t="inlineStr">
        <is>
          <t>Super Carlin Brothers</t>
        </is>
      </c>
      <c r="G141" t="inlineStr">
        <is>
          <t>The 10 Moments That Made Avatar: The Last Airbender Legendary</t>
        </is>
      </c>
      <c r="H141" s="41" t="n">
        <v>0.02039351851851852</v>
      </c>
      <c r="I141" s="42" t="n">
        <v>39983</v>
      </c>
      <c r="J141" s="42" t="n">
        <v>2178</v>
      </c>
      <c r="K141" s="42" t="n">
        <v>178</v>
      </c>
      <c r="L141" s="43" t="n"/>
      <c r="M141" s="44" t="n"/>
      <c r="N141" s="44" t="inlineStr">
        <is>
          <t>UCKZo4N0lVPccBkSiuyVh4yg</t>
        </is>
      </c>
      <c r="O141" s="45" t="n">
        <v>46087.83333333334</v>
      </c>
      <c r="P141" s="46" t="n">
        <v>46087</v>
      </c>
      <c r="Q141" s="44" t="n">
        <v>3131</v>
      </c>
      <c r="R141" s="44" t="inlineStr">
        <is>
          <t>No Video ID yet</t>
        </is>
      </c>
      <c r="S141" s="46" t="n"/>
      <c r="T141" s="46" t="n"/>
      <c r="U141" s="44" t="n"/>
      <c r="V141" s="44">
        <f>IF(AND(P141&gt;=Calendar!$K$2,P141&lt;EDATE(Calendar!$K$2,1),OR(Calendar!$K$4="*",N141=Calendar!$K$4)),P141*100+COUNTIFS($P$6:$P$3271,P141,$Q$6:$Q$3271,"&lt;="&amp;Q141,$N$6:$N$3271,Calendar!$K$4),"")</f>
        <v/>
      </c>
      <c r="W141" s="44">
        <f>IF(AND(B141=Queue!$C$4,OR(Queue!$K$4="*",N141=Queue!$K$4)),Q141,"")</f>
        <v/>
      </c>
    </row>
    <row r="142">
      <c r="A142" s="35">
        <f>IF(M142="","",HYPERLINK("https://www.youtube.com/watch?v="&amp;M142,"▶"))</f>
        <v/>
      </c>
      <c r="B142" s="36">
        <f>IF(C142&lt;&gt;"",C142,IF(P142&lt;=IFERROR(INDEX(tblChannels[Watched Through],MATCH(N142,tblChannels[Channel ID],0)),0),"Watched","Unwatched"))</f>
        <v/>
      </c>
      <c r="C142" s="37" t="n"/>
      <c r="D142" s="38" t="n"/>
      <c r="E142" s="39" t="n">
        <v>46087.41666666666</v>
      </c>
      <c r="F142" s="40" t="inlineStr">
        <is>
          <t>Popcorn Culture</t>
        </is>
      </c>
      <c r="G142" t="inlineStr">
        <is>
          <t>Small Town Service | Popcorn Culture</t>
        </is>
      </c>
      <c r="H142" s="41" t="n">
        <v>0.05445601851851852</v>
      </c>
      <c r="I142" s="42" t="n">
        <v>2692</v>
      </c>
      <c r="J142" s="42" t="n">
        <v>140</v>
      </c>
      <c r="K142" s="42" t="n">
        <v>12</v>
      </c>
      <c r="L142" s="43" t="n"/>
      <c r="M142" s="44" t="n"/>
      <c r="N142" s="44" t="inlineStr">
        <is>
          <t>UCHfIbq9thHPC8yrKjAdJgDA</t>
        </is>
      </c>
      <c r="O142" s="45" t="n">
        <v>46087.625</v>
      </c>
      <c r="P142" s="46" t="n">
        <v>46087</v>
      </c>
      <c r="Q142" s="44" t="n">
        <v>3130</v>
      </c>
      <c r="R142" s="44" t="inlineStr">
        <is>
          <t>No Video ID yet</t>
        </is>
      </c>
      <c r="S142" s="46" t="n"/>
      <c r="T142" s="46" t="n"/>
      <c r="U142" s="44" t="n"/>
      <c r="V142" s="44">
        <f>IF(AND(P142&gt;=Calendar!$K$2,P142&lt;EDATE(Calendar!$K$2,1),OR(Calendar!$K$4="*",N142=Calendar!$K$4)),P142*100+COUNTIFS($P$6:$P$3271,P142,$Q$6:$Q$3271,"&lt;="&amp;Q142,$N$6:$N$3271,Calendar!$K$4),"")</f>
        <v/>
      </c>
      <c r="W142" s="44">
        <f>IF(AND(B142=Queue!$C$4,OR(Queue!$K$4="*",N142=Queue!$K$4)),Q142,"")</f>
        <v/>
      </c>
    </row>
    <row r="143">
      <c r="A143" s="35">
        <f>IF(M143="","",HYPERLINK("https://www.youtube.com/watch?v="&amp;M143,"▶"))</f>
        <v/>
      </c>
      <c r="B143" s="36">
        <f>IF(C143&lt;&gt;"",C143,IF(P143&lt;=IFERROR(INDEX(tblChannels[Watched Through],MATCH(N143,tblChannels[Channel ID],0)),0),"Watched","Unwatched"))</f>
        <v/>
      </c>
      <c r="C143" s="37" t="n"/>
      <c r="D143" s="38" t="n"/>
      <c r="E143" s="39" t="n">
        <v>46085.67986111111</v>
      </c>
      <c r="F143" s="47" t="inlineStr">
        <is>
          <t>Super Carlin Brothers</t>
        </is>
      </c>
      <c r="G143" t="inlineStr">
        <is>
          <t>Theories From A Hat: More UNHINGED Harry Potter Theories</t>
        </is>
      </c>
      <c r="H143" s="41" t="n">
        <v>0.02287037037037037</v>
      </c>
      <c r="I143" s="42" t="n">
        <v>115293</v>
      </c>
      <c r="J143" s="42" t="n">
        <v>4093</v>
      </c>
      <c r="K143" s="42" t="n">
        <v>503</v>
      </c>
      <c r="L143" s="43" t="n"/>
      <c r="M143" s="44" t="n"/>
      <c r="N143" s="44" t="inlineStr">
        <is>
          <t>UCKZo4N0lVPccBkSiuyVh4yg</t>
        </is>
      </c>
      <c r="O143" s="45" t="n">
        <v>46085.88819444444</v>
      </c>
      <c r="P143" s="46" t="n">
        <v>46085</v>
      </c>
      <c r="Q143" s="44" t="n">
        <v>3129</v>
      </c>
      <c r="R143" s="44" t="inlineStr">
        <is>
          <t>No Video ID yet</t>
        </is>
      </c>
      <c r="S143" s="46" t="n"/>
      <c r="T143" s="46" t="n"/>
      <c r="U143" s="44" t="n"/>
      <c r="V143" s="44">
        <f>IF(AND(P143&gt;=Calendar!$K$2,P143&lt;EDATE(Calendar!$K$2,1),OR(Calendar!$K$4="*",N143=Calendar!$K$4)),P143*100+COUNTIFS($P$6:$P$3271,P143,$Q$6:$Q$3271,"&lt;="&amp;Q143,$N$6:$N$3271,Calendar!$K$4),"")</f>
        <v/>
      </c>
      <c r="W143" s="44">
        <f>IF(AND(B143=Queue!$C$4,OR(Queue!$K$4="*",N143=Queue!$K$4)),Q143,"")</f>
        <v/>
      </c>
    </row>
    <row r="144">
      <c r="A144" s="35">
        <f>IF(M144="","",HYPERLINK("https://www.youtube.com/watch?v="&amp;M144,"▶"))</f>
        <v/>
      </c>
      <c r="B144" s="36">
        <f>IF(C144&lt;&gt;"",C144,IF(P144&lt;=IFERROR(INDEX(tblChannels[Watched Through],MATCH(N144,tblChannels[Channel ID],0)),0),"Watched","Unwatched"))</f>
        <v/>
      </c>
      <c r="C144" s="37" t="n"/>
      <c r="D144" s="38" t="n"/>
      <c r="E144" s="39" t="n">
        <v>46082.41736111111</v>
      </c>
      <c r="F144" s="48" t="inlineStr">
        <is>
          <t>Through The Griffin Door</t>
        </is>
      </c>
      <c r="G144" t="inlineStr">
        <is>
          <t>Chapter 26: Seen and Unforeseen | Order of the Phoenix</t>
        </is>
      </c>
      <c r="H144" s="41" t="n">
        <v>0.07197916666666666</v>
      </c>
      <c r="I144" s="42" t="n">
        <v>40585</v>
      </c>
      <c r="J144" s="42" t="n">
        <v>1079</v>
      </c>
      <c r="K144" s="42" t="n">
        <v>303</v>
      </c>
      <c r="L144" s="43" t="n"/>
      <c r="M144" s="44" t="n"/>
      <c r="N144" s="44" t="inlineStr">
        <is>
          <t>UCEscP6ETYXWSSvsNrDHekMQ</t>
        </is>
      </c>
      <c r="O144" s="45" t="n">
        <v>46082.62569444445</v>
      </c>
      <c r="P144" s="46" t="n">
        <v>46082</v>
      </c>
      <c r="Q144" s="44" t="n">
        <v>3128</v>
      </c>
      <c r="R144" s="44" t="inlineStr">
        <is>
          <t>No Video ID yet</t>
        </is>
      </c>
      <c r="S144" s="46" t="n"/>
      <c r="T144" s="46" t="n"/>
      <c r="U144" s="44" t="n"/>
      <c r="V144" s="44">
        <f>IF(AND(P144&gt;=Calendar!$K$2,P144&lt;EDATE(Calendar!$K$2,1),OR(Calendar!$K$4="*",N144=Calendar!$K$4)),P144*100+COUNTIFS($P$6:$P$3271,P144,$Q$6:$Q$3271,"&lt;="&amp;Q144,$N$6:$N$3271,Calendar!$K$4),"")</f>
        <v/>
      </c>
      <c r="W144" s="44">
        <f>IF(AND(B144=Queue!$C$4,OR(Queue!$K$4="*",N144=Queue!$K$4)),Q144,"")</f>
        <v/>
      </c>
    </row>
    <row r="145">
      <c r="A145" s="35">
        <f>IF(M145="","",HYPERLINK("https://www.youtube.com/watch?v="&amp;M145,"▶"))</f>
        <v/>
      </c>
      <c r="B145" s="36">
        <f>IF(C145&lt;&gt;"",C145,IF(P145&lt;=IFERROR(INDEX(tblChannels[Watched Through],MATCH(N145,tblChannels[Channel ID],0)),0),"Watched","Unwatched"))</f>
        <v/>
      </c>
      <c r="C145" s="37" t="n"/>
      <c r="D145" s="38" t="n"/>
      <c r="E145" s="39" t="n">
        <v>46080.7375</v>
      </c>
      <c r="F145" s="47" t="inlineStr">
        <is>
          <t>Super Carlin Brothers</t>
        </is>
      </c>
      <c r="G145" t="inlineStr">
        <is>
          <t>What Happened To Fantastic Beasts? | Harry Potter</t>
        </is>
      </c>
      <c r="H145" s="41" t="n">
        <v>0.01809027777777778</v>
      </c>
      <c r="I145" s="42" t="n">
        <v>255211</v>
      </c>
      <c r="J145" s="42" t="n">
        <v>9056</v>
      </c>
      <c r="K145" s="42" t="n">
        <v>1773</v>
      </c>
      <c r="L145" s="43" t="n"/>
      <c r="M145" s="44" t="n"/>
      <c r="N145" s="44" t="inlineStr">
        <is>
          <t>UCKZo4N0lVPccBkSiuyVh4yg</t>
        </is>
      </c>
      <c r="O145" s="45" t="n">
        <v>46080.94583333333</v>
      </c>
      <c r="P145" s="46" t="n">
        <v>46080</v>
      </c>
      <c r="Q145" s="44" t="n">
        <v>3127</v>
      </c>
      <c r="R145" s="44" t="inlineStr">
        <is>
          <t>No Video ID yet</t>
        </is>
      </c>
      <c r="S145" s="46" t="n"/>
      <c r="T145" s="46" t="n"/>
      <c r="U145" s="44" t="n"/>
      <c r="V145" s="44">
        <f>IF(AND(P145&gt;=Calendar!$K$2,P145&lt;EDATE(Calendar!$K$2,1),OR(Calendar!$K$4="*",N145=Calendar!$K$4)),P145*100+COUNTIFS($P$6:$P$3271,P145,$Q$6:$Q$3271,"&lt;="&amp;Q145,$N$6:$N$3271,Calendar!$K$4),"")</f>
        <v/>
      </c>
      <c r="W145" s="44">
        <f>IF(AND(B145=Queue!$C$4,OR(Queue!$K$4="*",N145=Queue!$K$4)),Q145,"")</f>
        <v/>
      </c>
    </row>
    <row r="146">
      <c r="A146" s="35">
        <f>IF(M146="","",HYPERLINK("https://www.youtube.com/watch?v="&amp;M146,"▶"))</f>
        <v/>
      </c>
      <c r="B146" s="36">
        <f>IF(C146&lt;&gt;"",C146,IF(P146&lt;=IFERROR(INDEX(tblChannels[Watched Through],MATCH(N146,tblChannels[Channel ID],0)),0),"Watched","Unwatched"))</f>
        <v/>
      </c>
      <c r="C146" s="37" t="n"/>
      <c r="D146" s="38" t="n"/>
      <c r="E146" s="39" t="n">
        <v>46080.41736111111</v>
      </c>
      <c r="F146" s="40" t="inlineStr">
        <is>
          <t>Popcorn Culture</t>
        </is>
      </c>
      <c r="G146" t="inlineStr">
        <is>
          <t>Ben Picked a Pin! | Popcorn Culture</t>
        </is>
      </c>
      <c r="H146" s="41" t="n">
        <v>0.05498842592592593</v>
      </c>
      <c r="I146" s="42" t="n">
        <v>2514</v>
      </c>
      <c r="J146" s="42" t="n">
        <v>133</v>
      </c>
      <c r="K146" s="42" t="n">
        <v>27</v>
      </c>
      <c r="L146" s="43" t="n"/>
      <c r="M146" s="44" t="n"/>
      <c r="N146" s="44" t="inlineStr">
        <is>
          <t>UCHfIbq9thHPC8yrKjAdJgDA</t>
        </is>
      </c>
      <c r="O146" s="45" t="n">
        <v>46080.62569444445</v>
      </c>
      <c r="P146" s="46" t="n">
        <v>46080</v>
      </c>
      <c r="Q146" s="44" t="n">
        <v>3126</v>
      </c>
      <c r="R146" s="44" t="inlineStr">
        <is>
          <t>No Video ID yet</t>
        </is>
      </c>
      <c r="S146" s="46" t="n"/>
      <c r="T146" s="46" t="n"/>
      <c r="U146" s="44" t="n"/>
      <c r="V146" s="44">
        <f>IF(AND(P146&gt;=Calendar!$K$2,P146&lt;EDATE(Calendar!$K$2,1),OR(Calendar!$K$4="*",N146=Calendar!$K$4)),P146*100+COUNTIFS($P$6:$P$3271,P146,$Q$6:$Q$3271,"&lt;="&amp;Q146,$N$6:$N$3271,Calendar!$K$4),"")</f>
        <v/>
      </c>
      <c r="W146" s="44">
        <f>IF(AND(B146=Queue!$C$4,OR(Queue!$K$4="*",N146=Queue!$K$4)),Q146,"")</f>
        <v/>
      </c>
    </row>
    <row r="147">
      <c r="A147" s="35">
        <f>IF(M147="","",HYPERLINK("https://www.youtube.com/watch?v="&amp;M147,"▶"))</f>
        <v/>
      </c>
      <c r="B147" s="36">
        <f>IF(C147&lt;&gt;"",C147,IF(P147&lt;=IFERROR(INDEX(tblChannels[Watched Through],MATCH(N147,tblChannels[Channel ID],0)),0),"Watched","Unwatched"))</f>
        <v/>
      </c>
      <c r="C147" s="37" t="n"/>
      <c r="D147" s="38" t="n"/>
      <c r="E147" s="39" t="n">
        <v>46078.73402777778</v>
      </c>
      <c r="F147" s="47" t="inlineStr">
        <is>
          <t>Super Carlin Brothers</t>
        </is>
      </c>
      <c r="G147" t="inlineStr">
        <is>
          <t>J vs Ben: The HARDEST Harry Potter Hospital Quiz</t>
        </is>
      </c>
      <c r="H147" s="41" t="n">
        <v>0.03328703703703704</v>
      </c>
      <c r="I147" s="42" t="n">
        <v>84318</v>
      </c>
      <c r="J147" s="42" t="n">
        <v>3139</v>
      </c>
      <c r="K147" s="42" t="n">
        <v>405</v>
      </c>
      <c r="L147" s="43" t="n"/>
      <c r="M147" s="44" t="n"/>
      <c r="N147" s="44" t="inlineStr">
        <is>
          <t>UCKZo4N0lVPccBkSiuyVh4yg</t>
        </is>
      </c>
      <c r="O147" s="45" t="n">
        <v>46078.94236111111</v>
      </c>
      <c r="P147" s="46" t="n">
        <v>46078</v>
      </c>
      <c r="Q147" s="44" t="n">
        <v>3125</v>
      </c>
      <c r="R147" s="44" t="inlineStr">
        <is>
          <t>No Video ID yet</t>
        </is>
      </c>
      <c r="S147" s="46" t="n"/>
      <c r="T147" s="46" t="n"/>
      <c r="U147" s="44" t="n"/>
      <c r="V147" s="44">
        <f>IF(AND(P147&gt;=Calendar!$K$2,P147&lt;EDATE(Calendar!$K$2,1),OR(Calendar!$K$4="*",N147=Calendar!$K$4)),P147*100+COUNTIFS($P$6:$P$3271,P147,$Q$6:$Q$3271,"&lt;="&amp;Q147,$N$6:$N$3271,Calendar!$K$4),"")</f>
        <v/>
      </c>
      <c r="W147" s="44">
        <f>IF(AND(B147=Queue!$C$4,OR(Queue!$K$4="*",N147=Queue!$K$4)),Q147,"")</f>
        <v/>
      </c>
    </row>
    <row r="148">
      <c r="A148" s="35">
        <f>IF(M148="","",HYPERLINK("https://www.youtube.com/watch?v="&amp;M148,"▶"))</f>
        <v/>
      </c>
      <c r="B148" s="36">
        <f>IF(C148&lt;&gt;"",C148,IF(P148&lt;=IFERROR(INDEX(tblChannels[Watched Through],MATCH(N148,tblChannels[Channel ID],0)),0),"Watched","Unwatched"))</f>
        <v/>
      </c>
      <c r="C148" s="37" t="n"/>
      <c r="D148" s="38" t="n"/>
      <c r="E148" s="39" t="n">
        <v>46075.41666666666</v>
      </c>
      <c r="F148" s="48" t="inlineStr">
        <is>
          <t>Through The Griffin Door</t>
        </is>
      </c>
      <c r="G148" t="inlineStr">
        <is>
          <t>Chapter 25: The Beetle at Bay | Order of the Phoenix</t>
        </is>
      </c>
      <c r="H148" s="41" t="n">
        <v>0.07890046296296296</v>
      </c>
      <c r="I148" s="42" t="n">
        <v>44921</v>
      </c>
      <c r="J148" s="42" t="n">
        <v>1147</v>
      </c>
      <c r="K148" s="42" t="n">
        <v>308</v>
      </c>
      <c r="L148" s="43" t="n"/>
      <c r="M148" s="44" t="n"/>
      <c r="N148" s="44" t="inlineStr">
        <is>
          <t>UCEscP6ETYXWSSvsNrDHekMQ</t>
        </is>
      </c>
      <c r="O148" s="45" t="n">
        <v>46075.625</v>
      </c>
      <c r="P148" s="46" t="n">
        <v>46075</v>
      </c>
      <c r="Q148" s="44" t="n">
        <v>3124</v>
      </c>
      <c r="R148" s="44" t="inlineStr">
        <is>
          <t>No Video ID yet</t>
        </is>
      </c>
      <c r="S148" s="46" t="n"/>
      <c r="T148" s="46" t="n"/>
      <c r="U148" s="44" t="n"/>
      <c r="V148" s="44">
        <f>IF(AND(P148&gt;=Calendar!$K$2,P148&lt;EDATE(Calendar!$K$2,1),OR(Calendar!$K$4="*",N148=Calendar!$K$4)),P148*100+COUNTIFS($P$6:$P$3271,P148,$Q$6:$Q$3271,"&lt;="&amp;Q148,$N$6:$N$3271,Calendar!$K$4),"")</f>
        <v/>
      </c>
      <c r="W148" s="44">
        <f>IF(AND(B148=Queue!$C$4,OR(Queue!$K$4="*",N148=Queue!$K$4)),Q148,"")</f>
        <v/>
      </c>
    </row>
    <row r="149">
      <c r="A149" s="35">
        <f>IF(M149="","",HYPERLINK("https://www.youtube.com/watch?v="&amp;M149,"▶"))</f>
        <v/>
      </c>
      <c r="B149" s="36">
        <f>IF(C149&lt;&gt;"",C149,IF(P149&lt;=IFERROR(INDEX(tblChannels[Watched Through],MATCH(N149,tblChannels[Channel ID],0)),0),"Watched","Unwatched"))</f>
        <v/>
      </c>
      <c r="C149" s="37" t="n"/>
      <c r="D149" s="38" t="n"/>
      <c r="E149" s="39" t="n">
        <v>46073.68888888889</v>
      </c>
      <c r="F149" s="47" t="inlineStr">
        <is>
          <t>Super Carlin Brothers</t>
        </is>
      </c>
      <c r="G149" t="inlineStr">
        <is>
          <t>What If Snape Was in Gryffindor? | Harry Potter Theory</t>
        </is>
      </c>
      <c r="H149" s="41" t="n">
        <v>0.01387731481481481</v>
      </c>
      <c r="I149" s="42" t="n">
        <v>84554</v>
      </c>
      <c r="J149" s="42" t="n">
        <v>4058</v>
      </c>
      <c r="K149" s="42" t="n">
        <v>888</v>
      </c>
      <c r="L149" s="43" t="n"/>
      <c r="M149" s="44" t="n"/>
      <c r="N149" s="44" t="inlineStr">
        <is>
          <t>UCKZo4N0lVPccBkSiuyVh4yg</t>
        </is>
      </c>
      <c r="O149" s="45" t="n">
        <v>46073.89722222222</v>
      </c>
      <c r="P149" s="46" t="n">
        <v>46073</v>
      </c>
      <c r="Q149" s="44" t="n">
        <v>3123</v>
      </c>
      <c r="R149" s="44" t="inlineStr">
        <is>
          <t>No Video ID yet</t>
        </is>
      </c>
      <c r="S149" s="46" t="n"/>
      <c r="T149" s="46" t="n"/>
      <c r="U149" s="44" t="n"/>
      <c r="V149" s="44">
        <f>IF(AND(P149&gt;=Calendar!$K$2,P149&lt;EDATE(Calendar!$K$2,1),OR(Calendar!$K$4="*",N149=Calendar!$K$4)),P149*100+COUNTIFS($P$6:$P$3271,P149,$Q$6:$Q$3271,"&lt;="&amp;Q149,$N$6:$N$3271,Calendar!$K$4),"")</f>
        <v/>
      </c>
      <c r="W149" s="44">
        <f>IF(AND(B149=Queue!$C$4,OR(Queue!$K$4="*",N149=Queue!$K$4)),Q149,"")</f>
        <v/>
      </c>
    </row>
    <row r="150">
      <c r="A150" s="35">
        <f>IF(M150="","",HYPERLINK("https://www.youtube.com/watch?v="&amp;M150,"▶"))</f>
        <v/>
      </c>
      <c r="B150" s="36">
        <f>IF(C150&lt;&gt;"",C150,IF(P150&lt;=IFERROR(INDEX(tblChannels[Watched Through],MATCH(N150,tblChannels[Channel ID],0)),0),"Watched","Unwatched"))</f>
        <v/>
      </c>
      <c r="C150" s="37" t="n"/>
      <c r="D150" s="38" t="n"/>
      <c r="E150" s="39" t="n">
        <v>46073.41666666666</v>
      </c>
      <c r="F150" s="40" t="inlineStr">
        <is>
          <t>Popcorn Culture</t>
        </is>
      </c>
      <c r="G150" t="inlineStr">
        <is>
          <t>Traumatizing Disney Rides | Popcorn Culture</t>
        </is>
      </c>
      <c r="H150" s="41" t="n">
        <v>0.04677083333333333</v>
      </c>
      <c r="I150" s="42" t="n">
        <v>2582</v>
      </c>
      <c r="J150" s="42" t="n">
        <v>143</v>
      </c>
      <c r="K150" s="42" t="n">
        <v>24</v>
      </c>
      <c r="L150" s="43" t="n"/>
      <c r="M150" s="44" t="n"/>
      <c r="N150" s="44" t="inlineStr">
        <is>
          <t>UCHfIbq9thHPC8yrKjAdJgDA</t>
        </is>
      </c>
      <c r="O150" s="45" t="n">
        <v>46073.625</v>
      </c>
      <c r="P150" s="46" t="n">
        <v>46073</v>
      </c>
      <c r="Q150" s="44" t="n">
        <v>3122</v>
      </c>
      <c r="R150" s="44" t="inlineStr">
        <is>
          <t>No Video ID yet</t>
        </is>
      </c>
      <c r="S150" s="46" t="n"/>
      <c r="T150" s="46" t="n"/>
      <c r="U150" s="44" t="n"/>
      <c r="V150" s="44">
        <f>IF(AND(P150&gt;=Calendar!$K$2,P150&lt;EDATE(Calendar!$K$2,1),OR(Calendar!$K$4="*",N150=Calendar!$K$4)),P150*100+COUNTIFS($P$6:$P$3271,P150,$Q$6:$Q$3271,"&lt;="&amp;Q150,$N$6:$N$3271,Calendar!$K$4),"")</f>
        <v/>
      </c>
      <c r="W150" s="44">
        <f>IF(AND(B150=Queue!$C$4,OR(Queue!$K$4="*",N150=Queue!$K$4)),Q150,"")</f>
        <v/>
      </c>
    </row>
    <row r="151">
      <c r="A151" s="35">
        <f>IF(M151="","",HYPERLINK("https://www.youtube.com/watch?v="&amp;M151,"▶"))</f>
        <v/>
      </c>
      <c r="B151" s="36">
        <f>IF(C151&lt;&gt;"",C151,IF(P151&lt;=IFERROR(INDEX(tblChannels[Watched Through],MATCH(N151,tblChannels[Channel ID],0)),0),"Watched","Unwatched"))</f>
        <v/>
      </c>
      <c r="C151" s="37" t="n"/>
      <c r="D151" s="38" t="n"/>
      <c r="E151" s="39" t="n">
        <v>46071.68472222222</v>
      </c>
      <c r="F151" s="47" t="inlineStr">
        <is>
          <t>Super Carlin Brothers</t>
        </is>
      </c>
      <c r="G151" t="inlineStr">
        <is>
          <t>Umbridge VS Voldemort - Who’s Worse | Harry Potter Theory</t>
        </is>
      </c>
      <c r="H151" s="41" t="n">
        <v>0.01177083333333333</v>
      </c>
      <c r="I151" s="42" t="n">
        <v>57618</v>
      </c>
      <c r="J151" s="42" t="n">
        <v>3346</v>
      </c>
      <c r="K151" s="42" t="n">
        <v>897</v>
      </c>
      <c r="L151" s="43" t="n"/>
      <c r="M151" s="44" t="n"/>
      <c r="N151" s="44" t="inlineStr">
        <is>
          <t>UCKZo4N0lVPccBkSiuyVh4yg</t>
        </is>
      </c>
      <c r="O151" s="45" t="n">
        <v>46071.89305555556</v>
      </c>
      <c r="P151" s="46" t="n">
        <v>46071</v>
      </c>
      <c r="Q151" s="44" t="n">
        <v>3121</v>
      </c>
      <c r="R151" s="44" t="inlineStr">
        <is>
          <t>No Video ID yet</t>
        </is>
      </c>
      <c r="S151" s="46" t="n"/>
      <c r="T151" s="46" t="n"/>
      <c r="U151" s="44" t="n"/>
      <c r="V151" s="44">
        <f>IF(AND(P151&gt;=Calendar!$K$2,P151&lt;EDATE(Calendar!$K$2,1),OR(Calendar!$K$4="*",N151=Calendar!$K$4)),P151*100+COUNTIFS($P$6:$P$3271,P151,$Q$6:$Q$3271,"&lt;="&amp;Q151,$N$6:$N$3271,Calendar!$K$4),"")</f>
        <v/>
      </c>
      <c r="W151" s="44">
        <f>IF(AND(B151=Queue!$C$4,OR(Queue!$K$4="*",N151=Queue!$K$4)),Q151,"")</f>
        <v/>
      </c>
    </row>
    <row r="152">
      <c r="A152" s="35">
        <f>IF(M152="","",HYPERLINK("https://www.youtube.com/watch?v="&amp;M152,"▶"))</f>
        <v/>
      </c>
      <c r="B152" s="36">
        <f>IF(C152&lt;&gt;"",C152,IF(P152&lt;=IFERROR(INDEX(tblChannels[Watched Through],MATCH(N152,tblChannels[Channel ID],0)),0),"Watched","Unwatched"))</f>
        <v/>
      </c>
      <c r="C152" s="37" t="n"/>
      <c r="D152" s="38" t="n"/>
      <c r="E152" s="39" t="n">
        <v>46071.56388888889</v>
      </c>
      <c r="F152" s="47" t="inlineStr">
        <is>
          <t>Super Carlin Brothers</t>
        </is>
      </c>
      <c r="G152" t="inlineStr">
        <is>
          <t>WHEN DOES FINDING NEMO HAPPEN?!</t>
        </is>
      </c>
      <c r="H152" s="41" t="n">
        <v>0.00119212962962963</v>
      </c>
      <c r="I152" s="42" t="n">
        <v>82758</v>
      </c>
      <c r="J152" s="42" t="n">
        <v>2319</v>
      </c>
      <c r="K152" s="42" t="n">
        <v>63</v>
      </c>
      <c r="L152" s="43" t="n"/>
      <c r="M152" s="44" t="n"/>
      <c r="N152" s="44" t="inlineStr">
        <is>
          <t>UCKZo4N0lVPccBkSiuyVh4yg</t>
        </is>
      </c>
      <c r="O152" s="45" t="n">
        <v>46071.77222222222</v>
      </c>
      <c r="P152" s="46" t="n">
        <v>46071</v>
      </c>
      <c r="Q152" s="44" t="n">
        <v>3120</v>
      </c>
      <c r="R152" s="44" t="inlineStr">
        <is>
          <t>No Video ID yet</t>
        </is>
      </c>
      <c r="S152" s="46" t="n"/>
      <c r="T152" s="46" t="n"/>
      <c r="U152" s="44" t="n"/>
      <c r="V152" s="44">
        <f>IF(AND(P152&gt;=Calendar!$K$2,P152&lt;EDATE(Calendar!$K$2,1),OR(Calendar!$K$4="*",N152=Calendar!$K$4)),P152*100+COUNTIFS($P$6:$P$3271,P152,$Q$6:$Q$3271,"&lt;="&amp;Q152,$N$6:$N$3271,Calendar!$K$4),"")</f>
        <v/>
      </c>
      <c r="W152" s="44">
        <f>IF(AND(B152=Queue!$C$4,OR(Queue!$K$4="*",N152=Queue!$K$4)),Q152,"")</f>
        <v/>
      </c>
    </row>
    <row r="153">
      <c r="A153" s="35">
        <f>IF(M153="","",HYPERLINK("https://www.youtube.com/watch?v="&amp;M153,"▶"))</f>
        <v/>
      </c>
      <c r="B153" s="36">
        <f>IF(C153&lt;&gt;"",C153,IF(P153&lt;=IFERROR(INDEX(tblChannels[Watched Through],MATCH(N153,tblChannels[Channel ID],0)),0),"Watched","Unwatched"))</f>
        <v/>
      </c>
      <c r="C153" s="37" t="n"/>
      <c r="D153" s="38" t="n"/>
      <c r="E153" s="39" t="n">
        <v>46070.45277777778</v>
      </c>
      <c r="F153" s="47" t="inlineStr">
        <is>
          <t>Super Carlin Brothers</t>
        </is>
      </c>
      <c r="G153" t="inlineStr">
        <is>
          <t>J’s Animagus REVEALED!</t>
        </is>
      </c>
      <c r="H153" s="41" t="n">
        <v>0.0006828703703703704</v>
      </c>
      <c r="I153" s="42" t="n">
        <v>35727</v>
      </c>
      <c r="J153" s="42" t="n">
        <v>1336</v>
      </c>
      <c r="K153" s="42" t="n">
        <v>132</v>
      </c>
      <c r="L153" s="43" t="n"/>
      <c r="M153" s="44" t="n"/>
      <c r="N153" s="44" t="inlineStr">
        <is>
          <t>UCKZo4N0lVPccBkSiuyVh4yg</t>
        </is>
      </c>
      <c r="O153" s="45" t="n">
        <v>46070.66111111111</v>
      </c>
      <c r="P153" s="46" t="n">
        <v>46070</v>
      </c>
      <c r="Q153" s="44" t="n">
        <v>3119</v>
      </c>
      <c r="R153" s="44" t="inlineStr">
        <is>
          <t>No Video ID yet</t>
        </is>
      </c>
      <c r="S153" s="46" t="n"/>
      <c r="T153" s="46" t="n"/>
      <c r="U153" s="44" t="n"/>
      <c r="V153" s="44">
        <f>IF(AND(P153&gt;=Calendar!$K$2,P153&lt;EDATE(Calendar!$K$2,1),OR(Calendar!$K$4="*",N153=Calendar!$K$4)),P153*100+COUNTIFS($P$6:$P$3271,P153,$Q$6:$Q$3271,"&lt;="&amp;Q153,$N$6:$N$3271,Calendar!$K$4),"")</f>
        <v/>
      </c>
      <c r="W153" s="44">
        <f>IF(AND(B153=Queue!$C$4,OR(Queue!$K$4="*",N153=Queue!$K$4)),Q153,"")</f>
        <v/>
      </c>
    </row>
    <row r="154">
      <c r="A154" s="35">
        <f>IF(M154="","",HYPERLINK("https://www.youtube.com/watch?v="&amp;M154,"▶"))</f>
        <v/>
      </c>
      <c r="B154" s="36">
        <f>IF(C154&lt;&gt;"",C154,IF(P154&lt;=IFERROR(INDEX(tblChannels[Watched Through],MATCH(N154,tblChannels[Channel ID],0)),0),"Watched","Unwatched"))</f>
        <v/>
      </c>
      <c r="C154" s="37" t="n"/>
      <c r="D154" s="38" t="n"/>
      <c r="E154" s="39" t="n">
        <v>46068.41666666666</v>
      </c>
      <c r="F154" s="48" t="inlineStr">
        <is>
          <t>Through The Griffin Door</t>
        </is>
      </c>
      <c r="G154" t="inlineStr">
        <is>
          <t>Chapter 24: Occlumency | Order of the Phoenix</t>
        </is>
      </c>
      <c r="H154" s="41" t="n">
        <v>0.06912037037037037</v>
      </c>
      <c r="I154" s="42" t="n">
        <v>40008</v>
      </c>
      <c r="J154" s="42" t="n">
        <v>1107</v>
      </c>
      <c r="K154" s="42" t="n">
        <v>341</v>
      </c>
      <c r="L154" s="43" t="n"/>
      <c r="M154" s="44" t="n"/>
      <c r="N154" s="44" t="inlineStr">
        <is>
          <t>UCEscP6ETYXWSSvsNrDHekMQ</t>
        </is>
      </c>
      <c r="O154" s="45" t="n">
        <v>46068.625</v>
      </c>
      <c r="P154" s="46" t="n">
        <v>46068</v>
      </c>
      <c r="Q154" s="44" t="n">
        <v>3118</v>
      </c>
      <c r="R154" s="44" t="inlineStr">
        <is>
          <t>No Video ID yet</t>
        </is>
      </c>
      <c r="S154" s="46" t="n"/>
      <c r="T154" s="46" t="n"/>
      <c r="U154" s="44" t="n"/>
      <c r="V154" s="44">
        <f>IF(AND(P154&gt;=Calendar!$K$2,P154&lt;EDATE(Calendar!$K$2,1),OR(Calendar!$K$4="*",N154=Calendar!$K$4)),P154*100+COUNTIFS($P$6:$P$3271,P154,$Q$6:$Q$3271,"&lt;="&amp;Q154,$N$6:$N$3271,Calendar!$K$4),"")</f>
        <v/>
      </c>
      <c r="W154" s="44">
        <f>IF(AND(B154=Queue!$C$4,OR(Queue!$K$4="*",N154=Queue!$K$4)),Q154,"")</f>
        <v/>
      </c>
    </row>
    <row r="155">
      <c r="A155" s="35">
        <f>IF(M155="","",HYPERLINK("https://www.youtube.com/watch?v="&amp;M155,"▶"))</f>
        <v/>
      </c>
      <c r="B155" s="36">
        <f>IF(C155&lt;&gt;"",C155,IF(P155&lt;=IFERROR(INDEX(tblChannels[Watched Through],MATCH(N155,tblChannels[Channel ID],0)),0),"Watched","Unwatched"))</f>
        <v/>
      </c>
      <c r="C155" s="37" t="n"/>
      <c r="D155" s="38" t="n"/>
      <c r="E155" s="39" t="n">
        <v>46066.73541666667</v>
      </c>
      <c r="F155" s="47" t="inlineStr">
        <is>
          <t>Super Carlin Brothers</t>
        </is>
      </c>
      <c r="G155" t="inlineStr">
        <is>
          <t>J vs Ben vs The CAST of Harry Potter!</t>
        </is>
      </c>
      <c r="H155" s="41" t="n">
        <v>0.03824074074074074</v>
      </c>
      <c r="I155" s="42" t="n">
        <v>161131</v>
      </c>
      <c r="J155" s="42" t="n">
        <v>6782</v>
      </c>
      <c r="K155" s="42" t="n">
        <v>702</v>
      </c>
      <c r="L155" s="43" t="n"/>
      <c r="M155" s="44" t="n"/>
      <c r="N155" s="44" t="inlineStr">
        <is>
          <t>UCKZo4N0lVPccBkSiuyVh4yg</t>
        </is>
      </c>
      <c r="O155" s="45" t="n">
        <v>46066.94375</v>
      </c>
      <c r="P155" s="46" t="n">
        <v>46066</v>
      </c>
      <c r="Q155" s="44" t="n">
        <v>3117</v>
      </c>
      <c r="R155" s="44" t="inlineStr">
        <is>
          <t>No Video ID yet</t>
        </is>
      </c>
      <c r="S155" s="46" t="n"/>
      <c r="T155" s="46" t="n"/>
      <c r="U155" s="44" t="n"/>
      <c r="V155" s="44">
        <f>IF(AND(P155&gt;=Calendar!$K$2,P155&lt;EDATE(Calendar!$K$2,1),OR(Calendar!$K$4="*",N155=Calendar!$K$4)),P155*100+COUNTIFS($P$6:$P$3271,P155,$Q$6:$Q$3271,"&lt;="&amp;Q155,$N$6:$N$3271,Calendar!$K$4),"")</f>
        <v/>
      </c>
      <c r="W155" s="44">
        <f>IF(AND(B155=Queue!$C$4,OR(Queue!$K$4="*",N155=Queue!$K$4)),Q155,"")</f>
        <v/>
      </c>
    </row>
    <row r="156">
      <c r="A156" s="35">
        <f>IF(M156="","",HYPERLINK("https://www.youtube.com/watch?v="&amp;M156,"▶"))</f>
        <v/>
      </c>
      <c r="B156" s="36">
        <f>IF(C156&lt;&gt;"",C156,IF(P156&lt;=IFERROR(INDEX(tblChannels[Watched Through],MATCH(N156,tblChannels[Channel ID],0)),0),"Watched","Unwatched"))</f>
        <v/>
      </c>
      <c r="C156" s="37" t="n"/>
      <c r="D156" s="38" t="n"/>
      <c r="E156" s="39" t="n">
        <v>46066.41666666666</v>
      </c>
      <c r="F156" s="40" t="inlineStr">
        <is>
          <t>Popcorn Culture</t>
        </is>
      </c>
      <c r="G156" t="inlineStr">
        <is>
          <t>Ben Changed J’s Mind | Popcorn Culture</t>
        </is>
      </c>
      <c r="H156" s="41" t="n">
        <v>0.05289351851851852</v>
      </c>
      <c r="I156" s="42" t="n">
        <v>2611</v>
      </c>
      <c r="J156" s="42" t="n">
        <v>119</v>
      </c>
      <c r="K156" s="42" t="n">
        <v>22</v>
      </c>
      <c r="L156" s="43" t="n"/>
      <c r="M156" s="44" t="n"/>
      <c r="N156" s="44" t="inlineStr">
        <is>
          <t>UCHfIbq9thHPC8yrKjAdJgDA</t>
        </is>
      </c>
      <c r="O156" s="45" t="n">
        <v>46066.625</v>
      </c>
      <c r="P156" s="46" t="n">
        <v>46066</v>
      </c>
      <c r="Q156" s="44" t="n">
        <v>3116</v>
      </c>
      <c r="R156" s="44" t="inlineStr">
        <is>
          <t>No Video ID yet</t>
        </is>
      </c>
      <c r="S156" s="46" t="n"/>
      <c r="T156" s="46" t="n"/>
      <c r="U156" s="44" t="n"/>
      <c r="V156" s="44">
        <f>IF(AND(P156&gt;=Calendar!$K$2,P156&lt;EDATE(Calendar!$K$2,1),OR(Calendar!$K$4="*",N156=Calendar!$K$4)),P156*100+COUNTIFS($P$6:$P$3271,P156,$Q$6:$Q$3271,"&lt;="&amp;Q156,$N$6:$N$3271,Calendar!$K$4),"")</f>
        <v/>
      </c>
      <c r="W156" s="44">
        <f>IF(AND(B156=Queue!$C$4,OR(Queue!$K$4="*",N156=Queue!$K$4)),Q156,"")</f>
        <v/>
      </c>
    </row>
    <row r="157">
      <c r="A157" s="35">
        <f>IF(M157="","",HYPERLINK("https://www.youtube.com/watch?v="&amp;M157,"▶"))</f>
        <v/>
      </c>
      <c r="B157" s="36">
        <f>IF(C157&lt;&gt;"",C157,IF(P157&lt;=IFERROR(INDEX(tblChannels[Watched Through],MATCH(N157,tblChannels[Channel ID],0)),0),"Watched","Unwatched"))</f>
        <v/>
      </c>
      <c r="C157" s="37" t="n"/>
      <c r="D157" s="38" t="n"/>
      <c r="E157" s="39" t="n">
        <v>46064.71458333333</v>
      </c>
      <c r="F157" s="47" t="inlineStr">
        <is>
          <t>Super Carlin Brothers</t>
        </is>
      </c>
      <c r="G157" t="inlineStr">
        <is>
          <t>Theories Out of a Hat: Defending MORE Crazy Harry Potter Theories</t>
        </is>
      </c>
      <c r="H157" s="41" t="n">
        <v>0.02491898148148148</v>
      </c>
      <c r="I157" s="42" t="n">
        <v>101724</v>
      </c>
      <c r="J157" s="42" t="n">
        <v>3865</v>
      </c>
      <c r="K157" s="42" t="n">
        <v>657</v>
      </c>
      <c r="L157" s="43" t="n"/>
      <c r="M157" s="44" t="n"/>
      <c r="N157" s="44" t="inlineStr">
        <is>
          <t>UCKZo4N0lVPccBkSiuyVh4yg</t>
        </is>
      </c>
      <c r="O157" s="45" t="n">
        <v>46064.92291666667</v>
      </c>
      <c r="P157" s="46" t="n">
        <v>46064</v>
      </c>
      <c r="Q157" s="44" t="n">
        <v>3115</v>
      </c>
      <c r="R157" s="44" t="inlineStr">
        <is>
          <t>No Video ID yet</t>
        </is>
      </c>
      <c r="S157" s="46" t="n"/>
      <c r="T157" s="46" t="n"/>
      <c r="U157" s="44" t="n"/>
      <c r="V157" s="44">
        <f>IF(AND(P157&gt;=Calendar!$K$2,P157&lt;EDATE(Calendar!$K$2,1),OR(Calendar!$K$4="*",N157=Calendar!$K$4)),P157*100+COUNTIFS($P$6:$P$3271,P157,$Q$6:$Q$3271,"&lt;="&amp;Q157,$N$6:$N$3271,Calendar!$K$4),"")</f>
        <v/>
      </c>
      <c r="W157" s="44">
        <f>IF(AND(B157=Queue!$C$4,OR(Queue!$K$4="*",N157=Queue!$K$4)),Q157,"")</f>
        <v/>
      </c>
    </row>
    <row r="158">
      <c r="A158" s="35">
        <f>IF(M158="","",HYPERLINK("https://www.youtube.com/watch?v="&amp;M158,"▶"))</f>
        <v/>
      </c>
      <c r="B158" s="36">
        <f>IF(C158&lt;&gt;"",C158,IF(P158&lt;=IFERROR(INDEX(tblChannels[Watched Through],MATCH(N158,tblChannels[Channel ID],0)),0),"Watched","Unwatched"))</f>
        <v/>
      </c>
      <c r="C158" s="37" t="n"/>
      <c r="D158" s="38" t="n"/>
      <c r="E158" s="39" t="n">
        <v>46061.41736111111</v>
      </c>
      <c r="F158" s="48" t="inlineStr">
        <is>
          <t>Through The Griffin Door</t>
        </is>
      </c>
      <c r="G158" t="inlineStr">
        <is>
          <t>Chapter 23: Christmas on the Closed Ward | Order of the Phoenix</t>
        </is>
      </c>
      <c r="H158" s="41" t="n">
        <v>0.0666550925925926</v>
      </c>
      <c r="I158" s="42" t="n">
        <v>41825</v>
      </c>
      <c r="J158" s="42" t="n">
        <v>1122</v>
      </c>
      <c r="K158" s="42" t="n">
        <v>263</v>
      </c>
      <c r="L158" s="43" t="n"/>
      <c r="M158" s="44" t="n"/>
      <c r="N158" s="44" t="inlineStr">
        <is>
          <t>UCEscP6ETYXWSSvsNrDHekMQ</t>
        </is>
      </c>
      <c r="O158" s="45" t="n">
        <v>46061.62569444445</v>
      </c>
      <c r="P158" s="46" t="n">
        <v>46061</v>
      </c>
      <c r="Q158" s="44" t="n">
        <v>3114</v>
      </c>
      <c r="R158" s="44" t="inlineStr">
        <is>
          <t>No Video ID yet</t>
        </is>
      </c>
      <c r="S158" s="46" t="n"/>
      <c r="T158" s="46" t="n"/>
      <c r="U158" s="44" t="n"/>
      <c r="V158" s="44">
        <f>IF(AND(P158&gt;=Calendar!$K$2,P158&lt;EDATE(Calendar!$K$2,1),OR(Calendar!$K$4="*",N158=Calendar!$K$4)),P158*100+COUNTIFS($P$6:$P$3271,P158,$Q$6:$Q$3271,"&lt;="&amp;Q158,$N$6:$N$3271,Calendar!$K$4),"")</f>
        <v/>
      </c>
      <c r="W158" s="44">
        <f>IF(AND(B158=Queue!$C$4,OR(Queue!$K$4="*",N158=Queue!$K$4)),Q158,"")</f>
        <v/>
      </c>
    </row>
    <row r="159">
      <c r="A159" s="35">
        <f>IF(M159="","",HYPERLINK("https://www.youtube.com/watch?v="&amp;M159,"▶"))</f>
        <v/>
      </c>
      <c r="B159" s="36">
        <f>IF(C159&lt;&gt;"",C159,IF(P159&lt;=IFERROR(INDEX(tblChannels[Watched Through],MATCH(N159,tblChannels[Channel ID],0)),0),"Watched","Unwatched"))</f>
        <v/>
      </c>
      <c r="C159" s="37" t="n"/>
      <c r="D159" s="38" t="n"/>
      <c r="E159" s="39" t="n">
        <v>46059.59930555556</v>
      </c>
      <c r="F159" s="47" t="inlineStr">
        <is>
          <t>Super Carlin Brothers</t>
        </is>
      </c>
      <c r="G159" t="inlineStr">
        <is>
          <t>What Is Luna Lovegood's Boggart? | Harry Potter Theory</t>
        </is>
      </c>
      <c r="H159" s="41" t="n">
        <v>0.01038194444444444</v>
      </c>
      <c r="I159" s="42" t="n">
        <v>67135</v>
      </c>
      <c r="J159" s="42" t="n">
        <v>3722</v>
      </c>
      <c r="K159" s="42" t="n">
        <v>480</v>
      </c>
      <c r="L159" s="43" t="n"/>
      <c r="M159" s="44" t="n"/>
      <c r="N159" s="44" t="inlineStr">
        <is>
          <t>UCKZo4N0lVPccBkSiuyVh4yg</t>
        </is>
      </c>
      <c r="O159" s="45" t="n">
        <v>46059.80763888889</v>
      </c>
      <c r="P159" s="46" t="n">
        <v>46059</v>
      </c>
      <c r="Q159" s="44" t="n">
        <v>3113</v>
      </c>
      <c r="R159" s="44" t="inlineStr">
        <is>
          <t>No Video ID yet</t>
        </is>
      </c>
      <c r="S159" s="46" t="n"/>
      <c r="T159" s="46" t="n"/>
      <c r="U159" s="44" t="n"/>
      <c r="V159" s="44">
        <f>IF(AND(P159&gt;=Calendar!$K$2,P159&lt;EDATE(Calendar!$K$2,1),OR(Calendar!$K$4="*",N159=Calendar!$K$4)),P159*100+COUNTIFS($P$6:$P$3271,P159,$Q$6:$Q$3271,"&lt;="&amp;Q159,$N$6:$N$3271,Calendar!$K$4),"")</f>
        <v/>
      </c>
      <c r="W159" s="44">
        <f>IF(AND(B159=Queue!$C$4,OR(Queue!$K$4="*",N159=Queue!$K$4)),Q159,"")</f>
        <v/>
      </c>
    </row>
    <row r="160">
      <c r="A160" s="35">
        <f>IF(M160="","",HYPERLINK("https://www.youtube.com/watch?v="&amp;M160,"▶"))</f>
        <v/>
      </c>
      <c r="B160" s="36">
        <f>IF(C160&lt;&gt;"",C160,IF(P160&lt;=IFERROR(INDEX(tblChannels[Watched Through],MATCH(N160,tblChannels[Channel ID],0)),0),"Watched","Unwatched"))</f>
        <v/>
      </c>
      <c r="C160" s="37" t="n"/>
      <c r="D160" s="38" t="n"/>
      <c r="E160" s="39" t="n">
        <v>46059.41666666666</v>
      </c>
      <c r="F160" s="40" t="inlineStr">
        <is>
          <t>Popcorn Culture</t>
        </is>
      </c>
      <c r="G160" t="inlineStr">
        <is>
          <t>It’s Hot on the Moon?? | Popcorn Culture</t>
        </is>
      </c>
      <c r="H160" s="41" t="n">
        <v>0.04640046296296296</v>
      </c>
      <c r="I160" s="42" t="n">
        <v>2285</v>
      </c>
      <c r="J160" s="42" t="n">
        <v>135</v>
      </c>
      <c r="K160" s="42" t="n">
        <v>15</v>
      </c>
      <c r="L160" s="43" t="n"/>
      <c r="M160" s="44" t="n"/>
      <c r="N160" s="44" t="inlineStr">
        <is>
          <t>UCHfIbq9thHPC8yrKjAdJgDA</t>
        </is>
      </c>
      <c r="O160" s="45" t="n">
        <v>46059.625</v>
      </c>
      <c r="P160" s="46" t="n">
        <v>46059</v>
      </c>
      <c r="Q160" s="44" t="n">
        <v>3112</v>
      </c>
      <c r="R160" s="44" t="inlineStr">
        <is>
          <t>No Video ID yet</t>
        </is>
      </c>
      <c r="S160" s="46" t="n"/>
      <c r="T160" s="46" t="n"/>
      <c r="U160" s="44" t="n"/>
      <c r="V160" s="44">
        <f>IF(AND(P160&gt;=Calendar!$K$2,P160&lt;EDATE(Calendar!$K$2,1),OR(Calendar!$K$4="*",N160=Calendar!$K$4)),P160*100+COUNTIFS($P$6:$P$3271,P160,$Q$6:$Q$3271,"&lt;="&amp;Q160,$N$6:$N$3271,Calendar!$K$4),"")</f>
        <v/>
      </c>
      <c r="W160" s="44">
        <f>IF(AND(B160=Queue!$C$4,OR(Queue!$K$4="*",N160=Queue!$K$4)),Q160,"")</f>
        <v/>
      </c>
    </row>
    <row r="161">
      <c r="A161" s="35">
        <f>IF(M161="","",HYPERLINK("https://www.youtube.com/watch?v="&amp;M161,"▶"))</f>
        <v/>
      </c>
      <c r="B161" s="36">
        <f>IF(C161&lt;&gt;"",C161,IF(P161&lt;=IFERROR(INDEX(tblChannels[Watched Through],MATCH(N161,tblChannels[Channel ID],0)),0),"Watched","Unwatched"))</f>
        <v/>
      </c>
      <c r="C161" s="37" t="n"/>
      <c r="D161" s="38" t="n"/>
      <c r="E161" s="39" t="n">
        <v>46057.69583333333</v>
      </c>
      <c r="F161" s="47" t="inlineStr">
        <is>
          <t>Super Carlin Brothers</t>
        </is>
      </c>
      <c r="G161" t="inlineStr">
        <is>
          <t>Why Does Cedric Diggory Google Autofill</t>
        </is>
      </c>
      <c r="H161" s="41" t="n">
        <v>0.009872685185185186</v>
      </c>
      <c r="I161" s="42" t="n">
        <v>38285</v>
      </c>
      <c r="J161" s="42" t="n">
        <v>2459</v>
      </c>
      <c r="K161" s="42" t="n">
        <v>386</v>
      </c>
      <c r="L161" s="43" t="n"/>
      <c r="M161" s="44" t="n"/>
      <c r="N161" s="44" t="inlineStr">
        <is>
          <t>UCKZo4N0lVPccBkSiuyVh4yg</t>
        </is>
      </c>
      <c r="O161" s="45" t="n">
        <v>46057.90416666667</v>
      </c>
      <c r="P161" s="46" t="n">
        <v>46057</v>
      </c>
      <c r="Q161" s="44" t="n">
        <v>3111</v>
      </c>
      <c r="R161" s="44" t="inlineStr">
        <is>
          <t>No Video ID yet</t>
        </is>
      </c>
      <c r="S161" s="46" t="n"/>
      <c r="T161" s="46" t="n"/>
      <c r="U161" s="44" t="n"/>
      <c r="V161" s="44">
        <f>IF(AND(P161&gt;=Calendar!$K$2,P161&lt;EDATE(Calendar!$K$2,1),OR(Calendar!$K$4="*",N161=Calendar!$K$4)),P161*100+COUNTIFS($P$6:$P$3271,P161,$Q$6:$Q$3271,"&lt;="&amp;Q161,$N$6:$N$3271,Calendar!$K$4),"")</f>
        <v/>
      </c>
      <c r="W161" s="44">
        <f>IF(AND(B161=Queue!$C$4,OR(Queue!$K$4="*",N161=Queue!$K$4)),Q161,"")</f>
        <v/>
      </c>
    </row>
    <row r="162">
      <c r="A162" s="35">
        <f>IF(M162="","",HYPERLINK("https://www.youtube.com/watch?v="&amp;M162,"▶"))</f>
        <v/>
      </c>
      <c r="B162" s="36">
        <f>IF(C162&lt;&gt;"",C162,IF(P162&lt;=IFERROR(INDEX(tblChannels[Watched Through],MATCH(N162,tblChannels[Channel ID],0)),0),"Watched","Unwatched"))</f>
        <v/>
      </c>
      <c r="C162" s="37" t="n"/>
      <c r="D162" s="38" t="n"/>
      <c r="E162" s="39" t="n">
        <v>46054.41736111111</v>
      </c>
      <c r="F162" s="48" t="inlineStr">
        <is>
          <t>Through The Griffin Door</t>
        </is>
      </c>
      <c r="G162" t="inlineStr">
        <is>
          <t>Chapter 22: St. Mungos Hospital for Magical Maladies and Injuries | Order of the Phoenix</t>
        </is>
      </c>
      <c r="H162" s="41" t="n">
        <v>0.08677083333333334</v>
      </c>
      <c r="I162" s="42" t="n">
        <v>50900</v>
      </c>
      <c r="J162" s="42" t="n">
        <v>1205</v>
      </c>
      <c r="K162" s="42" t="n">
        <v>418</v>
      </c>
      <c r="L162" s="43" t="n"/>
      <c r="M162" s="44" t="n"/>
      <c r="N162" s="44" t="inlineStr">
        <is>
          <t>UCEscP6ETYXWSSvsNrDHekMQ</t>
        </is>
      </c>
      <c r="O162" s="45" t="n">
        <v>46054.62569444445</v>
      </c>
      <c r="P162" s="46" t="n">
        <v>46054</v>
      </c>
      <c r="Q162" s="44" t="n">
        <v>3110</v>
      </c>
      <c r="R162" s="44" t="inlineStr">
        <is>
          <t>No Video ID yet</t>
        </is>
      </c>
      <c r="S162" s="46" t="n"/>
      <c r="T162" s="46" t="n"/>
      <c r="U162" s="44" t="n"/>
      <c r="V162" s="44">
        <f>IF(AND(P162&gt;=Calendar!$K$2,P162&lt;EDATE(Calendar!$K$2,1),OR(Calendar!$K$4="*",N162=Calendar!$K$4)),P162*100+COUNTIFS($P$6:$P$3271,P162,$Q$6:$Q$3271,"&lt;="&amp;Q162,$N$6:$N$3271,Calendar!$K$4),"")</f>
        <v/>
      </c>
      <c r="W162" s="44">
        <f>IF(AND(B162=Queue!$C$4,OR(Queue!$K$4="*",N162=Queue!$K$4)),Q162,"")</f>
        <v/>
      </c>
    </row>
    <row r="163">
      <c r="A163" s="35">
        <f>IF(M163="","",HYPERLINK("https://www.youtube.com/watch?v="&amp;M163,"▶"))</f>
        <v/>
      </c>
      <c r="B163" s="36">
        <f>IF(C163&lt;&gt;"",C163,IF(P163&lt;=IFERROR(INDEX(tblChannels[Watched Through],MATCH(N163,tblChannels[Channel ID],0)),0),"Watched","Unwatched"))</f>
        <v/>
      </c>
      <c r="C163" s="37" t="n"/>
      <c r="D163" s="38" t="n"/>
      <c r="E163" s="39" t="n">
        <v>46052.68125</v>
      </c>
      <c r="F163" s="47" t="inlineStr">
        <is>
          <t>Super Carlin Brothers</t>
        </is>
      </c>
      <c r="G163" t="inlineStr">
        <is>
          <t>Umbridge’s Spy REVEALED | Harry Potter Theory</t>
        </is>
      </c>
      <c r="H163" s="41" t="n">
        <v>0.01224537037037037</v>
      </c>
      <c r="I163" s="42" t="n">
        <v>93317</v>
      </c>
      <c r="J163" s="42" t="n">
        <v>3899</v>
      </c>
      <c r="K163" s="42" t="n">
        <v>286</v>
      </c>
      <c r="L163" s="43" t="n"/>
      <c r="M163" s="44" t="n"/>
      <c r="N163" s="44" t="inlineStr">
        <is>
          <t>UCKZo4N0lVPccBkSiuyVh4yg</t>
        </is>
      </c>
      <c r="O163" s="45" t="n">
        <v>46052.88958333333</v>
      </c>
      <c r="P163" s="46" t="n">
        <v>46052</v>
      </c>
      <c r="Q163" s="44" t="n">
        <v>3109</v>
      </c>
      <c r="R163" s="44" t="inlineStr">
        <is>
          <t>No Video ID yet</t>
        </is>
      </c>
      <c r="S163" s="46" t="n"/>
      <c r="T163" s="46" t="n"/>
      <c r="U163" s="44" t="n"/>
      <c r="V163" s="44">
        <f>IF(AND(P163&gt;=Calendar!$K$2,P163&lt;EDATE(Calendar!$K$2,1),OR(Calendar!$K$4="*",N163=Calendar!$K$4)),P163*100+COUNTIFS($P$6:$P$3271,P163,$Q$6:$Q$3271,"&lt;="&amp;Q163,$N$6:$N$3271,Calendar!$K$4),"")</f>
        <v/>
      </c>
      <c r="W163" s="44">
        <f>IF(AND(B163=Queue!$C$4,OR(Queue!$K$4="*",N163=Queue!$K$4)),Q163,"")</f>
        <v/>
      </c>
    </row>
    <row r="164">
      <c r="A164" s="35">
        <f>IF(M164="","",HYPERLINK("https://www.youtube.com/watch?v="&amp;M164,"▶"))</f>
        <v/>
      </c>
      <c r="B164" s="36">
        <f>IF(C164&lt;&gt;"",C164,IF(P164&lt;=IFERROR(INDEX(tblChannels[Watched Through],MATCH(N164,tblChannels[Channel ID],0)),0),"Watched","Unwatched"))</f>
        <v/>
      </c>
      <c r="C164" s="37" t="n"/>
      <c r="D164" s="38" t="n"/>
      <c r="E164" s="39" t="n">
        <v>46052.41666666666</v>
      </c>
      <c r="F164" s="40" t="inlineStr">
        <is>
          <t>Popcorn Culture</t>
        </is>
      </c>
      <c r="G164" t="inlineStr">
        <is>
          <t>Schrodinger’s Skyscraper | Popcorn Culture</t>
        </is>
      </c>
      <c r="H164" s="41" t="n">
        <v>0.06090277777777778</v>
      </c>
      <c r="I164" s="42" t="n">
        <v>2816</v>
      </c>
      <c r="J164" s="42" t="n">
        <v>119</v>
      </c>
      <c r="K164" s="42" t="n">
        <v>19</v>
      </c>
      <c r="L164" s="43" t="n"/>
      <c r="M164" s="44" t="n"/>
      <c r="N164" s="44" t="inlineStr">
        <is>
          <t>UCHfIbq9thHPC8yrKjAdJgDA</t>
        </is>
      </c>
      <c r="O164" s="45" t="n">
        <v>46052.625</v>
      </c>
      <c r="P164" s="46" t="n">
        <v>46052</v>
      </c>
      <c r="Q164" s="44" t="n">
        <v>3108</v>
      </c>
      <c r="R164" s="44" t="inlineStr">
        <is>
          <t>No Video ID yet</t>
        </is>
      </c>
      <c r="S164" s="46" t="n"/>
      <c r="T164" s="46" t="n"/>
      <c r="U164" s="44" t="n"/>
      <c r="V164" s="44">
        <f>IF(AND(P164&gt;=Calendar!$K$2,P164&lt;EDATE(Calendar!$K$2,1),OR(Calendar!$K$4="*",N164=Calendar!$K$4)),P164*100+COUNTIFS($P$6:$P$3271,P164,$Q$6:$Q$3271,"&lt;="&amp;Q164,$N$6:$N$3271,Calendar!$K$4),"")</f>
        <v/>
      </c>
      <c r="W164" s="44">
        <f>IF(AND(B164=Queue!$C$4,OR(Queue!$K$4="*",N164=Queue!$K$4)),Q164,"")</f>
        <v/>
      </c>
    </row>
    <row r="165">
      <c r="A165" s="35">
        <f>IF(M165="","",HYPERLINK("https://www.youtube.com/watch?v="&amp;M165,"▶"))</f>
        <v/>
      </c>
      <c r="B165" s="36">
        <f>IF(C165&lt;&gt;"",C165,IF(P165&lt;=IFERROR(INDEX(tblChannels[Watched Through],MATCH(N165,tblChannels[Channel ID],0)),0),"Watched","Unwatched"))</f>
        <v/>
      </c>
      <c r="C165" s="37" t="n"/>
      <c r="D165" s="38" t="n"/>
      <c r="E165" s="39" t="n">
        <v>46050.725</v>
      </c>
      <c r="F165" s="47" t="inlineStr">
        <is>
          <t>Super Carlin Brothers</t>
        </is>
      </c>
      <c r="G165" t="inlineStr">
        <is>
          <t>This Weasley Quiz Was WAY Harder Than We Expected | J vs Ben</t>
        </is>
      </c>
      <c r="H165" s="41" t="n">
        <v>0.02712962962962963</v>
      </c>
      <c r="I165" s="42" t="n">
        <v>69257</v>
      </c>
      <c r="J165" s="42" t="n">
        <v>2785</v>
      </c>
      <c r="K165" s="42" t="n">
        <v>454</v>
      </c>
      <c r="L165" s="43" t="n"/>
      <c r="M165" s="44" t="n"/>
      <c r="N165" s="44" t="inlineStr">
        <is>
          <t>UCKZo4N0lVPccBkSiuyVh4yg</t>
        </is>
      </c>
      <c r="O165" s="45" t="n">
        <v>46050.93333333333</v>
      </c>
      <c r="P165" s="46" t="n">
        <v>46050</v>
      </c>
      <c r="Q165" s="44" t="n">
        <v>3107</v>
      </c>
      <c r="R165" s="44" t="inlineStr">
        <is>
          <t>No Video ID yet</t>
        </is>
      </c>
      <c r="S165" s="46" t="n"/>
      <c r="T165" s="46" t="n"/>
      <c r="U165" s="44" t="n"/>
      <c r="V165" s="44">
        <f>IF(AND(P165&gt;=Calendar!$K$2,P165&lt;EDATE(Calendar!$K$2,1),OR(Calendar!$K$4="*",N165=Calendar!$K$4)),P165*100+COUNTIFS($P$6:$P$3271,P165,$Q$6:$Q$3271,"&lt;="&amp;Q165,$N$6:$N$3271,Calendar!$K$4),"")</f>
        <v/>
      </c>
      <c r="W165" s="44">
        <f>IF(AND(B165=Queue!$C$4,OR(Queue!$K$4="*",N165=Queue!$K$4)),Q165,"")</f>
        <v/>
      </c>
    </row>
    <row r="166">
      <c r="A166" s="35">
        <f>IF(M166="","",HYPERLINK("https://www.youtube.com/watch?v="&amp;M166,"▶"))</f>
        <v/>
      </c>
      <c r="B166" s="36">
        <f>IF(C166&lt;&gt;"",C166,IF(P166&lt;=IFERROR(INDEX(tblChannels[Watched Through],MATCH(N166,tblChannels[Channel ID],0)),0),"Watched","Unwatched"))</f>
        <v/>
      </c>
      <c r="C166" s="37" t="n"/>
      <c r="D166" s="38" t="n"/>
      <c r="E166" s="39" t="n">
        <v>46047.41666666666</v>
      </c>
      <c r="F166" s="48" t="inlineStr">
        <is>
          <t>Through The Griffin Door</t>
        </is>
      </c>
      <c r="G166" t="inlineStr">
        <is>
          <t>Chapter 21: The Eye of the Snake | Order of the Phoenix</t>
        </is>
      </c>
      <c r="H166" s="41" t="n">
        <v>0.06494212962962963</v>
      </c>
      <c r="I166" s="42" t="n">
        <v>40410</v>
      </c>
      <c r="J166" s="42" t="n">
        <v>1081</v>
      </c>
      <c r="K166" s="42" t="n">
        <v>329</v>
      </c>
      <c r="L166" s="43" t="n"/>
      <c r="M166" s="44" t="n"/>
      <c r="N166" s="44" t="inlineStr">
        <is>
          <t>UCEscP6ETYXWSSvsNrDHekMQ</t>
        </is>
      </c>
      <c r="O166" s="45" t="n">
        <v>46047.625</v>
      </c>
      <c r="P166" s="46" t="n">
        <v>46047</v>
      </c>
      <c r="Q166" s="44" t="n">
        <v>3106</v>
      </c>
      <c r="R166" s="44" t="inlineStr">
        <is>
          <t>No Video ID yet</t>
        </is>
      </c>
      <c r="S166" s="46" t="n"/>
      <c r="T166" s="46" t="n"/>
      <c r="U166" s="44" t="n"/>
      <c r="V166" s="44">
        <f>IF(AND(P166&gt;=Calendar!$K$2,P166&lt;EDATE(Calendar!$K$2,1),OR(Calendar!$K$4="*",N166=Calendar!$K$4)),P166*100+COUNTIFS($P$6:$P$3271,P166,$Q$6:$Q$3271,"&lt;="&amp;Q166,$N$6:$N$3271,Calendar!$K$4),"")</f>
        <v/>
      </c>
      <c r="W166" s="44">
        <f>IF(AND(B166=Queue!$C$4,OR(Queue!$K$4="*",N166=Queue!$K$4)),Q166,"")</f>
        <v/>
      </c>
    </row>
    <row r="167">
      <c r="A167" s="35">
        <f>IF(M167="","",HYPERLINK("https://www.youtube.com/watch?v="&amp;M167,"▶"))</f>
        <v/>
      </c>
      <c r="B167" s="36">
        <f>IF(C167&lt;&gt;"",C167,IF(P167&lt;=IFERROR(INDEX(tblChannels[Watched Through],MATCH(N167,tblChannels[Channel ID],0)),0),"Watched","Unwatched"))</f>
        <v/>
      </c>
      <c r="C167" s="37" t="n"/>
      <c r="D167" s="38" t="n"/>
      <c r="E167" s="39" t="n">
        <v>46045.71805555555</v>
      </c>
      <c r="F167" s="47" t="inlineStr">
        <is>
          <t>Super Carlin Brothers</t>
        </is>
      </c>
      <c r="G167" t="inlineStr">
        <is>
          <t>Thy Mysterious Case of Lupin's Case | Harry Potter Theory</t>
        </is>
      </c>
      <c r="H167" s="41" t="n">
        <v>0.01362268518518519</v>
      </c>
      <c r="I167" s="42" t="n">
        <v>129562</v>
      </c>
      <c r="J167" s="42" t="n">
        <v>5116</v>
      </c>
      <c r="K167" s="42" t="n">
        <v>445</v>
      </c>
      <c r="L167" s="43" t="n"/>
      <c r="M167" s="44" t="n"/>
      <c r="N167" s="44" t="inlineStr">
        <is>
          <t>UCKZo4N0lVPccBkSiuyVh4yg</t>
        </is>
      </c>
      <c r="O167" s="45" t="n">
        <v>46045.92638888889</v>
      </c>
      <c r="P167" s="46" t="n">
        <v>46045</v>
      </c>
      <c r="Q167" s="44" t="n">
        <v>3105</v>
      </c>
      <c r="R167" s="44" t="inlineStr">
        <is>
          <t>No Video ID yet</t>
        </is>
      </c>
      <c r="S167" s="46" t="n"/>
      <c r="T167" s="46" t="n"/>
      <c r="U167" s="44" t="n"/>
      <c r="V167" s="44">
        <f>IF(AND(P167&gt;=Calendar!$K$2,P167&lt;EDATE(Calendar!$K$2,1),OR(Calendar!$K$4="*",N167=Calendar!$K$4)),P167*100+COUNTIFS($P$6:$P$3271,P167,$Q$6:$Q$3271,"&lt;="&amp;Q167,$N$6:$N$3271,Calendar!$K$4),"")</f>
        <v/>
      </c>
      <c r="W167" s="44">
        <f>IF(AND(B167=Queue!$C$4,OR(Queue!$K$4="*",N167=Queue!$K$4)),Q167,"")</f>
        <v/>
      </c>
    </row>
    <row r="168">
      <c r="A168" s="35">
        <f>IF(M168="","",HYPERLINK("https://www.youtube.com/watch?v="&amp;M168,"▶"))</f>
        <v/>
      </c>
      <c r="B168" s="36">
        <f>IF(C168&lt;&gt;"",C168,IF(P168&lt;=IFERROR(INDEX(tblChannels[Watched Through],MATCH(N168,tblChannels[Channel ID],0)),0),"Watched","Unwatched"))</f>
        <v/>
      </c>
      <c r="C168" s="37" t="n"/>
      <c r="D168" s="38" t="n"/>
      <c r="E168" s="39" t="n">
        <v>46045.41666666666</v>
      </c>
      <c r="F168" s="40" t="inlineStr">
        <is>
          <t>Popcorn Culture</t>
        </is>
      </c>
      <c r="G168" t="inlineStr">
        <is>
          <t>Mezmerized at MoMA | Popcorn Culture</t>
        </is>
      </c>
      <c r="H168" s="41" t="n">
        <v>0.04775462962962963</v>
      </c>
      <c r="I168" s="42" t="n">
        <v>2526</v>
      </c>
      <c r="J168" s="42" t="n">
        <v>131</v>
      </c>
      <c r="K168" s="42" t="n">
        <v>21</v>
      </c>
      <c r="L168" s="43" t="n"/>
      <c r="M168" s="44" t="n"/>
      <c r="N168" s="44" t="inlineStr">
        <is>
          <t>UCHfIbq9thHPC8yrKjAdJgDA</t>
        </is>
      </c>
      <c r="O168" s="45" t="n">
        <v>46045.625</v>
      </c>
      <c r="P168" s="46" t="n">
        <v>46045</v>
      </c>
      <c r="Q168" s="44" t="n">
        <v>3104</v>
      </c>
      <c r="R168" s="44" t="inlineStr">
        <is>
          <t>No Video ID yet</t>
        </is>
      </c>
      <c r="S168" s="46" t="n"/>
      <c r="T168" s="46" t="n"/>
      <c r="U168" s="44" t="n"/>
      <c r="V168" s="44">
        <f>IF(AND(P168&gt;=Calendar!$K$2,P168&lt;EDATE(Calendar!$K$2,1),OR(Calendar!$K$4="*",N168=Calendar!$K$4)),P168*100+COUNTIFS($P$6:$P$3271,P168,$Q$6:$Q$3271,"&lt;="&amp;Q168,$N$6:$N$3271,Calendar!$K$4),"")</f>
        <v/>
      </c>
      <c r="W168" s="44">
        <f>IF(AND(B168=Queue!$C$4,OR(Queue!$K$4="*",N168=Queue!$K$4)),Q168,"")</f>
        <v/>
      </c>
    </row>
    <row r="169">
      <c r="A169" s="35">
        <f>IF(M169="","",HYPERLINK("https://www.youtube.com/watch?v="&amp;M169,"▶"))</f>
        <v/>
      </c>
      <c r="B169" s="36">
        <f>IF(C169&lt;&gt;"",C169,IF(P169&lt;=IFERROR(INDEX(tblChannels[Watched Through],MATCH(N169,tblChannels[Channel ID],0)),0),"Watched","Unwatched"))</f>
        <v/>
      </c>
      <c r="C169" s="37" t="n"/>
      <c r="D169" s="38" t="n"/>
      <c r="E169" s="39" t="n">
        <v>46043.71388888889</v>
      </c>
      <c r="F169" s="47" t="inlineStr">
        <is>
          <t>Super Carlin Brothers</t>
        </is>
      </c>
      <c r="G169" t="inlineStr">
        <is>
          <t>How to Watch Every Pixar Movie in Chronological Order</t>
        </is>
      </c>
      <c r="H169" s="41" t="n">
        <v>0.02267361111111111</v>
      </c>
      <c r="I169" s="42" t="n">
        <v>82910</v>
      </c>
      <c r="J169" s="42" t="n">
        <v>3157</v>
      </c>
      <c r="K169" s="42" t="n">
        <v>344</v>
      </c>
      <c r="L169" s="43" t="n"/>
      <c r="M169" s="44" t="n"/>
      <c r="N169" s="44" t="inlineStr">
        <is>
          <t>UCKZo4N0lVPccBkSiuyVh4yg</t>
        </is>
      </c>
      <c r="O169" s="45" t="n">
        <v>46043.92222222222</v>
      </c>
      <c r="P169" s="46" t="n">
        <v>46043</v>
      </c>
      <c r="Q169" s="44" t="n">
        <v>3103</v>
      </c>
      <c r="R169" s="44" t="inlineStr">
        <is>
          <t>No Video ID yet</t>
        </is>
      </c>
      <c r="S169" s="46" t="n"/>
      <c r="T169" s="46" t="n"/>
      <c r="U169" s="44" t="n"/>
      <c r="V169" s="44">
        <f>IF(AND(P169&gt;=Calendar!$K$2,P169&lt;EDATE(Calendar!$K$2,1),OR(Calendar!$K$4="*",N169=Calendar!$K$4)),P169*100+COUNTIFS($P$6:$P$3271,P169,$Q$6:$Q$3271,"&lt;="&amp;Q169,$N$6:$N$3271,Calendar!$K$4),"")</f>
        <v/>
      </c>
      <c r="W169" s="44">
        <f>IF(AND(B169=Queue!$C$4,OR(Queue!$K$4="*",N169=Queue!$K$4)),Q169,"")</f>
        <v/>
      </c>
    </row>
    <row r="170">
      <c r="A170" s="35">
        <f>IF(M170="","",HYPERLINK("https://www.youtube.com/watch?v="&amp;M170,"▶"))</f>
        <v/>
      </c>
      <c r="B170" s="36">
        <f>IF(C170&lt;&gt;"",C170,IF(P170&lt;=IFERROR(INDEX(tblChannels[Watched Through],MATCH(N170,tblChannels[Channel ID],0)),0),"Watched","Unwatched"))</f>
        <v/>
      </c>
      <c r="C170" s="37" t="n"/>
      <c r="D170" s="38" t="n"/>
      <c r="E170" s="39" t="n">
        <v>46040.41666666666</v>
      </c>
      <c r="F170" s="48" t="inlineStr">
        <is>
          <t>Through The Griffin Door</t>
        </is>
      </c>
      <c r="G170" t="inlineStr">
        <is>
          <t>Chapter 20: Hagrid's Tale | Order of the Phoenix</t>
        </is>
      </c>
      <c r="H170" s="41" t="n">
        <v>0.06888888888888889</v>
      </c>
      <c r="I170" s="42" t="n">
        <v>41037</v>
      </c>
      <c r="J170" s="42" t="n">
        <v>1087</v>
      </c>
      <c r="K170" s="42" t="n">
        <v>292</v>
      </c>
      <c r="L170" s="43" t="n"/>
      <c r="M170" s="44" t="n"/>
      <c r="N170" s="44" t="inlineStr">
        <is>
          <t>UCEscP6ETYXWSSvsNrDHekMQ</t>
        </is>
      </c>
      <c r="O170" s="45" t="n">
        <v>46040.625</v>
      </c>
      <c r="P170" s="46" t="n">
        <v>46040</v>
      </c>
      <c r="Q170" s="44" t="n">
        <v>3102</v>
      </c>
      <c r="R170" s="44" t="inlineStr">
        <is>
          <t>No Video ID yet</t>
        </is>
      </c>
      <c r="S170" s="46" t="n"/>
      <c r="T170" s="46" t="n"/>
      <c r="U170" s="44" t="n"/>
      <c r="V170" s="44">
        <f>IF(AND(P170&gt;=Calendar!$K$2,P170&lt;EDATE(Calendar!$K$2,1),OR(Calendar!$K$4="*",N170=Calendar!$K$4)),P170*100+COUNTIFS($P$6:$P$3271,P170,$Q$6:$Q$3271,"&lt;="&amp;Q170,$N$6:$N$3271,Calendar!$K$4),"")</f>
        <v/>
      </c>
      <c r="W170" s="44">
        <f>IF(AND(B170=Queue!$C$4,OR(Queue!$K$4="*",N170=Queue!$K$4)),Q170,"")</f>
        <v/>
      </c>
    </row>
    <row r="171">
      <c r="A171" s="35">
        <f>IF(M171="","",HYPERLINK("https://www.youtube.com/watch?v="&amp;M171,"▶"))</f>
        <v/>
      </c>
      <c r="B171" s="36">
        <f>IF(C171&lt;&gt;"",C171,IF(P171&lt;=IFERROR(INDEX(tblChannels[Watched Through],MATCH(N171,tblChannels[Channel ID],0)),0),"Watched","Unwatched"))</f>
        <v/>
      </c>
      <c r="C171" s="37" t="n"/>
      <c r="D171" s="38" t="n"/>
      <c r="E171" s="39" t="n">
        <v>46038.625</v>
      </c>
      <c r="F171" s="47" t="inlineStr">
        <is>
          <t>Super Carlin Brothers</t>
        </is>
      </c>
      <c r="G171" t="inlineStr">
        <is>
          <t>J vs Ben: Harry Potter Jeopardy Challenge</t>
        </is>
      </c>
      <c r="H171" s="41" t="n">
        <v>0.03423611111111111</v>
      </c>
      <c r="I171" s="42" t="n">
        <v>153433</v>
      </c>
      <c r="J171" s="42" t="n">
        <v>6017</v>
      </c>
      <c r="K171" s="42" t="n">
        <v>813</v>
      </c>
      <c r="L171" s="43" t="n"/>
      <c r="M171" s="44" t="n"/>
      <c r="N171" s="44" t="inlineStr">
        <is>
          <t>UCKZo4N0lVPccBkSiuyVh4yg</t>
        </is>
      </c>
      <c r="O171" s="45" t="n">
        <v>46038.83333333334</v>
      </c>
      <c r="P171" s="46" t="n">
        <v>46038</v>
      </c>
      <c r="Q171" s="44" t="n">
        <v>3101</v>
      </c>
      <c r="R171" s="44" t="inlineStr">
        <is>
          <t>No Video ID yet</t>
        </is>
      </c>
      <c r="S171" s="46" t="n"/>
      <c r="T171" s="46" t="n"/>
      <c r="U171" s="44" t="n"/>
      <c r="V171" s="44">
        <f>IF(AND(P171&gt;=Calendar!$K$2,P171&lt;EDATE(Calendar!$K$2,1),OR(Calendar!$K$4="*",N171=Calendar!$K$4)),P171*100+COUNTIFS($P$6:$P$3271,P171,$Q$6:$Q$3271,"&lt;="&amp;Q171,$N$6:$N$3271,Calendar!$K$4),"")</f>
        <v/>
      </c>
      <c r="W171" s="44">
        <f>IF(AND(B171=Queue!$C$4,OR(Queue!$K$4="*",N171=Queue!$K$4)),Q171,"")</f>
        <v/>
      </c>
    </row>
    <row r="172">
      <c r="A172" s="35">
        <f>IF(M172="","",HYPERLINK("https://www.youtube.com/watch?v="&amp;M172,"▶"))</f>
        <v/>
      </c>
      <c r="B172" s="36">
        <f>IF(C172&lt;&gt;"",C172,IF(P172&lt;=IFERROR(INDEX(tblChannels[Watched Through],MATCH(N172,tblChannels[Channel ID],0)),0),"Watched","Unwatched"))</f>
        <v/>
      </c>
      <c r="C172" s="37" t="n"/>
      <c r="D172" s="38" t="n"/>
      <c r="E172" s="39" t="n">
        <v>46038.41666666666</v>
      </c>
      <c r="F172" s="40" t="inlineStr">
        <is>
          <t>Popcorn Culture</t>
        </is>
      </c>
      <c r="G172" t="inlineStr">
        <is>
          <t>The Thin Line Between Love and Hate | Popcorn Culture</t>
        </is>
      </c>
      <c r="H172" s="41" t="n">
        <v>0.04991898148148148</v>
      </c>
      <c r="I172" s="42" t="n">
        <v>2846</v>
      </c>
      <c r="J172" s="42" t="n">
        <v>142</v>
      </c>
      <c r="K172" s="42" t="n">
        <v>20</v>
      </c>
      <c r="L172" s="43" t="n"/>
      <c r="M172" s="44" t="n"/>
      <c r="N172" s="44" t="inlineStr">
        <is>
          <t>UCHfIbq9thHPC8yrKjAdJgDA</t>
        </is>
      </c>
      <c r="O172" s="45" t="n">
        <v>46038.625</v>
      </c>
      <c r="P172" s="46" t="n">
        <v>46038</v>
      </c>
      <c r="Q172" s="44" t="n">
        <v>3100</v>
      </c>
      <c r="R172" s="44" t="inlineStr">
        <is>
          <t>No Video ID yet</t>
        </is>
      </c>
      <c r="S172" s="46" t="n"/>
      <c r="T172" s="46" t="n"/>
      <c r="U172" s="44" t="n"/>
      <c r="V172" s="44">
        <f>IF(AND(P172&gt;=Calendar!$K$2,P172&lt;EDATE(Calendar!$K$2,1),OR(Calendar!$K$4="*",N172=Calendar!$K$4)),P172*100+COUNTIFS($P$6:$P$3271,P172,$Q$6:$Q$3271,"&lt;="&amp;Q172,$N$6:$N$3271,Calendar!$K$4),"")</f>
        <v/>
      </c>
      <c r="W172" s="44">
        <f>IF(AND(B172=Queue!$C$4,OR(Queue!$K$4="*",N172=Queue!$K$4)),Q172,"")</f>
        <v/>
      </c>
    </row>
    <row r="173">
      <c r="A173" s="35">
        <f>IF(M173="","",HYPERLINK("https://www.youtube.com/watch?v="&amp;M173,"▶"))</f>
        <v/>
      </c>
      <c r="B173" s="36">
        <f>IF(C173&lt;&gt;"",C173,IF(P173&lt;=IFERROR(INDEX(tblChannels[Watched Through],MATCH(N173,tblChannels[Channel ID],0)),0),"Watched","Unwatched"))</f>
        <v/>
      </c>
      <c r="C173" s="37" t="n"/>
      <c r="D173" s="38" t="n"/>
      <c r="E173" s="39" t="n">
        <v>46036.67569444444</v>
      </c>
      <c r="F173" s="47" t="inlineStr">
        <is>
          <t>Super Carlin Brothers</t>
        </is>
      </c>
      <c r="G173" t="inlineStr">
        <is>
          <t>How Voldemort Learned To Fly (It's Darker Than You Think) | Harry Potter Theory</t>
        </is>
      </c>
      <c r="H173" s="41" t="n">
        <v>0.01168981481481481</v>
      </c>
      <c r="I173" s="42" t="n">
        <v>170896</v>
      </c>
      <c r="J173" s="42" t="n">
        <v>6223</v>
      </c>
      <c r="K173" s="42" t="n">
        <v>924</v>
      </c>
      <c r="L173" s="43" t="n"/>
      <c r="M173" s="44" t="n"/>
      <c r="N173" s="44" t="inlineStr">
        <is>
          <t>UCKZo4N0lVPccBkSiuyVh4yg</t>
        </is>
      </c>
      <c r="O173" s="45" t="n">
        <v>46036.88402777778</v>
      </c>
      <c r="P173" s="46" t="n">
        <v>46036</v>
      </c>
      <c r="Q173" s="44" t="n">
        <v>3099</v>
      </c>
      <c r="R173" s="44" t="inlineStr">
        <is>
          <t>No Video ID yet</t>
        </is>
      </c>
      <c r="S173" s="46" t="n"/>
      <c r="T173" s="46" t="n"/>
      <c r="U173" s="44" t="n"/>
      <c r="V173" s="44">
        <f>IF(AND(P173&gt;=Calendar!$K$2,P173&lt;EDATE(Calendar!$K$2,1),OR(Calendar!$K$4="*",N173=Calendar!$K$4)),P173*100+COUNTIFS($P$6:$P$3271,P173,$Q$6:$Q$3271,"&lt;="&amp;Q173,$N$6:$N$3271,Calendar!$K$4),"")</f>
        <v/>
      </c>
      <c r="W173" s="44">
        <f>IF(AND(B173=Queue!$C$4,OR(Queue!$K$4="*",N173=Queue!$K$4)),Q173,"")</f>
        <v/>
      </c>
    </row>
    <row r="174">
      <c r="A174" s="35">
        <f>IF(M174="","",HYPERLINK("https://www.youtube.com/watch?v="&amp;M174,"▶"))</f>
        <v/>
      </c>
      <c r="B174" s="36">
        <f>IF(C174&lt;&gt;"",C174,IF(P174&lt;=IFERROR(INDEX(tblChannels[Watched Through],MATCH(N174,tblChannels[Channel ID],0)),0),"Watched","Unwatched"))</f>
        <v/>
      </c>
      <c r="C174" s="37" t="n"/>
      <c r="D174" s="38" t="n"/>
      <c r="E174" s="39" t="n">
        <v>46033.41736111111</v>
      </c>
      <c r="F174" s="48" t="inlineStr">
        <is>
          <t>Through The Griffin Door</t>
        </is>
      </c>
      <c r="G174" t="inlineStr">
        <is>
          <t>Chapter 19: The Lion and the Serpent | Order of the Phoenix</t>
        </is>
      </c>
      <c r="H174" s="41" t="n">
        <v>0.07553240740740741</v>
      </c>
      <c r="I174" s="42" t="n">
        <v>43788</v>
      </c>
      <c r="J174" s="42" t="n">
        <v>1103</v>
      </c>
      <c r="K174" s="42" t="n">
        <v>343</v>
      </c>
      <c r="L174" s="43" t="n"/>
      <c r="M174" s="44" t="n"/>
      <c r="N174" s="44" t="inlineStr">
        <is>
          <t>UCEscP6ETYXWSSvsNrDHekMQ</t>
        </is>
      </c>
      <c r="O174" s="45" t="n">
        <v>46033.62569444445</v>
      </c>
      <c r="P174" s="46" t="n">
        <v>46033</v>
      </c>
      <c r="Q174" s="44" t="n">
        <v>3098</v>
      </c>
      <c r="R174" s="44" t="inlineStr">
        <is>
          <t>No Video ID yet</t>
        </is>
      </c>
      <c r="S174" s="46" t="n"/>
      <c r="T174" s="46" t="n"/>
      <c r="U174" s="44" t="n"/>
      <c r="V174" s="44">
        <f>IF(AND(P174&gt;=Calendar!$K$2,P174&lt;EDATE(Calendar!$K$2,1),OR(Calendar!$K$4="*",N174=Calendar!$K$4)),P174*100+COUNTIFS($P$6:$P$3271,P174,$Q$6:$Q$3271,"&lt;="&amp;Q174,$N$6:$N$3271,Calendar!$K$4),"")</f>
        <v/>
      </c>
      <c r="W174" s="44">
        <f>IF(AND(B174=Queue!$C$4,OR(Queue!$K$4="*",N174=Queue!$K$4)),Q174,"")</f>
        <v/>
      </c>
    </row>
    <row r="175">
      <c r="A175" s="35">
        <f>IF(M175="","",HYPERLINK("https://www.youtube.com/watch?v="&amp;M175,"▶"))</f>
        <v/>
      </c>
      <c r="B175" s="36">
        <f>IF(C175&lt;&gt;"",C175,IF(P175&lt;=IFERROR(INDEX(tblChannels[Watched Through],MATCH(N175,tblChannels[Channel ID],0)),0),"Watched","Unwatched"))</f>
        <v/>
      </c>
      <c r="C175" s="37" t="n"/>
      <c r="D175" s="38" t="n"/>
      <c r="E175" s="39" t="n">
        <v>46031.66388888889</v>
      </c>
      <c r="F175" s="47" t="inlineStr">
        <is>
          <t>Super Carlin Brothers</t>
        </is>
      </c>
      <c r="G175" t="inlineStr">
        <is>
          <t>Fred &amp; George Are Actually Adopted?! | Harry Potter Theory</t>
        </is>
      </c>
      <c r="H175" s="41" t="n">
        <v>0.009780092592592592</v>
      </c>
      <c r="I175" s="42" t="n">
        <v>52790</v>
      </c>
      <c r="J175" s="42" t="n">
        <v>2853</v>
      </c>
      <c r="K175" s="42" t="n">
        <v>293</v>
      </c>
      <c r="L175" s="43" t="n"/>
      <c r="M175" s="44" t="n"/>
      <c r="N175" s="44" t="inlineStr">
        <is>
          <t>UCKZo4N0lVPccBkSiuyVh4yg</t>
        </is>
      </c>
      <c r="O175" s="45" t="n">
        <v>46031.87222222222</v>
      </c>
      <c r="P175" s="46" t="n">
        <v>46031</v>
      </c>
      <c r="Q175" s="44" t="n">
        <v>3097</v>
      </c>
      <c r="R175" s="44" t="inlineStr">
        <is>
          <t>No Video ID yet</t>
        </is>
      </c>
      <c r="S175" s="46" t="n"/>
      <c r="T175" s="46" t="n"/>
      <c r="U175" s="44" t="n"/>
      <c r="V175" s="44">
        <f>IF(AND(P175&gt;=Calendar!$K$2,P175&lt;EDATE(Calendar!$K$2,1),OR(Calendar!$K$4="*",N175=Calendar!$K$4)),P175*100+COUNTIFS($P$6:$P$3271,P175,$Q$6:$Q$3271,"&lt;="&amp;Q175,$N$6:$N$3271,Calendar!$K$4),"")</f>
        <v/>
      </c>
      <c r="W175" s="44">
        <f>IF(AND(B175=Queue!$C$4,OR(Queue!$K$4="*",N175=Queue!$K$4)),Q175,"")</f>
        <v/>
      </c>
    </row>
    <row r="176">
      <c r="A176" s="35">
        <f>IF(M176="","",HYPERLINK("https://www.youtube.com/watch?v="&amp;M176,"▶"))</f>
        <v/>
      </c>
      <c r="B176" s="36">
        <f>IF(C176&lt;&gt;"",C176,IF(P176&lt;=IFERROR(INDEX(tblChannels[Watched Through],MATCH(N176,tblChannels[Channel ID],0)),0),"Watched","Unwatched"))</f>
        <v/>
      </c>
      <c r="C176" s="37" t="n"/>
      <c r="D176" s="38" t="n"/>
      <c r="E176" s="39" t="n">
        <v>46031.41666666666</v>
      </c>
      <c r="F176" s="40" t="inlineStr">
        <is>
          <t>Popcorn Culture</t>
        </is>
      </c>
      <c r="G176" t="inlineStr">
        <is>
          <t>The Walmart Chicken Debacle  | Popcorn Culture</t>
        </is>
      </c>
      <c r="H176" s="41" t="n">
        <v>0.05715277777777777</v>
      </c>
      <c r="I176" s="42" t="n">
        <v>2919</v>
      </c>
      <c r="J176" s="42" t="n">
        <v>148</v>
      </c>
      <c r="K176" s="42" t="n">
        <v>23</v>
      </c>
      <c r="L176" s="43" t="n"/>
      <c r="M176" s="44" t="n"/>
      <c r="N176" s="44" t="inlineStr">
        <is>
          <t>UCHfIbq9thHPC8yrKjAdJgDA</t>
        </is>
      </c>
      <c r="O176" s="45" t="n">
        <v>46031.625</v>
      </c>
      <c r="P176" s="46" t="n">
        <v>46031</v>
      </c>
      <c r="Q176" s="44" t="n">
        <v>3096</v>
      </c>
      <c r="R176" s="44" t="inlineStr">
        <is>
          <t>No Video ID yet</t>
        </is>
      </c>
      <c r="S176" s="46" t="n"/>
      <c r="T176" s="46" t="n"/>
      <c r="U176" s="44" t="n"/>
      <c r="V176" s="44">
        <f>IF(AND(P176&gt;=Calendar!$K$2,P176&lt;EDATE(Calendar!$K$2,1),OR(Calendar!$K$4="*",N176=Calendar!$K$4)),P176*100+COUNTIFS($P$6:$P$3271,P176,$Q$6:$Q$3271,"&lt;="&amp;Q176,$N$6:$N$3271,Calendar!$K$4),"")</f>
        <v/>
      </c>
      <c r="W176" s="44">
        <f>IF(AND(B176=Queue!$C$4,OR(Queue!$K$4="*",N176=Queue!$K$4)),Q176,"")</f>
        <v/>
      </c>
    </row>
    <row r="177">
      <c r="A177" s="35">
        <f>IF(M177="","",HYPERLINK("https://www.youtube.com/watch?v="&amp;M177,"▶"))</f>
        <v/>
      </c>
      <c r="B177" s="36">
        <f>IF(C177&lt;&gt;"",C177,IF(P177&lt;=IFERROR(INDEX(tblChannels[Watched Through],MATCH(N177,tblChannels[Channel ID],0)),0),"Watched","Unwatched"))</f>
        <v/>
      </c>
      <c r="C177" s="37" t="n"/>
      <c r="D177" s="38" t="n"/>
      <c r="E177" s="39" t="n">
        <v>46029.71527777778</v>
      </c>
      <c r="F177" s="47" t="inlineStr">
        <is>
          <t>Super Carlin Brothers</t>
        </is>
      </c>
      <c r="G177" t="inlineStr">
        <is>
          <t>The One Hagrid Question That Never Gets Answered | Harry Potter Theory</t>
        </is>
      </c>
      <c r="H177" s="41" t="n">
        <v>0.01265046296296296</v>
      </c>
      <c r="I177" s="42" t="n">
        <v>106922</v>
      </c>
      <c r="J177" s="42" t="n">
        <v>4815</v>
      </c>
      <c r="K177" s="42" t="n">
        <v>884</v>
      </c>
      <c r="L177" s="43" t="n"/>
      <c r="M177" s="44" t="n"/>
      <c r="N177" s="44" t="inlineStr">
        <is>
          <t>UCKZo4N0lVPccBkSiuyVh4yg</t>
        </is>
      </c>
      <c r="O177" s="45" t="n">
        <v>46029.92361111111</v>
      </c>
      <c r="P177" s="46" t="n">
        <v>46029</v>
      </c>
      <c r="Q177" s="44" t="n">
        <v>3095</v>
      </c>
      <c r="R177" s="44" t="inlineStr">
        <is>
          <t>No Video ID yet</t>
        </is>
      </c>
      <c r="S177" s="46" t="n"/>
      <c r="T177" s="46" t="n"/>
      <c r="U177" s="44" t="n"/>
      <c r="V177" s="44">
        <f>IF(AND(P177&gt;=Calendar!$K$2,P177&lt;EDATE(Calendar!$K$2,1),OR(Calendar!$K$4="*",N177=Calendar!$K$4)),P177*100+COUNTIFS($P$6:$P$3271,P177,$Q$6:$Q$3271,"&lt;="&amp;Q177,$N$6:$N$3271,Calendar!$K$4),"")</f>
        <v/>
      </c>
      <c r="W177" s="44">
        <f>IF(AND(B177=Queue!$C$4,OR(Queue!$K$4="*",N177=Queue!$K$4)),Q177,"")</f>
        <v/>
      </c>
    </row>
    <row r="178">
      <c r="A178" s="35">
        <f>IF(M178="","",HYPERLINK("https://www.youtube.com/watch?v="&amp;M178,"▶"))</f>
        <v/>
      </c>
      <c r="B178" s="36">
        <f>IF(C178&lt;&gt;"",C178,IF(P178&lt;=IFERROR(INDEX(tblChannels[Watched Through],MATCH(N178,tblChannels[Channel ID],0)),0),"Watched","Unwatched"))</f>
        <v/>
      </c>
      <c r="C178" s="37" t="n"/>
      <c r="D178" s="38" t="n"/>
      <c r="E178" s="39" t="n">
        <v>46027.47708333333</v>
      </c>
      <c r="F178" s="47" t="inlineStr">
        <is>
          <t>Super Carlin Brothers</t>
        </is>
      </c>
      <c r="G178" t="inlineStr">
        <is>
          <t>Through the Griffin Door Supercut: Order of the Phoenix Chapters 16-18</t>
        </is>
      </c>
      <c r="H178" s="41" t="n">
        <v>0.1888078703703704</v>
      </c>
      <c r="I178" s="42" t="n">
        <v>7221</v>
      </c>
      <c r="J178" s="42" t="n">
        <v>130</v>
      </c>
      <c r="K178" s="42" t="n">
        <v>29</v>
      </c>
      <c r="L178" s="43" t="n"/>
      <c r="M178" s="44" t="n"/>
      <c r="N178" s="44" t="inlineStr">
        <is>
          <t>UCKZo4N0lVPccBkSiuyVh4yg</t>
        </is>
      </c>
      <c r="O178" s="45" t="n">
        <v>46027.68541666667</v>
      </c>
      <c r="P178" s="46" t="n">
        <v>46027</v>
      </c>
      <c r="Q178" s="44" t="n">
        <v>3094</v>
      </c>
      <c r="R178" s="44" t="inlineStr">
        <is>
          <t>No Video ID yet</t>
        </is>
      </c>
      <c r="S178" s="46" t="n"/>
      <c r="T178" s="46" t="n"/>
      <c r="U178" s="44" t="n"/>
      <c r="V178" s="44">
        <f>IF(AND(P178&gt;=Calendar!$K$2,P178&lt;EDATE(Calendar!$K$2,1),OR(Calendar!$K$4="*",N178=Calendar!$K$4)),P178*100+COUNTIFS($P$6:$P$3271,P178,$Q$6:$Q$3271,"&lt;="&amp;Q178,$N$6:$N$3271,Calendar!$K$4),"")</f>
        <v/>
      </c>
      <c r="W178" s="44">
        <f>IF(AND(B178=Queue!$C$4,OR(Queue!$K$4="*",N178=Queue!$K$4)),Q178,"")</f>
        <v/>
      </c>
    </row>
    <row r="179">
      <c r="A179" s="35">
        <f>IF(M179="","",HYPERLINK("https://www.youtube.com/watch?v="&amp;M179,"▶"))</f>
        <v/>
      </c>
      <c r="B179" s="36">
        <f>IF(C179&lt;&gt;"",C179,IF(P179&lt;=IFERROR(INDEX(tblChannels[Watched Through],MATCH(N179,tblChannels[Channel ID],0)),0),"Watched","Unwatched"))</f>
        <v/>
      </c>
      <c r="C179" s="37" t="n"/>
      <c r="D179" s="38" t="n"/>
      <c r="E179" s="39" t="n">
        <v>46026.41736111111</v>
      </c>
      <c r="F179" s="48" t="inlineStr">
        <is>
          <t>Through The Griffin Door</t>
        </is>
      </c>
      <c r="G179" t="inlineStr">
        <is>
          <t>The Owlery Special Part 3!</t>
        </is>
      </c>
      <c r="H179" s="41" t="n">
        <v>0.08253472222222222</v>
      </c>
      <c r="I179" s="42" t="n">
        <v>21563</v>
      </c>
      <c r="J179" s="42" t="n">
        <v>673</v>
      </c>
      <c r="K179" s="42" t="n">
        <v>305</v>
      </c>
      <c r="L179" s="43" t="n"/>
      <c r="M179" s="44" t="n"/>
      <c r="N179" s="44" t="inlineStr">
        <is>
          <t>UCEscP6ETYXWSSvsNrDHekMQ</t>
        </is>
      </c>
      <c r="O179" s="45" t="n">
        <v>46026.62569444445</v>
      </c>
      <c r="P179" s="46" t="n">
        <v>46026</v>
      </c>
      <c r="Q179" s="44" t="n">
        <v>3093</v>
      </c>
      <c r="R179" s="44" t="inlineStr">
        <is>
          <t>No Video ID yet</t>
        </is>
      </c>
      <c r="S179" s="46" t="n"/>
      <c r="T179" s="46" t="n"/>
      <c r="U179" s="44" t="n"/>
      <c r="V179" s="44">
        <f>IF(AND(P179&gt;=Calendar!$K$2,P179&lt;EDATE(Calendar!$K$2,1),OR(Calendar!$K$4="*",N179=Calendar!$K$4)),P179*100+COUNTIFS($P$6:$P$3271,P179,$Q$6:$Q$3271,"&lt;="&amp;Q179,$N$6:$N$3271,Calendar!$K$4),"")</f>
        <v/>
      </c>
      <c r="W179" s="44">
        <f>IF(AND(B179=Queue!$C$4,OR(Queue!$K$4="*",N179=Queue!$K$4)),Q179,"")</f>
        <v/>
      </c>
    </row>
    <row r="180">
      <c r="A180" s="35">
        <f>IF(M180="","",HYPERLINK("https://www.youtube.com/watch?v="&amp;M180,"▶"))</f>
        <v/>
      </c>
      <c r="B180" s="36">
        <f>IF(C180&lt;&gt;"",C180,IF(P180&lt;=IFERROR(INDEX(tblChannels[Watched Through],MATCH(N180,tblChannels[Channel ID],0)),0),"Watched","Unwatched"))</f>
        <v/>
      </c>
      <c r="C180" s="37" t="n"/>
      <c r="D180" s="38" t="n"/>
      <c r="E180" s="39" t="n">
        <v>46024.58333333334</v>
      </c>
      <c r="F180" s="47" t="inlineStr">
        <is>
          <t>Super Carlin Brothers</t>
        </is>
      </c>
      <c r="G180" t="inlineStr">
        <is>
          <t>J vs Ben: 2025 FULL YEAR SHOWDOWN! (Part 2)</t>
        </is>
      </c>
      <c r="H180" s="41" t="n">
        <v>0.4293287037037037</v>
      </c>
      <c r="I180" s="42" t="n">
        <v>72449</v>
      </c>
      <c r="J180" s="42" t="n">
        <v>1115</v>
      </c>
      <c r="K180" s="42" t="n">
        <v>227</v>
      </c>
      <c r="L180" s="43" t="n"/>
      <c r="M180" s="44" t="n"/>
      <c r="N180" s="44" t="inlineStr">
        <is>
          <t>UCKZo4N0lVPccBkSiuyVh4yg</t>
        </is>
      </c>
      <c r="O180" s="45" t="n">
        <v>46024.79166666666</v>
      </c>
      <c r="P180" s="46" t="n">
        <v>46024</v>
      </c>
      <c r="Q180" s="44" t="n">
        <v>3092</v>
      </c>
      <c r="R180" s="44" t="inlineStr">
        <is>
          <t>No Video ID yet</t>
        </is>
      </c>
      <c r="S180" s="46" t="n"/>
      <c r="T180" s="46" t="n"/>
      <c r="U180" s="44" t="n"/>
      <c r="V180" s="44">
        <f>IF(AND(P180&gt;=Calendar!$K$2,P180&lt;EDATE(Calendar!$K$2,1),OR(Calendar!$K$4="*",N180=Calendar!$K$4)),P180*100+COUNTIFS($P$6:$P$3271,P180,$Q$6:$Q$3271,"&lt;="&amp;Q180,$N$6:$N$3271,Calendar!$K$4),"")</f>
        <v/>
      </c>
      <c r="W180" s="44">
        <f>IF(AND(B180=Queue!$C$4,OR(Queue!$K$4="*",N180=Queue!$K$4)),Q180,"")</f>
        <v/>
      </c>
    </row>
    <row r="181">
      <c r="A181" s="35">
        <f>IF(M181="","",HYPERLINK("https://www.youtube.com/watch?v="&amp;M181,"▶"))</f>
        <v/>
      </c>
      <c r="B181" s="36">
        <f>IF(C181&lt;&gt;"",C181,IF(P181&lt;=IFERROR(INDEX(tblChannels[Watched Through],MATCH(N181,tblChannels[Channel ID],0)),0),"Watched","Unwatched"))</f>
        <v/>
      </c>
      <c r="C181" s="37" t="n"/>
      <c r="D181" s="38" t="n"/>
      <c r="E181" s="39" t="n">
        <v>46024.41666666666</v>
      </c>
      <c r="F181" s="40" t="inlineStr">
        <is>
          <t>Popcorn Culture</t>
        </is>
      </c>
      <c r="G181" t="inlineStr">
        <is>
          <t>New Year, RE-Popped! | Popcorn Culture</t>
        </is>
      </c>
      <c r="H181" s="41" t="n">
        <v>0.04833333333333333</v>
      </c>
      <c r="I181" s="42" t="n">
        <v>2481</v>
      </c>
      <c r="J181" s="42" t="n">
        <v>121</v>
      </c>
      <c r="K181" s="42" t="n">
        <v>7</v>
      </c>
      <c r="L181" s="43" t="n"/>
      <c r="M181" s="44" t="n"/>
      <c r="N181" s="44" t="inlineStr">
        <is>
          <t>UCHfIbq9thHPC8yrKjAdJgDA</t>
        </is>
      </c>
      <c r="O181" s="45" t="n">
        <v>46024.625</v>
      </c>
      <c r="P181" s="46" t="n">
        <v>46024</v>
      </c>
      <c r="Q181" s="44" t="n">
        <v>3091</v>
      </c>
      <c r="R181" s="44" t="inlineStr">
        <is>
          <t>No Video ID yet</t>
        </is>
      </c>
      <c r="S181" s="46" t="n"/>
      <c r="T181" s="46" t="n"/>
      <c r="U181" s="44" t="n"/>
      <c r="V181" s="44">
        <f>IF(AND(P181&gt;=Calendar!$K$2,P181&lt;EDATE(Calendar!$K$2,1),OR(Calendar!$K$4="*",N181=Calendar!$K$4)),P181*100+COUNTIFS($P$6:$P$3271,P181,$Q$6:$Q$3271,"&lt;="&amp;Q181,$N$6:$N$3271,Calendar!$K$4),"")</f>
        <v/>
      </c>
      <c r="W181" s="44">
        <f>IF(AND(B181=Queue!$C$4,OR(Queue!$K$4="*",N181=Queue!$K$4)),Q181,"")</f>
        <v/>
      </c>
    </row>
    <row r="182">
      <c r="A182" s="35">
        <f>IF(M182="","",HYPERLINK("https://www.youtube.com/watch?v="&amp;M182,"▶"))</f>
        <v/>
      </c>
      <c r="B182" s="36">
        <f>IF(C182&lt;&gt;"",C182,IF(P182&lt;=IFERROR(INDEX(tblChannels[Watched Through],MATCH(N182,tblChannels[Channel ID],0)),0),"Watched","Unwatched"))</f>
        <v/>
      </c>
      <c r="C182" s="37" t="n"/>
      <c r="D182" s="38" t="n"/>
      <c r="E182" s="39" t="n">
        <v>46022.58333333334</v>
      </c>
      <c r="F182" s="47" t="inlineStr">
        <is>
          <t>Super Carlin Brothers</t>
        </is>
      </c>
      <c r="G182" t="inlineStr">
        <is>
          <t>J vs Ben: 2025 FULL YEAR SHOWDOWN! (Part 1)</t>
        </is>
      </c>
      <c r="H182" s="41" t="n">
        <v>0.3844444444444444</v>
      </c>
      <c r="I182" s="42" t="n">
        <v>89287</v>
      </c>
      <c r="J182" s="42" t="n">
        <v>1400</v>
      </c>
      <c r="K182" s="42" t="n">
        <v>290</v>
      </c>
      <c r="L182" s="43" t="n"/>
      <c r="M182" s="44" t="n"/>
      <c r="N182" s="44" t="inlineStr">
        <is>
          <t>UCKZo4N0lVPccBkSiuyVh4yg</t>
        </is>
      </c>
      <c r="O182" s="45" t="n">
        <v>46022.79166666666</v>
      </c>
      <c r="P182" s="46" t="n">
        <v>46022</v>
      </c>
      <c r="Q182" s="44" t="n">
        <v>3090</v>
      </c>
      <c r="R182" s="44" t="inlineStr">
        <is>
          <t>No Video ID yet</t>
        </is>
      </c>
      <c r="S182" s="46" t="n"/>
      <c r="T182" s="46" t="n"/>
      <c r="U182" s="44" t="n"/>
      <c r="V182" s="44">
        <f>IF(AND(P182&gt;=Calendar!$K$2,P182&lt;EDATE(Calendar!$K$2,1),OR(Calendar!$K$4="*",N182=Calendar!$K$4)),P182*100+COUNTIFS($P$6:$P$3271,P182,$Q$6:$Q$3271,"&lt;="&amp;Q182,$N$6:$N$3271,Calendar!$K$4),"")</f>
        <v/>
      </c>
      <c r="W182" s="44">
        <f>IF(AND(B182=Queue!$C$4,OR(Queue!$K$4="*",N182=Queue!$K$4)),Q182,"")</f>
        <v/>
      </c>
    </row>
    <row r="183">
      <c r="A183" s="35">
        <f>IF(M183="","",HYPERLINK("https://www.youtube.com/watch?v="&amp;M183,"▶"))</f>
        <v/>
      </c>
      <c r="B183" s="36">
        <f>IF(C183&lt;&gt;"",C183,IF(P183&lt;=IFERROR(INDEX(tblChannels[Watched Through],MATCH(N183,tblChannels[Channel ID],0)),0),"Watched","Unwatched"))</f>
        <v/>
      </c>
      <c r="C183" s="37" t="n"/>
      <c r="D183" s="38" t="n"/>
      <c r="E183" s="39" t="n">
        <v>46019.41736111111</v>
      </c>
      <c r="F183" s="48" t="inlineStr">
        <is>
          <t>Through The Griffin Door</t>
        </is>
      </c>
      <c r="G183" t="inlineStr">
        <is>
          <t>Chapter 18: Dumbledore’s Army | Order of the Phoenix</t>
        </is>
      </c>
      <c r="H183" s="41" t="n">
        <v>0.06682870370370371</v>
      </c>
      <c r="I183" s="42" t="n">
        <v>44359</v>
      </c>
      <c r="J183" s="42" t="n">
        <v>1159</v>
      </c>
      <c r="K183" s="42" t="n">
        <v>299</v>
      </c>
      <c r="L183" s="43" t="n"/>
      <c r="M183" s="44" t="n"/>
      <c r="N183" s="44" t="inlineStr">
        <is>
          <t>UCEscP6ETYXWSSvsNrDHekMQ</t>
        </is>
      </c>
      <c r="O183" s="45" t="n">
        <v>46019.62569444445</v>
      </c>
      <c r="P183" s="46" t="n">
        <v>46019</v>
      </c>
      <c r="Q183" s="44" t="n">
        <v>3089</v>
      </c>
      <c r="R183" s="44" t="inlineStr">
        <is>
          <t>No Video ID yet</t>
        </is>
      </c>
      <c r="S183" s="46" t="n"/>
      <c r="T183" s="46" t="n"/>
      <c r="U183" s="44" t="n"/>
      <c r="V183" s="44">
        <f>IF(AND(P183&gt;=Calendar!$K$2,P183&lt;EDATE(Calendar!$K$2,1),OR(Calendar!$K$4="*",N183=Calendar!$K$4)),P183*100+COUNTIFS($P$6:$P$3271,P183,$Q$6:$Q$3271,"&lt;="&amp;Q183,$N$6:$N$3271,Calendar!$K$4),"")</f>
        <v/>
      </c>
      <c r="W183" s="44">
        <f>IF(AND(B183=Queue!$C$4,OR(Queue!$K$4="*",N183=Queue!$K$4)),Q183,"")</f>
        <v/>
      </c>
    </row>
    <row r="184">
      <c r="A184" s="35">
        <f>IF(M184="","",HYPERLINK("https://www.youtube.com/watch?v="&amp;M184,"▶"))</f>
        <v/>
      </c>
      <c r="B184" s="36">
        <f>IF(C184&lt;&gt;"",C184,IF(P184&lt;=IFERROR(INDEX(tblChannels[Watched Through],MATCH(N184,tblChannels[Channel ID],0)),0),"Watched","Unwatched"))</f>
        <v/>
      </c>
      <c r="C184" s="37" t="n"/>
      <c r="D184" s="38" t="n"/>
      <c r="E184" s="39" t="n">
        <v>46017.58333333334</v>
      </c>
      <c r="F184" s="47" t="inlineStr">
        <is>
          <t>Super Carlin Brothers</t>
        </is>
      </c>
      <c r="G184" t="inlineStr">
        <is>
          <t>2 MORE Hours of Harry Potter Theories to Binge</t>
        </is>
      </c>
      <c r="H184" s="41" t="n">
        <v>0.06545138888888889</v>
      </c>
      <c r="I184" s="42" t="n">
        <v>136170</v>
      </c>
      <c r="J184" s="42" t="n">
        <v>1883</v>
      </c>
      <c r="K184" s="42" t="n">
        <v>220</v>
      </c>
      <c r="L184" s="43" t="n"/>
      <c r="M184" s="44" t="n"/>
      <c r="N184" s="44" t="inlineStr">
        <is>
          <t>UCKZo4N0lVPccBkSiuyVh4yg</t>
        </is>
      </c>
      <c r="O184" s="45" t="n">
        <v>46017.79166666666</v>
      </c>
      <c r="P184" s="46" t="n">
        <v>46017</v>
      </c>
      <c r="Q184" s="44" t="n">
        <v>3088</v>
      </c>
      <c r="R184" s="44" t="inlineStr">
        <is>
          <t>No Video ID yet</t>
        </is>
      </c>
      <c r="S184" s="46" t="n"/>
      <c r="T184" s="46" t="n"/>
      <c r="U184" s="44" t="n"/>
      <c r="V184" s="44">
        <f>IF(AND(P184&gt;=Calendar!$K$2,P184&lt;EDATE(Calendar!$K$2,1),OR(Calendar!$K$4="*",N184=Calendar!$K$4)),P184*100+COUNTIFS($P$6:$P$3271,P184,$Q$6:$Q$3271,"&lt;="&amp;Q184,$N$6:$N$3271,Calendar!$K$4),"")</f>
        <v/>
      </c>
      <c r="W184" s="44">
        <f>IF(AND(B184=Queue!$C$4,OR(Queue!$K$4="*",N184=Queue!$K$4)),Q184,"")</f>
        <v/>
      </c>
    </row>
    <row r="185">
      <c r="A185" s="35">
        <f>IF(M185="","",HYPERLINK("https://www.youtube.com/watch?v="&amp;M185,"▶"))</f>
        <v/>
      </c>
      <c r="B185" s="36">
        <f>IF(C185&lt;&gt;"",C185,IF(P185&lt;=IFERROR(INDEX(tblChannels[Watched Through],MATCH(N185,tblChannels[Channel ID],0)),0),"Watched","Unwatched"))</f>
        <v/>
      </c>
      <c r="C185" s="37" t="n"/>
      <c r="D185" s="38" t="n"/>
      <c r="E185" s="39" t="n">
        <v>46017.41666666666</v>
      </c>
      <c r="F185" s="40" t="inlineStr">
        <is>
          <t>Popcorn Culture</t>
        </is>
      </c>
      <c r="G185" t="inlineStr">
        <is>
          <t>2025 WRAPPED | Popcorn Culture</t>
        </is>
      </c>
      <c r="H185" s="41" t="n">
        <v>0.04592592592592593</v>
      </c>
      <c r="I185" s="42" t="n">
        <v>2321</v>
      </c>
      <c r="J185" s="42" t="n">
        <v>134</v>
      </c>
      <c r="K185" s="42" t="n">
        <v>21</v>
      </c>
      <c r="L185" s="43" t="n"/>
      <c r="M185" s="44" t="n"/>
      <c r="N185" s="44" t="inlineStr">
        <is>
          <t>UCHfIbq9thHPC8yrKjAdJgDA</t>
        </is>
      </c>
      <c r="O185" s="45" t="n">
        <v>46017.625</v>
      </c>
      <c r="P185" s="46" t="n">
        <v>46017</v>
      </c>
      <c r="Q185" s="44" t="n">
        <v>3087</v>
      </c>
      <c r="R185" s="44" t="inlineStr">
        <is>
          <t>No Video ID yet</t>
        </is>
      </c>
      <c r="S185" s="46" t="n"/>
      <c r="T185" s="46" t="n"/>
      <c r="U185" s="44" t="n"/>
      <c r="V185" s="44">
        <f>IF(AND(P185&gt;=Calendar!$K$2,P185&lt;EDATE(Calendar!$K$2,1),OR(Calendar!$K$4="*",N185=Calendar!$K$4)),P185*100+COUNTIFS($P$6:$P$3271,P185,$Q$6:$Q$3271,"&lt;="&amp;Q185,$N$6:$N$3271,Calendar!$K$4),"")</f>
        <v/>
      </c>
      <c r="W185" s="44">
        <f>IF(AND(B185=Queue!$C$4,OR(Queue!$K$4="*",N185=Queue!$K$4)),Q185,"")</f>
        <v/>
      </c>
    </row>
    <row r="186">
      <c r="A186" s="35">
        <f>IF(M186="","",HYPERLINK("https://www.youtube.com/watch?v="&amp;M186,"▶"))</f>
        <v/>
      </c>
      <c r="B186" s="36">
        <f>IF(C186&lt;&gt;"",C186,IF(P186&lt;=IFERROR(INDEX(tblChannels[Watched Through],MATCH(N186,tblChannels[Channel ID],0)),0),"Watched","Unwatched"))</f>
        <v/>
      </c>
      <c r="C186" s="37" t="n"/>
      <c r="D186" s="38" t="n"/>
      <c r="E186" s="39" t="n">
        <v>46015.58333333334</v>
      </c>
      <c r="F186" s="47" t="inlineStr">
        <is>
          <t>Super Carlin Brothers</t>
        </is>
      </c>
      <c r="G186" t="inlineStr">
        <is>
          <t>Theories Out of a Hat: Defending the WORST Harry Potter Theories</t>
        </is>
      </c>
      <c r="H186" s="41" t="n">
        <v>0.02840277777777778</v>
      </c>
      <c r="I186" s="42" t="n">
        <v>207448</v>
      </c>
      <c r="J186" s="42" t="n">
        <v>6348</v>
      </c>
      <c r="K186" s="42" t="n">
        <v>818</v>
      </c>
      <c r="L186" s="43" t="n"/>
      <c r="M186" s="44" t="n"/>
      <c r="N186" s="44" t="inlineStr">
        <is>
          <t>UCKZo4N0lVPccBkSiuyVh4yg</t>
        </is>
      </c>
      <c r="O186" s="45" t="n">
        <v>46015.79166666666</v>
      </c>
      <c r="P186" s="46" t="n">
        <v>46015</v>
      </c>
      <c r="Q186" s="44" t="n">
        <v>3086</v>
      </c>
      <c r="R186" s="44" t="inlineStr">
        <is>
          <t>No Video ID yet</t>
        </is>
      </c>
      <c r="S186" s="46" t="n"/>
      <c r="T186" s="46" t="n"/>
      <c r="U186" s="44" t="n"/>
      <c r="V186" s="44">
        <f>IF(AND(P186&gt;=Calendar!$K$2,P186&lt;EDATE(Calendar!$K$2,1),OR(Calendar!$K$4="*",N186=Calendar!$K$4)),P186*100+COUNTIFS($P$6:$P$3271,P186,$Q$6:$Q$3271,"&lt;="&amp;Q186,$N$6:$N$3271,Calendar!$K$4),"")</f>
        <v/>
      </c>
      <c r="W186" s="44">
        <f>IF(AND(B186=Queue!$C$4,OR(Queue!$K$4="*",N186=Queue!$K$4)),Q186,"")</f>
        <v/>
      </c>
    </row>
    <row r="187">
      <c r="A187" s="35">
        <f>IF(M187="","",HYPERLINK("https://www.youtube.com/watch?v="&amp;M187,"▶"))</f>
        <v/>
      </c>
      <c r="B187" s="36">
        <f>IF(C187&lt;&gt;"",C187,IF(P187&lt;=IFERROR(INDEX(tblChannels[Watched Through],MATCH(N187,tblChannels[Channel ID],0)),0),"Watched","Unwatched"))</f>
        <v/>
      </c>
      <c r="C187" s="37" t="n"/>
      <c r="D187" s="38" t="n"/>
      <c r="E187" s="39" t="n">
        <v>46012.41666666666</v>
      </c>
      <c r="F187" s="48" t="inlineStr">
        <is>
          <t>Through The Griffin Door</t>
        </is>
      </c>
      <c r="G187" t="inlineStr">
        <is>
          <t>Chapter 17: Educational Decree Number Twenty-Four | Order of the Phoenix</t>
        </is>
      </c>
      <c r="H187" s="41" t="n">
        <v>0.06214120370370371</v>
      </c>
      <c r="I187" s="42" t="n">
        <v>39915</v>
      </c>
      <c r="J187" s="42" t="n">
        <v>1128</v>
      </c>
      <c r="K187" s="42" t="n">
        <v>293</v>
      </c>
      <c r="L187" s="43" t="n"/>
      <c r="M187" s="44" t="n"/>
      <c r="N187" s="44" t="inlineStr">
        <is>
          <t>UCEscP6ETYXWSSvsNrDHekMQ</t>
        </is>
      </c>
      <c r="O187" s="45" t="n">
        <v>46012.625</v>
      </c>
      <c r="P187" s="46" t="n">
        <v>46012</v>
      </c>
      <c r="Q187" s="44" t="n">
        <v>3085</v>
      </c>
      <c r="R187" s="44" t="inlineStr">
        <is>
          <t>No Video ID yet</t>
        </is>
      </c>
      <c r="S187" s="46" t="n"/>
      <c r="T187" s="46" t="n"/>
      <c r="U187" s="44" t="n"/>
      <c r="V187" s="44">
        <f>IF(AND(P187&gt;=Calendar!$K$2,P187&lt;EDATE(Calendar!$K$2,1),OR(Calendar!$K$4="*",N187=Calendar!$K$4)),P187*100+COUNTIFS($P$6:$P$3271,P187,$Q$6:$Q$3271,"&lt;="&amp;Q187,$N$6:$N$3271,Calendar!$K$4),"")</f>
        <v/>
      </c>
      <c r="W187" s="44">
        <f>IF(AND(B187=Queue!$C$4,OR(Queue!$K$4="*",N187=Queue!$K$4)),Q187,"")</f>
        <v/>
      </c>
    </row>
    <row r="188">
      <c r="A188" s="35">
        <f>IF(M188="","",HYPERLINK("https://www.youtube.com/watch?v="&amp;M188,"▶"))</f>
        <v/>
      </c>
      <c r="B188" s="36">
        <f>IF(C188&lt;&gt;"",C188,IF(P188&lt;=IFERROR(INDEX(tblChannels[Watched Through],MATCH(N188,tblChannels[Channel ID],0)),0),"Watched","Unwatched"))</f>
        <v/>
      </c>
      <c r="C188" s="37" t="n"/>
      <c r="D188" s="38" t="n"/>
      <c r="E188" s="39" t="n">
        <v>46010.78125</v>
      </c>
      <c r="F188" s="47" t="inlineStr">
        <is>
          <t>Super Carlin Brothers</t>
        </is>
      </c>
      <c r="G188" t="inlineStr">
        <is>
          <t>The COMPLETE Pixar Theory 2025</t>
        </is>
      </c>
      <c r="H188" s="41" t="n">
        <v>0.05269675925925926</v>
      </c>
      <c r="I188" s="42" t="n">
        <v>445925</v>
      </c>
      <c r="J188" s="42" t="n">
        <v>10238</v>
      </c>
      <c r="K188" s="42" t="n">
        <v>741</v>
      </c>
      <c r="L188" s="43" t="n"/>
      <c r="M188" s="44" t="n"/>
      <c r="N188" s="44" t="inlineStr">
        <is>
          <t>UCKZo4N0lVPccBkSiuyVh4yg</t>
        </is>
      </c>
      <c r="O188" s="45" t="n">
        <v>46010.98958333334</v>
      </c>
      <c r="P188" s="46" t="n">
        <v>46010</v>
      </c>
      <c r="Q188" s="44" t="n">
        <v>3084</v>
      </c>
      <c r="R188" s="44" t="inlineStr">
        <is>
          <t>No Video ID yet</t>
        </is>
      </c>
      <c r="S188" s="46" t="n"/>
      <c r="T188" s="46" t="n"/>
      <c r="U188" s="44" t="n"/>
      <c r="V188" s="44">
        <f>IF(AND(P188&gt;=Calendar!$K$2,P188&lt;EDATE(Calendar!$K$2,1),OR(Calendar!$K$4="*",N188=Calendar!$K$4)),P188*100+COUNTIFS($P$6:$P$3271,P188,$Q$6:$Q$3271,"&lt;="&amp;Q188,$N$6:$N$3271,Calendar!$K$4),"")</f>
        <v/>
      </c>
      <c r="W188" s="44">
        <f>IF(AND(B188=Queue!$C$4,OR(Queue!$K$4="*",N188=Queue!$K$4)),Q188,"")</f>
        <v/>
      </c>
    </row>
    <row r="189">
      <c r="A189" s="35">
        <f>IF(M189="","",HYPERLINK("https://www.youtube.com/watch?v="&amp;M189,"▶"))</f>
        <v/>
      </c>
      <c r="B189" s="36">
        <f>IF(C189&lt;&gt;"",C189,IF(P189&lt;=IFERROR(INDEX(tblChannels[Watched Through],MATCH(N189,tblChannels[Channel ID],0)),0),"Watched","Unwatched"))</f>
        <v/>
      </c>
      <c r="C189" s="37" t="n"/>
      <c r="D189" s="38" t="n"/>
      <c r="E189" s="39" t="n">
        <v>46010.41666666666</v>
      </c>
      <c r="F189" s="40" t="inlineStr">
        <is>
          <t>Popcorn Culture</t>
        </is>
      </c>
      <c r="G189" t="inlineStr">
        <is>
          <t>Piping Hot Tea | Popcorn Culture</t>
        </is>
      </c>
      <c r="H189" s="41" t="n">
        <v>0.04577546296296296</v>
      </c>
      <c r="I189" s="42" t="n">
        <v>3111</v>
      </c>
      <c r="J189" s="42" t="n">
        <v>132</v>
      </c>
      <c r="K189" s="42" t="n">
        <v>17</v>
      </c>
      <c r="L189" s="43" t="n"/>
      <c r="M189" s="44" t="n"/>
      <c r="N189" s="44" t="inlineStr">
        <is>
          <t>UCHfIbq9thHPC8yrKjAdJgDA</t>
        </is>
      </c>
      <c r="O189" s="45" t="n">
        <v>46010.625</v>
      </c>
      <c r="P189" s="46" t="n">
        <v>46010</v>
      </c>
      <c r="Q189" s="44" t="n">
        <v>3083</v>
      </c>
      <c r="R189" s="44" t="inlineStr">
        <is>
          <t>No Video ID yet</t>
        </is>
      </c>
      <c r="S189" s="46" t="n"/>
      <c r="T189" s="46" t="n"/>
      <c r="U189" s="44" t="n"/>
      <c r="V189" s="44">
        <f>IF(AND(P189&gt;=Calendar!$K$2,P189&lt;EDATE(Calendar!$K$2,1),OR(Calendar!$K$4="*",N189=Calendar!$K$4)),P189*100+COUNTIFS($P$6:$P$3271,P189,$Q$6:$Q$3271,"&lt;="&amp;Q189,$N$6:$N$3271,Calendar!$K$4),"")</f>
        <v/>
      </c>
      <c r="W189" s="44">
        <f>IF(AND(B189=Queue!$C$4,OR(Queue!$K$4="*",N189=Queue!$K$4)),Q189,"")</f>
        <v/>
      </c>
    </row>
    <row r="190">
      <c r="A190" s="35">
        <f>IF(M190="","",HYPERLINK("https://www.youtube.com/watch?v="&amp;M190,"▶"))</f>
        <v/>
      </c>
      <c r="B190" s="36">
        <f>IF(C190&lt;&gt;"",C190,IF(P190&lt;=IFERROR(INDEX(tblChannels[Watched Through],MATCH(N190,tblChannels[Channel ID],0)),0),"Watched","Unwatched"))</f>
        <v/>
      </c>
      <c r="C190" s="37" t="n"/>
      <c r="D190" s="38" t="n"/>
      <c r="E190" s="39" t="n">
        <v>46008.70972222222</v>
      </c>
      <c r="F190" s="47" t="inlineStr">
        <is>
          <t>Super Carlin Brothers</t>
        </is>
      </c>
      <c r="G190" t="inlineStr">
        <is>
          <t>J vs Ben: MAX DIFFICULTY Deathly Hallows Open Book Harry Potter TRIVIA</t>
        </is>
      </c>
      <c r="H190" s="41" t="n">
        <v>0.04344907407407408</v>
      </c>
      <c r="I190" s="42" t="n">
        <v>77456</v>
      </c>
      <c r="J190" s="42" t="n">
        <v>2500</v>
      </c>
      <c r="K190" s="42" t="n">
        <v>382</v>
      </c>
      <c r="L190" s="43" t="n"/>
      <c r="M190" s="44" t="n"/>
      <c r="N190" s="44" t="inlineStr">
        <is>
          <t>UCKZo4N0lVPccBkSiuyVh4yg</t>
        </is>
      </c>
      <c r="O190" s="45" t="n">
        <v>46008.91805555556</v>
      </c>
      <c r="P190" s="46" t="n">
        <v>46008</v>
      </c>
      <c r="Q190" s="44" t="n">
        <v>3082</v>
      </c>
      <c r="R190" s="44" t="inlineStr">
        <is>
          <t>No Video ID yet</t>
        </is>
      </c>
      <c r="S190" s="46" t="n"/>
      <c r="T190" s="46" t="n"/>
      <c r="U190" s="44" t="n"/>
      <c r="V190" s="44">
        <f>IF(AND(P190&gt;=Calendar!$K$2,P190&lt;EDATE(Calendar!$K$2,1),OR(Calendar!$K$4="*",N190=Calendar!$K$4)),P190*100+COUNTIFS($P$6:$P$3271,P190,$Q$6:$Q$3271,"&lt;="&amp;Q190,$N$6:$N$3271,Calendar!$K$4),"")</f>
        <v/>
      </c>
      <c r="W190" s="44">
        <f>IF(AND(B190=Queue!$C$4,OR(Queue!$K$4="*",N190=Queue!$K$4)),Q190,"")</f>
        <v/>
      </c>
    </row>
    <row r="191">
      <c r="A191" s="35">
        <f>IF(M191="","",HYPERLINK("https://www.youtube.com/watch?v="&amp;M191,"▶"))</f>
        <v/>
      </c>
      <c r="B191" s="36">
        <f>IF(C191&lt;&gt;"",C191,IF(P191&lt;=IFERROR(INDEX(tblChannels[Watched Through],MATCH(N191,tblChannels[Channel ID],0)),0),"Watched","Unwatched"))</f>
        <v/>
      </c>
      <c r="C191" s="37" t="n"/>
      <c r="D191" s="38" t="n"/>
      <c r="E191" s="39" t="n">
        <v>46005.41666666666</v>
      </c>
      <c r="F191" s="48" t="inlineStr">
        <is>
          <t>Through The Griffin Door</t>
        </is>
      </c>
      <c r="G191" t="inlineStr">
        <is>
          <t>Chapter 16: In the Hogs Head | Order of the Phoenix</t>
        </is>
      </c>
      <c r="H191" s="41" t="n">
        <v>0.0650462962962963</v>
      </c>
      <c r="I191" s="42" t="n">
        <v>42568</v>
      </c>
      <c r="J191" s="42" t="n">
        <v>1160</v>
      </c>
      <c r="K191" s="42" t="n">
        <v>352</v>
      </c>
      <c r="L191" s="43" t="n"/>
      <c r="M191" s="44" t="n"/>
      <c r="N191" s="44" t="inlineStr">
        <is>
          <t>UCEscP6ETYXWSSvsNrDHekMQ</t>
        </is>
      </c>
      <c r="O191" s="45" t="n">
        <v>46005.625</v>
      </c>
      <c r="P191" s="46" t="n">
        <v>46005</v>
      </c>
      <c r="Q191" s="44" t="n">
        <v>3081</v>
      </c>
      <c r="R191" s="44" t="inlineStr">
        <is>
          <t>No Video ID yet</t>
        </is>
      </c>
      <c r="S191" s="46" t="n"/>
      <c r="T191" s="46" t="n"/>
      <c r="U191" s="44" t="n"/>
      <c r="V191" s="44">
        <f>IF(AND(P191&gt;=Calendar!$K$2,P191&lt;EDATE(Calendar!$K$2,1),OR(Calendar!$K$4="*",N191=Calendar!$K$4)),P191*100+COUNTIFS($P$6:$P$3271,P191,$Q$6:$Q$3271,"&lt;="&amp;Q191,$N$6:$N$3271,Calendar!$K$4),"")</f>
        <v/>
      </c>
      <c r="W191" s="44">
        <f>IF(AND(B191=Queue!$C$4,OR(Queue!$K$4="*",N191=Queue!$K$4)),Q191,"")</f>
        <v/>
      </c>
    </row>
    <row r="192">
      <c r="A192" s="35">
        <f>IF(M192="","",HYPERLINK("https://www.youtube.com/watch?v="&amp;M192,"▶"))</f>
        <v/>
      </c>
      <c r="B192" s="36">
        <f>IF(C192&lt;&gt;"",C192,IF(P192&lt;=IFERROR(INDEX(tblChannels[Watched Through],MATCH(N192,tblChannels[Channel ID],0)),0),"Watched","Unwatched"))</f>
        <v/>
      </c>
      <c r="C192" s="37" t="n"/>
      <c r="D192" s="38" t="n"/>
      <c r="E192" s="39" t="n">
        <v>46004.41736111111</v>
      </c>
      <c r="F192" s="47" t="inlineStr">
        <is>
          <t>Super Carlin Brothers</t>
        </is>
      </c>
      <c r="G192" t="inlineStr">
        <is>
          <t>Through the Griffin Door Supercut: Order of the Phoenix Chapters 13-15</t>
        </is>
      </c>
      <c r="H192" s="41" t="n">
        <v>0.2364583333333333</v>
      </c>
      <c r="I192" s="42" t="n">
        <v>9559</v>
      </c>
      <c r="J192" s="42" t="n">
        <v>163</v>
      </c>
      <c r="K192" s="42" t="n">
        <v>35</v>
      </c>
      <c r="L192" s="43" t="n"/>
      <c r="M192" s="44" t="n"/>
      <c r="N192" s="44" t="inlineStr">
        <is>
          <t>UCKZo4N0lVPccBkSiuyVh4yg</t>
        </is>
      </c>
      <c r="O192" s="45" t="n">
        <v>46004.62569444445</v>
      </c>
      <c r="P192" s="46" t="n">
        <v>46004</v>
      </c>
      <c r="Q192" s="44" t="n">
        <v>3080</v>
      </c>
      <c r="R192" s="44" t="inlineStr">
        <is>
          <t>No Video ID yet</t>
        </is>
      </c>
      <c r="S192" s="46" t="n"/>
      <c r="T192" s="46" t="n"/>
      <c r="U192" s="44" t="n"/>
      <c r="V192" s="44">
        <f>IF(AND(P192&gt;=Calendar!$K$2,P192&lt;EDATE(Calendar!$K$2,1),OR(Calendar!$K$4="*",N192=Calendar!$K$4)),P192*100+COUNTIFS($P$6:$P$3271,P192,$Q$6:$Q$3271,"&lt;="&amp;Q192,$N$6:$N$3271,Calendar!$K$4),"")</f>
        <v/>
      </c>
      <c r="W192" s="44">
        <f>IF(AND(B192=Queue!$C$4,OR(Queue!$K$4="*",N192=Queue!$K$4)),Q192,"")</f>
        <v/>
      </c>
    </row>
    <row r="193">
      <c r="A193" s="35">
        <f>IF(M193="","",HYPERLINK("https://www.youtube.com/watch?v="&amp;M193,"▶"))</f>
        <v/>
      </c>
      <c r="B193" s="36">
        <f>IF(C193&lt;&gt;"",C193,IF(P193&lt;=IFERROR(INDEX(tblChannels[Watched Through],MATCH(N193,tblChannels[Channel ID],0)),0),"Watched","Unwatched"))</f>
        <v/>
      </c>
      <c r="C193" s="37" t="n"/>
      <c r="D193" s="38" t="n"/>
      <c r="E193" s="39" t="n">
        <v>46003.69305555556</v>
      </c>
      <c r="F193" s="47" t="inlineStr">
        <is>
          <t>Super Carlin Brothers</t>
        </is>
      </c>
      <c r="G193" t="inlineStr">
        <is>
          <t>Yue Was SUPPOSED To Be The Avatar | The Last Airbender</t>
        </is>
      </c>
      <c r="H193" s="41" t="n">
        <v>0.01269675925925926</v>
      </c>
      <c r="I193" s="42" t="n">
        <v>51541</v>
      </c>
      <c r="J193" s="42" t="n">
        <v>2797</v>
      </c>
      <c r="K193" s="42" t="n">
        <v>483</v>
      </c>
      <c r="L193" s="43" t="n"/>
      <c r="M193" s="44" t="n"/>
      <c r="N193" s="44" t="inlineStr">
        <is>
          <t>UCKZo4N0lVPccBkSiuyVh4yg</t>
        </is>
      </c>
      <c r="O193" s="45" t="n">
        <v>46003.90138888889</v>
      </c>
      <c r="P193" s="46" t="n">
        <v>46003</v>
      </c>
      <c r="Q193" s="44" t="n">
        <v>3079</v>
      </c>
      <c r="R193" s="44" t="inlineStr">
        <is>
          <t>No Video ID yet</t>
        </is>
      </c>
      <c r="S193" s="46" t="n"/>
      <c r="T193" s="46" t="n"/>
      <c r="U193" s="44" t="n"/>
      <c r="V193" s="44">
        <f>IF(AND(P193&gt;=Calendar!$K$2,P193&lt;EDATE(Calendar!$K$2,1),OR(Calendar!$K$4="*",N193=Calendar!$K$4)),P193*100+COUNTIFS($P$6:$P$3271,P193,$Q$6:$Q$3271,"&lt;="&amp;Q193,$N$6:$N$3271,Calendar!$K$4),"")</f>
        <v/>
      </c>
      <c r="W193" s="44">
        <f>IF(AND(B193=Queue!$C$4,OR(Queue!$K$4="*",N193=Queue!$K$4)),Q193,"")</f>
        <v/>
      </c>
    </row>
    <row r="194">
      <c r="A194" s="35">
        <f>IF(M194="","",HYPERLINK("https://www.youtube.com/watch?v="&amp;M194,"▶"))</f>
        <v/>
      </c>
      <c r="B194" s="36">
        <f>IF(C194&lt;&gt;"",C194,IF(P194&lt;=IFERROR(INDEX(tblChannels[Watched Through],MATCH(N194,tblChannels[Channel ID],0)),0),"Watched","Unwatched"))</f>
        <v/>
      </c>
      <c r="C194" s="37" t="n"/>
      <c r="D194" s="38" t="n"/>
      <c r="E194" s="39" t="n">
        <v>46003.41666666666</v>
      </c>
      <c r="F194" s="40" t="inlineStr">
        <is>
          <t>Popcorn Culture</t>
        </is>
      </c>
      <c r="G194" t="inlineStr">
        <is>
          <t>Stains of Tears and Salt | Popcorn Culture</t>
        </is>
      </c>
      <c r="H194" s="41" t="n">
        <v>0.04491898148148148</v>
      </c>
      <c r="I194" s="42" t="n">
        <v>2845</v>
      </c>
      <c r="J194" s="42" t="n">
        <v>138</v>
      </c>
      <c r="K194" s="42" t="n">
        <v>23</v>
      </c>
      <c r="L194" s="43" t="n"/>
      <c r="M194" s="44" t="n"/>
      <c r="N194" s="44" t="inlineStr">
        <is>
          <t>UCHfIbq9thHPC8yrKjAdJgDA</t>
        </is>
      </c>
      <c r="O194" s="45" t="n">
        <v>46003.625</v>
      </c>
      <c r="P194" s="46" t="n">
        <v>46003</v>
      </c>
      <c r="Q194" s="44" t="n">
        <v>3078</v>
      </c>
      <c r="R194" s="44" t="inlineStr">
        <is>
          <t>No Video ID yet</t>
        </is>
      </c>
      <c r="S194" s="46" t="n"/>
      <c r="T194" s="46" t="n"/>
      <c r="U194" s="44" t="n"/>
      <c r="V194" s="44">
        <f>IF(AND(P194&gt;=Calendar!$K$2,P194&lt;EDATE(Calendar!$K$2,1),OR(Calendar!$K$4="*",N194=Calendar!$K$4)),P194*100+COUNTIFS($P$6:$P$3271,P194,$Q$6:$Q$3271,"&lt;="&amp;Q194,$N$6:$N$3271,Calendar!$K$4),"")</f>
        <v/>
      </c>
      <c r="W194" s="44">
        <f>IF(AND(B194=Queue!$C$4,OR(Queue!$K$4="*",N194=Queue!$K$4)),Q194,"")</f>
        <v/>
      </c>
    </row>
    <row r="195">
      <c r="A195" s="35">
        <f>IF(M195="","",HYPERLINK("https://www.youtube.com/watch?v="&amp;M195,"▶"))</f>
        <v/>
      </c>
      <c r="B195" s="36">
        <f>IF(C195&lt;&gt;"",C195,IF(P195&lt;=IFERROR(INDEX(tblChannels[Watched Through],MATCH(N195,tblChannels[Channel ID],0)),0),"Watched","Unwatched"))</f>
        <v/>
      </c>
      <c r="C195" s="37" t="n"/>
      <c r="D195" s="38" t="n"/>
      <c r="E195" s="39" t="n">
        <v>46001.70694444444</v>
      </c>
      <c r="F195" s="47" t="inlineStr">
        <is>
          <t>Super Carlin Brothers</t>
        </is>
      </c>
      <c r="G195" t="inlineStr">
        <is>
          <t>Harry Potter and the 1,000-Year War | Gryffindor vs Slytherin</t>
        </is>
      </c>
      <c r="H195" s="41" t="n">
        <v>0.01365740740740741</v>
      </c>
      <c r="I195" s="42" t="n">
        <v>86547</v>
      </c>
      <c r="J195" s="42" t="n">
        <v>3760</v>
      </c>
      <c r="K195" s="42" t="n">
        <v>349</v>
      </c>
      <c r="L195" s="43" t="n"/>
      <c r="M195" s="44" t="n"/>
      <c r="N195" s="44" t="inlineStr">
        <is>
          <t>UCKZo4N0lVPccBkSiuyVh4yg</t>
        </is>
      </c>
      <c r="O195" s="45" t="n">
        <v>46001.91527777778</v>
      </c>
      <c r="P195" s="46" t="n">
        <v>46001</v>
      </c>
      <c r="Q195" s="44" t="n">
        <v>3077</v>
      </c>
      <c r="R195" s="44" t="inlineStr">
        <is>
          <t>No Video ID yet</t>
        </is>
      </c>
      <c r="S195" s="46" t="n"/>
      <c r="T195" s="46" t="n"/>
      <c r="U195" s="44" t="n"/>
      <c r="V195" s="44">
        <f>IF(AND(P195&gt;=Calendar!$K$2,P195&lt;EDATE(Calendar!$K$2,1),OR(Calendar!$K$4="*",N195=Calendar!$K$4)),P195*100+COUNTIFS($P$6:$P$3271,P195,$Q$6:$Q$3271,"&lt;="&amp;Q195,$N$6:$N$3271,Calendar!$K$4),"")</f>
        <v/>
      </c>
      <c r="W195" s="44">
        <f>IF(AND(B195=Queue!$C$4,OR(Queue!$K$4="*",N195=Queue!$K$4)),Q195,"")</f>
        <v/>
      </c>
    </row>
    <row r="196">
      <c r="A196" s="35">
        <f>IF(M196="","",HYPERLINK("https://www.youtube.com/watch?v="&amp;M196,"▶"))</f>
        <v/>
      </c>
      <c r="B196" s="36">
        <f>IF(C196&lt;&gt;"",C196,IF(P196&lt;=IFERROR(INDEX(tblChannels[Watched Through],MATCH(N196,tblChannels[Channel ID],0)),0),"Watched","Unwatched"))</f>
        <v/>
      </c>
      <c r="C196" s="37" t="n"/>
      <c r="D196" s="38" t="n"/>
      <c r="E196" s="39" t="n">
        <v>45998.41736111111</v>
      </c>
      <c r="F196" s="48" t="inlineStr">
        <is>
          <t>Through The Griffin Door</t>
        </is>
      </c>
      <c r="G196" t="inlineStr">
        <is>
          <t>Chapter 15: The Hogwarts High Inquisitor | Order of the Phoenix</t>
        </is>
      </c>
      <c r="H196" s="41" t="n">
        <v>0.07233796296296297</v>
      </c>
      <c r="I196" s="42" t="n">
        <v>42891</v>
      </c>
      <c r="J196" s="42" t="n">
        <v>1138</v>
      </c>
      <c r="K196" s="42" t="n">
        <v>345</v>
      </c>
      <c r="L196" s="43" t="n"/>
      <c r="M196" s="44" t="n"/>
      <c r="N196" s="44" t="inlineStr">
        <is>
          <t>UCEscP6ETYXWSSvsNrDHekMQ</t>
        </is>
      </c>
      <c r="O196" s="45" t="n">
        <v>45998.62569444445</v>
      </c>
      <c r="P196" s="46" t="n">
        <v>45998</v>
      </c>
      <c r="Q196" s="44" t="n">
        <v>3076</v>
      </c>
      <c r="R196" s="44" t="inlineStr">
        <is>
          <t>No Video ID yet</t>
        </is>
      </c>
      <c r="S196" s="46" t="n"/>
      <c r="T196" s="46" t="n"/>
      <c r="U196" s="44" t="n"/>
      <c r="V196" s="44">
        <f>IF(AND(P196&gt;=Calendar!$K$2,P196&lt;EDATE(Calendar!$K$2,1),OR(Calendar!$K$4="*",N196=Calendar!$K$4)),P196*100+COUNTIFS($P$6:$P$3271,P196,$Q$6:$Q$3271,"&lt;="&amp;Q196,$N$6:$N$3271,Calendar!$K$4),"")</f>
        <v/>
      </c>
      <c r="W196" s="44">
        <f>IF(AND(B196=Queue!$C$4,OR(Queue!$K$4="*",N196=Queue!$K$4)),Q196,"")</f>
        <v/>
      </c>
    </row>
    <row r="197">
      <c r="A197" s="35">
        <f>IF(M197="","",HYPERLINK("https://www.youtube.com/watch?v="&amp;M197,"▶"))</f>
        <v/>
      </c>
      <c r="B197" s="36">
        <f>IF(C197&lt;&gt;"",C197,IF(P197&lt;=IFERROR(INDEX(tblChannels[Watched Through],MATCH(N197,tblChannels[Channel ID],0)),0),"Watched","Unwatched"))</f>
        <v/>
      </c>
      <c r="C197" s="37" t="n"/>
      <c r="D197" s="38" t="n"/>
      <c r="E197" s="39" t="n">
        <v>45996.63263888889</v>
      </c>
      <c r="F197" s="47" t="inlineStr">
        <is>
          <t>Super Carlin Brothers</t>
        </is>
      </c>
      <c r="G197" t="inlineStr">
        <is>
          <t>Dumbledore Was Snape’s Secret Keeper?! | Harry Potter Theory</t>
        </is>
      </c>
      <c r="H197" s="41" t="n">
        <v>0.01260416666666667</v>
      </c>
      <c r="I197" s="42" t="n">
        <v>79068</v>
      </c>
      <c r="J197" s="42" t="n">
        <v>3717</v>
      </c>
      <c r="K197" s="42" t="n">
        <v>401</v>
      </c>
      <c r="L197" s="43" t="n"/>
      <c r="M197" s="44" t="n"/>
      <c r="N197" s="44" t="inlineStr">
        <is>
          <t>UCKZo4N0lVPccBkSiuyVh4yg</t>
        </is>
      </c>
      <c r="O197" s="45" t="n">
        <v>45996.84097222222</v>
      </c>
      <c r="P197" s="46" t="n">
        <v>45996</v>
      </c>
      <c r="Q197" s="44" t="n">
        <v>3075</v>
      </c>
      <c r="R197" s="44" t="inlineStr">
        <is>
          <t>No Video ID yet</t>
        </is>
      </c>
      <c r="S197" s="46" t="n"/>
      <c r="T197" s="46" t="n"/>
      <c r="U197" s="44" t="n"/>
      <c r="V197" s="44">
        <f>IF(AND(P197&gt;=Calendar!$K$2,P197&lt;EDATE(Calendar!$K$2,1),OR(Calendar!$K$4="*",N197=Calendar!$K$4)),P197*100+COUNTIFS($P$6:$P$3271,P197,$Q$6:$Q$3271,"&lt;="&amp;Q197,$N$6:$N$3271,Calendar!$K$4),"")</f>
        <v/>
      </c>
      <c r="W197" s="44">
        <f>IF(AND(B197=Queue!$C$4,OR(Queue!$K$4="*",N197=Queue!$K$4)),Q197,"")</f>
        <v/>
      </c>
    </row>
    <row r="198">
      <c r="A198" s="35">
        <f>IF(M198="","",HYPERLINK("https://www.youtube.com/watch?v="&amp;M198,"▶"))</f>
        <v/>
      </c>
      <c r="B198" s="36">
        <f>IF(C198&lt;&gt;"",C198,IF(P198&lt;=IFERROR(INDEX(tblChannels[Watched Through],MATCH(N198,tblChannels[Channel ID],0)),0),"Watched","Unwatched"))</f>
        <v/>
      </c>
      <c r="C198" s="37" t="n"/>
      <c r="D198" s="38" t="n"/>
      <c r="E198" s="39" t="n">
        <v>45996.41666666666</v>
      </c>
      <c r="F198" s="40" t="inlineStr">
        <is>
          <t>Popcorn Culture</t>
        </is>
      </c>
      <c r="G198" t="inlineStr">
        <is>
          <t>J’s Worst Memory | Popcorn Culture</t>
        </is>
      </c>
      <c r="H198" s="41" t="n">
        <v>0.05589120370370371</v>
      </c>
      <c r="I198" s="42" t="n">
        <v>3283</v>
      </c>
      <c r="J198" s="42" t="n">
        <v>170</v>
      </c>
      <c r="K198" s="42" t="n">
        <v>35</v>
      </c>
      <c r="L198" s="43" t="n"/>
      <c r="M198" s="44" t="n"/>
      <c r="N198" s="44" t="inlineStr">
        <is>
          <t>UCHfIbq9thHPC8yrKjAdJgDA</t>
        </is>
      </c>
      <c r="O198" s="45" t="n">
        <v>45996.625</v>
      </c>
      <c r="P198" s="46" t="n">
        <v>45996</v>
      </c>
      <c r="Q198" s="44" t="n">
        <v>3074</v>
      </c>
      <c r="R198" s="44" t="inlineStr">
        <is>
          <t>No Video ID yet</t>
        </is>
      </c>
      <c r="S198" s="46" t="n"/>
      <c r="T198" s="46" t="n"/>
      <c r="U198" s="44" t="n"/>
      <c r="V198" s="44">
        <f>IF(AND(P198&gt;=Calendar!$K$2,P198&lt;EDATE(Calendar!$K$2,1),OR(Calendar!$K$4="*",N198=Calendar!$K$4)),P198*100+COUNTIFS($P$6:$P$3271,P198,$Q$6:$Q$3271,"&lt;="&amp;Q198,$N$6:$N$3271,Calendar!$K$4),"")</f>
        <v/>
      </c>
      <c r="W198" s="44">
        <f>IF(AND(B198=Queue!$C$4,OR(Queue!$K$4="*",N198=Queue!$K$4)),Q198,"")</f>
        <v/>
      </c>
    </row>
    <row r="199">
      <c r="A199" s="35">
        <f>IF(M199="","",HYPERLINK("https://www.youtube.com/watch?v="&amp;M199,"▶"))</f>
        <v/>
      </c>
      <c r="B199" s="36">
        <f>IF(C199&lt;&gt;"",C199,IF(P199&lt;=IFERROR(INDEX(tblChannels[Watched Through],MATCH(N199,tblChannels[Channel ID],0)),0),"Watched","Unwatched"))</f>
        <v/>
      </c>
      <c r="C199" s="37" t="n"/>
      <c r="D199" s="38" t="n"/>
      <c r="E199" s="39" t="n">
        <v>45994.71180555555</v>
      </c>
      <c r="F199" s="47" t="inlineStr">
        <is>
          <t>Super Carlin Brothers</t>
        </is>
      </c>
      <c r="G199" t="inlineStr">
        <is>
          <t>J vs Ben: MAX DIFFICULTY Half-Blood Prince Open Book Harry Potter TRIVIA</t>
        </is>
      </c>
      <c r="H199" s="41" t="n">
        <v>0.03773148148148148</v>
      </c>
      <c r="I199" s="42" t="n">
        <v>82337</v>
      </c>
      <c r="J199" s="42" t="n">
        <v>2717</v>
      </c>
      <c r="K199" s="42" t="n">
        <v>302</v>
      </c>
      <c r="L199" s="43" t="n"/>
      <c r="M199" s="44" t="n"/>
      <c r="N199" s="44" t="inlineStr">
        <is>
          <t>UCKZo4N0lVPccBkSiuyVh4yg</t>
        </is>
      </c>
      <c r="O199" s="45" t="n">
        <v>45994.92013888889</v>
      </c>
      <c r="P199" s="46" t="n">
        <v>45994</v>
      </c>
      <c r="Q199" s="44" t="n">
        <v>3073</v>
      </c>
      <c r="R199" s="44" t="inlineStr">
        <is>
          <t>No Video ID yet</t>
        </is>
      </c>
      <c r="S199" s="46" t="n"/>
      <c r="T199" s="46" t="n"/>
      <c r="U199" s="44" t="n"/>
      <c r="V199" s="44">
        <f>IF(AND(P199&gt;=Calendar!$K$2,P199&lt;EDATE(Calendar!$K$2,1),OR(Calendar!$K$4="*",N199=Calendar!$K$4)),P199*100+COUNTIFS($P$6:$P$3271,P199,$Q$6:$Q$3271,"&lt;="&amp;Q199,$N$6:$N$3271,Calendar!$K$4),"")</f>
        <v/>
      </c>
      <c r="W199" s="44">
        <f>IF(AND(B199=Queue!$C$4,OR(Queue!$K$4="*",N199=Queue!$K$4)),Q199,"")</f>
        <v/>
      </c>
    </row>
    <row r="200">
      <c r="A200" s="35">
        <f>IF(M200="","",HYPERLINK("https://www.youtube.com/watch?v="&amp;M200,"▶"))</f>
        <v/>
      </c>
      <c r="B200" s="36">
        <f>IF(C200&lt;&gt;"",C200,IF(P200&lt;=IFERROR(INDEX(tblChannels[Watched Through],MATCH(N200,tblChannels[Channel ID],0)),0),"Watched","Unwatched"))</f>
        <v/>
      </c>
      <c r="C200" s="37" t="n"/>
      <c r="D200" s="38" t="n"/>
      <c r="E200" s="39" t="n">
        <v>45991.41736111111</v>
      </c>
      <c r="F200" s="48" t="inlineStr">
        <is>
          <t>Through The Griffin Door</t>
        </is>
      </c>
      <c r="G200" t="inlineStr">
        <is>
          <t>Chapter 14: Percy and Padfoot | Order of the Phoenix</t>
        </is>
      </c>
      <c r="H200" s="41" t="n">
        <v>0.07606481481481482</v>
      </c>
      <c r="I200" s="42" t="n">
        <v>47202</v>
      </c>
      <c r="J200" s="42" t="n">
        <v>1179</v>
      </c>
      <c r="K200" s="42" t="n">
        <v>331</v>
      </c>
      <c r="L200" s="43" t="n"/>
      <c r="M200" s="44" t="n"/>
      <c r="N200" s="44" t="inlineStr">
        <is>
          <t>UCEscP6ETYXWSSvsNrDHekMQ</t>
        </is>
      </c>
      <c r="O200" s="45" t="n">
        <v>45991.62569444445</v>
      </c>
      <c r="P200" s="46" t="n">
        <v>45991</v>
      </c>
      <c r="Q200" s="44" t="n">
        <v>3072</v>
      </c>
      <c r="R200" s="44" t="inlineStr">
        <is>
          <t>No Video ID yet</t>
        </is>
      </c>
      <c r="S200" s="46" t="n"/>
      <c r="T200" s="46" t="n"/>
      <c r="U200" s="44" t="n"/>
      <c r="V200" s="44">
        <f>IF(AND(P200&gt;=Calendar!$K$2,P200&lt;EDATE(Calendar!$K$2,1),OR(Calendar!$K$4="*",N200=Calendar!$K$4)),P200*100+COUNTIFS($P$6:$P$3271,P200,$Q$6:$Q$3271,"&lt;="&amp;Q200,$N$6:$N$3271,Calendar!$K$4),"")</f>
        <v/>
      </c>
      <c r="W200" s="44">
        <f>IF(AND(B200=Queue!$C$4,OR(Queue!$K$4="*",N200=Queue!$K$4)),Q200,"")</f>
        <v/>
      </c>
    </row>
    <row r="201">
      <c r="A201" s="35">
        <f>IF(M201="","",HYPERLINK("https://www.youtube.com/watch?v="&amp;M201,"▶"))</f>
        <v/>
      </c>
      <c r="B201" s="36">
        <f>IF(C201&lt;&gt;"",C201,IF(P201&lt;=IFERROR(INDEX(tblChannels[Watched Through],MATCH(N201,tblChannels[Channel ID],0)),0),"Watched","Unwatched"))</f>
        <v/>
      </c>
      <c r="C201" s="37" t="n"/>
      <c r="D201" s="38" t="n"/>
      <c r="E201" s="39" t="n">
        <v>45989.41666666666</v>
      </c>
      <c r="F201" s="40" t="inlineStr">
        <is>
          <t>Popcorn Culture</t>
        </is>
      </c>
      <c r="G201" t="inlineStr">
        <is>
          <t>Find Your Tribe | Popcorn Culture</t>
        </is>
      </c>
      <c r="H201" s="41" t="n">
        <v>0.05231481481481481</v>
      </c>
      <c r="I201" s="42" t="n">
        <v>2599</v>
      </c>
      <c r="J201" s="42" t="n">
        <v>126</v>
      </c>
      <c r="K201" s="42" t="n">
        <v>16</v>
      </c>
      <c r="L201" s="43" t="n"/>
      <c r="M201" s="44" t="n"/>
      <c r="N201" s="44" t="inlineStr">
        <is>
          <t>UCHfIbq9thHPC8yrKjAdJgDA</t>
        </is>
      </c>
      <c r="O201" s="45" t="n">
        <v>45989.625</v>
      </c>
      <c r="P201" s="46" t="n">
        <v>45989</v>
      </c>
      <c r="Q201" s="44" t="n">
        <v>3071</v>
      </c>
      <c r="R201" s="44" t="inlineStr">
        <is>
          <t>No Video ID yet</t>
        </is>
      </c>
      <c r="S201" s="46" t="n"/>
      <c r="T201" s="46" t="n"/>
      <c r="U201" s="44" t="n"/>
      <c r="V201" s="44">
        <f>IF(AND(P201&gt;=Calendar!$K$2,P201&lt;EDATE(Calendar!$K$2,1),OR(Calendar!$K$4="*",N201=Calendar!$K$4)),P201*100+COUNTIFS($P$6:$P$3271,P201,$Q$6:$Q$3271,"&lt;="&amp;Q201,$N$6:$N$3271,Calendar!$K$4),"")</f>
        <v/>
      </c>
      <c r="W201" s="44">
        <f>IF(AND(B201=Queue!$C$4,OR(Queue!$K$4="*",N201=Queue!$K$4)),Q201,"")</f>
        <v/>
      </c>
    </row>
    <row r="202">
      <c r="A202" s="35">
        <f>IF(M202="","",HYPERLINK("https://www.youtube.com/watch?v="&amp;M202,"▶"))</f>
        <v/>
      </c>
      <c r="B202" s="36">
        <f>IF(C202&lt;&gt;"",C202,IF(P202&lt;=IFERROR(INDEX(tblChannels[Watched Through],MATCH(N202,tblChannels[Channel ID],0)),0),"Watched","Unwatched"))</f>
        <v/>
      </c>
      <c r="C202" s="37" t="n"/>
      <c r="D202" s="38" t="n"/>
      <c r="E202" s="39" t="n">
        <v>45988.54166666666</v>
      </c>
      <c r="F202" s="47" t="inlineStr">
        <is>
          <t>Super Carlin Brothers</t>
        </is>
      </c>
      <c r="G202" t="inlineStr">
        <is>
          <t>J vs Ben: Goblet of Fire QUIZ Returns! (THERMAGEDDON 🔥 2.6 Million Scovilles!)</t>
        </is>
      </c>
      <c r="H202" s="41" t="n">
        <v>0.04445601851851852</v>
      </c>
      <c r="I202" s="42" t="n">
        <v>103849</v>
      </c>
      <c r="J202" s="42" t="n">
        <v>3904</v>
      </c>
      <c r="K202" s="42" t="n">
        <v>513</v>
      </c>
      <c r="L202" s="43" t="n"/>
      <c r="M202" s="44" t="n"/>
      <c r="N202" s="44" t="inlineStr">
        <is>
          <t>UCKZo4N0lVPccBkSiuyVh4yg</t>
        </is>
      </c>
      <c r="O202" s="45" t="n">
        <v>45988.75</v>
      </c>
      <c r="P202" s="46" t="n">
        <v>45988</v>
      </c>
      <c r="Q202" s="44" t="n">
        <v>3070</v>
      </c>
      <c r="R202" s="44" t="inlineStr">
        <is>
          <t>No Video ID yet</t>
        </is>
      </c>
      <c r="S202" s="46" t="n"/>
      <c r="T202" s="46" t="n"/>
      <c r="U202" s="44" t="n"/>
      <c r="V202" s="44">
        <f>IF(AND(P202&gt;=Calendar!$K$2,P202&lt;EDATE(Calendar!$K$2,1),OR(Calendar!$K$4="*",N202=Calendar!$K$4)),P202*100+COUNTIFS($P$6:$P$3271,P202,$Q$6:$Q$3271,"&lt;="&amp;Q202,$N$6:$N$3271,Calendar!$K$4),"")</f>
        <v/>
      </c>
      <c r="W202" s="44">
        <f>IF(AND(B202=Queue!$C$4,OR(Queue!$K$4="*",N202=Queue!$K$4)),Q202,"")</f>
        <v/>
      </c>
    </row>
    <row r="203">
      <c r="A203" s="35">
        <f>IF(M203="","",HYPERLINK("https://www.youtube.com/watch?v="&amp;M203,"▶"))</f>
        <v/>
      </c>
      <c r="B203" s="36">
        <f>IF(C203&lt;&gt;"",C203,IF(P203&lt;=IFERROR(INDEX(tblChannels[Watched Through],MATCH(N203,tblChannels[Channel ID],0)),0),"Watched","Unwatched"))</f>
        <v/>
      </c>
      <c r="C203" s="37" t="n"/>
      <c r="D203" s="38" t="n"/>
      <c r="E203" s="39" t="n">
        <v>45987.63125</v>
      </c>
      <c r="F203" s="47" t="inlineStr">
        <is>
          <t>Super Carlin Brothers</t>
        </is>
      </c>
      <c r="G203" t="inlineStr">
        <is>
          <t>The VEIL Created the Deathly Hallows?! | Harry Potter Theory</t>
        </is>
      </c>
      <c r="H203" s="41" t="n">
        <v>0.01195601851851852</v>
      </c>
      <c r="I203" s="42" t="n">
        <v>91853</v>
      </c>
      <c r="J203" s="42" t="n">
        <v>4079</v>
      </c>
      <c r="K203" s="42" t="n">
        <v>438</v>
      </c>
      <c r="L203" s="43" t="n"/>
      <c r="M203" s="44" t="n"/>
      <c r="N203" s="44" t="inlineStr">
        <is>
          <t>UCKZo4N0lVPccBkSiuyVh4yg</t>
        </is>
      </c>
      <c r="O203" s="45" t="n">
        <v>45987.83958333333</v>
      </c>
      <c r="P203" s="46" t="n">
        <v>45987</v>
      </c>
      <c r="Q203" s="44" t="n">
        <v>3069</v>
      </c>
      <c r="R203" s="44" t="inlineStr">
        <is>
          <t>No Video ID yet</t>
        </is>
      </c>
      <c r="S203" s="46" t="n"/>
      <c r="T203" s="46" t="n"/>
      <c r="U203" s="44" t="n"/>
      <c r="V203" s="44">
        <f>IF(AND(P203&gt;=Calendar!$K$2,P203&lt;EDATE(Calendar!$K$2,1),OR(Calendar!$K$4="*",N203=Calendar!$K$4)),P203*100+COUNTIFS($P$6:$P$3271,P203,$Q$6:$Q$3271,"&lt;="&amp;Q203,$N$6:$N$3271,Calendar!$K$4),"")</f>
        <v/>
      </c>
      <c r="W203" s="44">
        <f>IF(AND(B203=Queue!$C$4,OR(Queue!$K$4="*",N203=Queue!$K$4)),Q203,"")</f>
        <v/>
      </c>
    </row>
    <row r="204">
      <c r="A204" s="35">
        <f>IF(M204="","",HYPERLINK("https://www.youtube.com/watch?v="&amp;M204,"▶"))</f>
        <v/>
      </c>
      <c r="B204" s="36">
        <f>IF(C204&lt;&gt;"",C204,IF(P204&lt;=IFERROR(INDEX(tblChannels[Watched Through],MATCH(N204,tblChannels[Channel ID],0)),0),"Watched","Unwatched"))</f>
        <v/>
      </c>
      <c r="C204" s="37" t="n"/>
      <c r="D204" s="38" t="n"/>
      <c r="E204" s="39" t="n">
        <v>45987.625</v>
      </c>
      <c r="F204" s="48" t="inlineStr">
        <is>
          <t>Through The Griffin Door</t>
        </is>
      </c>
      <c r="G204" t="inlineStr">
        <is>
          <t>Live in Cleveland - Chapter 13: Detention with Dolores | Order of the Phoenix</t>
        </is>
      </c>
      <c r="H204" s="41" t="n">
        <v>0.05125</v>
      </c>
      <c r="I204" s="42" t="n">
        <v>6440</v>
      </c>
      <c r="J204" s="42" t="n">
        <v>254</v>
      </c>
      <c r="K204" s="42" t="n">
        <v>79</v>
      </c>
      <c r="L204" s="43" t="n"/>
      <c r="M204" s="44" t="n"/>
      <c r="N204" s="44" t="inlineStr">
        <is>
          <t>UCEscP6ETYXWSSvsNrDHekMQ</t>
        </is>
      </c>
      <c r="O204" s="45" t="n">
        <v>45987.83333333334</v>
      </c>
      <c r="P204" s="46" t="n">
        <v>45987</v>
      </c>
      <c r="Q204" s="44" t="n">
        <v>3068</v>
      </c>
      <c r="R204" s="44" t="inlineStr">
        <is>
          <t>No Video ID yet</t>
        </is>
      </c>
      <c r="S204" s="46" t="n"/>
      <c r="T204" s="46" t="n"/>
      <c r="U204" s="44" t="n"/>
      <c r="V204" s="44">
        <f>IF(AND(P204&gt;=Calendar!$K$2,P204&lt;EDATE(Calendar!$K$2,1),OR(Calendar!$K$4="*",N204=Calendar!$K$4)),P204*100+COUNTIFS($P$6:$P$3271,P204,$Q$6:$Q$3271,"&lt;="&amp;Q204,$N$6:$N$3271,Calendar!$K$4),"")</f>
        <v/>
      </c>
      <c r="W204" s="44">
        <f>IF(AND(B204=Queue!$C$4,OR(Queue!$K$4="*",N204=Queue!$K$4)),Q204,"")</f>
        <v/>
      </c>
    </row>
    <row r="205">
      <c r="A205" s="35">
        <f>IF(M205="","",HYPERLINK("https://www.youtube.com/watch?v="&amp;M205,"▶"))</f>
        <v/>
      </c>
      <c r="B205" s="36">
        <f>IF(C205&lt;&gt;"",C205,IF(P205&lt;=IFERROR(INDEX(tblChannels[Watched Through],MATCH(N205,tblChannels[Channel ID],0)),0),"Watched","Unwatched"))</f>
        <v/>
      </c>
      <c r="C205" s="37" t="n"/>
      <c r="D205" s="38" t="n"/>
      <c r="E205" s="39" t="n">
        <v>45984.41736111111</v>
      </c>
      <c r="F205" s="48" t="inlineStr">
        <is>
          <t>Through The Griffin Door</t>
        </is>
      </c>
      <c r="G205" t="inlineStr">
        <is>
          <t>Chapter 13: Detention with Dolores | Order of the Phoenix</t>
        </is>
      </c>
      <c r="H205" s="41" t="n">
        <v>0.09174768518518518</v>
      </c>
      <c r="I205" s="42" t="n">
        <v>53370</v>
      </c>
      <c r="J205" s="42" t="n">
        <v>1250</v>
      </c>
      <c r="K205" s="42" t="n">
        <v>475</v>
      </c>
      <c r="L205" s="43" t="n"/>
      <c r="M205" s="44" t="n"/>
      <c r="N205" s="44" t="inlineStr">
        <is>
          <t>UCEscP6ETYXWSSvsNrDHekMQ</t>
        </is>
      </c>
      <c r="O205" s="45" t="n">
        <v>45984.62569444445</v>
      </c>
      <c r="P205" s="46" t="n">
        <v>45984</v>
      </c>
      <c r="Q205" s="44" t="n">
        <v>3067</v>
      </c>
      <c r="R205" s="44" t="inlineStr">
        <is>
          <t>No Video ID yet</t>
        </is>
      </c>
      <c r="S205" s="46" t="n"/>
      <c r="T205" s="46" t="n"/>
      <c r="U205" s="44" t="n"/>
      <c r="V205" s="44">
        <f>IF(AND(P205&gt;=Calendar!$K$2,P205&lt;EDATE(Calendar!$K$2,1),OR(Calendar!$K$4="*",N205=Calendar!$K$4)),P205*100+COUNTIFS($P$6:$P$3271,P205,$Q$6:$Q$3271,"&lt;="&amp;Q205,$N$6:$N$3271,Calendar!$K$4),"")</f>
        <v/>
      </c>
      <c r="W205" s="44">
        <f>IF(AND(B205=Queue!$C$4,OR(Queue!$K$4="*",N205=Queue!$K$4)),Q205,"")</f>
        <v/>
      </c>
    </row>
    <row r="206">
      <c r="A206" s="35">
        <f>IF(M206="","",HYPERLINK("https://www.youtube.com/watch?v="&amp;M206,"▶"))</f>
        <v/>
      </c>
      <c r="B206" s="36">
        <f>IF(C206&lt;&gt;"",C206,IF(P206&lt;=IFERROR(INDEX(tblChannels[Watched Through],MATCH(N206,tblChannels[Channel ID],0)),0),"Watched","Unwatched"))</f>
        <v/>
      </c>
      <c r="C206" s="37" t="n"/>
      <c r="D206" s="38" t="n"/>
      <c r="E206" s="39" t="n">
        <v>45982.68541666667</v>
      </c>
      <c r="F206" s="47" t="inlineStr">
        <is>
          <t>Super Carlin Brothers</t>
        </is>
      </c>
      <c r="G206" t="inlineStr">
        <is>
          <t>The Defense Against the Dark Arts Curse EXPLAINED | Harry Potter</t>
        </is>
      </c>
      <c r="H206" s="41" t="n">
        <v>0.01092592592592593</v>
      </c>
      <c r="I206" s="42" t="n">
        <v>85056</v>
      </c>
      <c r="J206" s="42" t="n">
        <v>3669</v>
      </c>
      <c r="K206" s="42" t="n">
        <v>448</v>
      </c>
      <c r="L206" s="43" t="n"/>
      <c r="M206" s="44" t="n"/>
      <c r="N206" s="44" t="inlineStr">
        <is>
          <t>UCKZo4N0lVPccBkSiuyVh4yg</t>
        </is>
      </c>
      <c r="O206" s="45" t="n">
        <v>45982.89375</v>
      </c>
      <c r="P206" s="46" t="n">
        <v>45982</v>
      </c>
      <c r="Q206" s="44" t="n">
        <v>3066</v>
      </c>
      <c r="R206" s="44" t="inlineStr">
        <is>
          <t>No Video ID yet</t>
        </is>
      </c>
      <c r="S206" s="46" t="n"/>
      <c r="T206" s="46" t="n"/>
      <c r="U206" s="44" t="n"/>
      <c r="V206" s="44">
        <f>IF(AND(P206&gt;=Calendar!$K$2,P206&lt;EDATE(Calendar!$K$2,1),OR(Calendar!$K$4="*",N206=Calendar!$K$4)),P206*100+COUNTIFS($P$6:$P$3271,P206,$Q$6:$Q$3271,"&lt;="&amp;Q206,$N$6:$N$3271,Calendar!$K$4),"")</f>
        <v/>
      </c>
      <c r="W206" s="44">
        <f>IF(AND(B206=Queue!$C$4,OR(Queue!$K$4="*",N206=Queue!$K$4)),Q206,"")</f>
        <v/>
      </c>
    </row>
    <row r="207">
      <c r="A207" s="35">
        <f>IF(M207="","",HYPERLINK("https://www.youtube.com/watch?v="&amp;M207,"▶"))</f>
        <v/>
      </c>
      <c r="B207" s="36">
        <f>IF(C207&lt;&gt;"",C207,IF(P207&lt;=IFERROR(INDEX(tblChannels[Watched Through],MATCH(N207,tblChannels[Channel ID],0)),0),"Watched","Unwatched"))</f>
        <v/>
      </c>
      <c r="C207" s="37" t="n"/>
      <c r="D207" s="38" t="n"/>
      <c r="E207" s="39" t="n">
        <v>45982.41666666666</v>
      </c>
      <c r="F207" s="40" t="inlineStr">
        <is>
          <t>Popcorn Culture</t>
        </is>
      </c>
      <c r="G207" t="inlineStr">
        <is>
          <t>Casually Castle Shopping | Popcorn Culture</t>
        </is>
      </c>
      <c r="H207" s="41" t="n">
        <v>0.05760416666666666</v>
      </c>
      <c r="I207" s="42" t="n">
        <v>3375</v>
      </c>
      <c r="J207" s="42" t="n">
        <v>145</v>
      </c>
      <c r="K207" s="42" t="n">
        <v>19</v>
      </c>
      <c r="L207" s="43" t="n"/>
      <c r="M207" s="44" t="n"/>
      <c r="N207" s="44" t="inlineStr">
        <is>
          <t>UCHfIbq9thHPC8yrKjAdJgDA</t>
        </is>
      </c>
      <c r="O207" s="45" t="n">
        <v>45982.625</v>
      </c>
      <c r="P207" s="46" t="n">
        <v>45982</v>
      </c>
      <c r="Q207" s="44" t="n">
        <v>3065</v>
      </c>
      <c r="R207" s="44" t="inlineStr">
        <is>
          <t>No Video ID yet</t>
        </is>
      </c>
      <c r="S207" s="46" t="n"/>
      <c r="T207" s="46" t="n"/>
      <c r="U207" s="44" t="n"/>
      <c r="V207" s="44">
        <f>IF(AND(P207&gt;=Calendar!$K$2,P207&lt;EDATE(Calendar!$K$2,1),OR(Calendar!$K$4="*",N207=Calendar!$K$4)),P207*100+COUNTIFS($P$6:$P$3271,P207,$Q$6:$Q$3271,"&lt;="&amp;Q207,$N$6:$N$3271,Calendar!$K$4),"")</f>
        <v/>
      </c>
      <c r="W207" s="44">
        <f>IF(AND(B207=Queue!$C$4,OR(Queue!$K$4="*",N207=Queue!$K$4)),Q207,"")</f>
        <v/>
      </c>
    </row>
    <row r="208">
      <c r="A208" s="35">
        <f>IF(M208="","",HYPERLINK("https://www.youtube.com/watch?v="&amp;M208,"▶"))</f>
        <v/>
      </c>
      <c r="B208" s="36">
        <f>IF(C208&lt;&gt;"",C208,IF(P208&lt;=IFERROR(INDEX(tblChannels[Watched Through],MATCH(N208,tblChannels[Channel ID],0)),0),"Watched","Unwatched"))</f>
        <v/>
      </c>
      <c r="C208" s="37" t="n"/>
      <c r="D208" s="38" t="n"/>
      <c r="E208" s="39" t="n">
        <v>45980.70208333333</v>
      </c>
      <c r="F208" s="47" t="inlineStr">
        <is>
          <t>Super Carlin Brothers</t>
        </is>
      </c>
      <c r="G208" t="inlineStr">
        <is>
          <t>J vs Ben: MAX DIFFICULTY Order of the Phoenix Open Book Harry Potter Trivia</t>
        </is>
      </c>
      <c r="H208" s="41" t="n">
        <v>0.03584490740740741</v>
      </c>
      <c r="I208" s="42" t="n">
        <v>82201</v>
      </c>
      <c r="J208" s="42" t="n">
        <v>2839</v>
      </c>
      <c r="K208" s="42" t="n">
        <v>345</v>
      </c>
      <c r="L208" s="43" t="n"/>
      <c r="M208" s="44" t="n"/>
      <c r="N208" s="44" t="inlineStr">
        <is>
          <t>UCKZo4N0lVPccBkSiuyVh4yg</t>
        </is>
      </c>
      <c r="O208" s="45" t="n">
        <v>45980.91041666667</v>
      </c>
      <c r="P208" s="46" t="n">
        <v>45980</v>
      </c>
      <c r="Q208" s="44" t="n">
        <v>3064</v>
      </c>
      <c r="R208" s="44" t="inlineStr">
        <is>
          <t>No Video ID yet</t>
        </is>
      </c>
      <c r="S208" s="46" t="n"/>
      <c r="T208" s="46" t="n"/>
      <c r="U208" s="44" t="n"/>
      <c r="V208" s="44">
        <f>IF(AND(P208&gt;=Calendar!$K$2,P208&lt;EDATE(Calendar!$K$2,1),OR(Calendar!$K$4="*",N208=Calendar!$K$4)),P208*100+COUNTIFS($P$6:$P$3271,P208,$Q$6:$Q$3271,"&lt;="&amp;Q208,$N$6:$N$3271,Calendar!$K$4),"")</f>
        <v/>
      </c>
      <c r="W208" s="44">
        <f>IF(AND(B208=Queue!$C$4,OR(Queue!$K$4="*",N208=Queue!$K$4)),Q208,"")</f>
        <v/>
      </c>
    </row>
    <row r="209">
      <c r="A209" s="35">
        <f>IF(M209="","",HYPERLINK("https://www.youtube.com/watch?v="&amp;M209,"▶"))</f>
        <v/>
      </c>
      <c r="B209" s="36">
        <f>IF(C209&lt;&gt;"",C209,IF(P209&lt;=IFERROR(INDEX(tblChannels[Watched Through],MATCH(N209,tblChannels[Channel ID],0)),0),"Watched","Unwatched"))</f>
        <v/>
      </c>
      <c r="C209" s="37" t="n"/>
      <c r="D209" s="38" t="n"/>
      <c r="E209" s="39" t="n">
        <v>45977.41736111111</v>
      </c>
      <c r="F209" s="48" t="inlineStr">
        <is>
          <t>Through The Griffin Door</t>
        </is>
      </c>
      <c r="G209" t="inlineStr">
        <is>
          <t>Live in Detroit - Chapter 12: Professor Umbridge | Order Of The Phoenix</t>
        </is>
      </c>
      <c r="H209" s="41" t="n">
        <v>0.05498842592592593</v>
      </c>
      <c r="I209" s="42" t="n">
        <v>10837</v>
      </c>
      <c r="J209" s="42" t="n">
        <v>442</v>
      </c>
      <c r="K209" s="42" t="n">
        <v>117</v>
      </c>
      <c r="L209" s="43" t="n"/>
      <c r="M209" s="44" t="n"/>
      <c r="N209" s="44" t="inlineStr">
        <is>
          <t>UCEscP6ETYXWSSvsNrDHekMQ</t>
        </is>
      </c>
      <c r="O209" s="45" t="n">
        <v>45977.62569444445</v>
      </c>
      <c r="P209" s="46" t="n">
        <v>45977</v>
      </c>
      <c r="Q209" s="44" t="n">
        <v>3063</v>
      </c>
      <c r="R209" s="44" t="inlineStr">
        <is>
          <t>No Video ID yet</t>
        </is>
      </c>
      <c r="S209" s="46" t="n"/>
      <c r="T209" s="46" t="n"/>
      <c r="U209" s="44" t="n"/>
      <c r="V209" s="44">
        <f>IF(AND(P209&gt;=Calendar!$K$2,P209&lt;EDATE(Calendar!$K$2,1),OR(Calendar!$K$4="*",N209=Calendar!$K$4)),P209*100+COUNTIFS($P$6:$P$3271,P209,$Q$6:$Q$3271,"&lt;="&amp;Q209,$N$6:$N$3271,Calendar!$K$4),"")</f>
        <v/>
      </c>
      <c r="W209" s="44">
        <f>IF(AND(B209=Queue!$C$4,OR(Queue!$K$4="*",N209=Queue!$K$4)),Q209,"")</f>
        <v/>
      </c>
    </row>
    <row r="210">
      <c r="A210" s="35">
        <f>IF(M210="","",HYPERLINK("https://www.youtube.com/watch?v="&amp;M210,"▶"))</f>
        <v/>
      </c>
      <c r="B210" s="36">
        <f>IF(C210&lt;&gt;"",C210,IF(P210&lt;=IFERROR(INDEX(tblChannels[Watched Through],MATCH(N210,tblChannels[Channel ID],0)),0),"Watched","Unwatched"))</f>
        <v/>
      </c>
      <c r="C210" s="37" t="n"/>
      <c r="D210" s="38" t="n"/>
      <c r="E210" s="39" t="n">
        <v>45976.41666666666</v>
      </c>
      <c r="F210" s="47" t="inlineStr">
        <is>
          <t>Super Carlin Brothers</t>
        </is>
      </c>
      <c r="G210" t="inlineStr">
        <is>
          <t>Through the Griffin Door Supercut: Order of the Phoenix Chapters 10-12</t>
        </is>
      </c>
      <c r="H210" s="41" t="n">
        <v>0.2289467592592593</v>
      </c>
      <c r="I210" s="42" t="n">
        <v>10206</v>
      </c>
      <c r="J210" s="42" t="n">
        <v>206</v>
      </c>
      <c r="K210" s="42" t="n">
        <v>24</v>
      </c>
      <c r="L210" s="43" t="n"/>
      <c r="M210" s="44" t="n"/>
      <c r="N210" s="44" t="inlineStr">
        <is>
          <t>UCKZo4N0lVPccBkSiuyVh4yg</t>
        </is>
      </c>
      <c r="O210" s="45" t="n">
        <v>45976.625</v>
      </c>
      <c r="P210" s="46" t="n">
        <v>45976</v>
      </c>
      <c r="Q210" s="44" t="n">
        <v>3062</v>
      </c>
      <c r="R210" s="44" t="inlineStr">
        <is>
          <t>No Video ID yet</t>
        </is>
      </c>
      <c r="S210" s="46" t="n"/>
      <c r="T210" s="46" t="n"/>
      <c r="U210" s="44" t="n"/>
      <c r="V210" s="44">
        <f>IF(AND(P210&gt;=Calendar!$K$2,P210&lt;EDATE(Calendar!$K$2,1),OR(Calendar!$K$4="*",N210=Calendar!$K$4)),P210*100+COUNTIFS($P$6:$P$3271,P210,$Q$6:$Q$3271,"&lt;="&amp;Q210,$N$6:$N$3271,Calendar!$K$4),"")</f>
        <v/>
      </c>
      <c r="W210" s="44">
        <f>IF(AND(B210=Queue!$C$4,OR(Queue!$K$4="*",N210=Queue!$K$4)),Q210,"")</f>
        <v/>
      </c>
    </row>
    <row r="211">
      <c r="A211" s="35">
        <f>IF(M211="","",HYPERLINK("https://www.youtube.com/watch?v="&amp;M211,"▶"))</f>
        <v/>
      </c>
      <c r="B211" s="36">
        <f>IF(C211&lt;&gt;"",C211,IF(P211&lt;=IFERROR(INDEX(tblChannels[Watched Through],MATCH(N211,tblChannels[Channel ID],0)),0),"Watched","Unwatched"))</f>
        <v/>
      </c>
      <c r="C211" s="37" t="n"/>
      <c r="D211" s="38" t="n"/>
      <c r="E211" s="39" t="n">
        <v>45975.69166666667</v>
      </c>
      <c r="F211" s="47" t="inlineStr">
        <is>
          <t>Super Carlin Brothers</t>
        </is>
      </c>
      <c r="G211" t="inlineStr">
        <is>
          <t>A SCATHING Review of The Order of the Phoenix | Harry Potter</t>
        </is>
      </c>
      <c r="H211" s="41" t="n">
        <v>0.0143287037037037</v>
      </c>
      <c r="I211" s="42" t="n">
        <v>186695</v>
      </c>
      <c r="J211" s="42" t="n">
        <v>6080</v>
      </c>
      <c r="K211" s="42" t="n">
        <v>766</v>
      </c>
      <c r="L211" s="43" t="n"/>
      <c r="M211" s="44" t="n"/>
      <c r="N211" s="44" t="inlineStr">
        <is>
          <t>UCKZo4N0lVPccBkSiuyVh4yg</t>
        </is>
      </c>
      <c r="O211" s="45" t="n">
        <v>45975.9</v>
      </c>
      <c r="P211" s="46" t="n">
        <v>45975</v>
      </c>
      <c r="Q211" s="44" t="n">
        <v>3061</v>
      </c>
      <c r="R211" s="44" t="inlineStr">
        <is>
          <t>No Video ID yet</t>
        </is>
      </c>
      <c r="S211" s="46" t="n"/>
      <c r="T211" s="46" t="n"/>
      <c r="U211" s="44" t="n"/>
      <c r="V211" s="44">
        <f>IF(AND(P211&gt;=Calendar!$K$2,P211&lt;EDATE(Calendar!$K$2,1),OR(Calendar!$K$4="*",N211=Calendar!$K$4)),P211*100+COUNTIFS($P$6:$P$3271,P211,$Q$6:$Q$3271,"&lt;="&amp;Q211,$N$6:$N$3271,Calendar!$K$4),"")</f>
        <v/>
      </c>
      <c r="W211" s="44">
        <f>IF(AND(B211=Queue!$C$4,OR(Queue!$K$4="*",N211=Queue!$K$4)),Q211,"")</f>
        <v/>
      </c>
    </row>
    <row r="212">
      <c r="A212" s="35">
        <f>IF(M212="","",HYPERLINK("https://www.youtube.com/watch?v="&amp;M212,"▶"))</f>
        <v/>
      </c>
      <c r="B212" s="36">
        <f>IF(C212&lt;&gt;"",C212,IF(P212&lt;=IFERROR(INDEX(tblChannels[Watched Through],MATCH(N212,tblChannels[Channel ID],0)),0),"Watched","Unwatched"))</f>
        <v/>
      </c>
      <c r="C212" s="37" t="n"/>
      <c r="D212" s="38" t="n"/>
      <c r="E212" s="39" t="n">
        <v>45975.41666666666</v>
      </c>
      <c r="F212" s="40" t="inlineStr">
        <is>
          <t>Popcorn Culture</t>
        </is>
      </c>
      <c r="G212" t="inlineStr">
        <is>
          <t>"Yes, And..." | Popcorn Culture</t>
        </is>
      </c>
      <c r="H212" s="41" t="n">
        <v>0.04606481481481482</v>
      </c>
      <c r="I212" s="42" t="n">
        <v>2939</v>
      </c>
      <c r="J212" s="42" t="n">
        <v>138</v>
      </c>
      <c r="K212" s="42" t="n">
        <v>15</v>
      </c>
      <c r="L212" s="43" t="n"/>
      <c r="M212" s="44" t="n"/>
      <c r="N212" s="44" t="inlineStr">
        <is>
          <t>UCHfIbq9thHPC8yrKjAdJgDA</t>
        </is>
      </c>
      <c r="O212" s="45" t="n">
        <v>45975.625</v>
      </c>
      <c r="P212" s="46" t="n">
        <v>45975</v>
      </c>
      <c r="Q212" s="44" t="n">
        <v>3060</v>
      </c>
      <c r="R212" s="44" t="inlineStr">
        <is>
          <t>No Video ID yet</t>
        </is>
      </c>
      <c r="S212" s="46" t="n"/>
      <c r="T212" s="46" t="n"/>
      <c r="U212" s="44" t="n"/>
      <c r="V212" s="44">
        <f>IF(AND(P212&gt;=Calendar!$K$2,P212&lt;EDATE(Calendar!$K$2,1),OR(Calendar!$K$4="*",N212=Calendar!$K$4)),P212*100+COUNTIFS($P$6:$P$3271,P212,$Q$6:$Q$3271,"&lt;="&amp;Q212,$N$6:$N$3271,Calendar!$K$4),"")</f>
        <v/>
      </c>
      <c r="W212" s="44">
        <f>IF(AND(B212=Queue!$C$4,OR(Queue!$K$4="*",N212=Queue!$K$4)),Q212,"")</f>
        <v/>
      </c>
    </row>
    <row r="213">
      <c r="A213" s="35">
        <f>IF(M213="","",HYPERLINK("https://www.youtube.com/watch?v="&amp;M213,"▶"))</f>
        <v/>
      </c>
      <c r="B213" s="36">
        <f>IF(C213&lt;&gt;"",C213,IF(P213&lt;=IFERROR(INDEX(tblChannels[Watched Through],MATCH(N213,tblChannels[Channel ID],0)),0),"Watched","Unwatched"))</f>
        <v/>
      </c>
      <c r="C213" s="37" t="n"/>
      <c r="D213" s="38" t="n"/>
      <c r="E213" s="39" t="n">
        <v>45973.71944444445</v>
      </c>
      <c r="F213" s="47" t="inlineStr">
        <is>
          <t>Super Carlin Brothers</t>
        </is>
      </c>
      <c r="G213" t="inlineStr">
        <is>
          <t>The Invisibility Cloak’s SECRET Power | Harry Potter Theory</t>
        </is>
      </c>
      <c r="H213" s="41" t="n">
        <v>0.01297453703703704</v>
      </c>
      <c r="I213" s="42" t="n">
        <v>132393</v>
      </c>
      <c r="J213" s="42" t="n">
        <v>5518</v>
      </c>
      <c r="K213" s="42" t="n">
        <v>612</v>
      </c>
      <c r="L213" s="43" t="n"/>
      <c r="M213" s="44" t="n"/>
      <c r="N213" s="44" t="inlineStr">
        <is>
          <t>UCKZo4N0lVPccBkSiuyVh4yg</t>
        </is>
      </c>
      <c r="O213" s="45" t="n">
        <v>45973.92777777778</v>
      </c>
      <c r="P213" s="46" t="n">
        <v>45973</v>
      </c>
      <c r="Q213" s="44" t="n">
        <v>3059</v>
      </c>
      <c r="R213" s="44" t="inlineStr">
        <is>
          <t>No Video ID yet</t>
        </is>
      </c>
      <c r="S213" s="46" t="n"/>
      <c r="T213" s="46" t="n"/>
      <c r="U213" s="44" t="n"/>
      <c r="V213" s="44">
        <f>IF(AND(P213&gt;=Calendar!$K$2,P213&lt;EDATE(Calendar!$K$2,1),OR(Calendar!$K$4="*",N213=Calendar!$K$4)),P213*100+COUNTIFS($P$6:$P$3271,P213,$Q$6:$Q$3271,"&lt;="&amp;Q213,$N$6:$N$3271,Calendar!$K$4),"")</f>
        <v/>
      </c>
      <c r="W213" s="44">
        <f>IF(AND(B213=Queue!$C$4,OR(Queue!$K$4="*",N213=Queue!$K$4)),Q213,"")</f>
        <v/>
      </c>
    </row>
    <row r="214">
      <c r="A214" s="35">
        <f>IF(M214="","",HYPERLINK("https://www.youtube.com/watch?v="&amp;M214,"▶"))</f>
        <v/>
      </c>
      <c r="B214" s="36">
        <f>IF(C214&lt;&gt;"",C214,IF(P214&lt;=IFERROR(INDEX(tblChannels[Watched Through],MATCH(N214,tblChannels[Channel ID],0)),0),"Watched","Unwatched"))</f>
        <v/>
      </c>
      <c r="C214" s="37" t="n"/>
      <c r="D214" s="38" t="n"/>
      <c r="E214" s="39" t="n">
        <v>45973.2125</v>
      </c>
      <c r="F214" s="49" t="inlineStr">
        <is>
          <t>Super Carlin Gaming</t>
        </is>
      </c>
      <c r="G214" t="inlineStr">
        <is>
          <t>BEN PLAYS DIABLO 2 FOR NO REASON ON A TUESDAY DIABLO 2SDAY ANYONE?</t>
        </is>
      </c>
      <c r="H214" s="41" t="n">
        <v>0.05857638888888889</v>
      </c>
      <c r="I214" s="42" t="n">
        <v>1344</v>
      </c>
      <c r="J214" s="42" t="n">
        <v>73</v>
      </c>
      <c r="K214" s="42" t="n">
        <v>13</v>
      </c>
      <c r="L214" s="43" t="n"/>
      <c r="M214" s="44" t="n"/>
      <c r="N214" s="44" t="inlineStr">
        <is>
          <t>UCor_9jRnNNZVzTuQ92PKsaQ</t>
        </is>
      </c>
      <c r="O214" s="45" t="n">
        <v>45973.42083333333</v>
      </c>
      <c r="P214" s="46" t="n">
        <v>45973</v>
      </c>
      <c r="Q214" s="44" t="n">
        <v>3058</v>
      </c>
      <c r="R214" s="44" t="inlineStr">
        <is>
          <t>No Video ID yet</t>
        </is>
      </c>
      <c r="S214" s="46" t="n"/>
      <c r="T214" s="46" t="n"/>
      <c r="U214" s="44" t="n"/>
      <c r="V214" s="44">
        <f>IF(AND(P214&gt;=Calendar!$K$2,P214&lt;EDATE(Calendar!$K$2,1),OR(Calendar!$K$4="*",N214=Calendar!$K$4)),P214*100+COUNTIFS($P$6:$P$3271,P214,$Q$6:$Q$3271,"&lt;="&amp;Q214,$N$6:$N$3271,Calendar!$K$4),"")</f>
        <v/>
      </c>
      <c r="W214" s="44">
        <f>IF(AND(B214=Queue!$C$4,OR(Queue!$K$4="*",N214=Queue!$K$4)),Q214,"")</f>
        <v/>
      </c>
    </row>
    <row r="215">
      <c r="A215" s="35">
        <f>IF(M215="","",HYPERLINK("https://www.youtube.com/watch?v="&amp;M215,"▶"))</f>
        <v/>
      </c>
      <c r="B215" s="36">
        <f>IF(C215&lt;&gt;"",C215,IF(P215&lt;=IFERROR(INDEX(tblChannels[Watched Through],MATCH(N215,tblChannels[Channel ID],0)),0),"Watched","Unwatched"))</f>
        <v/>
      </c>
      <c r="C215" s="37" t="n"/>
      <c r="D215" s="38" t="n"/>
      <c r="E215" s="39" t="n">
        <v>45970.41666666666</v>
      </c>
      <c r="F215" s="48" t="inlineStr">
        <is>
          <t>Through The Griffin Door</t>
        </is>
      </c>
      <c r="G215" t="inlineStr">
        <is>
          <t>Chapter 12: Professor Umbridge | Order of the Phoenix</t>
        </is>
      </c>
      <c r="H215" s="41" t="n">
        <v>0.07526620370370371</v>
      </c>
      <c r="I215" s="42" t="n">
        <v>49505</v>
      </c>
      <c r="J215" s="42" t="n">
        <v>1243</v>
      </c>
      <c r="K215" s="42" t="n">
        <v>462</v>
      </c>
      <c r="L215" s="43" t="n"/>
      <c r="M215" s="44" t="n"/>
      <c r="N215" s="44" t="inlineStr">
        <is>
          <t>UCEscP6ETYXWSSvsNrDHekMQ</t>
        </is>
      </c>
      <c r="O215" s="45" t="n">
        <v>45970.625</v>
      </c>
      <c r="P215" s="46" t="n">
        <v>45970</v>
      </c>
      <c r="Q215" s="44" t="n">
        <v>3057</v>
      </c>
      <c r="R215" s="44" t="inlineStr">
        <is>
          <t>No Video ID yet</t>
        </is>
      </c>
      <c r="S215" s="46" t="n"/>
      <c r="T215" s="46" t="n"/>
      <c r="U215" s="44" t="n"/>
      <c r="V215" s="44">
        <f>IF(AND(P215&gt;=Calendar!$K$2,P215&lt;EDATE(Calendar!$K$2,1),OR(Calendar!$K$4="*",N215=Calendar!$K$4)),P215*100+COUNTIFS($P$6:$P$3271,P215,$Q$6:$Q$3271,"&lt;="&amp;Q215,$N$6:$N$3271,Calendar!$K$4),"")</f>
        <v/>
      </c>
      <c r="W215" s="44">
        <f>IF(AND(B215=Queue!$C$4,OR(Queue!$K$4="*",N215=Queue!$K$4)),Q215,"")</f>
        <v/>
      </c>
    </row>
    <row r="216">
      <c r="A216" s="35">
        <f>IF(M216="","",HYPERLINK("https://www.youtube.com/watch?v="&amp;M216,"▶"))</f>
        <v/>
      </c>
      <c r="B216" s="36">
        <f>IF(C216&lt;&gt;"",C216,IF(P216&lt;=IFERROR(INDEX(tblChannels[Watched Through],MATCH(N216,tblChannels[Channel ID],0)),0),"Watched","Unwatched"))</f>
        <v/>
      </c>
      <c r="C216" s="37" t="n"/>
      <c r="D216" s="38" t="n"/>
      <c r="E216" s="39" t="n">
        <v>45968.70208333333</v>
      </c>
      <c r="F216" s="47" t="inlineStr">
        <is>
          <t>Super Carlin Brothers</t>
        </is>
      </c>
      <c r="G216" t="inlineStr">
        <is>
          <t>J vs Ben: Wheel of Punishment RETURNS - Harry Potter Trivia Quiz</t>
        </is>
      </c>
      <c r="H216" s="41" t="n">
        <v>0.03971064814814815</v>
      </c>
      <c r="I216" s="42" t="n">
        <v>106246</v>
      </c>
      <c r="J216" s="42" t="n">
        <v>3706</v>
      </c>
      <c r="K216" s="42" t="n">
        <v>464</v>
      </c>
      <c r="L216" s="43" t="n"/>
      <c r="M216" s="44" t="n"/>
      <c r="N216" s="44" t="inlineStr">
        <is>
          <t>UCKZo4N0lVPccBkSiuyVh4yg</t>
        </is>
      </c>
      <c r="O216" s="45" t="n">
        <v>45968.91041666667</v>
      </c>
      <c r="P216" s="46" t="n">
        <v>45968</v>
      </c>
      <c r="Q216" s="44" t="n">
        <v>3056</v>
      </c>
      <c r="R216" s="44" t="inlineStr">
        <is>
          <t>No Video ID yet</t>
        </is>
      </c>
      <c r="S216" s="46" t="n"/>
      <c r="T216" s="46" t="n"/>
      <c r="U216" s="44" t="n"/>
      <c r="V216" s="44">
        <f>IF(AND(P216&gt;=Calendar!$K$2,P216&lt;EDATE(Calendar!$K$2,1),OR(Calendar!$K$4="*",N216=Calendar!$K$4)),P216*100+COUNTIFS($P$6:$P$3271,P216,$Q$6:$Q$3271,"&lt;="&amp;Q216,$N$6:$N$3271,Calendar!$K$4),"")</f>
        <v/>
      </c>
      <c r="W216" s="44">
        <f>IF(AND(B216=Queue!$C$4,OR(Queue!$K$4="*",N216=Queue!$K$4)),Q216,"")</f>
        <v/>
      </c>
    </row>
    <row r="217">
      <c r="A217" s="35">
        <f>IF(M217="","",HYPERLINK("https://www.youtube.com/watch?v="&amp;M217,"▶"))</f>
        <v/>
      </c>
      <c r="B217" s="36">
        <f>IF(C217&lt;&gt;"",C217,IF(P217&lt;=IFERROR(INDEX(tblChannels[Watched Through],MATCH(N217,tblChannels[Channel ID],0)),0),"Watched","Unwatched"))</f>
        <v/>
      </c>
      <c r="C217" s="37" t="n"/>
      <c r="D217" s="38" t="n"/>
      <c r="E217" s="39" t="n">
        <v>45968.65972222222</v>
      </c>
      <c r="F217" s="48" t="inlineStr">
        <is>
          <t>Through The Griffin Door</t>
        </is>
      </c>
      <c r="G217" t="inlineStr">
        <is>
          <t>Live In Chicago - Chapter 11: The Sorting Hat's New Song | Order of the Phoenix</t>
        </is>
      </c>
      <c r="H217" s="41" t="n">
        <v>0.05263888888888889</v>
      </c>
      <c r="I217" s="42" t="n">
        <v>7417</v>
      </c>
      <c r="J217" s="42" t="n">
        <v>320</v>
      </c>
      <c r="K217" s="42" t="n">
        <v>58</v>
      </c>
      <c r="L217" s="43" t="n"/>
      <c r="M217" s="44" t="n"/>
      <c r="N217" s="44" t="inlineStr">
        <is>
          <t>UCEscP6ETYXWSSvsNrDHekMQ</t>
        </is>
      </c>
      <c r="O217" s="45" t="n">
        <v>45968.86805555555</v>
      </c>
      <c r="P217" s="46" t="n">
        <v>45968</v>
      </c>
      <c r="Q217" s="44" t="n">
        <v>3055</v>
      </c>
      <c r="R217" s="44" t="inlineStr">
        <is>
          <t>No Video ID yet</t>
        </is>
      </c>
      <c r="S217" s="46" t="n"/>
      <c r="T217" s="46" t="n"/>
      <c r="U217" s="44" t="n"/>
      <c r="V217" s="44">
        <f>IF(AND(P217&gt;=Calendar!$K$2,P217&lt;EDATE(Calendar!$K$2,1),OR(Calendar!$K$4="*",N217=Calendar!$K$4)),P217*100+COUNTIFS($P$6:$P$3271,P217,$Q$6:$Q$3271,"&lt;="&amp;Q217,$N$6:$N$3271,Calendar!$K$4),"")</f>
        <v/>
      </c>
      <c r="W217" s="44">
        <f>IF(AND(B217=Queue!$C$4,OR(Queue!$K$4="*",N217=Queue!$K$4)),Q217,"")</f>
        <v/>
      </c>
    </row>
    <row r="218">
      <c r="A218" s="35">
        <f>IF(M218="","",HYPERLINK("https://www.youtube.com/watch?v="&amp;M218,"▶"))</f>
        <v/>
      </c>
      <c r="B218" s="36">
        <f>IF(C218&lt;&gt;"",C218,IF(P218&lt;=IFERROR(INDEX(tblChannels[Watched Through],MATCH(N218,tblChannels[Channel ID],0)),0),"Watched","Unwatched"))</f>
        <v/>
      </c>
      <c r="C218" s="37" t="n"/>
      <c r="D218" s="38" t="n"/>
      <c r="E218" s="39" t="n">
        <v>45968.54097222222</v>
      </c>
      <c r="F218" s="40" t="inlineStr">
        <is>
          <t>Popcorn Culture</t>
        </is>
      </c>
      <c r="G218" t="inlineStr">
        <is>
          <t>ARE WE LIVE?! | Popcorn Culture</t>
        </is>
      </c>
      <c r="H218" s="41" t="n">
        <v>0.04623842592592593</v>
      </c>
      <c r="I218" s="42" t="n">
        <v>2453</v>
      </c>
      <c r="J218" s="42" t="n">
        <v>120</v>
      </c>
      <c r="K218" s="42" t="n">
        <v>16</v>
      </c>
      <c r="L218" s="43" t="n"/>
      <c r="M218" s="44" t="n"/>
      <c r="N218" s="44" t="inlineStr">
        <is>
          <t>UCHfIbq9thHPC8yrKjAdJgDA</t>
        </is>
      </c>
      <c r="O218" s="45" t="n">
        <v>45968.74930555555</v>
      </c>
      <c r="P218" s="46" t="n">
        <v>45968</v>
      </c>
      <c r="Q218" s="44" t="n">
        <v>3054</v>
      </c>
      <c r="R218" s="44" t="inlineStr">
        <is>
          <t>No Video ID yet</t>
        </is>
      </c>
      <c r="S218" s="46" t="n"/>
      <c r="T218" s="46" t="n"/>
      <c r="U218" s="44" t="n"/>
      <c r="V218" s="44">
        <f>IF(AND(P218&gt;=Calendar!$K$2,P218&lt;EDATE(Calendar!$K$2,1),OR(Calendar!$K$4="*",N218=Calendar!$K$4)),P218*100+COUNTIFS($P$6:$P$3271,P218,$Q$6:$Q$3271,"&lt;="&amp;Q218,$N$6:$N$3271,Calendar!$K$4),"")</f>
        <v/>
      </c>
      <c r="W218" s="44">
        <f>IF(AND(B218=Queue!$C$4,OR(Queue!$K$4="*",N218=Queue!$K$4)),Q218,"")</f>
        <v/>
      </c>
    </row>
    <row r="219">
      <c r="A219" s="35">
        <f>IF(M219="","",HYPERLINK("https://www.youtube.com/watch?v="&amp;M219,"▶"))</f>
        <v/>
      </c>
      <c r="B219" s="36">
        <f>IF(C219&lt;&gt;"",C219,IF(P219&lt;=IFERROR(INDEX(tblChannels[Watched Through],MATCH(N219,tblChannels[Channel ID],0)),0),"Watched","Unwatched"))</f>
        <v/>
      </c>
      <c r="C219" s="37" t="n"/>
      <c r="D219" s="38" t="n"/>
      <c r="E219" s="39" t="n">
        <v>45968.48402777778</v>
      </c>
      <c r="F219" s="40" t="inlineStr">
        <is>
          <t>Popcorn Culture</t>
        </is>
      </c>
      <c r="G219" t="inlineStr">
        <is>
          <t>POP Question and A with Benjamin and J - 11/07/2025 - GETCHER TAQUITOS</t>
        </is>
      </c>
      <c r="H219" s="41" t="n">
        <v>0.00119212962962963</v>
      </c>
      <c r="I219" s="42" t="n">
        <v>452</v>
      </c>
      <c r="J219" s="42" t="n">
        <v>22</v>
      </c>
      <c r="K219" s="42" t="n">
        <v>3</v>
      </c>
      <c r="L219" s="43" t="n"/>
      <c r="M219" s="44" t="n"/>
      <c r="N219" s="44" t="inlineStr">
        <is>
          <t>UCHfIbq9thHPC8yrKjAdJgDA</t>
        </is>
      </c>
      <c r="O219" s="45" t="n">
        <v>45968.69236111111</v>
      </c>
      <c r="P219" s="46" t="n">
        <v>45968</v>
      </c>
      <c r="Q219" s="44" t="n">
        <v>3053</v>
      </c>
      <c r="R219" s="44" t="inlineStr">
        <is>
          <t>No Video ID yet</t>
        </is>
      </c>
      <c r="S219" s="46" t="n"/>
      <c r="T219" s="46" t="n"/>
      <c r="U219" s="44" t="n"/>
      <c r="V219" s="44">
        <f>IF(AND(P219&gt;=Calendar!$K$2,P219&lt;EDATE(Calendar!$K$2,1),OR(Calendar!$K$4="*",N219=Calendar!$K$4)),P219*100+COUNTIFS($P$6:$P$3271,P219,$Q$6:$Q$3271,"&lt;="&amp;Q219,$N$6:$N$3271,Calendar!$K$4),"")</f>
        <v/>
      </c>
      <c r="W219" s="44">
        <f>IF(AND(B219=Queue!$C$4,OR(Queue!$K$4="*",N219=Queue!$K$4)),Q219,"")</f>
        <v/>
      </c>
    </row>
    <row r="220">
      <c r="A220" s="35">
        <f>IF(M220="","",HYPERLINK("https://www.youtube.com/watch?v="&amp;M220,"▶"))</f>
        <v/>
      </c>
      <c r="B220" s="36">
        <f>IF(C220&lt;&gt;"",C220,IF(P220&lt;=IFERROR(INDEX(tblChannels[Watched Through],MATCH(N220,tblChannels[Channel ID],0)),0),"Watched","Unwatched"))</f>
        <v/>
      </c>
      <c r="C220" s="37" t="n"/>
      <c r="D220" s="38" t="n"/>
      <c r="E220" s="39" t="n">
        <v>45968.41666666666</v>
      </c>
      <c r="F220" s="40" t="inlineStr">
        <is>
          <t>Popcorn Culture</t>
        </is>
      </c>
      <c r="G220" t="inlineStr">
        <is>
          <t>The BIGGEST NYC Marathon! | Popcorn Culture</t>
        </is>
      </c>
      <c r="H220" s="41" t="n">
        <v>0.04396990740740741</v>
      </c>
      <c r="I220" s="42" t="n">
        <v>2537</v>
      </c>
      <c r="J220" s="42" t="n">
        <v>125</v>
      </c>
      <c r="K220" s="42" t="n">
        <v>12</v>
      </c>
      <c r="L220" s="43" t="n"/>
      <c r="M220" s="44" t="n"/>
      <c r="N220" s="44" t="inlineStr">
        <is>
          <t>UCHfIbq9thHPC8yrKjAdJgDA</t>
        </is>
      </c>
      <c r="O220" s="45" t="n">
        <v>45968.625</v>
      </c>
      <c r="P220" s="46" t="n">
        <v>45968</v>
      </c>
      <c r="Q220" s="44" t="n">
        <v>3052</v>
      </c>
      <c r="R220" s="44" t="inlineStr">
        <is>
          <t>No Video ID yet</t>
        </is>
      </c>
      <c r="S220" s="46" t="n"/>
      <c r="T220" s="46" t="n"/>
      <c r="U220" s="44" t="n"/>
      <c r="V220" s="44">
        <f>IF(AND(P220&gt;=Calendar!$K$2,P220&lt;EDATE(Calendar!$K$2,1),OR(Calendar!$K$4="*",N220=Calendar!$K$4)),P220*100+COUNTIFS($P$6:$P$3271,P220,$Q$6:$Q$3271,"&lt;="&amp;Q220,$N$6:$N$3271,Calendar!$K$4),"")</f>
        <v/>
      </c>
      <c r="W220" s="44">
        <f>IF(AND(B220=Queue!$C$4,OR(Queue!$K$4="*",N220=Queue!$K$4)),Q220,"")</f>
        <v/>
      </c>
    </row>
    <row r="221">
      <c r="A221" s="35">
        <f>IF(M221="","",HYPERLINK("https://www.youtube.com/watch?v="&amp;M221,"▶"))</f>
        <v/>
      </c>
      <c r="B221" s="36">
        <f>IF(C221&lt;&gt;"",C221,IF(P221&lt;=IFERROR(INDEX(tblChannels[Watched Through],MATCH(N221,tblChannels[Channel ID],0)),0),"Watched","Unwatched"))</f>
        <v/>
      </c>
      <c r="C221" s="37" t="n"/>
      <c r="D221" s="38" t="n"/>
      <c r="E221" s="39" t="n">
        <v>45966.68263888889</v>
      </c>
      <c r="F221" s="47" t="inlineStr">
        <is>
          <t>Super Carlin Brothers</t>
        </is>
      </c>
      <c r="G221" t="inlineStr">
        <is>
          <t>Was Voldemort Planning to Eradicate ALL Wizards? | Harry Potter Theory</t>
        </is>
      </c>
      <c r="H221" s="41" t="n">
        <v>0.01060185185185185</v>
      </c>
      <c r="I221" s="42" t="n">
        <v>101211</v>
      </c>
      <c r="J221" s="42" t="n">
        <v>4529</v>
      </c>
      <c r="K221" s="42" t="n">
        <v>558</v>
      </c>
      <c r="L221" s="43" t="n"/>
      <c r="M221" s="44" t="n"/>
      <c r="N221" s="44" t="inlineStr">
        <is>
          <t>UCKZo4N0lVPccBkSiuyVh4yg</t>
        </is>
      </c>
      <c r="O221" s="45" t="n">
        <v>45966.89097222222</v>
      </c>
      <c r="P221" s="46" t="n">
        <v>45966</v>
      </c>
      <c r="Q221" s="44" t="n">
        <v>3051</v>
      </c>
      <c r="R221" s="44" t="inlineStr">
        <is>
          <t>No Video ID yet</t>
        </is>
      </c>
      <c r="S221" s="46" t="n"/>
      <c r="T221" s="46" t="n"/>
      <c r="U221" s="44" t="n"/>
      <c r="V221" s="44">
        <f>IF(AND(P221&gt;=Calendar!$K$2,P221&lt;EDATE(Calendar!$K$2,1),OR(Calendar!$K$4="*",N221=Calendar!$K$4)),P221*100+COUNTIFS($P$6:$P$3271,P221,$Q$6:$Q$3271,"&lt;="&amp;Q221,$N$6:$N$3271,Calendar!$K$4),"")</f>
        <v/>
      </c>
      <c r="W221" s="44">
        <f>IF(AND(B221=Queue!$C$4,OR(Queue!$K$4="*",N221=Queue!$K$4)),Q221,"")</f>
        <v/>
      </c>
    </row>
    <row r="222">
      <c r="A222" s="35">
        <f>IF(M222="","",HYPERLINK("https://www.youtube.com/watch?v="&amp;M222,"▶"))</f>
        <v/>
      </c>
      <c r="B222" s="36">
        <f>IF(C222&lt;&gt;"",C222,IF(P222&lt;=IFERROR(INDEX(tblChannels[Watched Through],MATCH(N222,tblChannels[Channel ID],0)),0),"Watched","Unwatched"))</f>
        <v/>
      </c>
      <c r="C222" s="37" t="n"/>
      <c r="D222" s="38" t="n"/>
      <c r="E222" s="39" t="n">
        <v>45966.45833333334</v>
      </c>
      <c r="F222" s="48" t="inlineStr">
        <is>
          <t>Through The Griffin Door</t>
        </is>
      </c>
      <c r="G222" t="inlineStr">
        <is>
          <t>THROUGH THE GRIFFIN TOUR - SOUTHWEST</t>
        </is>
      </c>
      <c r="H222" s="41" t="n">
        <v>0.001747685185185185</v>
      </c>
      <c r="I222" s="42" t="n">
        <v>2476</v>
      </c>
      <c r="J222" s="42" t="n">
        <v>158</v>
      </c>
      <c r="K222" s="42" t="n">
        <v>38</v>
      </c>
      <c r="L222" s="43" t="n"/>
      <c r="M222" s="44" t="n"/>
      <c r="N222" s="44" t="inlineStr">
        <is>
          <t>UCEscP6ETYXWSSvsNrDHekMQ</t>
        </is>
      </c>
      <c r="O222" s="45" t="n">
        <v>45966.66666666666</v>
      </c>
      <c r="P222" s="46" t="n">
        <v>45966</v>
      </c>
      <c r="Q222" s="44" t="n">
        <v>3050</v>
      </c>
      <c r="R222" s="44" t="inlineStr">
        <is>
          <t>No Video ID yet</t>
        </is>
      </c>
      <c r="S222" s="46" t="n"/>
      <c r="T222" s="46" t="n"/>
      <c r="U222" s="44" t="n"/>
      <c r="V222" s="44">
        <f>IF(AND(P222&gt;=Calendar!$K$2,P222&lt;EDATE(Calendar!$K$2,1),OR(Calendar!$K$4="*",N222=Calendar!$K$4)),P222*100+COUNTIFS($P$6:$P$3271,P222,$Q$6:$Q$3271,"&lt;="&amp;Q222,$N$6:$N$3271,Calendar!$K$4),"")</f>
        <v/>
      </c>
      <c r="W222" s="44">
        <f>IF(AND(B222=Queue!$C$4,OR(Queue!$K$4="*",N222=Queue!$K$4)),Q222,"")</f>
        <v/>
      </c>
    </row>
    <row r="223">
      <c r="A223" s="35">
        <f>IF(M223="","",HYPERLINK("https://www.youtube.com/watch?v="&amp;M223,"▶"))</f>
        <v/>
      </c>
      <c r="B223" s="36">
        <f>IF(C223&lt;&gt;"",C223,IF(P223&lt;=IFERROR(INDEX(tblChannels[Watched Through],MATCH(N223,tblChannels[Channel ID],0)),0),"Watched","Unwatched"))</f>
        <v/>
      </c>
      <c r="C223" s="37" t="n"/>
      <c r="D223" s="38" t="n"/>
      <c r="E223" s="39" t="n">
        <v>45966.45833333334</v>
      </c>
      <c r="F223" s="47" t="inlineStr">
        <is>
          <t>Super Carlin Brothers</t>
        </is>
      </c>
      <c r="G223" t="inlineStr">
        <is>
          <t>THROUGH THE GRIFFIN TOUR - SOUTHWEST</t>
        </is>
      </c>
      <c r="H223" s="41" t="n">
        <v>0.0008564814814814815</v>
      </c>
      <c r="I223" s="42" t="n">
        <v>3913</v>
      </c>
      <c r="J223" s="42" t="n">
        <v>204</v>
      </c>
      <c r="K223" s="42" t="n">
        <v>70</v>
      </c>
      <c r="L223" s="43" t="n"/>
      <c r="M223" s="44" t="n"/>
      <c r="N223" s="44" t="inlineStr">
        <is>
          <t>UCKZo4N0lVPccBkSiuyVh4yg</t>
        </is>
      </c>
      <c r="O223" s="45" t="n">
        <v>45966.66666666666</v>
      </c>
      <c r="P223" s="46" t="n">
        <v>45966</v>
      </c>
      <c r="Q223" s="44" t="n">
        <v>3049</v>
      </c>
      <c r="R223" s="44" t="inlineStr">
        <is>
          <t>No Video ID yet</t>
        </is>
      </c>
      <c r="S223" s="46" t="n"/>
      <c r="T223" s="46" t="n"/>
      <c r="U223" s="44" t="n"/>
      <c r="V223" s="44">
        <f>IF(AND(P223&gt;=Calendar!$K$2,P223&lt;EDATE(Calendar!$K$2,1),OR(Calendar!$K$4="*",N223=Calendar!$K$4)),P223*100+COUNTIFS($P$6:$P$3271,P223,$Q$6:$Q$3271,"&lt;="&amp;Q223,$N$6:$N$3271,Calendar!$K$4),"")</f>
        <v/>
      </c>
      <c r="W223" s="44">
        <f>IF(AND(B223=Queue!$C$4,OR(Queue!$K$4="*",N223=Queue!$K$4)),Q223,"")</f>
        <v/>
      </c>
    </row>
    <row r="224">
      <c r="A224" s="35">
        <f>IF(M224="","",HYPERLINK("https://www.youtube.com/watch?v="&amp;M224,"▶"))</f>
        <v/>
      </c>
      <c r="B224" s="36">
        <f>IF(C224&lt;&gt;"",C224,IF(P224&lt;=IFERROR(INDEX(tblChannels[Watched Through],MATCH(N224,tblChannels[Channel ID],0)),0),"Watched","Unwatched"))</f>
        <v/>
      </c>
      <c r="C224" s="37" t="n"/>
      <c r="D224" s="38" t="n"/>
      <c r="E224" s="39" t="n">
        <v>45963.41736111111</v>
      </c>
      <c r="F224" s="48" t="inlineStr">
        <is>
          <t>Through The Griffin Door</t>
        </is>
      </c>
      <c r="G224" t="inlineStr">
        <is>
          <t>Chapter 11: The Sorting Hat’s New Song | Order of the Phoenix</t>
        </is>
      </c>
      <c r="H224" s="41" t="n">
        <v>0.08046296296296296</v>
      </c>
      <c r="I224" s="42" t="n">
        <v>49858</v>
      </c>
      <c r="J224" s="42" t="n">
        <v>1232</v>
      </c>
      <c r="K224" s="42" t="n">
        <v>384</v>
      </c>
      <c r="L224" s="43" t="n"/>
      <c r="M224" s="44" t="n"/>
      <c r="N224" s="44" t="inlineStr">
        <is>
          <t>UCEscP6ETYXWSSvsNrDHekMQ</t>
        </is>
      </c>
      <c r="O224" s="45" t="n">
        <v>45963.62569444445</v>
      </c>
      <c r="P224" s="46" t="n">
        <v>45963</v>
      </c>
      <c r="Q224" s="44" t="n">
        <v>3048</v>
      </c>
      <c r="R224" s="44" t="inlineStr">
        <is>
          <t>No Video ID yet</t>
        </is>
      </c>
      <c r="S224" s="46" t="n"/>
      <c r="T224" s="46" t="n"/>
      <c r="U224" s="44" t="n"/>
      <c r="V224" s="44">
        <f>IF(AND(P224&gt;=Calendar!$K$2,P224&lt;EDATE(Calendar!$K$2,1),OR(Calendar!$K$4="*",N224=Calendar!$K$4)),P224*100+COUNTIFS($P$6:$P$3271,P224,$Q$6:$Q$3271,"&lt;="&amp;Q224,$N$6:$N$3271,Calendar!$K$4),"")</f>
        <v/>
      </c>
      <c r="W224" s="44">
        <f>IF(AND(B224=Queue!$C$4,OR(Queue!$K$4="*",N224=Queue!$K$4)),Q224,"")</f>
        <v/>
      </c>
    </row>
    <row r="225">
      <c r="A225" s="35">
        <f>IF(M225="","",HYPERLINK("https://www.youtube.com/watch?v="&amp;M225,"▶"))</f>
        <v/>
      </c>
      <c r="B225" s="36">
        <f>IF(C225&lt;&gt;"",C225,IF(P225&lt;=IFERROR(INDEX(tblChannels[Watched Through],MATCH(N225,tblChannels[Channel ID],0)),0),"Watched","Unwatched"))</f>
        <v/>
      </c>
      <c r="C225" s="37" t="n"/>
      <c r="D225" s="38" t="n"/>
      <c r="E225" s="39" t="n">
        <v>45961.67361111111</v>
      </c>
      <c r="F225" s="47" t="inlineStr">
        <is>
          <t>Super Carlin Brothers</t>
        </is>
      </c>
      <c r="G225" t="inlineStr">
        <is>
          <t>Why Dumbledore REALLY Says He See Socks In The Mirror | Harry Potter Theory</t>
        </is>
      </c>
      <c r="H225" s="41" t="n">
        <v>0.01108796296296296</v>
      </c>
      <c r="I225" s="42" t="n">
        <v>125461</v>
      </c>
      <c r="J225" s="42" t="n">
        <v>5312</v>
      </c>
      <c r="K225" s="42" t="n">
        <v>568</v>
      </c>
      <c r="L225" s="43" t="n"/>
      <c r="M225" s="44" t="n"/>
      <c r="N225" s="44" t="inlineStr">
        <is>
          <t>UCKZo4N0lVPccBkSiuyVh4yg</t>
        </is>
      </c>
      <c r="O225" s="45" t="n">
        <v>45961.84027777778</v>
      </c>
      <c r="P225" s="46" t="n">
        <v>45961</v>
      </c>
      <c r="Q225" s="44" t="n">
        <v>3047</v>
      </c>
      <c r="R225" s="44" t="inlineStr">
        <is>
          <t>No Video ID yet</t>
        </is>
      </c>
      <c r="S225" s="46" t="n"/>
      <c r="T225" s="46" t="n"/>
      <c r="U225" s="44" t="n"/>
      <c r="V225" s="44">
        <f>IF(AND(P225&gt;=Calendar!$K$2,P225&lt;EDATE(Calendar!$K$2,1),OR(Calendar!$K$4="*",N225=Calendar!$K$4)),P225*100+COUNTIFS($P$6:$P$3271,P225,$Q$6:$Q$3271,"&lt;="&amp;Q225,$N$6:$N$3271,Calendar!$K$4),"")</f>
        <v/>
      </c>
      <c r="W225" s="44">
        <f>IF(AND(B225=Queue!$C$4,OR(Queue!$K$4="*",N225=Queue!$K$4)),Q225,"")</f>
        <v/>
      </c>
    </row>
    <row r="226">
      <c r="A226" s="35">
        <f>IF(M226="","",HYPERLINK("https://www.youtube.com/watch?v="&amp;M226,"▶"))</f>
        <v/>
      </c>
      <c r="B226" s="36">
        <f>IF(C226&lt;&gt;"",C226,IF(P226&lt;=IFERROR(INDEX(tblChannels[Watched Through],MATCH(N226,tblChannels[Channel ID],0)),0),"Watched","Unwatched"))</f>
        <v/>
      </c>
      <c r="C226" s="37" t="n"/>
      <c r="D226" s="38" t="n"/>
      <c r="E226" s="39" t="n">
        <v>45961.41666666666</v>
      </c>
      <c r="F226" s="40" t="inlineStr">
        <is>
          <t>Popcorn Culture</t>
        </is>
      </c>
      <c r="G226" t="inlineStr">
        <is>
          <t>Luke’s Toy Empathy | Popcorn Culture</t>
        </is>
      </c>
      <c r="H226" s="41" t="n">
        <v>0.04458333333333334</v>
      </c>
      <c r="I226" s="42" t="n">
        <v>2770</v>
      </c>
      <c r="J226" s="42" t="n">
        <v>153</v>
      </c>
      <c r="K226" s="42" t="n">
        <v>23</v>
      </c>
      <c r="L226" s="43" t="n"/>
      <c r="M226" s="44" t="n"/>
      <c r="N226" s="44" t="inlineStr">
        <is>
          <t>UCHfIbq9thHPC8yrKjAdJgDA</t>
        </is>
      </c>
      <c r="O226" s="45" t="n">
        <v>45961.58333333334</v>
      </c>
      <c r="P226" s="46" t="n">
        <v>45961</v>
      </c>
      <c r="Q226" s="44" t="n">
        <v>3046</v>
      </c>
      <c r="R226" s="44" t="inlineStr">
        <is>
          <t>No Video ID yet</t>
        </is>
      </c>
      <c r="S226" s="46" t="n"/>
      <c r="T226" s="46" t="n"/>
      <c r="U226" s="44" t="n"/>
      <c r="V226" s="44">
        <f>IF(AND(P226&gt;=Calendar!$K$2,P226&lt;EDATE(Calendar!$K$2,1),OR(Calendar!$K$4="*",N226=Calendar!$K$4)),P226*100+COUNTIFS($P$6:$P$3271,P226,$Q$6:$Q$3271,"&lt;="&amp;Q226,$N$6:$N$3271,Calendar!$K$4),"")</f>
        <v/>
      </c>
      <c r="W226" s="44">
        <f>IF(AND(B226=Queue!$C$4,OR(Queue!$K$4="*",N226=Queue!$K$4)),Q226,"")</f>
        <v/>
      </c>
    </row>
    <row r="227">
      <c r="A227" s="35">
        <f>IF(M227="","",HYPERLINK("https://www.youtube.com/watch?v="&amp;M227,"▶"))</f>
        <v/>
      </c>
      <c r="B227" s="36">
        <f>IF(C227&lt;&gt;"",C227,IF(P227&lt;=IFERROR(INDEX(tblChannels[Watched Through],MATCH(N227,tblChannels[Channel ID],0)),0),"Watched","Unwatched"))</f>
        <v/>
      </c>
      <c r="C227" s="37" t="n"/>
      <c r="D227" s="38" t="n"/>
      <c r="E227" s="39" t="n">
        <v>45960.70833333334</v>
      </c>
      <c r="F227" s="48" t="inlineStr">
        <is>
          <t>Through The Griffin Door</t>
        </is>
      </c>
      <c r="G227" t="inlineStr">
        <is>
          <t>Live In Milwaukee - Chapter 10: Luna Lovegood | Order of the Phoenix</t>
        </is>
      </c>
      <c r="H227" s="41" t="n">
        <v>0.0497337962962963</v>
      </c>
      <c r="I227" s="42" t="n">
        <v>7555</v>
      </c>
      <c r="J227" s="42" t="n">
        <v>319</v>
      </c>
      <c r="K227" s="42" t="n">
        <v>39</v>
      </c>
      <c r="L227" s="43" t="n"/>
      <c r="M227" s="44" t="n"/>
      <c r="N227" s="44" t="inlineStr">
        <is>
          <t>UCEscP6ETYXWSSvsNrDHekMQ</t>
        </is>
      </c>
      <c r="O227" s="45" t="n">
        <v>45960.875</v>
      </c>
      <c r="P227" s="46" t="n">
        <v>45960</v>
      </c>
      <c r="Q227" s="44" t="n">
        <v>3045</v>
      </c>
      <c r="R227" s="44" t="inlineStr">
        <is>
          <t>No Video ID yet</t>
        </is>
      </c>
      <c r="S227" s="46" t="n"/>
      <c r="T227" s="46" t="n"/>
      <c r="U227" s="44" t="n"/>
      <c r="V227" s="44">
        <f>IF(AND(P227&gt;=Calendar!$K$2,P227&lt;EDATE(Calendar!$K$2,1),OR(Calendar!$K$4="*",N227=Calendar!$K$4)),P227*100+COUNTIFS($P$6:$P$3271,P227,$Q$6:$Q$3271,"&lt;="&amp;Q227,$N$6:$N$3271,Calendar!$K$4),"")</f>
        <v/>
      </c>
      <c r="W227" s="44">
        <f>IF(AND(B227=Queue!$C$4,OR(Queue!$K$4="*",N227=Queue!$K$4)),Q227,"")</f>
        <v/>
      </c>
    </row>
    <row r="228">
      <c r="A228" s="35">
        <f>IF(M228="","",HYPERLINK("https://www.youtube.com/watch?v="&amp;M228,"▶"))</f>
        <v/>
      </c>
      <c r="B228" s="36">
        <f>IF(C228&lt;&gt;"",C228,IF(P228&lt;=IFERROR(INDEX(tblChannels[Watched Through],MATCH(N228,tblChannels[Channel ID],0)),0),"Watched","Unwatched"))</f>
        <v/>
      </c>
      <c r="C228" s="37" t="n"/>
      <c r="D228" s="38" t="n"/>
      <c r="E228" s="39" t="n">
        <v>45959.7125</v>
      </c>
      <c r="F228" s="47" t="inlineStr">
        <is>
          <t>Super Carlin Brothers</t>
        </is>
      </c>
      <c r="G228" t="inlineStr">
        <is>
          <t>Could Draco Malfoy Have Become Master of Death?! | Harry Potter Theory</t>
        </is>
      </c>
      <c r="H228" s="41" t="n">
        <v>0.01446759259259259</v>
      </c>
      <c r="I228" s="42" t="n">
        <v>99118</v>
      </c>
      <c r="J228" s="42" t="n">
        <v>3371</v>
      </c>
      <c r="K228" s="42" t="n">
        <v>368</v>
      </c>
      <c r="L228" s="43" t="n"/>
      <c r="M228" s="44" t="n"/>
      <c r="N228" s="44" t="inlineStr">
        <is>
          <t>UCKZo4N0lVPccBkSiuyVh4yg</t>
        </is>
      </c>
      <c r="O228" s="45" t="n">
        <v>45959.87916666667</v>
      </c>
      <c r="P228" s="46" t="n">
        <v>45959</v>
      </c>
      <c r="Q228" s="44" t="n">
        <v>3044</v>
      </c>
      <c r="R228" s="44" t="inlineStr">
        <is>
          <t>No Video ID yet</t>
        </is>
      </c>
      <c r="S228" s="46" t="n"/>
      <c r="T228" s="46" t="n"/>
      <c r="U228" s="44" t="n"/>
      <c r="V228" s="44">
        <f>IF(AND(P228&gt;=Calendar!$K$2,P228&lt;EDATE(Calendar!$K$2,1),OR(Calendar!$K$4="*",N228=Calendar!$K$4)),P228*100+COUNTIFS($P$6:$P$3271,P228,$Q$6:$Q$3271,"&lt;="&amp;Q228,$N$6:$N$3271,Calendar!$K$4),"")</f>
        <v/>
      </c>
      <c r="W228" s="44">
        <f>IF(AND(B228=Queue!$C$4,OR(Queue!$K$4="*",N228=Queue!$K$4)),Q228,"")</f>
        <v/>
      </c>
    </row>
    <row r="229">
      <c r="A229" s="35">
        <f>IF(M229="","",HYPERLINK("https://www.youtube.com/watch?v="&amp;M229,"▶"))</f>
        <v/>
      </c>
      <c r="B229" s="36">
        <f>IF(C229&lt;&gt;"",C229,IF(P229&lt;=IFERROR(INDEX(tblChannels[Watched Through],MATCH(N229,tblChannels[Channel ID],0)),0),"Watched","Unwatched"))</f>
        <v/>
      </c>
      <c r="C229" s="37" t="n"/>
      <c r="D229" s="38" t="n"/>
      <c r="E229" s="39" t="n">
        <v>45956.41736111111</v>
      </c>
      <c r="F229" s="48" t="inlineStr">
        <is>
          <t>Through The Griffin Door</t>
        </is>
      </c>
      <c r="G229" t="inlineStr">
        <is>
          <t>Chapter 10: Luna Lovegood | Order of the Phoenix</t>
        </is>
      </c>
      <c r="H229" s="41" t="n">
        <v>0.07400462962962963</v>
      </c>
      <c r="I229" s="42" t="n">
        <v>49702</v>
      </c>
      <c r="J229" s="42" t="n">
        <v>1305</v>
      </c>
      <c r="K229" s="42" t="n">
        <v>457</v>
      </c>
      <c r="L229" s="43" t="n"/>
      <c r="M229" s="44" t="n"/>
      <c r="N229" s="44" t="inlineStr">
        <is>
          <t>UCEscP6ETYXWSSvsNrDHekMQ</t>
        </is>
      </c>
      <c r="O229" s="45" t="n">
        <v>45956.58402777778</v>
      </c>
      <c r="P229" s="46" t="n">
        <v>45956</v>
      </c>
      <c r="Q229" s="44" t="n">
        <v>3043</v>
      </c>
      <c r="R229" s="44" t="inlineStr">
        <is>
          <t>No Video ID yet</t>
        </is>
      </c>
      <c r="S229" s="46" t="n"/>
      <c r="T229" s="46" t="n"/>
      <c r="U229" s="44" t="n"/>
      <c r="V229" s="44">
        <f>IF(AND(P229&gt;=Calendar!$K$2,P229&lt;EDATE(Calendar!$K$2,1),OR(Calendar!$K$4="*",N229=Calendar!$K$4)),P229*100+COUNTIFS($P$6:$P$3271,P229,$Q$6:$Q$3271,"&lt;="&amp;Q229,$N$6:$N$3271,Calendar!$K$4),"")</f>
        <v/>
      </c>
      <c r="W229" s="44">
        <f>IF(AND(B229=Queue!$C$4,OR(Queue!$K$4="*",N229=Queue!$K$4)),Q229,"")</f>
        <v/>
      </c>
    </row>
    <row r="230">
      <c r="A230" s="35">
        <f>IF(M230="","",HYPERLINK("https://www.youtube.com/watch?v="&amp;M230,"▶"))</f>
        <v/>
      </c>
      <c r="B230" s="36">
        <f>IF(C230&lt;&gt;"",C230,IF(P230&lt;=IFERROR(INDEX(tblChannels[Watched Through],MATCH(N230,tblChannels[Channel ID],0)),0),"Watched","Unwatched"))</f>
        <v/>
      </c>
      <c r="C230" s="37" t="n"/>
      <c r="D230" s="38" t="n"/>
      <c r="E230" s="39" t="n">
        <v>45955.41666666666</v>
      </c>
      <c r="F230" s="47" t="inlineStr">
        <is>
          <t>Super Carlin Brothers</t>
        </is>
      </c>
      <c r="G230" t="inlineStr">
        <is>
          <t>Through the Griffin Door Supercut: Order of the Phoenix Chapters 7-9</t>
        </is>
      </c>
      <c r="H230" s="41" t="n">
        <v>0.2155555555555556</v>
      </c>
      <c r="I230" s="42" t="n">
        <v>9813</v>
      </c>
      <c r="J230" s="42" t="n">
        <v>202</v>
      </c>
      <c r="K230" s="42" t="n">
        <v>38</v>
      </c>
      <c r="L230" s="43" t="n"/>
      <c r="M230" s="44" t="n"/>
      <c r="N230" s="44" t="inlineStr">
        <is>
          <t>UCKZo4N0lVPccBkSiuyVh4yg</t>
        </is>
      </c>
      <c r="O230" s="45" t="n">
        <v>45955.58333333334</v>
      </c>
      <c r="P230" s="46" t="n">
        <v>45955</v>
      </c>
      <c r="Q230" s="44" t="n">
        <v>3042</v>
      </c>
      <c r="R230" s="44" t="inlineStr">
        <is>
          <t>No Video ID yet</t>
        </is>
      </c>
      <c r="S230" s="46" t="n"/>
      <c r="T230" s="46" t="n"/>
      <c r="U230" s="44" t="n"/>
      <c r="V230" s="44">
        <f>IF(AND(P230&gt;=Calendar!$K$2,P230&lt;EDATE(Calendar!$K$2,1),OR(Calendar!$K$4="*",N230=Calendar!$K$4)),P230*100+COUNTIFS($P$6:$P$3271,P230,$Q$6:$Q$3271,"&lt;="&amp;Q230,$N$6:$N$3271,Calendar!$K$4),"")</f>
        <v/>
      </c>
      <c r="W230" s="44">
        <f>IF(AND(B230=Queue!$C$4,OR(Queue!$K$4="*",N230=Queue!$K$4)),Q230,"")</f>
        <v/>
      </c>
    </row>
    <row r="231">
      <c r="A231" s="35">
        <f>IF(M231="","",HYPERLINK("https://www.youtube.com/watch?v="&amp;M231,"▶"))</f>
        <v/>
      </c>
      <c r="B231" s="36">
        <f>IF(C231&lt;&gt;"",C231,IF(P231&lt;=IFERROR(INDEX(tblChannels[Watched Through],MATCH(N231,tblChannels[Channel ID],0)),0),"Watched","Unwatched"))</f>
        <v/>
      </c>
      <c r="C231" s="37" t="n"/>
      <c r="D231" s="38" t="n"/>
      <c r="E231" s="39" t="n">
        <v>45955.23819444444</v>
      </c>
      <c r="F231" s="49" t="inlineStr">
        <is>
          <t>Super Carlin Gaming</t>
        </is>
      </c>
      <c r="G231" t="inlineStr">
        <is>
          <t>PRISMATIC EVOLUTIONS - Box Breakers SEASON 16 - THE Finale - 10/24/2025</t>
        </is>
      </c>
      <c r="H231" s="41" t="n">
        <v>0.1302199074074074</v>
      </c>
      <c r="I231" s="42" t="n">
        <v>832</v>
      </c>
      <c r="J231" s="42" t="n">
        <v>40</v>
      </c>
      <c r="K231" s="42" t="n">
        <v>4</v>
      </c>
      <c r="L231" s="43" t="n"/>
      <c r="M231" s="44" t="n"/>
      <c r="N231" s="44" t="inlineStr">
        <is>
          <t>UCor_9jRnNNZVzTuQ92PKsaQ</t>
        </is>
      </c>
      <c r="O231" s="45" t="n">
        <v>45955.40486111111</v>
      </c>
      <c r="P231" s="46" t="n">
        <v>45955</v>
      </c>
      <c r="Q231" s="44" t="n">
        <v>3041</v>
      </c>
      <c r="R231" s="44" t="inlineStr">
        <is>
          <t>No Video ID yet</t>
        </is>
      </c>
      <c r="S231" s="46" t="n"/>
      <c r="T231" s="46" t="n"/>
      <c r="U231" s="44" t="n"/>
      <c r="V231" s="44">
        <f>IF(AND(P231&gt;=Calendar!$K$2,P231&lt;EDATE(Calendar!$K$2,1),OR(Calendar!$K$4="*",N231=Calendar!$K$4)),P231*100+COUNTIFS($P$6:$P$3271,P231,$Q$6:$Q$3271,"&lt;="&amp;Q231,$N$6:$N$3271,Calendar!$K$4),"")</f>
        <v/>
      </c>
      <c r="W231" s="44">
        <f>IF(AND(B231=Queue!$C$4,OR(Queue!$K$4="*",N231=Queue!$K$4)),Q231,"")</f>
        <v/>
      </c>
    </row>
    <row r="232">
      <c r="A232" s="35">
        <f>IF(M232="","",HYPERLINK("https://www.youtube.com/watch?v="&amp;M232,"▶"))</f>
        <v/>
      </c>
      <c r="B232" s="36">
        <f>IF(C232&lt;&gt;"",C232,IF(P232&lt;=IFERROR(INDEX(tblChannels[Watched Through],MATCH(N232,tblChannels[Channel ID],0)),0),"Watched","Unwatched"))</f>
        <v/>
      </c>
      <c r="C232" s="37" t="n"/>
      <c r="D232" s="38" t="n"/>
      <c r="E232" s="39" t="n">
        <v>45954.72361111111</v>
      </c>
      <c r="F232" s="47" t="inlineStr">
        <is>
          <t>Super Carlin Brothers</t>
        </is>
      </c>
      <c r="G232" t="inlineStr">
        <is>
          <t>J vs Ben: MAX DIFFICULTY Goblet of Fire Open Book Harry Potter Quiz</t>
        </is>
      </c>
      <c r="H232" s="41" t="n">
        <v>0.03657407407407407</v>
      </c>
      <c r="I232" s="42" t="n">
        <v>92786</v>
      </c>
      <c r="J232" s="42" t="n">
        <v>3000</v>
      </c>
      <c r="K232" s="42" t="n">
        <v>342</v>
      </c>
      <c r="L232" s="43" t="n"/>
      <c r="M232" s="44" t="n"/>
      <c r="N232" s="44" t="inlineStr">
        <is>
          <t>UCKZo4N0lVPccBkSiuyVh4yg</t>
        </is>
      </c>
      <c r="O232" s="45" t="n">
        <v>45954.89027777778</v>
      </c>
      <c r="P232" s="46" t="n">
        <v>45954</v>
      </c>
      <c r="Q232" s="44" t="n">
        <v>3040</v>
      </c>
      <c r="R232" s="44" t="inlineStr">
        <is>
          <t>No Video ID yet</t>
        </is>
      </c>
      <c r="S232" s="46" t="n"/>
      <c r="T232" s="46" t="n"/>
      <c r="U232" s="44" t="n"/>
      <c r="V232" s="44">
        <f>IF(AND(P232&gt;=Calendar!$K$2,P232&lt;EDATE(Calendar!$K$2,1),OR(Calendar!$K$4="*",N232=Calendar!$K$4)),P232*100+COUNTIFS($P$6:$P$3271,P232,$Q$6:$Q$3271,"&lt;="&amp;Q232,$N$6:$N$3271,Calendar!$K$4),"")</f>
        <v/>
      </c>
      <c r="W232" s="44">
        <f>IF(AND(B232=Queue!$C$4,OR(Queue!$K$4="*",N232=Queue!$K$4)),Q232,"")</f>
        <v/>
      </c>
    </row>
    <row r="233">
      <c r="A233" s="35">
        <f>IF(M233="","",HYPERLINK("https://www.youtube.com/watch?v="&amp;M233,"▶"))</f>
        <v/>
      </c>
      <c r="B233" s="36">
        <f>IF(C233&lt;&gt;"",C233,IF(P233&lt;=IFERROR(INDEX(tblChannels[Watched Through],MATCH(N233,tblChannels[Channel ID],0)),0),"Watched","Unwatched"))</f>
        <v/>
      </c>
      <c r="C233" s="37" t="n"/>
      <c r="D233" s="38" t="n"/>
      <c r="E233" s="39" t="n">
        <v>45954.41666666666</v>
      </c>
      <c r="F233" s="40" t="inlineStr">
        <is>
          <t>Popcorn Culture</t>
        </is>
      </c>
      <c r="G233" t="inlineStr">
        <is>
          <t>Ben’s WORST Week EVER! | Popcorn Culture</t>
        </is>
      </c>
      <c r="H233" s="41" t="n">
        <v>0.04984953703703704</v>
      </c>
      <c r="I233" s="42" t="n">
        <v>3416</v>
      </c>
      <c r="J233" s="42" t="n">
        <v>232</v>
      </c>
      <c r="K233" s="42" t="n">
        <v>93</v>
      </c>
      <c r="L233" s="43" t="n"/>
      <c r="M233" s="44" t="n"/>
      <c r="N233" s="44" t="inlineStr">
        <is>
          <t>UCHfIbq9thHPC8yrKjAdJgDA</t>
        </is>
      </c>
      <c r="O233" s="45" t="n">
        <v>45954.58333333334</v>
      </c>
      <c r="P233" s="46" t="n">
        <v>45954</v>
      </c>
      <c r="Q233" s="44" t="n">
        <v>3039</v>
      </c>
      <c r="R233" s="44" t="inlineStr">
        <is>
          <t>No Video ID yet</t>
        </is>
      </c>
      <c r="S233" s="46" t="n"/>
      <c r="T233" s="46" t="n"/>
      <c r="U233" s="44" t="n"/>
      <c r="V233" s="44">
        <f>IF(AND(P233&gt;=Calendar!$K$2,P233&lt;EDATE(Calendar!$K$2,1),OR(Calendar!$K$4="*",N233=Calendar!$K$4)),P233*100+COUNTIFS($P$6:$P$3271,P233,$Q$6:$Q$3271,"&lt;="&amp;Q233,$N$6:$N$3271,Calendar!$K$4),"")</f>
        <v/>
      </c>
      <c r="W233" s="44">
        <f>IF(AND(B233=Queue!$C$4,OR(Queue!$K$4="*",N233=Queue!$K$4)),Q233,"")</f>
        <v/>
      </c>
    </row>
    <row r="234">
      <c r="A234" s="35">
        <f>IF(M234="","",HYPERLINK("https://www.youtube.com/watch?v="&amp;M234,"▶"))</f>
        <v/>
      </c>
      <c r="B234" s="36">
        <f>IF(C234&lt;&gt;"",C234,IF(P234&lt;=IFERROR(INDEX(tblChannels[Watched Through],MATCH(N234,tblChannels[Channel ID],0)),0),"Watched","Unwatched"))</f>
        <v/>
      </c>
      <c r="C234" s="37" t="n"/>
      <c r="D234" s="38" t="n"/>
      <c r="E234" s="39" t="n">
        <v>45952.70833333334</v>
      </c>
      <c r="F234" s="48" t="inlineStr">
        <is>
          <t>Through The Griffin Door</t>
        </is>
      </c>
      <c r="G234" t="inlineStr">
        <is>
          <t>Live in St. Paul - Chapter 9: The Woes of Mrs. Weasley | Order of the Phoenix</t>
        </is>
      </c>
      <c r="H234" s="41" t="n">
        <v>0.05753472222222222</v>
      </c>
      <c r="I234" s="42" t="n">
        <v>9222</v>
      </c>
      <c r="J234" s="42" t="n">
        <v>385</v>
      </c>
      <c r="K234" s="42" t="n">
        <v>67</v>
      </c>
      <c r="L234" s="43" t="n"/>
      <c r="M234" s="44" t="n"/>
      <c r="N234" s="44" t="inlineStr">
        <is>
          <t>UCEscP6ETYXWSSvsNrDHekMQ</t>
        </is>
      </c>
      <c r="O234" s="45" t="n">
        <v>45952.875</v>
      </c>
      <c r="P234" s="46" t="n">
        <v>45952</v>
      </c>
      <c r="Q234" s="44" t="n">
        <v>3038</v>
      </c>
      <c r="R234" s="44" t="inlineStr">
        <is>
          <t>No Video ID yet</t>
        </is>
      </c>
      <c r="S234" s="46" t="n"/>
      <c r="T234" s="46" t="n"/>
      <c r="U234" s="44" t="n"/>
      <c r="V234" s="44">
        <f>IF(AND(P234&gt;=Calendar!$K$2,P234&lt;EDATE(Calendar!$K$2,1),OR(Calendar!$K$4="*",N234=Calendar!$K$4)),P234*100+COUNTIFS($P$6:$P$3271,P234,$Q$6:$Q$3271,"&lt;="&amp;Q234,$N$6:$N$3271,Calendar!$K$4),"")</f>
        <v/>
      </c>
      <c r="W234" s="44">
        <f>IF(AND(B234=Queue!$C$4,OR(Queue!$K$4="*",N234=Queue!$K$4)),Q234,"")</f>
        <v/>
      </c>
    </row>
    <row r="235">
      <c r="A235" s="35">
        <f>IF(M235="","",HYPERLINK("https://www.youtube.com/watch?v="&amp;M235,"▶"))</f>
        <v/>
      </c>
      <c r="B235" s="36">
        <f>IF(C235&lt;&gt;"",C235,IF(P235&lt;=IFERROR(INDEX(tblChannels[Watched Through],MATCH(N235,tblChannels[Channel ID],0)),0),"Watched","Unwatched"))</f>
        <v/>
      </c>
      <c r="C235" s="37" t="n"/>
      <c r="D235" s="38" t="n"/>
      <c r="E235" s="39" t="n">
        <v>45952.70625</v>
      </c>
      <c r="F235" s="47" t="inlineStr">
        <is>
          <t>Super Carlin Brothers</t>
        </is>
      </c>
      <c r="G235" t="inlineStr">
        <is>
          <t>The FOURTH HUNTER Theory | KPop Demon Hunters</t>
        </is>
      </c>
      <c r="H235" s="41" t="n">
        <v>0.01166666666666667</v>
      </c>
      <c r="I235" s="42" t="n">
        <v>36633</v>
      </c>
      <c r="J235" s="42" t="n">
        <v>2511</v>
      </c>
      <c r="K235" s="42" t="n">
        <v>441</v>
      </c>
      <c r="L235" s="43" t="n"/>
      <c r="M235" s="44" t="n"/>
      <c r="N235" s="44" t="inlineStr">
        <is>
          <t>UCKZo4N0lVPccBkSiuyVh4yg</t>
        </is>
      </c>
      <c r="O235" s="45" t="n">
        <v>45952.87291666667</v>
      </c>
      <c r="P235" s="46" t="n">
        <v>45952</v>
      </c>
      <c r="Q235" s="44" t="n">
        <v>3037</v>
      </c>
      <c r="R235" s="44" t="inlineStr">
        <is>
          <t>No Video ID yet</t>
        </is>
      </c>
      <c r="S235" s="46" t="n"/>
      <c r="T235" s="46" t="n"/>
      <c r="U235" s="44" t="n"/>
      <c r="V235" s="44">
        <f>IF(AND(P235&gt;=Calendar!$K$2,P235&lt;EDATE(Calendar!$K$2,1),OR(Calendar!$K$4="*",N235=Calendar!$K$4)),P235*100+COUNTIFS($P$6:$P$3271,P235,$Q$6:$Q$3271,"&lt;="&amp;Q235,$N$6:$N$3271,Calendar!$K$4),"")</f>
        <v/>
      </c>
      <c r="W235" s="44">
        <f>IF(AND(B235=Queue!$C$4,OR(Queue!$K$4="*",N235=Queue!$K$4)),Q235,"")</f>
        <v/>
      </c>
    </row>
    <row r="236">
      <c r="A236" s="35">
        <f>IF(M236="","",HYPERLINK("https://www.youtube.com/watch?v="&amp;M236,"▶"))</f>
        <v/>
      </c>
      <c r="B236" s="36">
        <f>IF(C236&lt;&gt;"",C236,IF(P236&lt;=IFERROR(INDEX(tblChannels[Watched Through],MATCH(N236,tblChannels[Channel ID],0)),0),"Watched","Unwatched"))</f>
        <v/>
      </c>
      <c r="C236" s="37" t="n"/>
      <c r="D236" s="38" t="n"/>
      <c r="E236" s="39" t="n">
        <v>45951.58194444444</v>
      </c>
      <c r="F236" s="47" t="inlineStr">
        <is>
          <t>Super Carlin Brothers</t>
        </is>
      </c>
      <c r="G236" t="inlineStr">
        <is>
          <t>Fred &amp; George POISONED Cormac McClaggen! | Harry Potter</t>
        </is>
      </c>
      <c r="H236" s="41" t="n">
        <v>0.00130787037037037</v>
      </c>
      <c r="I236" s="42" t="n">
        <v>86182</v>
      </c>
      <c r="J236" s="42" t="n">
        <v>2983</v>
      </c>
      <c r="K236" s="42" t="n">
        <v>48</v>
      </c>
      <c r="L236" s="43" t="n"/>
      <c r="M236" s="44" t="n"/>
      <c r="N236" s="44" t="inlineStr">
        <is>
          <t>UCKZo4N0lVPccBkSiuyVh4yg</t>
        </is>
      </c>
      <c r="O236" s="45" t="n">
        <v>45951.74861111111</v>
      </c>
      <c r="P236" s="46" t="n">
        <v>45951</v>
      </c>
      <c r="Q236" s="44" t="n">
        <v>3036</v>
      </c>
      <c r="R236" s="44" t="inlineStr">
        <is>
          <t>No Video ID yet</t>
        </is>
      </c>
      <c r="S236" s="46" t="n"/>
      <c r="T236" s="46" t="n"/>
      <c r="U236" s="44" t="n"/>
      <c r="V236" s="44">
        <f>IF(AND(P236&gt;=Calendar!$K$2,P236&lt;EDATE(Calendar!$K$2,1),OR(Calendar!$K$4="*",N236=Calendar!$K$4)),P236*100+COUNTIFS($P$6:$P$3271,P236,$Q$6:$Q$3271,"&lt;="&amp;Q236,$N$6:$N$3271,Calendar!$K$4),"")</f>
        <v/>
      </c>
      <c r="W236" s="44">
        <f>IF(AND(B236=Queue!$C$4,OR(Queue!$K$4="*",N236=Queue!$K$4)),Q236,"")</f>
        <v/>
      </c>
    </row>
    <row r="237">
      <c r="A237" s="35">
        <f>IF(M237="","",HYPERLINK("https://www.youtube.com/watch?v="&amp;M237,"▶"))</f>
        <v/>
      </c>
      <c r="B237" s="36">
        <f>IF(C237&lt;&gt;"",C237,IF(P237&lt;=IFERROR(INDEX(tblChannels[Watched Through],MATCH(N237,tblChannels[Channel ID],0)),0),"Watched","Unwatched"))</f>
        <v/>
      </c>
      <c r="C237" s="37" t="n"/>
      <c r="D237" s="38" t="n"/>
      <c r="E237" s="39" t="n">
        <v>45949.41666666666</v>
      </c>
      <c r="F237" s="48" t="inlineStr">
        <is>
          <t>Through The Griffin Door</t>
        </is>
      </c>
      <c r="G237" t="inlineStr">
        <is>
          <t>Chapter 9: The Woes of Mrs. Weasley | Order of the Phoenix</t>
        </is>
      </c>
      <c r="H237" s="41" t="n">
        <v>0.07969907407407407</v>
      </c>
      <c r="I237" s="42" t="n">
        <v>52446</v>
      </c>
      <c r="J237" s="42" t="n">
        <v>1343</v>
      </c>
      <c r="K237" s="42" t="n">
        <v>523</v>
      </c>
      <c r="L237" s="43" t="n"/>
      <c r="M237" s="44" t="n"/>
      <c r="N237" s="44" t="inlineStr">
        <is>
          <t>UCEscP6ETYXWSSvsNrDHekMQ</t>
        </is>
      </c>
      <c r="O237" s="45" t="n">
        <v>45949.58333333334</v>
      </c>
      <c r="P237" s="46" t="n">
        <v>45949</v>
      </c>
      <c r="Q237" s="44" t="n">
        <v>3035</v>
      </c>
      <c r="R237" s="44" t="inlineStr">
        <is>
          <t>No Video ID yet</t>
        </is>
      </c>
      <c r="S237" s="46" t="n"/>
      <c r="T237" s="46" t="n"/>
      <c r="U237" s="44" t="n"/>
      <c r="V237" s="44">
        <f>IF(AND(P237&gt;=Calendar!$K$2,P237&lt;EDATE(Calendar!$K$2,1),OR(Calendar!$K$4="*",N237=Calendar!$K$4)),P237*100+COUNTIFS($P$6:$P$3271,P237,$Q$6:$Q$3271,"&lt;="&amp;Q237,$N$6:$N$3271,Calendar!$K$4),"")</f>
        <v/>
      </c>
      <c r="W237" s="44">
        <f>IF(AND(B237=Queue!$C$4,OR(Queue!$K$4="*",N237=Queue!$K$4)),Q237,"")</f>
        <v/>
      </c>
    </row>
    <row r="238">
      <c r="A238" s="35">
        <f>IF(M238="","",HYPERLINK("https://www.youtube.com/watch?v="&amp;M238,"▶"))</f>
        <v/>
      </c>
      <c r="B238" s="36">
        <f>IF(C238&lt;&gt;"",C238,IF(P238&lt;=IFERROR(INDEX(tblChannels[Watched Through],MATCH(N238,tblChannels[Channel ID],0)),0),"Watched","Unwatched"))</f>
        <v/>
      </c>
      <c r="C238" s="37" t="n"/>
      <c r="D238" s="38" t="n"/>
      <c r="E238" s="39" t="n">
        <v>45947.66875</v>
      </c>
      <c r="F238" s="47" t="inlineStr">
        <is>
          <t>Super Carlin Brothers</t>
        </is>
      </c>
      <c r="G238" t="inlineStr">
        <is>
          <t>Plots That Never Panned Out In Harry Potter</t>
        </is>
      </c>
      <c r="H238" s="41" t="n">
        <v>0.009652777777777777</v>
      </c>
      <c r="I238" s="42" t="n">
        <v>88633</v>
      </c>
      <c r="J238" s="42" t="n">
        <v>3584</v>
      </c>
      <c r="K238" s="42" t="n">
        <v>322</v>
      </c>
      <c r="L238" s="43" t="n"/>
      <c r="M238" s="44" t="n"/>
      <c r="N238" s="44" t="inlineStr">
        <is>
          <t>UCKZo4N0lVPccBkSiuyVh4yg</t>
        </is>
      </c>
      <c r="O238" s="45" t="n">
        <v>45947.83541666667</v>
      </c>
      <c r="P238" s="46" t="n">
        <v>45947</v>
      </c>
      <c r="Q238" s="44" t="n">
        <v>3034</v>
      </c>
      <c r="R238" s="44" t="inlineStr">
        <is>
          <t>No Video ID yet</t>
        </is>
      </c>
      <c r="S238" s="46" t="n"/>
      <c r="T238" s="46" t="n"/>
      <c r="U238" s="44" t="n"/>
      <c r="V238" s="44">
        <f>IF(AND(P238&gt;=Calendar!$K$2,P238&lt;EDATE(Calendar!$K$2,1),OR(Calendar!$K$4="*",N238=Calendar!$K$4)),P238*100+COUNTIFS($P$6:$P$3271,P238,$Q$6:$Q$3271,"&lt;="&amp;Q238,$N$6:$N$3271,Calendar!$K$4),"")</f>
        <v/>
      </c>
      <c r="W238" s="44">
        <f>IF(AND(B238=Queue!$C$4,OR(Queue!$K$4="*",N238=Queue!$K$4)),Q238,"")</f>
        <v/>
      </c>
    </row>
    <row r="239">
      <c r="A239" s="35">
        <f>IF(M239="","",HYPERLINK("https://www.youtube.com/watch?v="&amp;M239,"▶"))</f>
        <v/>
      </c>
      <c r="B239" s="36">
        <f>IF(C239&lt;&gt;"",C239,IF(P239&lt;=IFERROR(INDEX(tblChannels[Watched Through],MATCH(N239,tblChannels[Channel ID],0)),0),"Watched","Unwatched"))</f>
        <v/>
      </c>
      <c r="C239" s="37" t="n"/>
      <c r="D239" s="38" t="n"/>
      <c r="E239" s="39" t="n">
        <v>45947.41666666666</v>
      </c>
      <c r="F239" s="40" t="inlineStr">
        <is>
          <t>Popcorn Culture</t>
        </is>
      </c>
      <c r="G239" t="inlineStr">
        <is>
          <t>The Lore of the Blades | Popcorn Culture</t>
        </is>
      </c>
      <c r="H239" s="41" t="n">
        <v>0.04983796296296297</v>
      </c>
      <c r="I239" s="42" t="n">
        <v>2745</v>
      </c>
      <c r="J239" s="42" t="n">
        <v>112</v>
      </c>
      <c r="K239" s="42" t="n">
        <v>15</v>
      </c>
      <c r="L239" s="43" t="n"/>
      <c r="M239" s="44" t="n"/>
      <c r="N239" s="44" t="inlineStr">
        <is>
          <t>UCHfIbq9thHPC8yrKjAdJgDA</t>
        </is>
      </c>
      <c r="O239" s="45" t="n">
        <v>45947.58333333334</v>
      </c>
      <c r="P239" s="46" t="n">
        <v>45947</v>
      </c>
      <c r="Q239" s="44" t="n">
        <v>3033</v>
      </c>
      <c r="R239" s="44" t="inlineStr">
        <is>
          <t>No Video ID yet</t>
        </is>
      </c>
      <c r="S239" s="46" t="n"/>
      <c r="T239" s="46" t="n"/>
      <c r="U239" s="44" t="n"/>
      <c r="V239" s="44">
        <f>IF(AND(P239&gt;=Calendar!$K$2,P239&lt;EDATE(Calendar!$K$2,1),OR(Calendar!$K$4="*",N239=Calendar!$K$4)),P239*100+COUNTIFS($P$6:$P$3271,P239,$Q$6:$Q$3271,"&lt;="&amp;Q239,$N$6:$N$3271,Calendar!$K$4),"")</f>
        <v/>
      </c>
      <c r="W239" s="44">
        <f>IF(AND(B239=Queue!$C$4,OR(Queue!$K$4="*",N239=Queue!$K$4)),Q239,"")</f>
        <v/>
      </c>
    </row>
    <row r="240">
      <c r="A240" s="35">
        <f>IF(M240="","",HYPERLINK("https://www.youtube.com/watch?v="&amp;M240,"▶"))</f>
        <v/>
      </c>
      <c r="B240" s="36">
        <f>IF(C240&lt;&gt;"",C240,IF(P240&lt;=IFERROR(INDEX(tblChannels[Watched Through],MATCH(N240,tblChannels[Channel ID],0)),0),"Watched","Unwatched"))</f>
        <v/>
      </c>
      <c r="C240" s="37" t="n"/>
      <c r="D240" s="38" t="n"/>
      <c r="E240" s="39" t="n">
        <v>45946.70833333334</v>
      </c>
      <c r="F240" s="48" t="inlineStr">
        <is>
          <t>Through The Griffin Door</t>
        </is>
      </c>
      <c r="G240" t="inlineStr">
        <is>
          <t>Live In Des Moines - Chapter 8: The Hearing | Order of the Phoenix</t>
        </is>
      </c>
      <c r="H240" s="41" t="n">
        <v>0.04975694444444444</v>
      </c>
      <c r="I240" s="42" t="n">
        <v>7652</v>
      </c>
      <c r="J240" s="42" t="n">
        <v>319</v>
      </c>
      <c r="K240" s="42" t="n">
        <v>83</v>
      </c>
      <c r="L240" s="43" t="n"/>
      <c r="M240" s="44" t="n"/>
      <c r="N240" s="44" t="inlineStr">
        <is>
          <t>UCEscP6ETYXWSSvsNrDHekMQ</t>
        </is>
      </c>
      <c r="O240" s="45" t="n">
        <v>45946.875</v>
      </c>
      <c r="P240" s="46" t="n">
        <v>45946</v>
      </c>
      <c r="Q240" s="44" t="n">
        <v>3032</v>
      </c>
      <c r="R240" s="44" t="inlineStr">
        <is>
          <t>No Video ID yet</t>
        </is>
      </c>
      <c r="S240" s="46" t="n"/>
      <c r="T240" s="46" t="n"/>
      <c r="U240" s="44" t="n"/>
      <c r="V240" s="44">
        <f>IF(AND(P240&gt;=Calendar!$K$2,P240&lt;EDATE(Calendar!$K$2,1),OR(Calendar!$K$4="*",N240=Calendar!$K$4)),P240*100+COUNTIFS($P$6:$P$3271,P240,$Q$6:$Q$3271,"&lt;="&amp;Q240,$N$6:$N$3271,Calendar!$K$4),"")</f>
        <v/>
      </c>
      <c r="W240" s="44">
        <f>IF(AND(B240=Queue!$C$4,OR(Queue!$K$4="*",N240=Queue!$K$4)),Q240,"")</f>
        <v/>
      </c>
    </row>
    <row r="241">
      <c r="A241" s="35">
        <f>IF(M241="","",HYPERLINK("https://www.youtube.com/watch?v="&amp;M241,"▶"))</f>
        <v/>
      </c>
      <c r="B241" s="36">
        <f>IF(C241&lt;&gt;"",C241,IF(P241&lt;=IFERROR(INDEX(tblChannels[Watched Through],MATCH(N241,tblChannels[Channel ID],0)),0),"Watched","Unwatched"))</f>
        <v/>
      </c>
      <c r="C241" s="37" t="n"/>
      <c r="D241" s="38" t="n"/>
      <c r="E241" s="39" t="n">
        <v>45945.71458333333</v>
      </c>
      <c r="F241" s="47" t="inlineStr">
        <is>
          <t>Super Carlin Brothers</t>
        </is>
      </c>
      <c r="G241" t="inlineStr">
        <is>
          <t>Voldemort’s Top 7 WORST Plans Ever | Harry Potter Theory</t>
        </is>
      </c>
      <c r="H241" s="41" t="n">
        <v>0.01395833333333333</v>
      </c>
      <c r="I241" s="42" t="n">
        <v>161500</v>
      </c>
      <c r="J241" s="42" t="n">
        <v>5116</v>
      </c>
      <c r="K241" s="42" t="n">
        <v>657</v>
      </c>
      <c r="L241" s="43" t="n"/>
      <c r="M241" s="44" t="n"/>
      <c r="N241" s="44" t="inlineStr">
        <is>
          <t>UCKZo4N0lVPccBkSiuyVh4yg</t>
        </is>
      </c>
      <c r="O241" s="45" t="n">
        <v>45945.88125</v>
      </c>
      <c r="P241" s="46" t="n">
        <v>45945</v>
      </c>
      <c r="Q241" s="44" t="n">
        <v>3031</v>
      </c>
      <c r="R241" s="44" t="inlineStr">
        <is>
          <t>No Video ID yet</t>
        </is>
      </c>
      <c r="S241" s="46" t="n"/>
      <c r="T241" s="46" t="n"/>
      <c r="U241" s="44" t="n"/>
      <c r="V241" s="44">
        <f>IF(AND(P241&gt;=Calendar!$K$2,P241&lt;EDATE(Calendar!$K$2,1),OR(Calendar!$K$4="*",N241=Calendar!$K$4)),P241*100+COUNTIFS($P$6:$P$3271,P241,$Q$6:$Q$3271,"&lt;="&amp;Q241,$N$6:$N$3271,Calendar!$K$4),"")</f>
        <v/>
      </c>
      <c r="W241" s="44">
        <f>IF(AND(B241=Queue!$C$4,OR(Queue!$K$4="*",N241=Queue!$K$4)),Q241,"")</f>
        <v/>
      </c>
    </row>
    <row r="242">
      <c r="A242" s="35">
        <f>IF(M242="","",HYPERLINK("https://www.youtube.com/watch?v="&amp;M242,"▶"))</f>
        <v/>
      </c>
      <c r="B242" s="36">
        <f>IF(C242&lt;&gt;"",C242,IF(P242&lt;=IFERROR(INDEX(tblChannels[Watched Through],MATCH(N242,tblChannels[Channel ID],0)),0),"Watched","Unwatched"))</f>
        <v/>
      </c>
      <c r="C242" s="37" t="n"/>
      <c r="D242" s="38" t="n"/>
      <c r="E242" s="39" t="n">
        <v>45945.52569444444</v>
      </c>
      <c r="F242" s="47" t="inlineStr">
        <is>
          <t>Super Carlin Brothers</t>
        </is>
      </c>
      <c r="G242" t="inlineStr">
        <is>
          <t>We Found Newt Scamander’s SECRET Daughter?! 😱 #harrypotter</t>
        </is>
      </c>
      <c r="H242" s="41" t="n">
        <v>0.001736111111111111</v>
      </c>
      <c r="I242" s="42" t="n">
        <v>84988</v>
      </c>
      <c r="J242" s="42" t="n">
        <v>4017</v>
      </c>
      <c r="K242" s="42" t="n">
        <v>91</v>
      </c>
      <c r="L242" s="43" t="n"/>
      <c r="M242" s="44" t="n"/>
      <c r="N242" s="44" t="inlineStr">
        <is>
          <t>UCKZo4N0lVPccBkSiuyVh4yg</t>
        </is>
      </c>
      <c r="O242" s="45" t="n">
        <v>45945.69236111111</v>
      </c>
      <c r="P242" s="46" t="n">
        <v>45945</v>
      </c>
      <c r="Q242" s="44" t="n">
        <v>3030</v>
      </c>
      <c r="R242" s="44" t="inlineStr">
        <is>
          <t>No Video ID yet</t>
        </is>
      </c>
      <c r="S242" s="46" t="n"/>
      <c r="T242" s="46" t="n"/>
      <c r="U242" s="44" t="n"/>
      <c r="V242" s="44">
        <f>IF(AND(P242&gt;=Calendar!$K$2,P242&lt;EDATE(Calendar!$K$2,1),OR(Calendar!$K$4="*",N242=Calendar!$K$4)),P242*100+COUNTIFS($P$6:$P$3271,P242,$Q$6:$Q$3271,"&lt;="&amp;Q242,$N$6:$N$3271,Calendar!$K$4),"")</f>
        <v/>
      </c>
      <c r="W242" s="44">
        <f>IF(AND(B242=Queue!$C$4,OR(Queue!$K$4="*",N242=Queue!$K$4)),Q242,"")</f>
        <v/>
      </c>
    </row>
    <row r="243">
      <c r="A243" s="35">
        <f>IF(M243="","",HYPERLINK("https://www.youtube.com/watch?v="&amp;M243,"▶"))</f>
        <v/>
      </c>
      <c r="B243" s="36">
        <f>IF(C243&lt;&gt;"",C243,IF(P243&lt;=IFERROR(INDEX(tblChannels[Watched Through],MATCH(N243,tblChannels[Channel ID],0)),0),"Watched","Unwatched"))</f>
        <v/>
      </c>
      <c r="C243" s="37" t="n"/>
      <c r="D243" s="38" t="n"/>
      <c r="E243" s="39" t="n">
        <v>45942.41736111111</v>
      </c>
      <c r="F243" s="48" t="inlineStr">
        <is>
          <t>Through The Griffin Door</t>
        </is>
      </c>
      <c r="G243" t="inlineStr">
        <is>
          <t>Chapter 8: The Hearing | Order of the Phoenix</t>
        </is>
      </c>
      <c r="H243" s="41" t="n">
        <v>0.07292824074074074</v>
      </c>
      <c r="I243" s="42" t="n">
        <v>49163</v>
      </c>
      <c r="J243" s="42" t="n">
        <v>1287</v>
      </c>
      <c r="K243" s="42" t="n">
        <v>471</v>
      </c>
      <c r="L243" s="43" t="n"/>
      <c r="M243" s="44" t="n"/>
      <c r="N243" s="44" t="inlineStr">
        <is>
          <t>UCEscP6ETYXWSSvsNrDHekMQ</t>
        </is>
      </c>
      <c r="O243" s="45" t="n">
        <v>45942.58402777778</v>
      </c>
      <c r="P243" s="46" t="n">
        <v>45942</v>
      </c>
      <c r="Q243" s="44" t="n">
        <v>3029</v>
      </c>
      <c r="R243" s="44" t="inlineStr">
        <is>
          <t>No Video ID yet</t>
        </is>
      </c>
      <c r="S243" s="46" t="n"/>
      <c r="T243" s="46" t="n"/>
      <c r="U243" s="44" t="n"/>
      <c r="V243" s="44">
        <f>IF(AND(P243&gt;=Calendar!$K$2,P243&lt;EDATE(Calendar!$K$2,1),OR(Calendar!$K$4="*",N243=Calendar!$K$4)),P243*100+COUNTIFS($P$6:$P$3271,P243,$Q$6:$Q$3271,"&lt;="&amp;Q243,$N$6:$N$3271,Calendar!$K$4),"")</f>
        <v/>
      </c>
      <c r="W243" s="44">
        <f>IF(AND(B243=Queue!$C$4,OR(Queue!$K$4="*",N243=Queue!$K$4)),Q243,"")</f>
        <v/>
      </c>
    </row>
    <row r="244">
      <c r="A244" s="35">
        <f>IF(M244="","",HYPERLINK("https://www.youtube.com/watch?v="&amp;M244,"▶"))</f>
        <v/>
      </c>
      <c r="B244" s="36">
        <f>IF(C244&lt;&gt;"",C244,IF(P244&lt;=IFERROR(INDEX(tblChannels[Watched Through],MATCH(N244,tblChannels[Channel ID],0)),0),"Watched","Unwatched"))</f>
        <v/>
      </c>
      <c r="C244" s="37" t="n"/>
      <c r="D244" s="38" t="n"/>
      <c r="E244" s="39" t="n">
        <v>45941.20902777778</v>
      </c>
      <c r="F244" s="49" t="inlineStr">
        <is>
          <t>Super Carlin Gaming</t>
        </is>
      </c>
      <c r="G244" t="inlineStr">
        <is>
          <t>PRISMATIC EVOLUTIONS - Box Breakers SEASON 16 - Bonus Acoustic Set -  Episode 2 - 10/10/2025</t>
        </is>
      </c>
      <c r="H244" s="41" t="n">
        <v>0.1150462962962963</v>
      </c>
      <c r="I244" s="42" t="n">
        <v>857</v>
      </c>
      <c r="J244" s="42" t="n">
        <v>34</v>
      </c>
      <c r="K244" s="42" t="n">
        <v>7</v>
      </c>
      <c r="L244" s="43" t="n"/>
      <c r="M244" s="44" t="n"/>
      <c r="N244" s="44" t="inlineStr">
        <is>
          <t>UCor_9jRnNNZVzTuQ92PKsaQ</t>
        </is>
      </c>
      <c r="O244" s="45" t="n">
        <v>45941.37569444445</v>
      </c>
      <c r="P244" s="46" t="n">
        <v>45941</v>
      </c>
      <c r="Q244" s="44" t="n">
        <v>3028</v>
      </c>
      <c r="R244" s="44" t="inlineStr">
        <is>
          <t>No Video ID yet</t>
        </is>
      </c>
      <c r="S244" s="46" t="n"/>
      <c r="T244" s="46" t="n"/>
      <c r="U244" s="44" t="n"/>
      <c r="V244" s="44">
        <f>IF(AND(P244&gt;=Calendar!$K$2,P244&lt;EDATE(Calendar!$K$2,1),OR(Calendar!$K$4="*",N244=Calendar!$K$4)),P244*100+COUNTIFS($P$6:$P$3271,P244,$Q$6:$Q$3271,"&lt;="&amp;Q244,$N$6:$N$3271,Calendar!$K$4),"")</f>
        <v/>
      </c>
      <c r="W244" s="44">
        <f>IF(AND(B244=Queue!$C$4,OR(Queue!$K$4="*",N244=Queue!$K$4)),Q244,"")</f>
        <v/>
      </c>
    </row>
    <row r="245">
      <c r="A245" s="35">
        <f>IF(M245="","",HYPERLINK("https://www.youtube.com/watch?v="&amp;M245,"▶"))</f>
        <v/>
      </c>
      <c r="B245" s="36">
        <f>IF(C245&lt;&gt;"",C245,IF(P245&lt;=IFERROR(INDEX(tblChannels[Watched Through],MATCH(N245,tblChannels[Channel ID],0)),0),"Watched","Unwatched"))</f>
        <v/>
      </c>
      <c r="C245" s="37" t="n"/>
      <c r="D245" s="38" t="n"/>
      <c r="E245" s="39" t="n">
        <v>45940.71736111111</v>
      </c>
      <c r="F245" s="47" t="inlineStr">
        <is>
          <t>Super Carlin Brothers</t>
        </is>
      </c>
      <c r="G245" t="inlineStr">
        <is>
          <t>Newt Scamander Has A SECRET Daughter | Harry Potter Theory</t>
        </is>
      </c>
      <c r="H245" s="41" t="n">
        <v>0.01115740740740741</v>
      </c>
      <c r="I245" s="42" t="n">
        <v>71283</v>
      </c>
      <c r="J245" s="42" t="n">
        <v>3484</v>
      </c>
      <c r="K245" s="42" t="n">
        <v>279</v>
      </c>
      <c r="L245" s="43" t="n"/>
      <c r="M245" s="44" t="n"/>
      <c r="N245" s="44" t="inlineStr">
        <is>
          <t>UCKZo4N0lVPccBkSiuyVh4yg</t>
        </is>
      </c>
      <c r="O245" s="45" t="n">
        <v>45940.88402777778</v>
      </c>
      <c r="P245" s="46" t="n">
        <v>45940</v>
      </c>
      <c r="Q245" s="44" t="n">
        <v>3027</v>
      </c>
      <c r="R245" s="44" t="inlineStr">
        <is>
          <t>No Video ID yet</t>
        </is>
      </c>
      <c r="S245" s="46" t="n"/>
      <c r="T245" s="46" t="n"/>
      <c r="U245" s="44" t="n"/>
      <c r="V245" s="44">
        <f>IF(AND(P245&gt;=Calendar!$K$2,P245&lt;EDATE(Calendar!$K$2,1),OR(Calendar!$K$4="*",N245=Calendar!$K$4)),P245*100+COUNTIFS($P$6:$P$3271,P245,$Q$6:$Q$3271,"&lt;="&amp;Q245,$N$6:$N$3271,Calendar!$K$4),"")</f>
        <v/>
      </c>
      <c r="W245" s="44">
        <f>IF(AND(B245=Queue!$C$4,OR(Queue!$K$4="*",N245=Queue!$K$4)),Q245,"")</f>
        <v/>
      </c>
    </row>
    <row r="246">
      <c r="A246" s="35">
        <f>IF(M246="","",HYPERLINK("https://www.youtube.com/watch?v="&amp;M246,"▶"))</f>
        <v/>
      </c>
      <c r="B246" s="36">
        <f>IF(C246&lt;&gt;"",C246,IF(P246&lt;=IFERROR(INDEX(tblChannels[Watched Through],MATCH(N246,tblChannels[Channel ID],0)),0),"Watched","Unwatched"))</f>
        <v/>
      </c>
      <c r="C246" s="37" t="n"/>
      <c r="D246" s="38" t="n"/>
      <c r="E246" s="39" t="n">
        <v>45940.41666666666</v>
      </c>
      <c r="F246" s="40" t="inlineStr">
        <is>
          <t>Popcorn Culture</t>
        </is>
      </c>
      <c r="G246" t="inlineStr">
        <is>
          <t>WE BOUGHT A DOCK!! | Popcorn Culture</t>
        </is>
      </c>
      <c r="H246" s="41" t="n">
        <v>0.04921296296296297</v>
      </c>
      <c r="I246" s="42" t="n">
        <v>2784</v>
      </c>
      <c r="J246" s="42" t="n">
        <v>137</v>
      </c>
      <c r="K246" s="42" t="n">
        <v>20</v>
      </c>
      <c r="L246" s="43" t="n"/>
      <c r="M246" s="44" t="n"/>
      <c r="N246" s="44" t="inlineStr">
        <is>
          <t>UCHfIbq9thHPC8yrKjAdJgDA</t>
        </is>
      </c>
      <c r="O246" s="45" t="n">
        <v>45940.58333333334</v>
      </c>
      <c r="P246" s="46" t="n">
        <v>45940</v>
      </c>
      <c r="Q246" s="44" t="n">
        <v>3026</v>
      </c>
      <c r="R246" s="44" t="inlineStr">
        <is>
          <t>No Video ID yet</t>
        </is>
      </c>
      <c r="S246" s="46" t="n"/>
      <c r="T246" s="46" t="n"/>
      <c r="U246" s="44" t="n"/>
      <c r="V246" s="44">
        <f>IF(AND(P246&gt;=Calendar!$K$2,P246&lt;EDATE(Calendar!$K$2,1),OR(Calendar!$K$4="*",N246=Calendar!$K$4)),P246*100+COUNTIFS($P$6:$P$3271,P246,$Q$6:$Q$3271,"&lt;="&amp;Q246,$N$6:$N$3271,Calendar!$K$4),"")</f>
        <v/>
      </c>
      <c r="W246" s="44">
        <f>IF(AND(B246=Queue!$C$4,OR(Queue!$K$4="*",N246=Queue!$K$4)),Q246,"")</f>
        <v/>
      </c>
    </row>
    <row r="247">
      <c r="A247" s="35">
        <f>IF(M247="","",HYPERLINK("https://www.youtube.com/watch?v="&amp;M247,"▶"))</f>
        <v/>
      </c>
      <c r="B247" s="36">
        <f>IF(C247&lt;&gt;"",C247,IF(P247&lt;=IFERROR(INDEX(tblChannels[Watched Through],MATCH(N247,tblChannels[Channel ID],0)),0),"Watched","Unwatched"))</f>
        <v/>
      </c>
      <c r="C247" s="37" t="n"/>
      <c r="D247" s="38" t="n"/>
      <c r="E247" s="39" t="n">
        <v>45939.70833333334</v>
      </c>
      <c r="F247" s="48" t="inlineStr">
        <is>
          <t>Through The Griffin Door</t>
        </is>
      </c>
      <c r="G247" t="inlineStr">
        <is>
          <t>Live In St. Louis - Chapter 7: The Ministry of Magic | Order of the Phoenix</t>
        </is>
      </c>
      <c r="H247" s="41" t="n">
        <v>0.04685185185185185</v>
      </c>
      <c r="I247" s="42" t="n">
        <v>9237</v>
      </c>
      <c r="J247" s="42" t="n">
        <v>364</v>
      </c>
      <c r="K247" s="42" t="n">
        <v>55</v>
      </c>
      <c r="L247" s="43" t="n"/>
      <c r="M247" s="44" t="n"/>
      <c r="N247" s="44" t="inlineStr">
        <is>
          <t>UCEscP6ETYXWSSvsNrDHekMQ</t>
        </is>
      </c>
      <c r="O247" s="45" t="n">
        <v>45939.875</v>
      </c>
      <c r="P247" s="46" t="n">
        <v>45939</v>
      </c>
      <c r="Q247" s="44" t="n">
        <v>3025</v>
      </c>
      <c r="R247" s="44" t="inlineStr">
        <is>
          <t>No Video ID yet</t>
        </is>
      </c>
      <c r="S247" s="46" t="n"/>
      <c r="T247" s="46" t="n"/>
      <c r="U247" s="44" t="n"/>
      <c r="V247" s="44">
        <f>IF(AND(P247&gt;=Calendar!$K$2,P247&lt;EDATE(Calendar!$K$2,1),OR(Calendar!$K$4="*",N247=Calendar!$K$4)),P247*100+COUNTIFS($P$6:$P$3271,P247,$Q$6:$Q$3271,"&lt;="&amp;Q247,$N$6:$N$3271,Calendar!$K$4),"")</f>
        <v/>
      </c>
      <c r="W247" s="44">
        <f>IF(AND(B247=Queue!$C$4,OR(Queue!$K$4="*",N247=Queue!$K$4)),Q247,"")</f>
        <v/>
      </c>
    </row>
    <row r="248">
      <c r="A248" s="35">
        <f>IF(M248="","",HYPERLINK("https://www.youtube.com/watch?v="&amp;M248,"▶"))</f>
        <v/>
      </c>
      <c r="B248" s="36">
        <f>IF(C248&lt;&gt;"",C248,IF(P248&lt;=IFERROR(INDEX(tblChannels[Watched Through],MATCH(N248,tblChannels[Channel ID],0)),0),"Watched","Unwatched"))</f>
        <v/>
      </c>
      <c r="C248" s="37" t="n"/>
      <c r="D248" s="38" t="n"/>
      <c r="E248" s="39" t="n">
        <v>45938.76041666666</v>
      </c>
      <c r="F248" s="47" t="inlineStr">
        <is>
          <t>Super Carlin Brothers</t>
        </is>
      </c>
      <c r="G248" t="inlineStr">
        <is>
          <t>J vs Ben: MAX DIFFICULTY Prisoner of Azkaban Open Book Quiz</t>
        </is>
      </c>
      <c r="H248" s="41" t="n">
        <v>0.0337037037037037</v>
      </c>
      <c r="I248" s="42" t="n">
        <v>87630</v>
      </c>
      <c r="J248" s="42" t="n">
        <v>3093</v>
      </c>
      <c r="K248" s="42" t="n">
        <v>287</v>
      </c>
      <c r="L248" s="43" t="n"/>
      <c r="M248" s="44" t="n"/>
      <c r="N248" s="44" t="inlineStr">
        <is>
          <t>UCKZo4N0lVPccBkSiuyVh4yg</t>
        </is>
      </c>
      <c r="O248" s="45" t="n">
        <v>45938.92708333334</v>
      </c>
      <c r="P248" s="46" t="n">
        <v>45938</v>
      </c>
      <c r="Q248" s="44" t="n">
        <v>3024</v>
      </c>
      <c r="R248" s="44" t="inlineStr">
        <is>
          <t>No Video ID yet</t>
        </is>
      </c>
      <c r="S248" s="46" t="n"/>
      <c r="T248" s="46" t="n"/>
      <c r="U248" s="44" t="n"/>
      <c r="V248" s="44">
        <f>IF(AND(P248&gt;=Calendar!$K$2,P248&lt;EDATE(Calendar!$K$2,1),OR(Calendar!$K$4="*",N248=Calendar!$K$4)),P248*100+COUNTIFS($P$6:$P$3271,P248,$Q$6:$Q$3271,"&lt;="&amp;Q248,$N$6:$N$3271,Calendar!$K$4),"")</f>
        <v/>
      </c>
      <c r="W248" s="44">
        <f>IF(AND(B248=Queue!$C$4,OR(Queue!$K$4="*",N248=Queue!$K$4)),Q248,"")</f>
        <v/>
      </c>
    </row>
    <row r="249">
      <c r="A249" s="35">
        <f>IF(M249="","",HYPERLINK("https://www.youtube.com/watch?v="&amp;M249,"▶"))</f>
        <v/>
      </c>
      <c r="B249" s="36">
        <f>IF(C249&lt;&gt;"",C249,IF(P249&lt;=IFERROR(INDEX(tblChannels[Watched Through],MATCH(N249,tblChannels[Channel ID],0)),0),"Watched","Unwatched"))</f>
        <v/>
      </c>
      <c r="C249" s="37" t="n"/>
      <c r="D249" s="38" t="n"/>
      <c r="E249" s="39" t="n">
        <v>45935.41666666666</v>
      </c>
      <c r="F249" s="48" t="inlineStr">
        <is>
          <t>Through The Griffin Door</t>
        </is>
      </c>
      <c r="G249" t="inlineStr">
        <is>
          <t>Chapter 7: The Ministry of Magic | Order of the Phoenix</t>
        </is>
      </c>
      <c r="H249" s="41" t="n">
        <v>0.06565972222222222</v>
      </c>
      <c r="I249" s="42" t="n">
        <v>49793</v>
      </c>
      <c r="J249" s="42" t="n">
        <v>1291</v>
      </c>
      <c r="K249" s="42" t="n">
        <v>246</v>
      </c>
      <c r="L249" s="43" t="n"/>
      <c r="M249" s="44" t="n"/>
      <c r="N249" s="44" t="inlineStr">
        <is>
          <t>UCEscP6ETYXWSSvsNrDHekMQ</t>
        </is>
      </c>
      <c r="O249" s="45" t="n">
        <v>45935.58333333334</v>
      </c>
      <c r="P249" s="46" t="n">
        <v>45935</v>
      </c>
      <c r="Q249" s="44" t="n">
        <v>3023</v>
      </c>
      <c r="R249" s="44" t="inlineStr">
        <is>
          <t>No Video ID yet</t>
        </is>
      </c>
      <c r="S249" s="46" t="n"/>
      <c r="T249" s="46" t="n"/>
      <c r="U249" s="44" t="n"/>
      <c r="V249" s="44">
        <f>IF(AND(P249&gt;=Calendar!$K$2,P249&lt;EDATE(Calendar!$K$2,1),OR(Calendar!$K$4="*",N249=Calendar!$K$4)),P249*100+COUNTIFS($P$6:$P$3271,P249,$Q$6:$Q$3271,"&lt;="&amp;Q249,$N$6:$N$3271,Calendar!$K$4),"")</f>
        <v/>
      </c>
      <c r="W249" s="44">
        <f>IF(AND(B249=Queue!$C$4,OR(Queue!$K$4="*",N249=Queue!$K$4)),Q249,"")</f>
        <v/>
      </c>
    </row>
    <row r="250">
      <c r="A250" s="35">
        <f>IF(M250="","",HYPERLINK("https://www.youtube.com/watch?v="&amp;M250,"▶"))</f>
        <v/>
      </c>
      <c r="B250" s="36">
        <f>IF(C250&lt;&gt;"",C250,IF(P250&lt;=IFERROR(INDEX(tblChannels[Watched Through],MATCH(N250,tblChannels[Channel ID],0)),0),"Watched","Unwatched"))</f>
        <v/>
      </c>
      <c r="C250" s="37" t="n"/>
      <c r="D250" s="38" t="n"/>
      <c r="E250" s="39" t="n">
        <v>45934.41666666666</v>
      </c>
      <c r="F250" s="47" t="inlineStr">
        <is>
          <t>Super Carlin Brothers</t>
        </is>
      </c>
      <c r="G250" t="inlineStr">
        <is>
          <t>Through the Griffin Door Supercut: Order of the Phoenix Chapters 4-6</t>
        </is>
      </c>
      <c r="H250" s="41" t="n">
        <v>0.2233796296296296</v>
      </c>
      <c r="I250" s="42" t="n">
        <v>11758</v>
      </c>
      <c r="J250" s="42" t="n">
        <v>209</v>
      </c>
      <c r="K250" s="42" t="n">
        <v>37</v>
      </c>
      <c r="L250" s="43" t="n"/>
      <c r="M250" s="44" t="n"/>
      <c r="N250" s="44" t="inlineStr">
        <is>
          <t>UCKZo4N0lVPccBkSiuyVh4yg</t>
        </is>
      </c>
      <c r="O250" s="45" t="n">
        <v>45934.58333333334</v>
      </c>
      <c r="P250" s="46" t="n">
        <v>45934</v>
      </c>
      <c r="Q250" s="44" t="n">
        <v>3022</v>
      </c>
      <c r="R250" s="44" t="inlineStr">
        <is>
          <t>No Video ID yet</t>
        </is>
      </c>
      <c r="S250" s="46" t="n"/>
      <c r="T250" s="46" t="n"/>
      <c r="U250" s="44" t="n"/>
      <c r="V250" s="44">
        <f>IF(AND(P250&gt;=Calendar!$K$2,P250&lt;EDATE(Calendar!$K$2,1),OR(Calendar!$K$4="*",N250=Calendar!$K$4)),P250*100+COUNTIFS($P$6:$P$3271,P250,$Q$6:$Q$3271,"&lt;="&amp;Q250,$N$6:$N$3271,Calendar!$K$4),"")</f>
        <v/>
      </c>
      <c r="W250" s="44">
        <f>IF(AND(B250=Queue!$C$4,OR(Queue!$K$4="*",N250=Queue!$K$4)),Q250,"")</f>
        <v/>
      </c>
    </row>
    <row r="251">
      <c r="A251" s="35">
        <f>IF(M251="","",HYPERLINK("https://www.youtube.com/watch?v="&amp;M251,"▶"))</f>
        <v/>
      </c>
      <c r="B251" s="36">
        <f>IF(C251&lt;&gt;"",C251,IF(P251&lt;=IFERROR(INDEX(tblChannels[Watched Through],MATCH(N251,tblChannels[Channel ID],0)),0),"Watched","Unwatched"))</f>
        <v/>
      </c>
      <c r="C251" s="37" t="n"/>
      <c r="D251" s="38" t="n"/>
      <c r="E251" s="39" t="n">
        <v>45933.70277777778</v>
      </c>
      <c r="F251" s="47" t="inlineStr">
        <is>
          <t>Super Carlin Brothers</t>
        </is>
      </c>
      <c r="G251" t="inlineStr">
        <is>
          <t>Fred &amp; George POISONED Cormac McClaggen?! | Harry Potter Theory</t>
        </is>
      </c>
      <c r="H251" s="41" t="n">
        <v>0.00863425925925926</v>
      </c>
      <c r="I251" s="42" t="n">
        <v>61415</v>
      </c>
      <c r="J251" s="42" t="n">
        <v>3210</v>
      </c>
      <c r="K251" s="42" t="n">
        <v>228</v>
      </c>
      <c r="L251" s="43" t="n"/>
      <c r="M251" s="44" t="n"/>
      <c r="N251" s="44" t="inlineStr">
        <is>
          <t>UCKZo4N0lVPccBkSiuyVh4yg</t>
        </is>
      </c>
      <c r="O251" s="45" t="n">
        <v>45933.86944444444</v>
      </c>
      <c r="P251" s="46" t="n">
        <v>45933</v>
      </c>
      <c r="Q251" s="44" t="n">
        <v>3021</v>
      </c>
      <c r="R251" s="44" t="inlineStr">
        <is>
          <t>No Video ID yet</t>
        </is>
      </c>
      <c r="S251" s="46" t="n"/>
      <c r="T251" s="46" t="n"/>
      <c r="U251" s="44" t="n"/>
      <c r="V251" s="44">
        <f>IF(AND(P251&gt;=Calendar!$K$2,P251&lt;EDATE(Calendar!$K$2,1),OR(Calendar!$K$4="*",N251=Calendar!$K$4)),P251*100+COUNTIFS($P$6:$P$3271,P251,$Q$6:$Q$3271,"&lt;="&amp;Q251,$N$6:$N$3271,Calendar!$K$4),"")</f>
        <v/>
      </c>
      <c r="W251" s="44">
        <f>IF(AND(B251=Queue!$C$4,OR(Queue!$K$4="*",N251=Queue!$K$4)),Q251,"")</f>
        <v/>
      </c>
    </row>
    <row r="252">
      <c r="A252" s="35">
        <f>IF(M252="","",HYPERLINK("https://www.youtube.com/watch?v="&amp;M252,"▶"))</f>
        <v/>
      </c>
      <c r="B252" s="36">
        <f>IF(C252&lt;&gt;"",C252,IF(P252&lt;=IFERROR(INDEX(tblChannels[Watched Through],MATCH(N252,tblChannels[Channel ID],0)),0),"Watched","Unwatched"))</f>
        <v/>
      </c>
      <c r="C252" s="37" t="n"/>
      <c r="D252" s="38" t="n"/>
      <c r="E252" s="39" t="n">
        <v>45933.41666666666</v>
      </c>
      <c r="F252" s="40" t="inlineStr">
        <is>
          <t>Popcorn Culture</t>
        </is>
      </c>
      <c r="G252" t="inlineStr">
        <is>
          <t>The Magic of Tour | Popcorn Culture</t>
        </is>
      </c>
      <c r="H252" s="41" t="n">
        <v>0.04387731481481481</v>
      </c>
      <c r="I252" s="42" t="n">
        <v>2703</v>
      </c>
      <c r="J252" s="42" t="n">
        <v>157</v>
      </c>
      <c r="K252" s="42" t="n">
        <v>29</v>
      </c>
      <c r="L252" s="43" t="n"/>
      <c r="M252" s="44" t="n"/>
      <c r="N252" s="44" t="inlineStr">
        <is>
          <t>UCHfIbq9thHPC8yrKjAdJgDA</t>
        </is>
      </c>
      <c r="O252" s="45" t="n">
        <v>45933.58333333334</v>
      </c>
      <c r="P252" s="46" t="n">
        <v>45933</v>
      </c>
      <c r="Q252" s="44" t="n">
        <v>3020</v>
      </c>
      <c r="R252" s="44" t="inlineStr">
        <is>
          <t>No Video ID yet</t>
        </is>
      </c>
      <c r="S252" s="46" t="n"/>
      <c r="T252" s="46" t="n"/>
      <c r="U252" s="44" t="n"/>
      <c r="V252" s="44">
        <f>IF(AND(P252&gt;=Calendar!$K$2,P252&lt;EDATE(Calendar!$K$2,1),OR(Calendar!$K$4="*",N252=Calendar!$K$4)),P252*100+COUNTIFS($P$6:$P$3271,P252,$Q$6:$Q$3271,"&lt;="&amp;Q252,$N$6:$N$3271,Calendar!$K$4),"")</f>
        <v/>
      </c>
      <c r="W252" s="44">
        <f>IF(AND(B252=Queue!$C$4,OR(Queue!$K$4="*",N252=Queue!$K$4)),Q252,"")</f>
        <v/>
      </c>
    </row>
    <row r="253">
      <c r="A253" s="35">
        <f>IF(M253="","",HYPERLINK("https://www.youtube.com/watch?v="&amp;M253,"▶"))</f>
        <v/>
      </c>
      <c r="B253" s="36">
        <f>IF(C253&lt;&gt;"",C253,IF(P253&lt;=IFERROR(INDEX(tblChannels[Watched Through],MATCH(N253,tblChannels[Channel ID],0)),0),"Watched","Unwatched"))</f>
        <v/>
      </c>
      <c r="C253" s="37" t="n"/>
      <c r="D253" s="38" t="n"/>
      <c r="E253" s="39" t="n">
        <v>45932.70833333334</v>
      </c>
      <c r="F253" s="48" t="inlineStr">
        <is>
          <t>Through The Griffin Door</t>
        </is>
      </c>
      <c r="G253" t="inlineStr">
        <is>
          <t>Live in Indianapolis - Chapter 6: The Noble and MOST Ancient House of Black | Order of the Phoenix</t>
        </is>
      </c>
      <c r="H253" s="41" t="n">
        <v>0.05710648148148148</v>
      </c>
      <c r="I253" s="42" t="n">
        <v>10803</v>
      </c>
      <c r="J253" s="42" t="n">
        <v>424</v>
      </c>
      <c r="K253" s="42" t="n">
        <v>80</v>
      </c>
      <c r="L253" s="43" t="n"/>
      <c r="M253" s="44" t="n"/>
      <c r="N253" s="44" t="inlineStr">
        <is>
          <t>UCEscP6ETYXWSSvsNrDHekMQ</t>
        </is>
      </c>
      <c r="O253" s="45" t="n">
        <v>45932.875</v>
      </c>
      <c r="P253" s="46" t="n">
        <v>45932</v>
      </c>
      <c r="Q253" s="44" t="n">
        <v>3019</v>
      </c>
      <c r="R253" s="44" t="inlineStr">
        <is>
          <t>No Video ID yet</t>
        </is>
      </c>
      <c r="S253" s="46" t="n"/>
      <c r="T253" s="46" t="n"/>
      <c r="U253" s="44" t="n"/>
      <c r="V253" s="44">
        <f>IF(AND(P253&gt;=Calendar!$K$2,P253&lt;EDATE(Calendar!$K$2,1),OR(Calendar!$K$4="*",N253=Calendar!$K$4)),P253*100+COUNTIFS($P$6:$P$3271,P253,$Q$6:$Q$3271,"&lt;="&amp;Q253,$N$6:$N$3271,Calendar!$K$4),"")</f>
        <v/>
      </c>
      <c r="W253" s="44">
        <f>IF(AND(B253=Queue!$C$4,OR(Queue!$K$4="*",N253=Queue!$K$4)),Q253,"")</f>
        <v/>
      </c>
    </row>
    <row r="254">
      <c r="A254" s="35">
        <f>IF(M254="","",HYPERLINK("https://www.youtube.com/watch?v="&amp;M254,"▶"))</f>
        <v/>
      </c>
      <c r="B254" s="36">
        <f>IF(C254&lt;&gt;"",C254,IF(P254&lt;=IFERROR(INDEX(tblChannels[Watched Through],MATCH(N254,tblChannels[Channel ID],0)),0),"Watched","Unwatched"))</f>
        <v/>
      </c>
      <c r="C254" s="37" t="n"/>
      <c r="D254" s="38" t="n"/>
      <c r="E254" s="39" t="n">
        <v>45931.70833333334</v>
      </c>
      <c r="F254" s="47" t="inlineStr">
        <is>
          <t>Super Carlin Brothers</t>
        </is>
      </c>
      <c r="G254" t="inlineStr">
        <is>
          <t>The DARK TRUTH Behind the Fountain of Magical Brethren | Harry Potter Theory</t>
        </is>
      </c>
      <c r="H254" s="41" t="n">
        <v>0.01119212962962963</v>
      </c>
      <c r="I254" s="42" t="n">
        <v>95681</v>
      </c>
      <c r="J254" s="42" t="n">
        <v>4101</v>
      </c>
      <c r="K254" s="42" t="n">
        <v>321</v>
      </c>
      <c r="L254" s="43" t="n"/>
      <c r="M254" s="44" t="n"/>
      <c r="N254" s="44" t="inlineStr">
        <is>
          <t>UCKZo4N0lVPccBkSiuyVh4yg</t>
        </is>
      </c>
      <c r="O254" s="45" t="n">
        <v>45931.875</v>
      </c>
      <c r="P254" s="46" t="n">
        <v>45931</v>
      </c>
      <c r="Q254" s="44" t="n">
        <v>3018</v>
      </c>
      <c r="R254" s="44" t="inlineStr">
        <is>
          <t>No Video ID yet</t>
        </is>
      </c>
      <c r="S254" s="46" t="n"/>
      <c r="T254" s="46" t="n"/>
      <c r="U254" s="44" t="n"/>
      <c r="V254" s="44">
        <f>IF(AND(P254&gt;=Calendar!$K$2,P254&lt;EDATE(Calendar!$K$2,1),OR(Calendar!$K$4="*",N254=Calendar!$K$4)),P254*100+COUNTIFS($P$6:$P$3271,P254,$Q$6:$Q$3271,"&lt;="&amp;Q254,$N$6:$N$3271,Calendar!$K$4),"")</f>
        <v/>
      </c>
      <c r="W254" s="44">
        <f>IF(AND(B254=Queue!$C$4,OR(Queue!$K$4="*",N254=Queue!$K$4)),Q254,"")</f>
        <v/>
      </c>
    </row>
    <row r="255">
      <c r="A255" s="35">
        <f>IF(M255="","",HYPERLINK("https://www.youtube.com/watch?v="&amp;M255,"▶"))</f>
        <v/>
      </c>
      <c r="B255" s="36">
        <f>IF(C255&lt;&gt;"",C255,IF(P255&lt;=IFERROR(INDEX(tblChannels[Watched Through],MATCH(N255,tblChannels[Channel ID],0)),0),"Watched","Unwatched"))</f>
        <v/>
      </c>
      <c r="C255" s="37" t="n"/>
      <c r="D255" s="38" t="n"/>
      <c r="E255" s="39" t="n">
        <v>45928.41666666666</v>
      </c>
      <c r="F255" s="48" t="inlineStr">
        <is>
          <t>Through The Griffin Door</t>
        </is>
      </c>
      <c r="G255" t="inlineStr">
        <is>
          <t>Chapter 6: The Noble and Most Ancient House of Black | Order of the Phoenix</t>
        </is>
      </c>
      <c r="H255" s="41" t="n">
        <v>0.07745370370370371</v>
      </c>
      <c r="I255" s="42" t="n">
        <v>52378</v>
      </c>
      <c r="J255" s="42" t="n">
        <v>1366</v>
      </c>
      <c r="K255" s="42" t="n">
        <v>275</v>
      </c>
      <c r="L255" s="43" t="n"/>
      <c r="M255" s="44" t="n"/>
      <c r="N255" s="44" t="inlineStr">
        <is>
          <t>UCEscP6ETYXWSSvsNrDHekMQ</t>
        </is>
      </c>
      <c r="O255" s="45" t="n">
        <v>45928.58333333334</v>
      </c>
      <c r="P255" s="46" t="n">
        <v>45928</v>
      </c>
      <c r="Q255" s="44" t="n">
        <v>3017</v>
      </c>
      <c r="R255" s="44" t="inlineStr">
        <is>
          <t>No Video ID yet</t>
        </is>
      </c>
      <c r="S255" s="46" t="n"/>
      <c r="T255" s="46" t="n"/>
      <c r="U255" s="44" t="n"/>
      <c r="V255" s="44">
        <f>IF(AND(P255&gt;=Calendar!$K$2,P255&lt;EDATE(Calendar!$K$2,1),OR(Calendar!$K$4="*",N255=Calendar!$K$4)),P255*100+COUNTIFS($P$6:$P$3271,P255,$Q$6:$Q$3271,"&lt;="&amp;Q255,$N$6:$N$3271,Calendar!$K$4),"")</f>
        <v/>
      </c>
      <c r="W255" s="44">
        <f>IF(AND(B255=Queue!$C$4,OR(Queue!$K$4="*",N255=Queue!$K$4)),Q255,"")</f>
        <v/>
      </c>
    </row>
    <row r="256">
      <c r="A256" s="35">
        <f>IF(M256="","",HYPERLINK("https://www.youtube.com/watch?v="&amp;M256,"▶"))</f>
        <v/>
      </c>
      <c r="B256" s="36">
        <f>IF(C256&lt;&gt;"",C256,IF(P256&lt;=IFERROR(INDEX(tblChannels[Watched Through],MATCH(N256,tblChannels[Channel ID],0)),0),"Watched","Unwatched"))</f>
        <v/>
      </c>
      <c r="C256" s="37" t="n"/>
      <c r="D256" s="38" t="n"/>
      <c r="E256" s="39" t="n">
        <v>45926.625</v>
      </c>
      <c r="F256" s="47" t="inlineStr">
        <is>
          <t>Super Carlin Brothers</t>
        </is>
      </c>
      <c r="G256" t="inlineStr">
        <is>
          <t>What If Snape TOLD His Secret? | Harry Potter Theory</t>
        </is>
      </c>
      <c r="H256" s="41" t="n">
        <v>0.02728009259259259</v>
      </c>
      <c r="I256" s="42" t="n">
        <v>144665</v>
      </c>
      <c r="J256" s="42" t="n">
        <v>4748</v>
      </c>
      <c r="K256" s="42" t="n">
        <v>593</v>
      </c>
      <c r="L256" s="43" t="n"/>
      <c r="M256" s="44" t="n"/>
      <c r="N256" s="44" t="inlineStr">
        <is>
          <t>UCKZo4N0lVPccBkSiuyVh4yg</t>
        </is>
      </c>
      <c r="O256" s="45" t="n">
        <v>45926.79166666666</v>
      </c>
      <c r="P256" s="46" t="n">
        <v>45926</v>
      </c>
      <c r="Q256" s="44" t="n">
        <v>3016</v>
      </c>
      <c r="R256" s="44" t="inlineStr">
        <is>
          <t>No Video ID yet</t>
        </is>
      </c>
      <c r="S256" s="46" t="n"/>
      <c r="T256" s="46" t="n"/>
      <c r="U256" s="44" t="n"/>
      <c r="V256" s="44">
        <f>IF(AND(P256&gt;=Calendar!$K$2,P256&lt;EDATE(Calendar!$K$2,1),OR(Calendar!$K$4="*",N256=Calendar!$K$4)),P256*100+COUNTIFS($P$6:$P$3271,P256,$Q$6:$Q$3271,"&lt;="&amp;Q256,$N$6:$N$3271,Calendar!$K$4),"")</f>
        <v/>
      </c>
      <c r="W256" s="44">
        <f>IF(AND(B256=Queue!$C$4,OR(Queue!$K$4="*",N256=Queue!$K$4)),Q256,"")</f>
        <v/>
      </c>
    </row>
    <row r="257">
      <c r="A257" s="35">
        <f>IF(M257="","",HYPERLINK("https://www.youtube.com/watch?v="&amp;M257,"▶"))</f>
        <v/>
      </c>
      <c r="B257" s="36">
        <f>IF(C257&lt;&gt;"",C257,IF(P257&lt;=IFERROR(INDEX(tblChannels[Watched Through],MATCH(N257,tblChannels[Channel ID],0)),0),"Watched","Unwatched"))</f>
        <v/>
      </c>
      <c r="C257" s="37" t="n"/>
      <c r="D257" s="38" t="n"/>
      <c r="E257" s="39" t="n">
        <v>45926.41666666666</v>
      </c>
      <c r="F257" s="40" t="inlineStr">
        <is>
          <t>Popcorn Culture</t>
        </is>
      </c>
      <c r="G257" t="inlineStr">
        <is>
          <t>Weak Opinions About Strong Things | Popcorn Culture</t>
        </is>
      </c>
      <c r="H257" s="41" t="n">
        <v>0.05221064814814814</v>
      </c>
      <c r="I257" s="42" t="n">
        <v>2874</v>
      </c>
      <c r="J257" s="42" t="n">
        <v>138</v>
      </c>
      <c r="K257" s="42" t="n">
        <v>37</v>
      </c>
      <c r="L257" s="43" t="n"/>
      <c r="M257" s="44" t="n"/>
      <c r="N257" s="44" t="inlineStr">
        <is>
          <t>UCHfIbq9thHPC8yrKjAdJgDA</t>
        </is>
      </c>
      <c r="O257" s="45" t="n">
        <v>45926.58333333334</v>
      </c>
      <c r="P257" s="46" t="n">
        <v>45926</v>
      </c>
      <c r="Q257" s="44" t="n">
        <v>3015</v>
      </c>
      <c r="R257" s="44" t="inlineStr">
        <is>
          <t>No Video ID yet</t>
        </is>
      </c>
      <c r="S257" s="46" t="n"/>
      <c r="T257" s="46" t="n"/>
      <c r="U257" s="44" t="n"/>
      <c r="V257" s="44">
        <f>IF(AND(P257&gt;=Calendar!$K$2,P257&lt;EDATE(Calendar!$K$2,1),OR(Calendar!$K$4="*",N257=Calendar!$K$4)),P257*100+COUNTIFS($P$6:$P$3271,P257,$Q$6:$Q$3271,"&lt;="&amp;Q257,$N$6:$N$3271,Calendar!$K$4),"")</f>
        <v/>
      </c>
      <c r="W257" s="44">
        <f>IF(AND(B257=Queue!$C$4,OR(Queue!$K$4="*",N257=Queue!$K$4)),Q257,"")</f>
        <v/>
      </c>
    </row>
    <row r="258">
      <c r="A258" s="35">
        <f>IF(M258="","",HYPERLINK("https://www.youtube.com/watch?v="&amp;M258,"▶"))</f>
        <v/>
      </c>
      <c r="B258" s="36">
        <f>IF(C258&lt;&gt;"",C258,IF(P258&lt;=IFERROR(INDEX(tblChannels[Watched Through],MATCH(N258,tblChannels[Channel ID],0)),0),"Watched","Unwatched"))</f>
        <v/>
      </c>
      <c r="C258" s="37" t="n"/>
      <c r="D258" s="38" t="n"/>
      <c r="E258" s="39" t="n">
        <v>45924.625</v>
      </c>
      <c r="F258" s="47" t="inlineStr">
        <is>
          <t>Super Carlin Brothers</t>
        </is>
      </c>
      <c r="G258" t="inlineStr">
        <is>
          <t>J vs Ben: MAX DIFFICULTY Chamber of Secrets Open Book Quiz</t>
        </is>
      </c>
      <c r="H258" s="41" t="n">
        <v>0.02957175925925926</v>
      </c>
      <c r="I258" s="42" t="n">
        <v>93187</v>
      </c>
      <c r="J258" s="42" t="n">
        <v>3334</v>
      </c>
      <c r="K258" s="42" t="n">
        <v>429</v>
      </c>
      <c r="L258" s="43" t="n"/>
      <c r="M258" s="44" t="n"/>
      <c r="N258" s="44" t="inlineStr">
        <is>
          <t>UCKZo4N0lVPccBkSiuyVh4yg</t>
        </is>
      </c>
      <c r="O258" s="45" t="n">
        <v>45924.79166666666</v>
      </c>
      <c r="P258" s="46" t="n">
        <v>45924</v>
      </c>
      <c r="Q258" s="44" t="n">
        <v>3014</v>
      </c>
      <c r="R258" s="44" t="inlineStr">
        <is>
          <t>No Video ID yet</t>
        </is>
      </c>
      <c r="S258" s="46" t="n"/>
      <c r="T258" s="46" t="n"/>
      <c r="U258" s="44" t="n"/>
      <c r="V258" s="44">
        <f>IF(AND(P258&gt;=Calendar!$K$2,P258&lt;EDATE(Calendar!$K$2,1),OR(Calendar!$K$4="*",N258=Calendar!$K$4)),P258*100+COUNTIFS($P$6:$P$3271,P258,$Q$6:$Q$3271,"&lt;="&amp;Q258,$N$6:$N$3271,Calendar!$K$4),"")</f>
        <v/>
      </c>
      <c r="W258" s="44">
        <f>IF(AND(B258=Queue!$C$4,OR(Queue!$K$4="*",N258=Queue!$K$4)),Q258,"")</f>
        <v/>
      </c>
    </row>
    <row r="259">
      <c r="A259" s="35">
        <f>IF(M259="","",HYPERLINK("https://www.youtube.com/watch?v="&amp;M259,"▶"))</f>
        <v/>
      </c>
      <c r="B259" s="36">
        <f>IF(C259&lt;&gt;"",C259,IF(P259&lt;=IFERROR(INDEX(tblChannels[Watched Through],MATCH(N259,tblChannels[Channel ID],0)),0),"Watched","Unwatched"))</f>
        <v/>
      </c>
      <c r="C259" s="37" t="n"/>
      <c r="D259" s="38" t="n"/>
      <c r="E259" s="39" t="n">
        <v>45921.41666666666</v>
      </c>
      <c r="F259" s="48" t="inlineStr">
        <is>
          <t>Through The Griffin Door</t>
        </is>
      </c>
      <c r="G259" t="inlineStr">
        <is>
          <t>Chapter 5: The Order of the Phoenix | Order of the Phoenix</t>
        </is>
      </c>
      <c r="H259" s="41" t="n">
        <v>0.080625</v>
      </c>
      <c r="I259" s="42" t="n">
        <v>56176</v>
      </c>
      <c r="J259" s="42" t="n">
        <v>1463</v>
      </c>
      <c r="K259" s="42" t="n">
        <v>353</v>
      </c>
      <c r="L259" s="43" t="n"/>
      <c r="M259" s="44" t="n"/>
      <c r="N259" s="44" t="inlineStr">
        <is>
          <t>UCEscP6ETYXWSSvsNrDHekMQ</t>
        </is>
      </c>
      <c r="O259" s="45" t="n">
        <v>45921.58333333334</v>
      </c>
      <c r="P259" s="46" t="n">
        <v>45921</v>
      </c>
      <c r="Q259" s="44" t="n">
        <v>3013</v>
      </c>
      <c r="R259" s="44" t="inlineStr">
        <is>
          <t>No Video ID yet</t>
        </is>
      </c>
      <c r="S259" s="46" t="n"/>
      <c r="T259" s="46" t="n"/>
      <c r="U259" s="44" t="n"/>
      <c r="V259" s="44">
        <f>IF(AND(P259&gt;=Calendar!$K$2,P259&lt;EDATE(Calendar!$K$2,1),OR(Calendar!$K$4="*",N259=Calendar!$K$4)),P259*100+COUNTIFS($P$6:$P$3271,P259,$Q$6:$Q$3271,"&lt;="&amp;Q259,$N$6:$N$3271,Calendar!$K$4),"")</f>
        <v/>
      </c>
      <c r="W259" s="44">
        <f>IF(AND(B259=Queue!$C$4,OR(Queue!$K$4="*",N259=Queue!$K$4)),Q259,"")</f>
        <v/>
      </c>
    </row>
    <row r="260">
      <c r="A260" s="35">
        <f>IF(M260="","",HYPERLINK("https://www.youtube.com/watch?v="&amp;M260,"▶"))</f>
        <v/>
      </c>
      <c r="B260" s="36">
        <f>IF(C260&lt;&gt;"",C260,IF(P260&lt;=IFERROR(INDEX(tblChannels[Watched Through],MATCH(N260,tblChannels[Channel ID],0)),0),"Watched","Unwatched"))</f>
        <v/>
      </c>
      <c r="C260" s="37" t="n"/>
      <c r="D260" s="38" t="n"/>
      <c r="E260" s="39" t="n">
        <v>45919.625</v>
      </c>
      <c r="F260" s="47" t="inlineStr">
        <is>
          <t>Super Carlin Brothers</t>
        </is>
      </c>
      <c r="G260" t="inlineStr">
        <is>
          <t>2 Hours of Harry Potter Theories to Binge</t>
        </is>
      </c>
      <c r="H260" s="41" t="n">
        <v>0.08063657407407407</v>
      </c>
      <c r="I260" s="42" t="n">
        <v>375629</v>
      </c>
      <c r="J260" s="42" t="n">
        <v>4394</v>
      </c>
      <c r="K260" s="42" t="n">
        <v>373</v>
      </c>
      <c r="L260" s="43" t="n"/>
      <c r="M260" s="44" t="n"/>
      <c r="N260" s="44" t="inlineStr">
        <is>
          <t>UCKZo4N0lVPccBkSiuyVh4yg</t>
        </is>
      </c>
      <c r="O260" s="45" t="n">
        <v>45919.79166666666</v>
      </c>
      <c r="P260" s="46" t="n">
        <v>45919</v>
      </c>
      <c r="Q260" s="44" t="n">
        <v>3012</v>
      </c>
      <c r="R260" s="44" t="inlineStr">
        <is>
          <t>No Video ID yet</t>
        </is>
      </c>
      <c r="S260" s="46" t="n"/>
      <c r="T260" s="46" t="n"/>
      <c r="U260" s="44" t="n"/>
      <c r="V260" s="44">
        <f>IF(AND(P260&gt;=Calendar!$K$2,P260&lt;EDATE(Calendar!$K$2,1),OR(Calendar!$K$4="*",N260=Calendar!$K$4)),P260*100+COUNTIFS($P$6:$P$3271,P260,$Q$6:$Q$3271,"&lt;="&amp;Q260,$N$6:$N$3271,Calendar!$K$4),"")</f>
        <v/>
      </c>
      <c r="W260" s="44">
        <f>IF(AND(B260=Queue!$C$4,OR(Queue!$K$4="*",N260=Queue!$K$4)),Q260,"")</f>
        <v/>
      </c>
    </row>
    <row r="261">
      <c r="A261" s="35">
        <f>IF(M261="","",HYPERLINK("https://www.youtube.com/watch?v="&amp;M261,"▶"))</f>
        <v/>
      </c>
      <c r="B261" s="36">
        <f>IF(C261&lt;&gt;"",C261,IF(P261&lt;=IFERROR(INDEX(tblChannels[Watched Through],MATCH(N261,tblChannels[Channel ID],0)),0),"Watched","Unwatched"))</f>
        <v/>
      </c>
      <c r="C261" s="37" t="n"/>
      <c r="D261" s="38" t="n"/>
      <c r="E261" s="39" t="n">
        <v>45919.41666666666</v>
      </c>
      <c r="F261" s="40" t="inlineStr">
        <is>
          <t>Popcorn Culture</t>
        </is>
      </c>
      <c r="G261" t="inlineStr">
        <is>
          <t>J’s One TRUE Co-Host | Popcorn Culture</t>
        </is>
      </c>
      <c r="H261" s="41" t="n">
        <v>0.0455787037037037</v>
      </c>
      <c r="I261" s="42" t="n">
        <v>3528</v>
      </c>
      <c r="J261" s="42" t="n">
        <v>208</v>
      </c>
      <c r="K261" s="42" t="n">
        <v>36</v>
      </c>
      <c r="L261" s="43" t="n"/>
      <c r="M261" s="44" t="n"/>
      <c r="N261" s="44" t="inlineStr">
        <is>
          <t>UCHfIbq9thHPC8yrKjAdJgDA</t>
        </is>
      </c>
      <c r="O261" s="45" t="n">
        <v>45919.58333333334</v>
      </c>
      <c r="P261" s="46" t="n">
        <v>45919</v>
      </c>
      <c r="Q261" s="44" t="n">
        <v>3011</v>
      </c>
      <c r="R261" s="44" t="inlineStr">
        <is>
          <t>No Video ID yet</t>
        </is>
      </c>
      <c r="S261" s="46" t="n"/>
      <c r="T261" s="46" t="n"/>
      <c r="U261" s="44" t="n"/>
      <c r="V261" s="44">
        <f>IF(AND(P261&gt;=Calendar!$K$2,P261&lt;EDATE(Calendar!$K$2,1),OR(Calendar!$K$4="*",N261=Calendar!$K$4)),P261*100+COUNTIFS($P$6:$P$3271,P261,$Q$6:$Q$3271,"&lt;="&amp;Q261,$N$6:$N$3271,Calendar!$K$4),"")</f>
        <v/>
      </c>
      <c r="W261" s="44">
        <f>IF(AND(B261=Queue!$C$4,OR(Queue!$K$4="*",N261=Queue!$K$4)),Q261,"")</f>
        <v/>
      </c>
    </row>
    <row r="262">
      <c r="A262" s="35">
        <f>IF(M262="","",HYPERLINK("https://www.youtube.com/watch?v="&amp;M262,"▶"))</f>
        <v/>
      </c>
      <c r="B262" s="36">
        <f>IF(C262&lt;&gt;"",C262,IF(P262&lt;=IFERROR(INDEX(tblChannels[Watched Through],MATCH(N262,tblChannels[Channel ID],0)),0),"Watched","Unwatched"))</f>
        <v/>
      </c>
      <c r="C262" s="37" t="n"/>
      <c r="D262" s="38" t="n"/>
      <c r="E262" s="39" t="n">
        <v>45917.625</v>
      </c>
      <c r="F262" s="47" t="inlineStr">
        <is>
          <t>Super Carlin Brothers</t>
        </is>
      </c>
      <c r="G262" t="inlineStr">
        <is>
          <t>Why Weren’t Lily &amp; James Their Own Secret Keeper? | Harry Potter Theory</t>
        </is>
      </c>
      <c r="H262" s="41" t="n">
        <v>0.01240740740740741</v>
      </c>
      <c r="I262" s="42" t="n">
        <v>101115</v>
      </c>
      <c r="J262" s="42" t="n">
        <v>4834</v>
      </c>
      <c r="K262" s="42" t="n">
        <v>727</v>
      </c>
      <c r="L262" s="43" t="n"/>
      <c r="M262" s="44" t="n"/>
      <c r="N262" s="44" t="inlineStr">
        <is>
          <t>UCKZo4N0lVPccBkSiuyVh4yg</t>
        </is>
      </c>
      <c r="O262" s="45" t="n">
        <v>45917.79166666666</v>
      </c>
      <c r="P262" s="46" t="n">
        <v>45917</v>
      </c>
      <c r="Q262" s="44" t="n">
        <v>3010</v>
      </c>
      <c r="R262" s="44" t="inlineStr">
        <is>
          <t>No Video ID yet</t>
        </is>
      </c>
      <c r="S262" s="46" t="n"/>
      <c r="T262" s="46" t="n"/>
      <c r="U262" s="44" t="n"/>
      <c r="V262" s="44">
        <f>IF(AND(P262&gt;=Calendar!$K$2,P262&lt;EDATE(Calendar!$K$2,1),OR(Calendar!$K$4="*",N262=Calendar!$K$4)),P262*100+COUNTIFS($P$6:$P$3271,P262,$Q$6:$Q$3271,"&lt;="&amp;Q262,$N$6:$N$3271,Calendar!$K$4),"")</f>
        <v/>
      </c>
      <c r="W262" s="44">
        <f>IF(AND(B262=Queue!$C$4,OR(Queue!$K$4="*",N262=Queue!$K$4)),Q262,"")</f>
        <v/>
      </c>
    </row>
    <row r="263">
      <c r="A263" s="35">
        <f>IF(M263="","",HYPERLINK("https://www.youtube.com/watch?v="&amp;M263,"▶"))</f>
        <v/>
      </c>
      <c r="B263" s="36">
        <f>IF(C263&lt;&gt;"",C263,IF(P263&lt;=IFERROR(INDEX(tblChannels[Watched Through],MATCH(N263,tblChannels[Channel ID],0)),0),"Watched","Unwatched"))</f>
        <v/>
      </c>
      <c r="C263" s="37" t="n"/>
      <c r="D263" s="38" t="n"/>
      <c r="E263" s="39" t="n">
        <v>45914.41736111111</v>
      </c>
      <c r="F263" s="48" t="inlineStr">
        <is>
          <t>Through The Griffin Door</t>
        </is>
      </c>
      <c r="G263" t="inlineStr">
        <is>
          <t>Chapter 4: Number Twelve, Grimmauld Place | Order of the Phoenix</t>
        </is>
      </c>
      <c r="H263" s="41" t="n">
        <v>0.06709490740740741</v>
      </c>
      <c r="I263" s="42" t="n">
        <v>50851</v>
      </c>
      <c r="J263" s="42" t="n">
        <v>1450</v>
      </c>
      <c r="K263" s="42" t="n">
        <v>364</v>
      </c>
      <c r="L263" s="43" t="n"/>
      <c r="M263" s="44" t="n"/>
      <c r="N263" s="44" t="inlineStr">
        <is>
          <t>UCEscP6ETYXWSSvsNrDHekMQ</t>
        </is>
      </c>
      <c r="O263" s="45" t="n">
        <v>45914.58402777778</v>
      </c>
      <c r="P263" s="46" t="n">
        <v>45914</v>
      </c>
      <c r="Q263" s="44" t="n">
        <v>3009</v>
      </c>
      <c r="R263" s="44" t="inlineStr">
        <is>
          <t>No Video ID yet</t>
        </is>
      </c>
      <c r="S263" s="46" t="n"/>
      <c r="T263" s="46" t="n"/>
      <c r="U263" s="44" t="n"/>
      <c r="V263" s="44">
        <f>IF(AND(P263&gt;=Calendar!$K$2,P263&lt;EDATE(Calendar!$K$2,1),OR(Calendar!$K$4="*",N263=Calendar!$K$4)),P263*100+COUNTIFS($P$6:$P$3271,P263,$Q$6:$Q$3271,"&lt;="&amp;Q263,$N$6:$N$3271,Calendar!$K$4),"")</f>
        <v/>
      </c>
      <c r="W263" s="44">
        <f>IF(AND(B263=Queue!$C$4,OR(Queue!$K$4="*",N263=Queue!$K$4)),Q263,"")</f>
        <v/>
      </c>
    </row>
    <row r="264">
      <c r="A264" s="35">
        <f>IF(M264="","",HYPERLINK("https://www.youtube.com/watch?v="&amp;M264,"▶"))</f>
        <v/>
      </c>
      <c r="B264" s="36">
        <f>IF(C264&lt;&gt;"",C264,IF(P264&lt;=IFERROR(INDEX(tblChannels[Watched Through],MATCH(N264,tblChannels[Channel ID],0)),0),"Watched","Unwatched"))</f>
        <v/>
      </c>
      <c r="C264" s="37" t="n"/>
      <c r="D264" s="38" t="n"/>
      <c r="E264" s="39" t="n">
        <v>45913.41666666666</v>
      </c>
      <c r="F264" s="47" t="inlineStr">
        <is>
          <t>Super Carlin Brothers</t>
        </is>
      </c>
      <c r="G264" t="inlineStr">
        <is>
          <t>Through the Griffin Door Supercut: Order of the Phoenix Chapters 1-3</t>
        </is>
      </c>
      <c r="H264" s="41" t="n">
        <v>0.201412037037037</v>
      </c>
      <c r="I264" s="42" t="n">
        <v>10848</v>
      </c>
      <c r="J264" s="42" t="n">
        <v>240</v>
      </c>
      <c r="K264" s="42" t="n">
        <v>73</v>
      </c>
      <c r="L264" s="43" t="n"/>
      <c r="M264" s="44" t="n"/>
      <c r="N264" s="44" t="inlineStr">
        <is>
          <t>UCKZo4N0lVPccBkSiuyVh4yg</t>
        </is>
      </c>
      <c r="O264" s="45" t="n">
        <v>45913.58333333334</v>
      </c>
      <c r="P264" s="46" t="n">
        <v>45913</v>
      </c>
      <c r="Q264" s="44" t="n">
        <v>3008</v>
      </c>
      <c r="R264" s="44" t="inlineStr">
        <is>
          <t>No Video ID yet</t>
        </is>
      </c>
      <c r="S264" s="46" t="n"/>
      <c r="T264" s="46" t="n"/>
      <c r="U264" s="44" t="n"/>
      <c r="V264" s="44">
        <f>IF(AND(P264&gt;=Calendar!$K$2,P264&lt;EDATE(Calendar!$K$2,1),OR(Calendar!$K$4="*",N264=Calendar!$K$4)),P264*100+COUNTIFS($P$6:$P$3271,P264,$Q$6:$Q$3271,"&lt;="&amp;Q264,$N$6:$N$3271,Calendar!$K$4),"")</f>
        <v/>
      </c>
      <c r="W264" s="44">
        <f>IF(AND(B264=Queue!$C$4,OR(Queue!$K$4="*",N264=Queue!$K$4)),Q264,"")</f>
        <v/>
      </c>
    </row>
    <row r="265">
      <c r="A265" s="35">
        <f>IF(M265="","",HYPERLINK("https://www.youtube.com/watch?v="&amp;M265,"▶"))</f>
        <v/>
      </c>
      <c r="B265" s="36">
        <f>IF(C265&lt;&gt;"",C265,IF(P265&lt;=IFERROR(INDEX(tblChannels[Watched Through],MATCH(N265,tblChannels[Channel ID],0)),0),"Watched","Unwatched"))</f>
        <v/>
      </c>
      <c r="C265" s="37" t="n"/>
      <c r="D265" s="38" t="n"/>
      <c r="E265" s="39" t="n">
        <v>45912.65555555555</v>
      </c>
      <c r="F265" s="47" t="inlineStr">
        <is>
          <t>Super Carlin Brothers</t>
        </is>
      </c>
      <c r="G265" t="inlineStr">
        <is>
          <t>Why Are The Malfoy’s SO RICH?! | Harry Potter Film Theory</t>
        </is>
      </c>
      <c r="H265" s="41" t="n">
        <v>0.01015046296296296</v>
      </c>
      <c r="I265" s="42" t="n">
        <v>121444</v>
      </c>
      <c r="J265" s="42" t="n">
        <v>5061</v>
      </c>
      <c r="K265" s="42" t="n">
        <v>456</v>
      </c>
      <c r="L265" s="43" t="n"/>
      <c r="M265" s="44" t="n"/>
      <c r="N265" s="44" t="inlineStr">
        <is>
          <t>UCKZo4N0lVPccBkSiuyVh4yg</t>
        </is>
      </c>
      <c r="O265" s="45" t="n">
        <v>45912.82222222222</v>
      </c>
      <c r="P265" s="46" t="n">
        <v>45912</v>
      </c>
      <c r="Q265" s="44" t="n">
        <v>3007</v>
      </c>
      <c r="R265" s="44" t="inlineStr">
        <is>
          <t>No Video ID yet</t>
        </is>
      </c>
      <c r="S265" s="46" t="n"/>
      <c r="T265" s="46" t="n"/>
      <c r="U265" s="44" t="n"/>
      <c r="V265" s="44">
        <f>IF(AND(P265&gt;=Calendar!$K$2,P265&lt;EDATE(Calendar!$K$2,1),OR(Calendar!$K$4="*",N265=Calendar!$K$4)),P265*100+COUNTIFS($P$6:$P$3271,P265,$Q$6:$Q$3271,"&lt;="&amp;Q265,$N$6:$N$3271,Calendar!$K$4),"")</f>
        <v/>
      </c>
      <c r="W265" s="44">
        <f>IF(AND(B265=Queue!$C$4,OR(Queue!$K$4="*",N265=Queue!$K$4)),Q265,"")</f>
        <v/>
      </c>
    </row>
    <row r="266">
      <c r="A266" s="35">
        <f>IF(M266="","",HYPERLINK("https://www.youtube.com/watch?v="&amp;M266,"▶"))</f>
        <v/>
      </c>
      <c r="B266" s="36">
        <f>IF(C266&lt;&gt;"",C266,IF(P266&lt;=IFERROR(INDEX(tblChannels[Watched Through],MATCH(N266,tblChannels[Channel ID],0)),0),"Watched","Unwatched"))</f>
        <v/>
      </c>
      <c r="C266" s="37" t="n"/>
      <c r="D266" s="38" t="n"/>
      <c r="E266" s="39" t="n">
        <v>45912.41666666666</v>
      </c>
      <c r="F266" s="40" t="inlineStr">
        <is>
          <t>Popcorn Culture</t>
        </is>
      </c>
      <c r="G266" t="inlineStr">
        <is>
          <t>Don’t Teach Fear | Popcorn Culture</t>
        </is>
      </c>
      <c r="H266" s="41" t="n">
        <v>0.04415509259259259</v>
      </c>
      <c r="I266" s="42" t="n">
        <v>2688</v>
      </c>
      <c r="J266" s="42" t="n">
        <v>127</v>
      </c>
      <c r="K266" s="42" t="n">
        <v>21</v>
      </c>
      <c r="L266" s="43" t="n"/>
      <c r="M266" s="44" t="n"/>
      <c r="N266" s="44" t="inlineStr">
        <is>
          <t>UCHfIbq9thHPC8yrKjAdJgDA</t>
        </is>
      </c>
      <c r="O266" s="45" t="n">
        <v>45912.58333333334</v>
      </c>
      <c r="P266" s="46" t="n">
        <v>45912</v>
      </c>
      <c r="Q266" s="44" t="n">
        <v>3006</v>
      </c>
      <c r="R266" s="44" t="inlineStr">
        <is>
          <t>No Video ID yet</t>
        </is>
      </c>
      <c r="S266" s="46" t="n"/>
      <c r="T266" s="46" t="n"/>
      <c r="U266" s="44" t="n"/>
      <c r="V266" s="44">
        <f>IF(AND(P266&gt;=Calendar!$K$2,P266&lt;EDATE(Calendar!$K$2,1),OR(Calendar!$K$4="*",N266=Calendar!$K$4)),P266*100+COUNTIFS($P$6:$P$3271,P266,$Q$6:$Q$3271,"&lt;="&amp;Q266,$N$6:$N$3271,Calendar!$K$4),"")</f>
        <v/>
      </c>
      <c r="W266" s="44">
        <f>IF(AND(B266=Queue!$C$4,OR(Queue!$K$4="*",N266=Queue!$K$4)),Q266,"")</f>
        <v/>
      </c>
    </row>
    <row r="267">
      <c r="A267" s="35">
        <f>IF(M267="","",HYPERLINK("https://www.youtube.com/watch?v="&amp;M267,"▶"))</f>
        <v/>
      </c>
      <c r="B267" s="36">
        <f>IF(C267&lt;&gt;"",C267,IF(P267&lt;=IFERROR(INDEX(tblChannels[Watched Through],MATCH(N267,tblChannels[Channel ID],0)),0),"Watched","Unwatched"))</f>
        <v/>
      </c>
      <c r="C267" s="37" t="n"/>
      <c r="D267" s="38" t="n"/>
      <c r="E267" s="39" t="n">
        <v>45910.64861111111</v>
      </c>
      <c r="F267" s="47" t="inlineStr">
        <is>
          <t>Super Carlin Brothers</t>
        </is>
      </c>
      <c r="G267" t="inlineStr">
        <is>
          <t>J vs Ben: MAX DIFFICULTY Sorcerer’s Stone Open Book Harry Potter Quiz</t>
        </is>
      </c>
      <c r="H267" s="41" t="n">
        <v>0.03016203703703704</v>
      </c>
      <c r="I267" s="42" t="n">
        <v>98102</v>
      </c>
      <c r="J267" s="42" t="n">
        <v>3678</v>
      </c>
      <c r="K267" s="42" t="n">
        <v>656</v>
      </c>
      <c r="L267" s="43" t="n"/>
      <c r="M267" s="44" t="n"/>
      <c r="N267" s="44" t="inlineStr">
        <is>
          <t>UCKZo4N0lVPccBkSiuyVh4yg</t>
        </is>
      </c>
      <c r="O267" s="45" t="n">
        <v>45910.81527777778</v>
      </c>
      <c r="P267" s="46" t="n">
        <v>45910</v>
      </c>
      <c r="Q267" s="44" t="n">
        <v>3005</v>
      </c>
      <c r="R267" s="44" t="inlineStr">
        <is>
          <t>No Video ID yet</t>
        </is>
      </c>
      <c r="S267" s="46" t="n"/>
      <c r="T267" s="46" t="n"/>
      <c r="U267" s="44" t="n"/>
      <c r="V267" s="44">
        <f>IF(AND(P267&gt;=Calendar!$K$2,P267&lt;EDATE(Calendar!$K$2,1),OR(Calendar!$K$4="*",N267=Calendar!$K$4)),P267*100+COUNTIFS($P$6:$P$3271,P267,$Q$6:$Q$3271,"&lt;="&amp;Q267,$N$6:$N$3271,Calendar!$K$4),"")</f>
        <v/>
      </c>
      <c r="W267" s="44">
        <f>IF(AND(B267=Queue!$C$4,OR(Queue!$K$4="*",N267=Queue!$K$4)),Q267,"")</f>
        <v/>
      </c>
    </row>
    <row r="268">
      <c r="A268" s="35">
        <f>IF(M268="","",HYPERLINK("https://www.youtube.com/watch?v="&amp;M268,"▶"))</f>
        <v/>
      </c>
      <c r="B268" s="36">
        <f>IF(C268&lt;&gt;"",C268,IF(P268&lt;=IFERROR(INDEX(tblChannels[Watched Through],MATCH(N268,tblChannels[Channel ID],0)),0),"Watched","Unwatched"))</f>
        <v/>
      </c>
      <c r="C268" s="37" t="n"/>
      <c r="D268" s="38" t="n"/>
      <c r="E268" s="39" t="n">
        <v>45907.41736111111</v>
      </c>
      <c r="F268" s="48" t="inlineStr">
        <is>
          <t>Through The Griffin Door</t>
        </is>
      </c>
      <c r="G268" t="inlineStr">
        <is>
          <t>Chapter 3: The Advance Guard | Order of the Phoenix</t>
        </is>
      </c>
      <c r="H268" s="41" t="n">
        <v>0.06600694444444444</v>
      </c>
      <c r="I268" s="42" t="n">
        <v>51647</v>
      </c>
      <c r="J268" s="42" t="n">
        <v>1428</v>
      </c>
      <c r="K268" s="42" t="n">
        <v>459</v>
      </c>
      <c r="L268" s="43" t="n"/>
      <c r="M268" s="44" t="n"/>
      <c r="N268" s="44" t="inlineStr">
        <is>
          <t>UCEscP6ETYXWSSvsNrDHekMQ</t>
        </is>
      </c>
      <c r="O268" s="45" t="n">
        <v>45907.58402777778</v>
      </c>
      <c r="P268" s="46" t="n">
        <v>45907</v>
      </c>
      <c r="Q268" s="44" t="n">
        <v>3004</v>
      </c>
      <c r="R268" s="44" t="inlineStr">
        <is>
          <t>No Video ID yet</t>
        </is>
      </c>
      <c r="S268" s="46" t="n"/>
      <c r="T268" s="46" t="n"/>
      <c r="U268" s="44" t="n"/>
      <c r="V268" s="44">
        <f>IF(AND(P268&gt;=Calendar!$K$2,P268&lt;EDATE(Calendar!$K$2,1),OR(Calendar!$K$4="*",N268=Calendar!$K$4)),P268*100+COUNTIFS($P$6:$P$3271,P268,$Q$6:$Q$3271,"&lt;="&amp;Q268,$N$6:$N$3271,Calendar!$K$4),"")</f>
        <v/>
      </c>
      <c r="W268" s="44">
        <f>IF(AND(B268=Queue!$C$4,OR(Queue!$K$4="*",N268=Queue!$K$4)),Q268,"")</f>
        <v/>
      </c>
    </row>
    <row r="269">
      <c r="A269" s="35">
        <f>IF(M269="","",HYPERLINK("https://www.youtube.com/watch?v="&amp;M269,"▶"))</f>
        <v/>
      </c>
      <c r="B269" s="36">
        <f>IF(C269&lt;&gt;"",C269,IF(P269&lt;=IFERROR(INDEX(tblChannels[Watched Through],MATCH(N269,tblChannels[Channel ID],0)),0),"Watched","Unwatched"))</f>
        <v/>
      </c>
      <c r="C269" s="37" t="n"/>
      <c r="D269" s="38" t="n"/>
      <c r="E269" s="39" t="n">
        <v>45905.7125</v>
      </c>
      <c r="F269" s="47" t="inlineStr">
        <is>
          <t>Super Carlin Brothers</t>
        </is>
      </c>
      <c r="G269" t="inlineStr">
        <is>
          <t>We SOLVED The Thestral Problem! | Harry Potter Film Theory</t>
        </is>
      </c>
      <c r="H269" s="41" t="n">
        <v>0.01105324074074074</v>
      </c>
      <c r="I269" s="42" t="n">
        <v>139140</v>
      </c>
      <c r="J269" s="42" t="n">
        <v>6470</v>
      </c>
      <c r="K269" s="42" t="n">
        <v>663</v>
      </c>
      <c r="L269" s="43" t="n"/>
      <c r="M269" s="44" t="n"/>
      <c r="N269" s="44" t="inlineStr">
        <is>
          <t>UCKZo4N0lVPccBkSiuyVh4yg</t>
        </is>
      </c>
      <c r="O269" s="45" t="n">
        <v>45905.87916666667</v>
      </c>
      <c r="P269" s="46" t="n">
        <v>45905</v>
      </c>
      <c r="Q269" s="44" t="n">
        <v>3003</v>
      </c>
      <c r="R269" s="44" t="inlineStr">
        <is>
          <t>No Video ID yet</t>
        </is>
      </c>
      <c r="S269" s="46" t="n"/>
      <c r="T269" s="46" t="n"/>
      <c r="U269" s="44" t="n"/>
      <c r="V269" s="44">
        <f>IF(AND(P269&gt;=Calendar!$K$2,P269&lt;EDATE(Calendar!$K$2,1),OR(Calendar!$K$4="*",N269=Calendar!$K$4)),P269*100+COUNTIFS($P$6:$P$3271,P269,$Q$6:$Q$3271,"&lt;="&amp;Q269,$N$6:$N$3271,Calendar!$K$4),"")</f>
        <v/>
      </c>
      <c r="W269" s="44">
        <f>IF(AND(B269=Queue!$C$4,OR(Queue!$K$4="*",N269=Queue!$K$4)),Q269,"")</f>
        <v/>
      </c>
    </row>
    <row r="270">
      <c r="A270" s="35">
        <f>IF(M270="","",HYPERLINK("https://www.youtube.com/watch?v="&amp;M270,"▶"))</f>
        <v/>
      </c>
      <c r="B270" s="36">
        <f>IF(C270&lt;&gt;"",C270,IF(P270&lt;=IFERROR(INDEX(tblChannels[Watched Through],MATCH(N270,tblChannels[Channel ID],0)),0),"Watched","Unwatched"))</f>
        <v/>
      </c>
      <c r="C270" s="37" t="n"/>
      <c r="D270" s="38" t="n"/>
      <c r="E270" s="39" t="n">
        <v>45905.41666666666</v>
      </c>
      <c r="F270" s="40" t="inlineStr">
        <is>
          <t>Popcorn Culture</t>
        </is>
      </c>
      <c r="G270" t="inlineStr">
        <is>
          <t>EPISODE 300 - Would We Stop the Pop?? | Popcorn Culture</t>
        </is>
      </c>
      <c r="H270" s="41" t="n">
        <v>0.04819444444444444</v>
      </c>
      <c r="I270" s="42" t="n">
        <v>3126</v>
      </c>
      <c r="J270" s="42" t="n">
        <v>169</v>
      </c>
      <c r="K270" s="42" t="n">
        <v>35</v>
      </c>
      <c r="L270" s="43" t="n"/>
      <c r="M270" s="44" t="n"/>
      <c r="N270" s="44" t="inlineStr">
        <is>
          <t>UCHfIbq9thHPC8yrKjAdJgDA</t>
        </is>
      </c>
      <c r="O270" s="45" t="n">
        <v>45905.58333333334</v>
      </c>
      <c r="P270" s="46" t="n">
        <v>45905</v>
      </c>
      <c r="Q270" s="44" t="n">
        <v>3002</v>
      </c>
      <c r="R270" s="44" t="inlineStr">
        <is>
          <t>No Video ID yet</t>
        </is>
      </c>
      <c r="S270" s="46" t="n"/>
      <c r="T270" s="46" t="n"/>
      <c r="U270" s="44" t="n"/>
      <c r="V270" s="44">
        <f>IF(AND(P270&gt;=Calendar!$K$2,P270&lt;EDATE(Calendar!$K$2,1),OR(Calendar!$K$4="*",N270=Calendar!$K$4)),P270*100+COUNTIFS($P$6:$P$3271,P270,$Q$6:$Q$3271,"&lt;="&amp;Q270,$N$6:$N$3271,Calendar!$K$4),"")</f>
        <v/>
      </c>
      <c r="W270" s="44">
        <f>IF(AND(B270=Queue!$C$4,OR(Queue!$K$4="*",N270=Queue!$K$4)),Q270,"")</f>
        <v/>
      </c>
    </row>
    <row r="271">
      <c r="A271" s="35">
        <f>IF(M271="","",HYPERLINK("https://www.youtube.com/watch?v="&amp;M271,"▶"))</f>
        <v/>
      </c>
      <c r="B271" s="36">
        <f>IF(C271&lt;&gt;"",C271,IF(P271&lt;=IFERROR(INDEX(tblChannels[Watched Through],MATCH(N271,tblChannels[Channel ID],0)),0),"Watched","Unwatched"))</f>
        <v/>
      </c>
      <c r="C271" s="37" t="n"/>
      <c r="D271" s="38" t="n"/>
      <c r="E271" s="39" t="n">
        <v>45903.71597222222</v>
      </c>
      <c r="F271" s="47" t="inlineStr">
        <is>
          <t>Super Carlin Brothers</t>
        </is>
      </c>
      <c r="G271" t="inlineStr">
        <is>
          <t>Harry COULD Control The Basilisk?! | Harry Potter Film Theory</t>
        </is>
      </c>
      <c r="H271" s="41" t="n">
        <v>0.01159722222222222</v>
      </c>
      <c r="I271" s="42" t="n">
        <v>76753</v>
      </c>
      <c r="J271" s="42" t="n">
        <v>4015</v>
      </c>
      <c r="K271" s="42" t="n">
        <v>488</v>
      </c>
      <c r="L271" s="43" t="n"/>
      <c r="M271" s="44" t="n"/>
      <c r="N271" s="44" t="inlineStr">
        <is>
          <t>UCKZo4N0lVPccBkSiuyVh4yg</t>
        </is>
      </c>
      <c r="O271" s="45" t="n">
        <v>45903.88263888889</v>
      </c>
      <c r="P271" s="46" t="n">
        <v>45903</v>
      </c>
      <c r="Q271" s="44" t="n">
        <v>3001</v>
      </c>
      <c r="R271" s="44" t="inlineStr">
        <is>
          <t>No Video ID yet</t>
        </is>
      </c>
      <c r="S271" s="46" t="n"/>
      <c r="T271" s="46" t="n"/>
      <c r="U271" s="44" t="n"/>
      <c r="V271" s="44">
        <f>IF(AND(P271&gt;=Calendar!$K$2,P271&lt;EDATE(Calendar!$K$2,1),OR(Calendar!$K$4="*",N271=Calendar!$K$4)),P271*100+COUNTIFS($P$6:$P$3271,P271,$Q$6:$Q$3271,"&lt;="&amp;Q271,$N$6:$N$3271,Calendar!$K$4),"")</f>
        <v/>
      </c>
      <c r="W271" s="44">
        <f>IF(AND(B271=Queue!$C$4,OR(Queue!$K$4="*",N271=Queue!$K$4)),Q271,"")</f>
        <v/>
      </c>
    </row>
    <row r="272">
      <c r="A272" s="35">
        <f>IF(M272="","",HYPERLINK("https://www.youtube.com/watch?v="&amp;M272,"▶"))</f>
        <v/>
      </c>
      <c r="B272" s="36">
        <f>IF(C272&lt;&gt;"",C272,IF(P272&lt;=IFERROR(INDEX(tblChannels[Watched Through],MATCH(N272,tblChannels[Channel ID],0)),0),"Watched","Unwatched"))</f>
        <v/>
      </c>
      <c r="C272" s="37" t="n"/>
      <c r="D272" s="38" t="n"/>
      <c r="E272" s="39" t="n">
        <v>45900.41736111111</v>
      </c>
      <c r="F272" s="48" t="inlineStr">
        <is>
          <t>Through The Griffin Door</t>
        </is>
      </c>
      <c r="G272" t="inlineStr">
        <is>
          <t>Chapter 2: A Peck of Owls | Order of the Phoenix</t>
        </is>
      </c>
      <c r="H272" s="41" t="n">
        <v>0.07597222222222222</v>
      </c>
      <c r="I272" s="42" t="n">
        <v>54028</v>
      </c>
      <c r="J272" s="42" t="n">
        <v>1447</v>
      </c>
      <c r="K272" s="42" t="n">
        <v>454</v>
      </c>
      <c r="L272" s="43" t="n"/>
      <c r="M272" s="44" t="n"/>
      <c r="N272" s="44" t="inlineStr">
        <is>
          <t>UCEscP6ETYXWSSvsNrDHekMQ</t>
        </is>
      </c>
      <c r="O272" s="45" t="n">
        <v>45900.58402777778</v>
      </c>
      <c r="P272" s="46" t="n">
        <v>45900</v>
      </c>
      <c r="Q272" s="44" t="n">
        <v>3000</v>
      </c>
      <c r="R272" s="44" t="inlineStr">
        <is>
          <t>No Video ID yet</t>
        </is>
      </c>
      <c r="S272" s="46" t="n"/>
      <c r="T272" s="46" t="n"/>
      <c r="U272" s="44" t="n"/>
      <c r="V272" s="44">
        <f>IF(AND(P272&gt;=Calendar!$K$2,P272&lt;EDATE(Calendar!$K$2,1),OR(Calendar!$K$4="*",N272=Calendar!$K$4)),P272*100+COUNTIFS($P$6:$P$3271,P272,$Q$6:$Q$3271,"&lt;="&amp;Q272,$N$6:$N$3271,Calendar!$K$4),"")</f>
        <v/>
      </c>
      <c r="W272" s="44">
        <f>IF(AND(B272=Queue!$C$4,OR(Queue!$K$4="*",N272=Queue!$K$4)),Q272,"")</f>
        <v/>
      </c>
    </row>
    <row r="273">
      <c r="A273" s="35">
        <f>IF(M273="","",HYPERLINK("https://www.youtube.com/watch?v="&amp;M273,"▶"))</f>
        <v/>
      </c>
      <c r="B273" s="36">
        <f>IF(C273&lt;&gt;"",C273,IF(P273&lt;=IFERROR(INDEX(tblChannels[Watched Through],MATCH(N273,tblChannels[Channel ID],0)),0),"Watched","Unwatched"))</f>
        <v/>
      </c>
      <c r="C273" s="37" t="n"/>
      <c r="D273" s="38" t="n"/>
      <c r="E273" s="39" t="n">
        <v>45898.70347222222</v>
      </c>
      <c r="F273" s="47" t="inlineStr">
        <is>
          <t>Super Carlin Brothers</t>
        </is>
      </c>
      <c r="G273" t="inlineStr">
        <is>
          <t>The TRUTH About Chocolate Frog Cards | Harry Potter Film Theory</t>
        </is>
      </c>
      <c r="H273" s="41" t="n">
        <v>0.008831018518518519</v>
      </c>
      <c r="I273" s="42" t="n">
        <v>84888</v>
      </c>
      <c r="J273" s="42" t="n">
        <v>4308</v>
      </c>
      <c r="K273" s="42" t="n">
        <v>507</v>
      </c>
      <c r="L273" s="43" t="n"/>
      <c r="M273" s="44" t="n"/>
      <c r="N273" s="44" t="inlineStr">
        <is>
          <t>UCKZo4N0lVPccBkSiuyVh4yg</t>
        </is>
      </c>
      <c r="O273" s="45" t="n">
        <v>45898.87013888889</v>
      </c>
      <c r="P273" s="46" t="n">
        <v>45898</v>
      </c>
      <c r="Q273" s="44" t="n">
        <v>2999</v>
      </c>
      <c r="R273" s="44" t="inlineStr">
        <is>
          <t>No Video ID yet</t>
        </is>
      </c>
      <c r="S273" s="46" t="n"/>
      <c r="T273" s="46" t="n"/>
      <c r="U273" s="44" t="n"/>
      <c r="V273" s="44">
        <f>IF(AND(P273&gt;=Calendar!$K$2,P273&lt;EDATE(Calendar!$K$2,1),OR(Calendar!$K$4="*",N273=Calendar!$K$4)),P273*100+COUNTIFS($P$6:$P$3271,P273,$Q$6:$Q$3271,"&lt;="&amp;Q273,$N$6:$N$3271,Calendar!$K$4),"")</f>
        <v/>
      </c>
      <c r="W273" s="44">
        <f>IF(AND(B273=Queue!$C$4,OR(Queue!$K$4="*",N273=Queue!$K$4)),Q273,"")</f>
        <v/>
      </c>
    </row>
    <row r="274">
      <c r="A274" s="35">
        <f>IF(M274="","",HYPERLINK("https://www.youtube.com/watch?v="&amp;M274,"▶"))</f>
        <v/>
      </c>
      <c r="B274" s="36">
        <f>IF(C274&lt;&gt;"",C274,IF(P274&lt;=IFERROR(INDEX(tblChannels[Watched Through],MATCH(N274,tblChannels[Channel ID],0)),0),"Watched","Unwatched"))</f>
        <v/>
      </c>
      <c r="C274" s="37" t="n"/>
      <c r="D274" s="38" t="n"/>
      <c r="E274" s="39" t="n">
        <v>45898.41666666666</v>
      </c>
      <c r="F274" s="40" t="inlineStr">
        <is>
          <t>Popcorn Culture</t>
        </is>
      </c>
      <c r="G274" t="inlineStr">
        <is>
          <t>J WON WORLDS! | Popcorn Culture</t>
        </is>
      </c>
      <c r="H274" s="41" t="n">
        <v>0.04820601851851852</v>
      </c>
      <c r="I274" s="42" t="n">
        <v>2868</v>
      </c>
      <c r="J274" s="42" t="n">
        <v>154</v>
      </c>
      <c r="K274" s="42" t="n">
        <v>12</v>
      </c>
      <c r="L274" s="43" t="n"/>
      <c r="M274" s="44" t="n"/>
      <c r="N274" s="44" t="inlineStr">
        <is>
          <t>UCHfIbq9thHPC8yrKjAdJgDA</t>
        </is>
      </c>
      <c r="O274" s="45" t="n">
        <v>45898.58333333334</v>
      </c>
      <c r="P274" s="46" t="n">
        <v>45898</v>
      </c>
      <c r="Q274" s="44" t="n">
        <v>2998</v>
      </c>
      <c r="R274" s="44" t="inlineStr">
        <is>
          <t>No Video ID yet</t>
        </is>
      </c>
      <c r="S274" s="46" t="n"/>
      <c r="T274" s="46" t="n"/>
      <c r="U274" s="44" t="n"/>
      <c r="V274" s="44">
        <f>IF(AND(P274&gt;=Calendar!$K$2,P274&lt;EDATE(Calendar!$K$2,1),OR(Calendar!$K$4="*",N274=Calendar!$K$4)),P274*100+COUNTIFS($P$6:$P$3271,P274,$Q$6:$Q$3271,"&lt;="&amp;Q274,$N$6:$N$3271,Calendar!$K$4),"")</f>
        <v/>
      </c>
      <c r="W274" s="44">
        <f>IF(AND(B274=Queue!$C$4,OR(Queue!$K$4="*",N274=Queue!$K$4)),Q274,"")</f>
        <v/>
      </c>
    </row>
    <row r="275">
      <c r="A275" s="35">
        <f>IF(M275="","",HYPERLINK("https://www.youtube.com/watch?v="&amp;M275,"▶"))</f>
        <v/>
      </c>
      <c r="B275" s="36">
        <f>IF(C275&lt;&gt;"",C275,IF(P275&lt;=IFERROR(INDEX(tblChannels[Watched Through],MATCH(N275,tblChannels[Channel ID],0)),0),"Watched","Unwatched"))</f>
        <v/>
      </c>
      <c r="C275" s="37" t="n"/>
      <c r="D275" s="38" t="n"/>
      <c r="E275" s="39" t="n">
        <v>45898.20138888889</v>
      </c>
      <c r="F275" s="49" t="inlineStr">
        <is>
          <t>Super Carlin Gaming</t>
        </is>
      </c>
      <c r="G275" t="inlineStr">
        <is>
          <t>PRISMATIC EVOLUTIONS - Pokemon Box Breakers SEASON 16 -  Episode 1 - 08/28/2025</t>
        </is>
      </c>
      <c r="H275" s="41" t="n">
        <v>0.1109953703703704</v>
      </c>
      <c r="I275" s="42" t="n">
        <v>799</v>
      </c>
      <c r="J275" s="42" t="n">
        <v>34</v>
      </c>
      <c r="K275" s="42" t="n">
        <v>5</v>
      </c>
      <c r="L275" s="43" t="n"/>
      <c r="M275" s="44" t="n"/>
      <c r="N275" s="44" t="inlineStr">
        <is>
          <t>UCor_9jRnNNZVzTuQ92PKsaQ</t>
        </is>
      </c>
      <c r="O275" s="45" t="n">
        <v>45898.36805555555</v>
      </c>
      <c r="P275" s="46" t="n">
        <v>45898</v>
      </c>
      <c r="Q275" s="44" t="n">
        <v>2997</v>
      </c>
      <c r="R275" s="44" t="inlineStr">
        <is>
          <t>No Video ID yet</t>
        </is>
      </c>
      <c r="S275" s="46" t="n"/>
      <c r="T275" s="46" t="n"/>
      <c r="U275" s="44" t="n"/>
      <c r="V275" s="44">
        <f>IF(AND(P275&gt;=Calendar!$K$2,P275&lt;EDATE(Calendar!$K$2,1),OR(Calendar!$K$4="*",N275=Calendar!$K$4)),P275*100+COUNTIFS($P$6:$P$3271,P275,$Q$6:$Q$3271,"&lt;="&amp;Q275,$N$6:$N$3271,Calendar!$K$4),"")</f>
        <v/>
      </c>
      <c r="W275" s="44">
        <f>IF(AND(B275=Queue!$C$4,OR(Queue!$K$4="*",N275=Queue!$K$4)),Q275,"")</f>
        <v/>
      </c>
    </row>
    <row r="276">
      <c r="A276" s="35">
        <f>IF(M276="","",HYPERLINK("https://www.youtube.com/watch?v="&amp;M276,"▶"))</f>
        <v/>
      </c>
      <c r="B276" s="36">
        <f>IF(C276&lt;&gt;"",C276,IF(P276&lt;=IFERROR(INDEX(tblChannels[Watched Through],MATCH(N276,tblChannels[Channel ID],0)),0),"Watched","Unwatched"))</f>
        <v/>
      </c>
      <c r="C276" s="37" t="n"/>
      <c r="D276" s="38" t="n"/>
      <c r="E276" s="39" t="n">
        <v>45896.69305555556</v>
      </c>
      <c r="F276" s="47" t="inlineStr">
        <is>
          <t>Super Carlin Brothers</t>
        </is>
      </c>
      <c r="G276" t="inlineStr">
        <is>
          <t>J vs Ben: Can We Remember MORE Of Our Harry Potter Theories??</t>
        </is>
      </c>
      <c r="H276" s="41" t="n">
        <v>0.03324074074074074</v>
      </c>
      <c r="I276" s="42" t="n">
        <v>124166</v>
      </c>
      <c r="J276" s="42" t="n">
        <v>3792</v>
      </c>
      <c r="K276" s="42" t="n">
        <v>369</v>
      </c>
      <c r="L276" s="43" t="n"/>
      <c r="M276" s="44" t="n"/>
      <c r="N276" s="44" t="inlineStr">
        <is>
          <t>UCKZo4N0lVPccBkSiuyVh4yg</t>
        </is>
      </c>
      <c r="O276" s="45" t="n">
        <v>45896.85972222222</v>
      </c>
      <c r="P276" s="46" t="n">
        <v>45896</v>
      </c>
      <c r="Q276" s="44" t="n">
        <v>2996</v>
      </c>
      <c r="R276" s="44" t="inlineStr">
        <is>
          <t>No Video ID yet</t>
        </is>
      </c>
      <c r="S276" s="46" t="n"/>
      <c r="T276" s="46" t="n"/>
      <c r="U276" s="44" t="n"/>
      <c r="V276" s="44">
        <f>IF(AND(P276&gt;=Calendar!$K$2,P276&lt;EDATE(Calendar!$K$2,1),OR(Calendar!$K$4="*",N276=Calendar!$K$4)),P276*100+COUNTIFS($P$6:$P$3271,P276,$Q$6:$Q$3271,"&lt;="&amp;Q276,$N$6:$N$3271,Calendar!$K$4),"")</f>
        <v/>
      </c>
      <c r="W276" s="44">
        <f>IF(AND(B276=Queue!$C$4,OR(Queue!$K$4="*",N276=Queue!$K$4)),Q276,"")</f>
        <v/>
      </c>
    </row>
    <row r="277">
      <c r="A277" s="35">
        <f>IF(M277="","",HYPERLINK("https://www.youtube.com/watch?v="&amp;M277,"▶"))</f>
        <v/>
      </c>
      <c r="B277" s="36">
        <f>IF(C277&lt;&gt;"",C277,IF(P277&lt;=IFERROR(INDEX(tblChannels[Watched Through],MATCH(N277,tblChannels[Channel ID],0)),0),"Watched","Unwatched"))</f>
        <v/>
      </c>
      <c r="C277" s="37" t="n"/>
      <c r="D277" s="38" t="n"/>
      <c r="E277" s="39" t="n">
        <v>45895.46944444445</v>
      </c>
      <c r="F277" s="47" t="inlineStr">
        <is>
          <t>Super Carlin Brothers</t>
        </is>
      </c>
      <c r="G277" t="inlineStr">
        <is>
          <t>I Built a Pokémon Skateboard! (ASMR)</t>
        </is>
      </c>
      <c r="H277" s="41" t="n">
        <v>0.001666666666666667</v>
      </c>
      <c r="I277" s="42" t="n">
        <v>14859</v>
      </c>
      <c r="J277" s="42" t="n">
        <v>589</v>
      </c>
      <c r="K277" s="42" t="n">
        <v>30</v>
      </c>
      <c r="L277" s="43" t="n"/>
      <c r="M277" s="44" t="n"/>
      <c r="N277" s="44" t="inlineStr">
        <is>
          <t>UCKZo4N0lVPccBkSiuyVh4yg</t>
        </is>
      </c>
      <c r="O277" s="45" t="n">
        <v>45895.63611111111</v>
      </c>
      <c r="P277" s="46" t="n">
        <v>45895</v>
      </c>
      <c r="Q277" s="44" t="n">
        <v>2995</v>
      </c>
      <c r="R277" s="44" t="inlineStr">
        <is>
          <t>No Video ID yet</t>
        </is>
      </c>
      <c r="S277" s="46" t="n"/>
      <c r="T277" s="46" t="n"/>
      <c r="U277" s="44" t="n"/>
      <c r="V277" s="44">
        <f>IF(AND(P277&gt;=Calendar!$K$2,P277&lt;EDATE(Calendar!$K$2,1),OR(Calendar!$K$4="*",N277=Calendar!$K$4)),P277*100+COUNTIFS($P$6:$P$3271,P277,$Q$6:$Q$3271,"&lt;="&amp;Q277,$N$6:$N$3271,Calendar!$K$4),"")</f>
        <v/>
      </c>
      <c r="W277" s="44">
        <f>IF(AND(B277=Queue!$C$4,OR(Queue!$K$4="*",N277=Queue!$K$4)),Q277,"")</f>
        <v/>
      </c>
    </row>
    <row r="278">
      <c r="A278" s="35">
        <f>IF(M278="","",HYPERLINK("https://www.youtube.com/watch?v="&amp;M278,"▶"))</f>
        <v/>
      </c>
      <c r="B278" s="36">
        <f>IF(C278&lt;&gt;"",C278,IF(P278&lt;=IFERROR(INDEX(tblChannels[Watched Through],MATCH(N278,tblChannels[Channel ID],0)),0),"Watched","Unwatched"))</f>
        <v/>
      </c>
      <c r="C278" s="37" t="n"/>
      <c r="D278" s="38" t="n"/>
      <c r="E278" s="39" t="n">
        <v>45893.41666666666</v>
      </c>
      <c r="F278" s="48" t="inlineStr">
        <is>
          <t>Through The Griffin Door</t>
        </is>
      </c>
      <c r="G278" t="inlineStr">
        <is>
          <t>Chapter 1: Dudley Demented | Order of the Phoenix</t>
        </is>
      </c>
      <c r="H278" s="41" t="n">
        <v>0.06180555555555556</v>
      </c>
      <c r="I278" s="42" t="n">
        <v>58297</v>
      </c>
      <c r="J278" s="42" t="n">
        <v>1607</v>
      </c>
      <c r="K278" s="42" t="n">
        <v>491</v>
      </c>
      <c r="L278" s="43" t="n"/>
      <c r="M278" s="44" t="n"/>
      <c r="N278" s="44" t="inlineStr">
        <is>
          <t>UCEscP6ETYXWSSvsNrDHekMQ</t>
        </is>
      </c>
      <c r="O278" s="45" t="n">
        <v>45893.58333333334</v>
      </c>
      <c r="P278" s="46" t="n">
        <v>45893</v>
      </c>
      <c r="Q278" s="44" t="n">
        <v>2994</v>
      </c>
      <c r="R278" s="44" t="inlineStr">
        <is>
          <t>No Video ID yet</t>
        </is>
      </c>
      <c r="S278" s="46" t="n"/>
      <c r="T278" s="46" t="n"/>
      <c r="U278" s="44" t="n"/>
      <c r="V278" s="44">
        <f>IF(AND(P278&gt;=Calendar!$K$2,P278&lt;EDATE(Calendar!$K$2,1),OR(Calendar!$K$4="*",N278=Calendar!$K$4)),P278*100+COUNTIFS($P$6:$P$3271,P278,$Q$6:$Q$3271,"&lt;="&amp;Q278,$N$6:$N$3271,Calendar!$K$4),"")</f>
        <v/>
      </c>
      <c r="W278" s="44">
        <f>IF(AND(B278=Queue!$C$4,OR(Queue!$K$4="*",N278=Queue!$K$4)),Q278,"")</f>
        <v/>
      </c>
    </row>
    <row r="279">
      <c r="A279" s="35">
        <f>IF(M279="","",HYPERLINK("https://www.youtube.com/watch?v="&amp;M279,"▶"))</f>
        <v/>
      </c>
      <c r="B279" s="36">
        <f>IF(C279&lt;&gt;"",C279,IF(P279&lt;=IFERROR(INDEX(tblChannels[Watched Through],MATCH(N279,tblChannels[Channel ID],0)),0),"Watched","Unwatched"))</f>
        <v/>
      </c>
      <c r="C279" s="37" t="n"/>
      <c r="D279" s="38" t="n"/>
      <c r="E279" s="39" t="n">
        <v>45891.61666666667</v>
      </c>
      <c r="F279" s="47" t="inlineStr">
        <is>
          <t>Super Carlin Brothers</t>
        </is>
      </c>
      <c r="G279" t="inlineStr">
        <is>
          <t>What If Merope Never Released Tom Riddle? | Harry Potter Theory</t>
        </is>
      </c>
      <c r="H279" s="41" t="n">
        <v>0.01303240740740741</v>
      </c>
      <c r="I279" s="42" t="n">
        <v>182226</v>
      </c>
      <c r="J279" s="42" t="n">
        <v>5538</v>
      </c>
      <c r="K279" s="42" t="n">
        <v>622</v>
      </c>
      <c r="L279" s="43" t="n"/>
      <c r="M279" s="44" t="n"/>
      <c r="N279" s="44" t="inlineStr">
        <is>
          <t>UCKZo4N0lVPccBkSiuyVh4yg</t>
        </is>
      </c>
      <c r="O279" s="45" t="n">
        <v>45891.78333333333</v>
      </c>
      <c r="P279" s="46" t="n">
        <v>45891</v>
      </c>
      <c r="Q279" s="44" t="n">
        <v>2993</v>
      </c>
      <c r="R279" s="44" t="inlineStr">
        <is>
          <t>No Video ID yet</t>
        </is>
      </c>
      <c r="S279" s="46" t="n"/>
      <c r="T279" s="46" t="n"/>
      <c r="U279" s="44" t="n"/>
      <c r="V279" s="44">
        <f>IF(AND(P279&gt;=Calendar!$K$2,P279&lt;EDATE(Calendar!$K$2,1),OR(Calendar!$K$4="*",N279=Calendar!$K$4)),P279*100+COUNTIFS($P$6:$P$3271,P279,$Q$6:$Q$3271,"&lt;="&amp;Q279,$N$6:$N$3271,Calendar!$K$4),"")</f>
        <v/>
      </c>
      <c r="W279" s="44">
        <f>IF(AND(B279=Queue!$C$4,OR(Queue!$K$4="*",N279=Queue!$K$4)),Q279,"")</f>
        <v/>
      </c>
    </row>
    <row r="280">
      <c r="A280" s="35">
        <f>IF(M280="","",HYPERLINK("https://www.youtube.com/watch?v="&amp;M280,"▶"))</f>
        <v/>
      </c>
      <c r="B280" s="36">
        <f>IF(C280&lt;&gt;"",C280,IF(P280&lt;=IFERROR(INDEX(tblChannels[Watched Through],MATCH(N280,tblChannels[Channel ID],0)),0),"Watched","Unwatched"))</f>
        <v/>
      </c>
      <c r="C280" s="37" t="n"/>
      <c r="D280" s="38" t="n"/>
      <c r="E280" s="39" t="n">
        <v>45891.41666666666</v>
      </c>
      <c r="F280" s="40" t="inlineStr">
        <is>
          <t>Popcorn Culture</t>
        </is>
      </c>
      <c r="G280" t="inlineStr">
        <is>
          <t>Ben's SPECIALEST Guest| Popcorn Culture</t>
        </is>
      </c>
      <c r="H280" s="41" t="n">
        <v>0.04976851851851852</v>
      </c>
      <c r="I280" s="42" t="n">
        <v>4425</v>
      </c>
      <c r="J280" s="42" t="n">
        <v>262</v>
      </c>
      <c r="K280" s="42" t="n">
        <v>40</v>
      </c>
      <c r="L280" s="43" t="n"/>
      <c r="M280" s="44" t="n"/>
      <c r="N280" s="44" t="inlineStr">
        <is>
          <t>UCHfIbq9thHPC8yrKjAdJgDA</t>
        </is>
      </c>
      <c r="O280" s="45" t="n">
        <v>45891.58333333334</v>
      </c>
      <c r="P280" s="46" t="n">
        <v>45891</v>
      </c>
      <c r="Q280" s="44" t="n">
        <v>2992</v>
      </c>
      <c r="R280" s="44" t="inlineStr">
        <is>
          <t>No Video ID yet</t>
        </is>
      </c>
      <c r="S280" s="46" t="n"/>
      <c r="T280" s="46" t="n"/>
      <c r="U280" s="44" t="n"/>
      <c r="V280" s="44">
        <f>IF(AND(P280&gt;=Calendar!$K$2,P280&lt;EDATE(Calendar!$K$2,1),OR(Calendar!$K$4="*",N280=Calendar!$K$4)),P280*100+COUNTIFS($P$6:$P$3271,P280,$Q$6:$Q$3271,"&lt;="&amp;Q280,$N$6:$N$3271,Calendar!$K$4),"")</f>
        <v/>
      </c>
      <c r="W280" s="44">
        <f>IF(AND(B280=Queue!$C$4,OR(Queue!$K$4="*",N280=Queue!$K$4)),Q280,"")</f>
        <v/>
      </c>
    </row>
    <row r="281">
      <c r="A281" s="35">
        <f>IF(M281="","",HYPERLINK("https://www.youtube.com/watch?v="&amp;M281,"▶"))</f>
        <v/>
      </c>
      <c r="B281" s="36">
        <f>IF(C281&lt;&gt;"",C281,IF(P281&lt;=IFERROR(INDEX(tblChannels[Watched Through],MATCH(N281,tblChannels[Channel ID],0)),0),"Watched","Unwatched"))</f>
        <v/>
      </c>
      <c r="C281" s="37" t="n"/>
      <c r="D281" s="38" t="n"/>
      <c r="E281" s="39" t="n">
        <v>45889.67986111111</v>
      </c>
      <c r="F281" s="47" t="inlineStr">
        <is>
          <t>Super Carlin Brothers</t>
        </is>
      </c>
      <c r="G281" t="inlineStr">
        <is>
          <t>Pokémon Fossils Never Went Extinct… They EVOLVED | Pokemon Theory</t>
        </is>
      </c>
      <c r="H281" s="41" t="n">
        <v>0.0115625</v>
      </c>
      <c r="I281" s="42" t="n">
        <v>143862</v>
      </c>
      <c r="J281" s="42" t="n">
        <v>5588</v>
      </c>
      <c r="K281" s="42" t="n">
        <v>927</v>
      </c>
      <c r="L281" s="43" t="n"/>
      <c r="M281" s="44" t="n"/>
      <c r="N281" s="44" t="inlineStr">
        <is>
          <t>UCKZo4N0lVPccBkSiuyVh4yg</t>
        </is>
      </c>
      <c r="O281" s="45" t="n">
        <v>45889.84652777778</v>
      </c>
      <c r="P281" s="46" t="n">
        <v>45889</v>
      </c>
      <c r="Q281" s="44" t="n">
        <v>2991</v>
      </c>
      <c r="R281" s="44" t="inlineStr">
        <is>
          <t>No Video ID yet</t>
        </is>
      </c>
      <c r="S281" s="46" t="n"/>
      <c r="T281" s="46" t="n"/>
      <c r="U281" s="44" t="n"/>
      <c r="V281" s="44">
        <f>IF(AND(P281&gt;=Calendar!$K$2,P281&lt;EDATE(Calendar!$K$2,1),OR(Calendar!$K$4="*",N281=Calendar!$K$4)),P281*100+COUNTIFS($P$6:$P$3271,P281,$Q$6:$Q$3271,"&lt;="&amp;Q281,$N$6:$N$3271,Calendar!$K$4),"")</f>
        <v/>
      </c>
      <c r="W281" s="44">
        <f>IF(AND(B281=Queue!$C$4,OR(Queue!$K$4="*",N281=Queue!$K$4)),Q281,"")</f>
        <v/>
      </c>
    </row>
    <row r="282">
      <c r="A282" s="35">
        <f>IF(M282="","",HYPERLINK("https://www.youtube.com/watch?v="&amp;M282,"▶"))</f>
        <v/>
      </c>
      <c r="B282" s="36">
        <f>IF(C282&lt;&gt;"",C282,IF(P282&lt;=IFERROR(INDEX(tblChannels[Watched Through],MATCH(N282,tblChannels[Channel ID],0)),0),"Watched","Unwatched"))</f>
        <v/>
      </c>
      <c r="C282" s="37" t="n"/>
      <c r="D282" s="38" t="n"/>
      <c r="E282" s="39" t="n">
        <v>45886.41736111111</v>
      </c>
      <c r="F282" s="48" t="inlineStr">
        <is>
          <t>Through The Griffin Door</t>
        </is>
      </c>
      <c r="G282" t="inlineStr">
        <is>
          <t>Dumbledore's Big Plan: Goblet of Fire Edition</t>
        </is>
      </c>
      <c r="H282" s="41" t="n">
        <v>0.03835648148148148</v>
      </c>
      <c r="I282" s="42" t="n">
        <v>44224</v>
      </c>
      <c r="J282" s="42" t="n">
        <v>1179</v>
      </c>
      <c r="K282" s="42" t="n">
        <v>318</v>
      </c>
      <c r="L282" s="43" t="n"/>
      <c r="M282" s="44" t="n"/>
      <c r="N282" s="44" t="inlineStr">
        <is>
          <t>UCEscP6ETYXWSSvsNrDHekMQ</t>
        </is>
      </c>
      <c r="O282" s="45" t="n">
        <v>45886.58402777778</v>
      </c>
      <c r="P282" s="46" t="n">
        <v>45886</v>
      </c>
      <c r="Q282" s="44" t="n">
        <v>2990</v>
      </c>
      <c r="R282" s="44" t="inlineStr">
        <is>
          <t>No Video ID yet</t>
        </is>
      </c>
      <c r="S282" s="46" t="n"/>
      <c r="T282" s="46" t="n"/>
      <c r="U282" s="44" t="n"/>
      <c r="V282" s="44">
        <f>IF(AND(P282&gt;=Calendar!$K$2,P282&lt;EDATE(Calendar!$K$2,1),OR(Calendar!$K$4="*",N282=Calendar!$K$4)),P282*100+COUNTIFS($P$6:$P$3271,P282,$Q$6:$Q$3271,"&lt;="&amp;Q282,$N$6:$N$3271,Calendar!$K$4),"")</f>
        <v/>
      </c>
      <c r="W282" s="44">
        <f>IF(AND(B282=Queue!$C$4,OR(Queue!$K$4="*",N282=Queue!$K$4)),Q282,"")</f>
        <v/>
      </c>
    </row>
    <row r="283">
      <c r="A283" s="35">
        <f>IF(M283="","",HYPERLINK("https://www.youtube.com/watch?v="&amp;M283,"▶"))</f>
        <v/>
      </c>
      <c r="B283" s="36">
        <f>IF(C283&lt;&gt;"",C283,IF(P283&lt;=IFERROR(INDEX(tblChannels[Watched Through],MATCH(N283,tblChannels[Channel ID],0)),0),"Watched","Unwatched"))</f>
        <v/>
      </c>
      <c r="C283" s="37" t="n"/>
      <c r="D283" s="38" t="n"/>
      <c r="E283" s="39" t="n">
        <v>45885.41736111111</v>
      </c>
      <c r="F283" s="47" t="inlineStr">
        <is>
          <t>Super Carlin Brothers</t>
        </is>
      </c>
      <c r="G283" t="inlineStr">
        <is>
          <t>Through the Griffin Door Supercut: Goblet of Fire Chapters 34-37</t>
        </is>
      </c>
      <c r="H283" s="41" t="n">
        <v>0.2760416666666667</v>
      </c>
      <c r="I283" s="42" t="n">
        <v>11281</v>
      </c>
      <c r="J283" s="42" t="n">
        <v>223</v>
      </c>
      <c r="K283" s="42" t="n">
        <v>47</v>
      </c>
      <c r="L283" s="43" t="n"/>
      <c r="M283" s="44" t="n"/>
      <c r="N283" s="44" t="inlineStr">
        <is>
          <t>UCKZo4N0lVPccBkSiuyVh4yg</t>
        </is>
      </c>
      <c r="O283" s="45" t="n">
        <v>45885.58402777778</v>
      </c>
      <c r="P283" s="46" t="n">
        <v>45885</v>
      </c>
      <c r="Q283" s="44" t="n">
        <v>2989</v>
      </c>
      <c r="R283" s="44" t="inlineStr">
        <is>
          <t>No Video ID yet</t>
        </is>
      </c>
      <c r="S283" s="46" t="n"/>
      <c r="T283" s="46" t="n"/>
      <c r="U283" s="44" t="n"/>
      <c r="V283" s="44">
        <f>IF(AND(P283&gt;=Calendar!$K$2,P283&lt;EDATE(Calendar!$K$2,1),OR(Calendar!$K$4="*",N283=Calendar!$K$4)),P283*100+COUNTIFS($P$6:$P$3271,P283,$Q$6:$Q$3271,"&lt;="&amp;Q283,$N$6:$N$3271,Calendar!$K$4),"")</f>
        <v/>
      </c>
      <c r="W283" s="44">
        <f>IF(AND(B283=Queue!$C$4,OR(Queue!$K$4="*",N283=Queue!$K$4)),Q283,"")</f>
        <v/>
      </c>
    </row>
    <row r="284">
      <c r="A284" s="35">
        <f>IF(M284="","",HYPERLINK("https://www.youtube.com/watch?v="&amp;M284,"▶"))</f>
        <v/>
      </c>
      <c r="B284" s="36">
        <f>IF(C284&lt;&gt;"",C284,IF(P284&lt;=IFERROR(INDEX(tblChannels[Watched Through],MATCH(N284,tblChannels[Channel ID],0)),0),"Watched","Unwatched"))</f>
        <v/>
      </c>
      <c r="C284" s="37" t="n"/>
      <c r="D284" s="38" t="n"/>
      <c r="E284" s="39" t="n">
        <v>45884.66736111111</v>
      </c>
      <c r="F284" s="47" t="inlineStr">
        <is>
          <t>Super Carlin Brothers</t>
        </is>
      </c>
      <c r="G284" t="inlineStr">
        <is>
          <t>The BIZARRE Reason Vernon Couldn’t Harm Harry | Harry Potter Theory</t>
        </is>
      </c>
      <c r="H284" s="41" t="n">
        <v>0.009189814814814816</v>
      </c>
      <c r="I284" s="42" t="n">
        <v>139273</v>
      </c>
      <c r="J284" s="42" t="n">
        <v>5990</v>
      </c>
      <c r="K284" s="42" t="n">
        <v>701</v>
      </c>
      <c r="L284" s="43" t="n"/>
      <c r="M284" s="44" t="n"/>
      <c r="N284" s="44" t="inlineStr">
        <is>
          <t>UCKZo4N0lVPccBkSiuyVh4yg</t>
        </is>
      </c>
      <c r="O284" s="45" t="n">
        <v>45884.83402777778</v>
      </c>
      <c r="P284" s="46" t="n">
        <v>45884</v>
      </c>
      <c r="Q284" s="44" t="n">
        <v>2988</v>
      </c>
      <c r="R284" s="44" t="inlineStr">
        <is>
          <t>No Video ID yet</t>
        </is>
      </c>
      <c r="S284" s="46" t="n"/>
      <c r="T284" s="46" t="n"/>
      <c r="U284" s="44" t="n"/>
      <c r="V284" s="44">
        <f>IF(AND(P284&gt;=Calendar!$K$2,P284&lt;EDATE(Calendar!$K$2,1),OR(Calendar!$K$4="*",N284=Calendar!$K$4)),P284*100+COUNTIFS($P$6:$P$3271,P284,$Q$6:$Q$3271,"&lt;="&amp;Q284,$N$6:$N$3271,Calendar!$K$4),"")</f>
        <v/>
      </c>
      <c r="W284" s="44">
        <f>IF(AND(B284=Queue!$C$4,OR(Queue!$K$4="*",N284=Queue!$K$4)),Q284,"")</f>
        <v/>
      </c>
    </row>
    <row r="285">
      <c r="A285" s="35">
        <f>IF(M285="","",HYPERLINK("https://www.youtube.com/watch?v="&amp;M285,"▶"))</f>
        <v/>
      </c>
      <c r="B285" s="36">
        <f>IF(C285&lt;&gt;"",C285,IF(P285&lt;=IFERROR(INDEX(tblChannels[Watched Through],MATCH(N285,tblChannels[Channel ID],0)),0),"Watched","Unwatched"))</f>
        <v/>
      </c>
      <c r="C285" s="37" t="n"/>
      <c r="D285" s="38" t="n"/>
      <c r="E285" s="39" t="n">
        <v>45884.41666666666</v>
      </c>
      <c r="F285" s="40" t="inlineStr">
        <is>
          <t>Popcorn Culture</t>
        </is>
      </c>
      <c r="G285" t="inlineStr">
        <is>
          <t>How to... Charisma? | Popcorn Culture</t>
        </is>
      </c>
      <c r="H285" s="41" t="n">
        <v>0.05803240740740741</v>
      </c>
      <c r="I285" s="42" t="n">
        <v>3171</v>
      </c>
      <c r="J285" s="42" t="n">
        <v>150</v>
      </c>
      <c r="K285" s="42" t="n">
        <v>14</v>
      </c>
      <c r="L285" s="43" t="n"/>
      <c r="M285" s="44" t="n"/>
      <c r="N285" s="44" t="inlineStr">
        <is>
          <t>UCHfIbq9thHPC8yrKjAdJgDA</t>
        </is>
      </c>
      <c r="O285" s="45" t="n">
        <v>45884.58333333334</v>
      </c>
      <c r="P285" s="46" t="n">
        <v>45884</v>
      </c>
      <c r="Q285" s="44" t="n">
        <v>2987</v>
      </c>
      <c r="R285" s="44" t="inlineStr">
        <is>
          <t>No Video ID yet</t>
        </is>
      </c>
      <c r="S285" s="46" t="n"/>
      <c r="T285" s="46" t="n"/>
      <c r="U285" s="44" t="n"/>
      <c r="V285" s="44">
        <f>IF(AND(P285&gt;=Calendar!$K$2,P285&lt;EDATE(Calendar!$K$2,1),OR(Calendar!$K$4="*",N285=Calendar!$K$4)),P285*100+COUNTIFS($P$6:$P$3271,P285,$Q$6:$Q$3271,"&lt;="&amp;Q285,$N$6:$N$3271,Calendar!$K$4),"")</f>
        <v/>
      </c>
      <c r="W285" s="44">
        <f>IF(AND(B285=Queue!$C$4,OR(Queue!$K$4="*",N285=Queue!$K$4)),Q285,"")</f>
        <v/>
      </c>
    </row>
    <row r="286">
      <c r="A286" s="35">
        <f>IF(M286="","",HYPERLINK("https://www.youtube.com/watch?v="&amp;M286,"▶"))</f>
        <v/>
      </c>
      <c r="B286" s="36">
        <f>IF(C286&lt;&gt;"",C286,IF(P286&lt;=IFERROR(INDEX(tblChannels[Watched Through],MATCH(N286,tblChannels[Channel ID],0)),0),"Watched","Unwatched"))</f>
        <v/>
      </c>
      <c r="C286" s="37" t="n"/>
      <c r="D286" s="38" t="n"/>
      <c r="E286" s="39" t="n">
        <v>45882.70833333334</v>
      </c>
      <c r="F286" s="47" t="inlineStr">
        <is>
          <t>Super Carlin Brothers</t>
        </is>
      </c>
      <c r="G286" t="inlineStr">
        <is>
          <t>J vs. Ben: EXPERT Level Goblet of Fire Quiz | Harry Potter TRIVIA</t>
        </is>
      </c>
      <c r="H286" s="41" t="n">
        <v>0.03127314814814815</v>
      </c>
      <c r="I286" s="42" t="n">
        <v>115153</v>
      </c>
      <c r="J286" s="42" t="n">
        <v>3711</v>
      </c>
      <c r="K286" s="42" t="n">
        <v>389</v>
      </c>
      <c r="L286" s="43" t="n"/>
      <c r="M286" s="44" t="n"/>
      <c r="N286" s="44" t="inlineStr">
        <is>
          <t>UCKZo4N0lVPccBkSiuyVh4yg</t>
        </is>
      </c>
      <c r="O286" s="45" t="n">
        <v>45882.875</v>
      </c>
      <c r="P286" s="46" t="n">
        <v>45882</v>
      </c>
      <c r="Q286" s="44" t="n">
        <v>2986</v>
      </c>
      <c r="R286" s="44" t="inlineStr">
        <is>
          <t>No Video ID yet</t>
        </is>
      </c>
      <c r="S286" s="46" t="n"/>
      <c r="T286" s="46" t="n"/>
      <c r="U286" s="44" t="n"/>
      <c r="V286" s="44">
        <f>IF(AND(P286&gt;=Calendar!$K$2,P286&lt;EDATE(Calendar!$K$2,1),OR(Calendar!$K$4="*",N286=Calendar!$K$4)),P286*100+COUNTIFS($P$6:$P$3271,P286,$Q$6:$Q$3271,"&lt;="&amp;Q286,$N$6:$N$3271,Calendar!$K$4),"")</f>
        <v/>
      </c>
      <c r="W286" s="44">
        <f>IF(AND(B286=Queue!$C$4,OR(Queue!$K$4="*",N286=Queue!$K$4)),Q286,"")</f>
        <v/>
      </c>
    </row>
    <row r="287">
      <c r="A287" s="35">
        <f>IF(M287="","",HYPERLINK("https://www.youtube.com/watch?v="&amp;M287,"▶"))</f>
        <v/>
      </c>
      <c r="B287" s="36">
        <f>IF(C287&lt;&gt;"",C287,IF(P287&lt;=IFERROR(INDEX(tblChannels[Watched Through],MATCH(N287,tblChannels[Channel ID],0)),0),"Watched","Unwatched"))</f>
        <v/>
      </c>
      <c r="C287" s="37" t="n"/>
      <c r="D287" s="38" t="n"/>
      <c r="E287" s="39" t="n">
        <v>45879.41666666666</v>
      </c>
      <c r="F287" s="48" t="inlineStr">
        <is>
          <t>Through The Griffin Door</t>
        </is>
      </c>
      <c r="G287" t="inlineStr">
        <is>
          <t>Chapter 37: The Beginning | Goblet of Fire</t>
        </is>
      </c>
      <c r="H287" s="41" t="n">
        <v>0.07435185185185185</v>
      </c>
      <c r="I287" s="42" t="n">
        <v>56282</v>
      </c>
      <c r="J287" s="42" t="n">
        <v>1487</v>
      </c>
      <c r="K287" s="42" t="n">
        <v>376</v>
      </c>
      <c r="L287" s="43" t="n"/>
      <c r="M287" s="44" t="n"/>
      <c r="N287" s="44" t="inlineStr">
        <is>
          <t>UCEscP6ETYXWSSvsNrDHekMQ</t>
        </is>
      </c>
      <c r="O287" s="45" t="n">
        <v>45879.58333333334</v>
      </c>
      <c r="P287" s="46" t="n">
        <v>45879</v>
      </c>
      <c r="Q287" s="44" t="n">
        <v>2985</v>
      </c>
      <c r="R287" s="44" t="inlineStr">
        <is>
          <t>No Video ID yet</t>
        </is>
      </c>
      <c r="S287" s="46" t="n"/>
      <c r="T287" s="46" t="n"/>
      <c r="U287" s="44" t="n"/>
      <c r="V287" s="44">
        <f>IF(AND(P287&gt;=Calendar!$K$2,P287&lt;EDATE(Calendar!$K$2,1),OR(Calendar!$K$4="*",N287=Calendar!$K$4)),P287*100+COUNTIFS($P$6:$P$3271,P287,$Q$6:$Q$3271,"&lt;="&amp;Q287,$N$6:$N$3271,Calendar!$K$4),"")</f>
        <v/>
      </c>
      <c r="W287" s="44">
        <f>IF(AND(B287=Queue!$C$4,OR(Queue!$K$4="*",N287=Queue!$K$4)),Q287,"")</f>
        <v/>
      </c>
    </row>
    <row r="288">
      <c r="A288" s="35">
        <f>IF(M288="","",HYPERLINK("https://www.youtube.com/watch?v="&amp;M288,"▶"))</f>
        <v/>
      </c>
      <c r="B288" s="36">
        <f>IF(C288&lt;&gt;"",C288,IF(P288&lt;=IFERROR(INDEX(tblChannels[Watched Through],MATCH(N288,tblChannels[Channel ID],0)),0),"Watched","Unwatched"))</f>
        <v/>
      </c>
      <c r="C288" s="37" t="n"/>
      <c r="D288" s="38" t="n"/>
      <c r="E288" s="39" t="n">
        <v>45877.67638888889</v>
      </c>
      <c r="F288" s="47" t="inlineStr">
        <is>
          <t>Super Carlin Brothers</t>
        </is>
      </c>
      <c r="G288" t="inlineStr">
        <is>
          <t>Voldemort’s CONFUSING Lineage Explained | Harry Potter Film Theory</t>
        </is>
      </c>
      <c r="H288" s="41" t="n">
        <v>0.01103009259259259</v>
      </c>
      <c r="I288" s="42" t="n">
        <v>95039</v>
      </c>
      <c r="J288" s="42" t="n">
        <v>4383</v>
      </c>
      <c r="K288" s="42" t="n">
        <v>458</v>
      </c>
      <c r="L288" s="43" t="n"/>
      <c r="M288" s="44" t="n"/>
      <c r="N288" s="44" t="inlineStr">
        <is>
          <t>UCKZo4N0lVPccBkSiuyVh4yg</t>
        </is>
      </c>
      <c r="O288" s="45" t="n">
        <v>45877.84305555555</v>
      </c>
      <c r="P288" s="46" t="n">
        <v>45877</v>
      </c>
      <c r="Q288" s="44" t="n">
        <v>2984</v>
      </c>
      <c r="R288" s="44" t="inlineStr">
        <is>
          <t>No Video ID yet</t>
        </is>
      </c>
      <c r="S288" s="46" t="n"/>
      <c r="T288" s="46" t="n"/>
      <c r="U288" s="44" t="n"/>
      <c r="V288" s="44">
        <f>IF(AND(P288&gt;=Calendar!$K$2,P288&lt;EDATE(Calendar!$K$2,1),OR(Calendar!$K$4="*",N288=Calendar!$K$4)),P288*100+COUNTIFS($P$6:$P$3271,P288,$Q$6:$Q$3271,"&lt;="&amp;Q288,$N$6:$N$3271,Calendar!$K$4),"")</f>
        <v/>
      </c>
      <c r="W288" s="44">
        <f>IF(AND(B288=Queue!$C$4,OR(Queue!$K$4="*",N288=Queue!$K$4)),Q288,"")</f>
        <v/>
      </c>
    </row>
    <row r="289">
      <c r="A289" s="35">
        <f>IF(M289="","",HYPERLINK("https://www.youtube.com/watch?v="&amp;M289,"▶"))</f>
        <v/>
      </c>
      <c r="B289" s="36">
        <f>IF(C289&lt;&gt;"",C289,IF(P289&lt;=IFERROR(INDEX(tblChannels[Watched Through],MATCH(N289,tblChannels[Channel ID],0)),0),"Watched","Unwatched"))</f>
        <v/>
      </c>
      <c r="C289" s="37" t="n"/>
      <c r="D289" s="38" t="n"/>
      <c r="E289" s="39" t="n">
        <v>45877.41666666666</v>
      </c>
      <c r="F289" s="40" t="inlineStr">
        <is>
          <t>Popcorn Culture</t>
        </is>
      </c>
      <c r="G289" t="inlineStr">
        <is>
          <t>The Universal Shoving Phenomenon  | Popcorn Culture</t>
        </is>
      </c>
      <c r="H289" s="41" t="n">
        <v>0.0503125</v>
      </c>
      <c r="I289" s="42" t="n">
        <v>2868</v>
      </c>
      <c r="J289" s="42" t="n">
        <v>147</v>
      </c>
      <c r="K289" s="42" t="n">
        <v>40</v>
      </c>
      <c r="L289" s="43" t="n"/>
      <c r="M289" s="44" t="n"/>
      <c r="N289" s="44" t="inlineStr">
        <is>
          <t>UCHfIbq9thHPC8yrKjAdJgDA</t>
        </is>
      </c>
      <c r="O289" s="45" t="n">
        <v>45877.58333333334</v>
      </c>
      <c r="P289" s="46" t="n">
        <v>45877</v>
      </c>
      <c r="Q289" s="44" t="n">
        <v>2983</v>
      </c>
      <c r="R289" s="44" t="inlineStr">
        <is>
          <t>No Video ID yet</t>
        </is>
      </c>
      <c r="S289" s="46" t="n"/>
      <c r="T289" s="46" t="n"/>
      <c r="U289" s="44" t="n"/>
      <c r="V289" s="44">
        <f>IF(AND(P289&gt;=Calendar!$K$2,P289&lt;EDATE(Calendar!$K$2,1),OR(Calendar!$K$4="*",N289=Calendar!$K$4)),P289*100+COUNTIFS($P$6:$P$3271,P289,$Q$6:$Q$3271,"&lt;="&amp;Q289,$N$6:$N$3271,Calendar!$K$4),"")</f>
        <v/>
      </c>
      <c r="W289" s="44">
        <f>IF(AND(B289=Queue!$C$4,OR(Queue!$K$4="*",N289=Queue!$K$4)),Q289,"")</f>
        <v/>
      </c>
    </row>
    <row r="290">
      <c r="A290" s="35">
        <f>IF(M290="","",HYPERLINK("https://www.youtube.com/watch?v="&amp;M290,"▶"))</f>
        <v/>
      </c>
      <c r="B290" s="36">
        <f>IF(C290&lt;&gt;"",C290,IF(P290&lt;=IFERROR(INDEX(tblChannels[Watched Through],MATCH(N290,tblChannels[Channel ID],0)),0),"Watched","Unwatched"))</f>
        <v/>
      </c>
      <c r="C290" s="37" t="n"/>
      <c r="D290" s="38" t="n"/>
      <c r="E290" s="39" t="n">
        <v>45875.64097222222</v>
      </c>
      <c r="F290" s="47" t="inlineStr">
        <is>
          <t>Super Carlin Brothers</t>
        </is>
      </c>
      <c r="G290" t="inlineStr">
        <is>
          <t>What If Voldemort Felt Remorse? | Harry Potter Film Theory</t>
        </is>
      </c>
      <c r="H290" s="41" t="n">
        <v>0.01107638888888889</v>
      </c>
      <c r="I290" s="42" t="n">
        <v>86460</v>
      </c>
      <c r="J290" s="42" t="n">
        <v>4102</v>
      </c>
      <c r="K290" s="42" t="n">
        <v>358</v>
      </c>
      <c r="L290" s="43" t="n"/>
      <c r="M290" s="44" t="n"/>
      <c r="N290" s="44" t="inlineStr">
        <is>
          <t>UCKZo4N0lVPccBkSiuyVh4yg</t>
        </is>
      </c>
      <c r="O290" s="45" t="n">
        <v>45875.80763888889</v>
      </c>
      <c r="P290" s="46" t="n">
        <v>45875</v>
      </c>
      <c r="Q290" s="44" t="n">
        <v>2982</v>
      </c>
      <c r="R290" s="44" t="inlineStr">
        <is>
          <t>No Video ID yet</t>
        </is>
      </c>
      <c r="S290" s="46" t="n"/>
      <c r="T290" s="46" t="n"/>
      <c r="U290" s="44" t="n"/>
      <c r="V290" s="44">
        <f>IF(AND(P290&gt;=Calendar!$K$2,P290&lt;EDATE(Calendar!$K$2,1),OR(Calendar!$K$4="*",N290=Calendar!$K$4)),P290*100+COUNTIFS($P$6:$P$3271,P290,$Q$6:$Q$3271,"&lt;="&amp;Q290,$N$6:$N$3271,Calendar!$K$4),"")</f>
        <v/>
      </c>
      <c r="W290" s="44">
        <f>IF(AND(B290=Queue!$C$4,OR(Queue!$K$4="*",N290=Queue!$K$4)),Q290,"")</f>
        <v/>
      </c>
    </row>
    <row r="291">
      <c r="A291" s="35">
        <f>IF(M291="","",HYPERLINK("https://www.youtube.com/watch?v="&amp;M291,"▶"))</f>
        <v/>
      </c>
      <c r="B291" s="36">
        <f>IF(C291&lt;&gt;"",C291,IF(P291&lt;=IFERROR(INDEX(tblChannels[Watched Through],MATCH(N291,tblChannels[Channel ID],0)),0),"Watched","Unwatched"))</f>
        <v/>
      </c>
      <c r="C291" s="37" t="n"/>
      <c r="D291" s="38" t="n"/>
      <c r="E291" s="39" t="n">
        <v>45874.55486111111</v>
      </c>
      <c r="F291" s="47" t="inlineStr">
        <is>
          <t>Super Carlin Brothers</t>
        </is>
      </c>
      <c r="G291" t="inlineStr">
        <is>
          <t>Why Luna Is Actually Snape</t>
        </is>
      </c>
      <c r="H291" s="41" t="n">
        <v>0.002071759259259259</v>
      </c>
      <c r="I291" s="42" t="n">
        <v>1406832</v>
      </c>
      <c r="J291" s="42" t="n">
        <v>67891</v>
      </c>
      <c r="K291" s="42" t="n">
        <v>792</v>
      </c>
      <c r="L291" s="43" t="n"/>
      <c r="M291" s="44" t="n"/>
      <c r="N291" s="44" t="inlineStr">
        <is>
          <t>UCKZo4N0lVPccBkSiuyVh4yg</t>
        </is>
      </c>
      <c r="O291" s="45" t="n">
        <v>45874.72152777778</v>
      </c>
      <c r="P291" s="46" t="n">
        <v>45874</v>
      </c>
      <c r="Q291" s="44" t="n">
        <v>2981</v>
      </c>
      <c r="R291" s="44" t="inlineStr">
        <is>
          <t>No Video ID yet</t>
        </is>
      </c>
      <c r="S291" s="46" t="n"/>
      <c r="T291" s="46" t="n"/>
      <c r="U291" s="44" t="n"/>
      <c r="V291" s="44">
        <f>IF(AND(P291&gt;=Calendar!$K$2,P291&lt;EDATE(Calendar!$K$2,1),OR(Calendar!$K$4="*",N291=Calendar!$K$4)),P291*100+COUNTIFS($P$6:$P$3271,P291,$Q$6:$Q$3271,"&lt;="&amp;Q291,$N$6:$N$3271,Calendar!$K$4),"")</f>
        <v/>
      </c>
      <c r="W291" s="44">
        <f>IF(AND(B291=Queue!$C$4,OR(Queue!$K$4="*",N291=Queue!$K$4)),Q291,"")</f>
        <v/>
      </c>
    </row>
    <row r="292">
      <c r="A292" s="35">
        <f>IF(M292="","",HYPERLINK("https://www.youtube.com/watch?v="&amp;M292,"▶"))</f>
        <v/>
      </c>
      <c r="B292" s="36">
        <f>IF(C292&lt;&gt;"",C292,IF(P292&lt;=IFERROR(INDEX(tblChannels[Watched Through],MATCH(N292,tblChannels[Channel ID],0)),0),"Watched","Unwatched"))</f>
        <v/>
      </c>
      <c r="C292" s="37" t="n"/>
      <c r="D292" s="38" t="n"/>
      <c r="E292" s="39" t="n">
        <v>45872.41666666666</v>
      </c>
      <c r="F292" s="48" t="inlineStr">
        <is>
          <t>Through The Griffin Door</t>
        </is>
      </c>
      <c r="G292" t="inlineStr">
        <is>
          <t>Chapter 36: The Parting of the Ways | Goblet of Fire</t>
        </is>
      </c>
      <c r="H292" s="41" t="n">
        <v>0.07143518518518518</v>
      </c>
      <c r="I292" s="42" t="n">
        <v>57111</v>
      </c>
      <c r="J292" s="42" t="n">
        <v>1477</v>
      </c>
      <c r="K292" s="42" t="n">
        <v>431</v>
      </c>
      <c r="L292" s="43" t="n"/>
      <c r="M292" s="44" t="n"/>
      <c r="N292" s="44" t="inlineStr">
        <is>
          <t>UCEscP6ETYXWSSvsNrDHekMQ</t>
        </is>
      </c>
      <c r="O292" s="45" t="n">
        <v>45872.58333333334</v>
      </c>
      <c r="P292" s="46" t="n">
        <v>45872</v>
      </c>
      <c r="Q292" s="44" t="n">
        <v>2980</v>
      </c>
      <c r="R292" s="44" t="inlineStr">
        <is>
          <t>No Video ID yet</t>
        </is>
      </c>
      <c r="S292" s="46" t="n"/>
      <c r="T292" s="46" t="n"/>
      <c r="U292" s="44" t="n"/>
      <c r="V292" s="44">
        <f>IF(AND(P292&gt;=Calendar!$K$2,P292&lt;EDATE(Calendar!$K$2,1),OR(Calendar!$K$4="*",N292=Calendar!$K$4)),P292*100+COUNTIFS($P$6:$P$3271,P292,$Q$6:$Q$3271,"&lt;="&amp;Q292,$N$6:$N$3271,Calendar!$K$4),"")</f>
        <v/>
      </c>
      <c r="W292" s="44">
        <f>IF(AND(B292=Queue!$C$4,OR(Queue!$K$4="*",N292=Queue!$K$4)),Q292,"")</f>
        <v/>
      </c>
    </row>
    <row r="293">
      <c r="A293" s="35">
        <f>IF(M293="","",HYPERLINK("https://www.youtube.com/watch?v="&amp;M293,"▶"))</f>
        <v/>
      </c>
      <c r="B293" s="36">
        <f>IF(C293&lt;&gt;"",C293,IF(P293&lt;=IFERROR(INDEX(tblChannels[Watched Through],MATCH(N293,tblChannels[Channel ID],0)),0),"Watched","Unwatched"))</f>
        <v/>
      </c>
      <c r="C293" s="37" t="n"/>
      <c r="D293" s="38" t="n"/>
      <c r="E293" s="39" t="n">
        <v>45870.625</v>
      </c>
      <c r="F293" s="47" t="inlineStr">
        <is>
          <t>Super Carlin Brothers</t>
        </is>
      </c>
      <c r="G293" t="inlineStr">
        <is>
          <t>What’s The Deal With Hermione’s Parents | Harry Potter Film Theory</t>
        </is>
      </c>
      <c r="H293" s="41" t="n">
        <v>0.01116898148148148</v>
      </c>
      <c r="I293" s="42" t="n">
        <v>211108</v>
      </c>
      <c r="J293" s="42" t="n">
        <v>7312</v>
      </c>
      <c r="K293" s="42" t="n">
        <v>897</v>
      </c>
      <c r="L293" s="43" t="n"/>
      <c r="M293" s="44" t="n"/>
      <c r="N293" s="44" t="inlineStr">
        <is>
          <t>UCKZo4N0lVPccBkSiuyVh4yg</t>
        </is>
      </c>
      <c r="O293" s="45" t="n">
        <v>45870.79166666666</v>
      </c>
      <c r="P293" s="46" t="n">
        <v>45870</v>
      </c>
      <c r="Q293" s="44" t="n">
        <v>2979</v>
      </c>
      <c r="R293" s="44" t="inlineStr">
        <is>
          <t>No Video ID yet</t>
        </is>
      </c>
      <c r="S293" s="46" t="n"/>
      <c r="T293" s="46" t="n"/>
      <c r="U293" s="44" t="n"/>
      <c r="V293" s="44">
        <f>IF(AND(P293&gt;=Calendar!$K$2,P293&lt;EDATE(Calendar!$K$2,1),OR(Calendar!$K$4="*",N293=Calendar!$K$4)),P293*100+COUNTIFS($P$6:$P$3271,P293,$Q$6:$Q$3271,"&lt;="&amp;Q293,$N$6:$N$3271,Calendar!$K$4),"")</f>
        <v/>
      </c>
      <c r="W293" s="44">
        <f>IF(AND(B293=Queue!$C$4,OR(Queue!$K$4="*",N293=Queue!$K$4)),Q293,"")</f>
        <v/>
      </c>
    </row>
    <row r="294">
      <c r="A294" s="35">
        <f>IF(M294="","",HYPERLINK("https://www.youtube.com/watch?v="&amp;M294,"▶"))</f>
        <v/>
      </c>
      <c r="B294" s="36">
        <f>IF(C294&lt;&gt;"",C294,IF(P294&lt;=IFERROR(INDEX(tblChannels[Watched Through],MATCH(N294,tblChannels[Channel ID],0)),0),"Watched","Unwatched"))</f>
        <v/>
      </c>
      <c r="C294" s="37" t="n"/>
      <c r="D294" s="38" t="n"/>
      <c r="E294" s="39" t="n">
        <v>45870.41666666666</v>
      </c>
      <c r="F294" s="40" t="inlineStr">
        <is>
          <t>Popcorn Culture</t>
        </is>
      </c>
      <c r="G294" t="inlineStr">
        <is>
          <t>The End of A Chapter | Popcorn Culture</t>
        </is>
      </c>
      <c r="H294" s="41" t="n">
        <v>0.04608796296296296</v>
      </c>
      <c r="I294" s="42" t="n">
        <v>4363</v>
      </c>
      <c r="J294" s="42" t="n">
        <v>282</v>
      </c>
      <c r="K294" s="42" t="n">
        <v>60</v>
      </c>
      <c r="L294" s="43" t="n"/>
      <c r="M294" s="44" t="n"/>
      <c r="N294" s="44" t="inlineStr">
        <is>
          <t>UCHfIbq9thHPC8yrKjAdJgDA</t>
        </is>
      </c>
      <c r="O294" s="45" t="n">
        <v>45870.58333333334</v>
      </c>
      <c r="P294" s="46" t="n">
        <v>45870</v>
      </c>
      <c r="Q294" s="44" t="n">
        <v>2978</v>
      </c>
      <c r="R294" s="44" t="inlineStr">
        <is>
          <t>No Video ID yet</t>
        </is>
      </c>
      <c r="S294" s="46" t="n"/>
      <c r="T294" s="46" t="n"/>
      <c r="U294" s="44" t="n"/>
      <c r="V294" s="44">
        <f>IF(AND(P294&gt;=Calendar!$K$2,P294&lt;EDATE(Calendar!$K$2,1),OR(Calendar!$K$4="*",N294=Calendar!$K$4)),P294*100+COUNTIFS($P$6:$P$3271,P294,$Q$6:$Q$3271,"&lt;="&amp;Q294,$N$6:$N$3271,Calendar!$K$4),"")</f>
        <v/>
      </c>
      <c r="W294" s="44">
        <f>IF(AND(B294=Queue!$C$4,OR(Queue!$K$4="*",N294=Queue!$K$4)),Q294,"")</f>
        <v/>
      </c>
    </row>
    <row r="295">
      <c r="A295" s="35">
        <f>IF(M295="","",HYPERLINK("https://www.youtube.com/watch?v="&amp;M295,"▶"))</f>
        <v/>
      </c>
      <c r="B295" s="36">
        <f>IF(C295&lt;&gt;"",C295,IF(P295&lt;=IFERROR(INDEX(tblChannels[Watched Through],MATCH(N295,tblChannels[Channel ID],0)),0),"Watched","Unwatched"))</f>
        <v/>
      </c>
      <c r="C295" s="37" t="n"/>
      <c r="D295" s="38" t="n"/>
      <c r="E295" s="39" t="n">
        <v>45869.57013888889</v>
      </c>
      <c r="F295" s="47" t="inlineStr">
        <is>
          <t>Super Carlin Brothers</t>
        </is>
      </c>
      <c r="G295" t="inlineStr">
        <is>
          <t>Why is Harry's Scar Shaped Like a Lightning Bolt? #harrypotter</t>
        </is>
      </c>
      <c r="H295" s="41" t="n">
        <v>0.002071759259259259</v>
      </c>
      <c r="I295" s="42" t="n">
        <v>106415</v>
      </c>
      <c r="J295" s="42" t="n">
        <v>6245</v>
      </c>
      <c r="K295" s="42" t="n">
        <v>161</v>
      </c>
      <c r="L295" s="43" t="n"/>
      <c r="M295" s="44" t="n"/>
      <c r="N295" s="44" t="inlineStr">
        <is>
          <t>UCKZo4N0lVPccBkSiuyVh4yg</t>
        </is>
      </c>
      <c r="O295" s="45" t="n">
        <v>45869.73680555556</v>
      </c>
      <c r="P295" s="46" t="n">
        <v>45869</v>
      </c>
      <c r="Q295" s="44" t="n">
        <v>2977</v>
      </c>
      <c r="R295" s="44" t="inlineStr">
        <is>
          <t>No Video ID yet</t>
        </is>
      </c>
      <c r="S295" s="46" t="n"/>
      <c r="T295" s="46" t="n"/>
      <c r="U295" s="44" t="n"/>
      <c r="V295" s="44">
        <f>IF(AND(P295&gt;=Calendar!$K$2,P295&lt;EDATE(Calendar!$K$2,1),OR(Calendar!$K$4="*",N295=Calendar!$K$4)),P295*100+COUNTIFS($P$6:$P$3271,P295,$Q$6:$Q$3271,"&lt;="&amp;Q295,$N$6:$N$3271,Calendar!$K$4),"")</f>
        <v/>
      </c>
      <c r="W295" s="44">
        <f>IF(AND(B295=Queue!$C$4,OR(Queue!$K$4="*",N295=Queue!$K$4)),Q295,"")</f>
        <v/>
      </c>
    </row>
    <row r="296">
      <c r="A296" s="35">
        <f>IF(M296="","",HYPERLINK("https://www.youtube.com/watch?v="&amp;M296,"▶"))</f>
        <v/>
      </c>
      <c r="B296" s="36">
        <f>IF(C296&lt;&gt;"",C296,IF(P296&lt;=IFERROR(INDEX(tblChannels[Watched Through],MATCH(N296,tblChannels[Channel ID],0)),0),"Watched","Unwatched"))</f>
        <v/>
      </c>
      <c r="C296" s="37" t="n"/>
      <c r="D296" s="38" t="n"/>
      <c r="E296" s="39" t="n">
        <v>45868.69722222222</v>
      </c>
      <c r="F296" s="47" t="inlineStr">
        <is>
          <t>Super Carlin Brothers</t>
        </is>
      </c>
      <c r="G296" t="inlineStr">
        <is>
          <t>J vs Ben: HARDEST Quotes Quiz Ever | Harry Potter Trivia</t>
        </is>
      </c>
      <c r="H296" s="41" t="n">
        <v>0.02297453703703704</v>
      </c>
      <c r="I296" s="42" t="n">
        <v>121778</v>
      </c>
      <c r="J296" s="42" t="n">
        <v>4148</v>
      </c>
      <c r="K296" s="42" t="n">
        <v>374</v>
      </c>
      <c r="L296" s="43" t="n"/>
      <c r="M296" s="44" t="n"/>
      <c r="N296" s="44" t="inlineStr">
        <is>
          <t>UCKZo4N0lVPccBkSiuyVh4yg</t>
        </is>
      </c>
      <c r="O296" s="45" t="n">
        <v>45868.86388888889</v>
      </c>
      <c r="P296" s="46" t="n">
        <v>45868</v>
      </c>
      <c r="Q296" s="44" t="n">
        <v>2976</v>
      </c>
      <c r="R296" s="44" t="inlineStr">
        <is>
          <t>No Video ID yet</t>
        </is>
      </c>
      <c r="S296" s="46" t="n"/>
      <c r="T296" s="46" t="n"/>
      <c r="U296" s="44" t="n"/>
      <c r="V296" s="44">
        <f>IF(AND(P296&gt;=Calendar!$K$2,P296&lt;EDATE(Calendar!$K$2,1),OR(Calendar!$K$4="*",N296=Calendar!$K$4)),P296*100+COUNTIFS($P$6:$P$3271,P296,$Q$6:$Q$3271,"&lt;="&amp;Q296,$N$6:$N$3271,Calendar!$K$4),"")</f>
        <v/>
      </c>
      <c r="W296" s="44">
        <f>IF(AND(B296=Queue!$C$4,OR(Queue!$K$4="*",N296=Queue!$K$4)),Q296,"")</f>
        <v/>
      </c>
    </row>
    <row r="297">
      <c r="A297" s="35">
        <f>IF(M297="","",HYPERLINK("https://www.youtube.com/watch?v="&amp;M297,"▶"))</f>
        <v/>
      </c>
      <c r="B297" s="36">
        <f>IF(C297&lt;&gt;"",C297,IF(P297&lt;=IFERROR(INDEX(tblChannels[Watched Through],MATCH(N297,tblChannels[Channel ID],0)),0),"Watched","Unwatched"))</f>
        <v/>
      </c>
      <c r="C297" s="37" t="n"/>
      <c r="D297" s="38" t="n"/>
      <c r="E297" s="39" t="n">
        <v>45865.41666666666</v>
      </c>
      <c r="F297" s="48" t="inlineStr">
        <is>
          <t>Through The Griffin Door</t>
        </is>
      </c>
      <c r="G297" t="inlineStr">
        <is>
          <t>Chapter 35: Veritaserum | Goblet of Fire</t>
        </is>
      </c>
      <c r="H297" s="41" t="n">
        <v>0.07214120370370371</v>
      </c>
      <c r="I297" s="42" t="n">
        <v>60446</v>
      </c>
      <c r="J297" s="42" t="n">
        <v>1540</v>
      </c>
      <c r="K297" s="42" t="n">
        <v>316</v>
      </c>
      <c r="L297" s="43" t="n"/>
      <c r="M297" s="44" t="n"/>
      <c r="N297" s="44" t="inlineStr">
        <is>
          <t>UCEscP6ETYXWSSvsNrDHekMQ</t>
        </is>
      </c>
      <c r="O297" s="45" t="n">
        <v>45865.58333333334</v>
      </c>
      <c r="P297" s="46" t="n">
        <v>45865</v>
      </c>
      <c r="Q297" s="44" t="n">
        <v>2975</v>
      </c>
      <c r="R297" s="44" t="inlineStr">
        <is>
          <t>No Video ID yet</t>
        </is>
      </c>
      <c r="S297" s="46" t="n"/>
      <c r="T297" s="46" t="n"/>
      <c r="U297" s="44" t="n"/>
      <c r="V297" s="44">
        <f>IF(AND(P297&gt;=Calendar!$K$2,P297&lt;EDATE(Calendar!$K$2,1),OR(Calendar!$K$4="*",N297=Calendar!$K$4)),P297*100+COUNTIFS($P$6:$P$3271,P297,$Q$6:$Q$3271,"&lt;="&amp;Q297,$N$6:$N$3271,Calendar!$K$4),"")</f>
        <v/>
      </c>
      <c r="W297" s="44">
        <f>IF(AND(B297=Queue!$C$4,OR(Queue!$K$4="*",N297=Queue!$K$4)),Q297,"")</f>
        <v/>
      </c>
    </row>
    <row r="298">
      <c r="A298" s="35">
        <f>IF(M298="","",HYPERLINK("https://www.youtube.com/watch?v="&amp;M298,"▶"))</f>
        <v/>
      </c>
      <c r="B298" s="36">
        <f>IF(C298&lt;&gt;"",C298,IF(P298&lt;=IFERROR(INDEX(tblChannels[Watched Through],MATCH(N298,tblChannels[Channel ID],0)),0),"Watched","Unwatched"))</f>
        <v/>
      </c>
      <c r="C298" s="37" t="n"/>
      <c r="D298" s="38" t="n"/>
      <c r="E298" s="39" t="n">
        <v>45863.71111111111</v>
      </c>
      <c r="F298" s="47" t="inlineStr">
        <is>
          <t>Super Carlin Brothers</t>
        </is>
      </c>
      <c r="G298" t="inlineStr">
        <is>
          <t>Fantastic Four: Expectations VS Reality</t>
        </is>
      </c>
      <c r="H298" s="41" t="n">
        <v>0.04961805555555555</v>
      </c>
      <c r="I298" s="42" t="n">
        <v>32443</v>
      </c>
      <c r="J298" s="42" t="n">
        <v>1299</v>
      </c>
      <c r="K298" s="42" t="n">
        <v>189</v>
      </c>
      <c r="L298" s="43" t="n"/>
      <c r="M298" s="44" t="n"/>
      <c r="N298" s="44" t="inlineStr">
        <is>
          <t>UCKZo4N0lVPccBkSiuyVh4yg</t>
        </is>
      </c>
      <c r="O298" s="45" t="n">
        <v>45863.87777777778</v>
      </c>
      <c r="P298" s="46" t="n">
        <v>45863</v>
      </c>
      <c r="Q298" s="44" t="n">
        <v>2974</v>
      </c>
      <c r="R298" s="44" t="inlineStr">
        <is>
          <t>No Video ID yet</t>
        </is>
      </c>
      <c r="S298" s="46" t="n"/>
      <c r="T298" s="46" t="n"/>
      <c r="U298" s="44" t="n"/>
      <c r="V298" s="44">
        <f>IF(AND(P298&gt;=Calendar!$K$2,P298&lt;EDATE(Calendar!$K$2,1),OR(Calendar!$K$4="*",N298=Calendar!$K$4)),P298*100+COUNTIFS($P$6:$P$3271,P298,$Q$6:$Q$3271,"&lt;="&amp;Q298,$N$6:$N$3271,Calendar!$K$4),"")</f>
        <v/>
      </c>
      <c r="W298" s="44">
        <f>IF(AND(B298=Queue!$C$4,OR(Queue!$K$4="*",N298=Queue!$K$4)),Q298,"")</f>
        <v/>
      </c>
    </row>
    <row r="299">
      <c r="A299" s="35">
        <f>IF(M299="","",HYPERLINK("https://www.youtube.com/watch?v="&amp;M299,"▶"))</f>
        <v/>
      </c>
      <c r="B299" s="36">
        <f>IF(C299&lt;&gt;"",C299,IF(P299&lt;=IFERROR(INDEX(tblChannels[Watched Through],MATCH(N299,tblChannels[Channel ID],0)),0),"Watched","Unwatched"))</f>
        <v/>
      </c>
      <c r="C299" s="37" t="n"/>
      <c r="D299" s="38" t="n"/>
      <c r="E299" s="39" t="n">
        <v>45863.41666666666</v>
      </c>
      <c r="F299" s="40" t="inlineStr">
        <is>
          <t>Popcorn Culture</t>
        </is>
      </c>
      <c r="G299" t="inlineStr">
        <is>
          <t>Streaming Arguments | Popcorn Culture</t>
        </is>
      </c>
      <c r="H299" s="41" t="n">
        <v>0.05984953703703703</v>
      </c>
      <c r="I299" s="42" t="n">
        <v>3359</v>
      </c>
      <c r="J299" s="42" t="n">
        <v>158</v>
      </c>
      <c r="K299" s="42" t="n">
        <v>21</v>
      </c>
      <c r="L299" s="43" t="n"/>
      <c r="M299" s="44" t="n"/>
      <c r="N299" s="44" t="inlineStr">
        <is>
          <t>UCHfIbq9thHPC8yrKjAdJgDA</t>
        </is>
      </c>
      <c r="O299" s="45" t="n">
        <v>45863.58333333334</v>
      </c>
      <c r="P299" s="46" t="n">
        <v>45863</v>
      </c>
      <c r="Q299" s="44" t="n">
        <v>2973</v>
      </c>
      <c r="R299" s="44" t="inlineStr">
        <is>
          <t>No Video ID yet</t>
        </is>
      </c>
      <c r="S299" s="46" t="n"/>
      <c r="T299" s="46" t="n"/>
      <c r="U299" s="44" t="n"/>
      <c r="V299" s="44">
        <f>IF(AND(P299&gt;=Calendar!$K$2,P299&lt;EDATE(Calendar!$K$2,1),OR(Calendar!$K$4="*",N299=Calendar!$K$4)),P299*100+COUNTIFS($P$6:$P$3271,P299,$Q$6:$Q$3271,"&lt;="&amp;Q299,$N$6:$N$3271,Calendar!$K$4),"")</f>
        <v/>
      </c>
      <c r="W299" s="44">
        <f>IF(AND(B299=Queue!$C$4,OR(Queue!$K$4="*",N299=Queue!$K$4)),Q299,"")</f>
        <v/>
      </c>
    </row>
    <row r="300">
      <c r="A300" s="35">
        <f>IF(M300="","",HYPERLINK("https://www.youtube.com/watch?v="&amp;M300,"▶"))</f>
        <v/>
      </c>
      <c r="B300" s="36">
        <f>IF(C300&lt;&gt;"",C300,IF(P300&lt;=IFERROR(INDEX(tblChannels[Watched Through],MATCH(N300,tblChannels[Channel ID],0)),0),"Watched","Unwatched"))</f>
        <v/>
      </c>
      <c r="C300" s="37" t="n"/>
      <c r="D300" s="38" t="n"/>
      <c r="E300" s="39" t="n">
        <v>45861.71319444444</v>
      </c>
      <c r="F300" s="47" t="inlineStr">
        <is>
          <t>Super Carlin Brothers</t>
        </is>
      </c>
      <c r="G300" t="inlineStr">
        <is>
          <t>What’s the Deal With Tinker Bell | Disney Film Theory</t>
        </is>
      </c>
      <c r="H300" s="41" t="n">
        <v>0.01108796296296296</v>
      </c>
      <c r="I300" s="42" t="n">
        <v>56316</v>
      </c>
      <c r="J300" s="42" t="n">
        <v>3005</v>
      </c>
      <c r="K300" s="42" t="n">
        <v>368</v>
      </c>
      <c r="L300" s="43" t="n"/>
      <c r="M300" s="44" t="n"/>
      <c r="N300" s="44" t="inlineStr">
        <is>
          <t>UCKZo4N0lVPccBkSiuyVh4yg</t>
        </is>
      </c>
      <c r="O300" s="45" t="n">
        <v>45861.87986111111</v>
      </c>
      <c r="P300" s="46" t="n">
        <v>45861</v>
      </c>
      <c r="Q300" s="44" t="n">
        <v>2972</v>
      </c>
      <c r="R300" s="44" t="inlineStr">
        <is>
          <t>No Video ID yet</t>
        </is>
      </c>
      <c r="S300" s="46" t="n"/>
      <c r="T300" s="46" t="n"/>
      <c r="U300" s="44" t="n"/>
      <c r="V300" s="44">
        <f>IF(AND(P300&gt;=Calendar!$K$2,P300&lt;EDATE(Calendar!$K$2,1),OR(Calendar!$K$4="*",N300=Calendar!$K$4)),P300*100+COUNTIFS($P$6:$P$3271,P300,$Q$6:$Q$3271,"&lt;="&amp;Q300,$N$6:$N$3271,Calendar!$K$4),"")</f>
        <v/>
      </c>
      <c r="W300" s="44">
        <f>IF(AND(B300=Queue!$C$4,OR(Queue!$K$4="*",N300=Queue!$K$4)),Q300,"")</f>
        <v/>
      </c>
    </row>
    <row r="301">
      <c r="A301" s="35">
        <f>IF(M301="","",HYPERLINK("https://www.youtube.com/watch?v="&amp;M301,"▶"))</f>
        <v/>
      </c>
      <c r="B301" s="36">
        <f>IF(C301&lt;&gt;"",C301,IF(P301&lt;=IFERROR(INDEX(tblChannels[Watched Through],MATCH(N301,tblChannels[Channel ID],0)),0),"Watched","Unwatched"))</f>
        <v/>
      </c>
      <c r="C301" s="37" t="n"/>
      <c r="D301" s="38" t="n"/>
      <c r="E301" s="39" t="n">
        <v>45861.49166666667</v>
      </c>
      <c r="F301" s="47" t="inlineStr">
        <is>
          <t>Super Carlin Brothers</t>
        </is>
      </c>
      <c r="G301" t="inlineStr">
        <is>
          <t>Unboxing an APPA Skateboard?! Let’s Gooooo!</t>
        </is>
      </c>
      <c r="H301" s="41" t="n">
        <v>0.002002314814814815</v>
      </c>
      <c r="I301" s="42" t="n">
        <v>27132</v>
      </c>
      <c r="J301" s="42" t="n">
        <v>1475</v>
      </c>
      <c r="K301" s="42" t="n">
        <v>112</v>
      </c>
      <c r="L301" s="43" t="n"/>
      <c r="M301" s="44" t="n"/>
      <c r="N301" s="44" t="inlineStr">
        <is>
          <t>UCKZo4N0lVPccBkSiuyVh4yg</t>
        </is>
      </c>
      <c r="O301" s="45" t="n">
        <v>45861.65833333333</v>
      </c>
      <c r="P301" s="46" t="n">
        <v>45861</v>
      </c>
      <c r="Q301" s="44" t="n">
        <v>2971</v>
      </c>
      <c r="R301" s="44" t="inlineStr">
        <is>
          <t>No Video ID yet</t>
        </is>
      </c>
      <c r="S301" s="46" t="n"/>
      <c r="T301" s="46" t="n"/>
      <c r="U301" s="44" t="n"/>
      <c r="V301" s="44">
        <f>IF(AND(P301&gt;=Calendar!$K$2,P301&lt;EDATE(Calendar!$K$2,1),OR(Calendar!$K$4="*",N301=Calendar!$K$4)),P301*100+COUNTIFS($P$6:$P$3271,P301,$Q$6:$Q$3271,"&lt;="&amp;Q301,$N$6:$N$3271,Calendar!$K$4),"")</f>
        <v/>
      </c>
      <c r="W301" s="44">
        <f>IF(AND(B301=Queue!$C$4,OR(Queue!$K$4="*",N301=Queue!$K$4)),Q301,"")</f>
        <v/>
      </c>
    </row>
    <row r="302">
      <c r="A302" s="35">
        <f>IF(M302="","",HYPERLINK("https://www.youtube.com/watch?v="&amp;M302,"▶"))</f>
        <v/>
      </c>
      <c r="B302" s="36">
        <f>IF(C302&lt;&gt;"",C302,IF(P302&lt;=IFERROR(INDEX(tblChannels[Watched Through],MATCH(N302,tblChannels[Channel ID],0)),0),"Watched","Unwatched"))</f>
        <v/>
      </c>
      <c r="C302" s="37" t="n"/>
      <c r="D302" s="38" t="n"/>
      <c r="E302" s="39" t="n">
        <v>45858.41666666666</v>
      </c>
      <c r="F302" s="48" t="inlineStr">
        <is>
          <t>Through The Griffin Door</t>
        </is>
      </c>
      <c r="G302" t="inlineStr">
        <is>
          <t>Chapter 34: Priori Incantatem | Goblet of Fire</t>
        </is>
      </c>
      <c r="H302" s="41" t="n">
        <v>0.0609375</v>
      </c>
      <c r="I302" s="42" t="n">
        <v>53698</v>
      </c>
      <c r="J302" s="42" t="n">
        <v>1485</v>
      </c>
      <c r="K302" s="42" t="n">
        <v>382</v>
      </c>
      <c r="L302" s="43" t="n"/>
      <c r="M302" s="44" t="n"/>
      <c r="N302" s="44" t="inlineStr">
        <is>
          <t>UCEscP6ETYXWSSvsNrDHekMQ</t>
        </is>
      </c>
      <c r="O302" s="45" t="n">
        <v>45858.58333333334</v>
      </c>
      <c r="P302" s="46" t="n">
        <v>45858</v>
      </c>
      <c r="Q302" s="44" t="n">
        <v>2970</v>
      </c>
      <c r="R302" s="44" t="inlineStr">
        <is>
          <t>No Video ID yet</t>
        </is>
      </c>
      <c r="S302" s="46" t="n"/>
      <c r="T302" s="46" t="n"/>
      <c r="U302" s="44" t="n"/>
      <c r="V302" s="44">
        <f>IF(AND(P302&gt;=Calendar!$K$2,P302&lt;EDATE(Calendar!$K$2,1),OR(Calendar!$K$4="*",N302=Calendar!$K$4)),P302*100+COUNTIFS($P$6:$P$3271,P302,$Q$6:$Q$3271,"&lt;="&amp;Q302,$N$6:$N$3271,Calendar!$K$4),"")</f>
        <v/>
      </c>
      <c r="W302" s="44">
        <f>IF(AND(B302=Queue!$C$4,OR(Queue!$K$4="*",N302=Queue!$K$4)),Q302,"")</f>
        <v/>
      </c>
    </row>
    <row r="303">
      <c r="A303" s="35">
        <f>IF(M303="","",HYPERLINK("https://www.youtube.com/watch?v="&amp;M303,"▶"))</f>
        <v/>
      </c>
      <c r="B303" s="36">
        <f>IF(C303&lt;&gt;"",C303,IF(P303&lt;=IFERROR(INDEX(tblChannels[Watched Through],MATCH(N303,tblChannels[Channel ID],0)),0),"Watched","Unwatched"))</f>
        <v/>
      </c>
      <c r="C303" s="37" t="n"/>
      <c r="D303" s="38" t="n"/>
      <c r="E303" s="39" t="n">
        <v>45857.41666666666</v>
      </c>
      <c r="F303" s="47" t="inlineStr">
        <is>
          <t>Super Carlin Brothers</t>
        </is>
      </c>
      <c r="G303" t="inlineStr">
        <is>
          <t>Through the Griffin Door Supercut: Goblet of Fire Chapters 31-33</t>
        </is>
      </c>
      <c r="H303" s="41" t="n">
        <v>0.1900810185185185</v>
      </c>
      <c r="I303" s="42" t="n">
        <v>13533</v>
      </c>
      <c r="J303" s="42" t="n">
        <v>260</v>
      </c>
      <c r="K303" s="42" t="n">
        <v>71</v>
      </c>
      <c r="L303" s="43" t="n"/>
      <c r="M303" s="44" t="n"/>
      <c r="N303" s="44" t="inlineStr">
        <is>
          <t>UCKZo4N0lVPccBkSiuyVh4yg</t>
        </is>
      </c>
      <c r="O303" s="45" t="n">
        <v>45857.58333333334</v>
      </c>
      <c r="P303" s="46" t="n">
        <v>45857</v>
      </c>
      <c r="Q303" s="44" t="n">
        <v>2969</v>
      </c>
      <c r="R303" s="44" t="inlineStr">
        <is>
          <t>No Video ID yet</t>
        </is>
      </c>
      <c r="S303" s="46" t="n"/>
      <c r="T303" s="46" t="n"/>
      <c r="U303" s="44" t="n"/>
      <c r="V303" s="44">
        <f>IF(AND(P303&gt;=Calendar!$K$2,P303&lt;EDATE(Calendar!$K$2,1),OR(Calendar!$K$4="*",N303=Calendar!$K$4)),P303*100+COUNTIFS($P$6:$P$3271,P303,$Q$6:$Q$3271,"&lt;="&amp;Q303,$N$6:$N$3271,Calendar!$K$4),"")</f>
        <v/>
      </c>
      <c r="W303" s="44">
        <f>IF(AND(B303=Queue!$C$4,OR(Queue!$K$4="*",N303=Queue!$K$4)),Q303,"")</f>
        <v/>
      </c>
    </row>
    <row r="304">
      <c r="A304" s="35">
        <f>IF(M304="","",HYPERLINK("https://www.youtube.com/watch?v="&amp;M304,"▶"))</f>
        <v/>
      </c>
      <c r="B304" s="36">
        <f>IF(C304&lt;&gt;"",C304,IF(P304&lt;=IFERROR(INDEX(tblChannels[Watched Through],MATCH(N304,tblChannels[Channel ID],0)),0),"Watched","Unwatched"))</f>
        <v/>
      </c>
      <c r="C304" s="37" t="n"/>
      <c r="D304" s="38" t="n"/>
      <c r="E304" s="39" t="n">
        <v>45857.20902777778</v>
      </c>
      <c r="F304" s="49" t="inlineStr">
        <is>
          <t>Super Carlin Gaming</t>
        </is>
      </c>
      <c r="G304" t="inlineStr">
        <is>
          <t>JOURNEY TOGETHER - Pokemon Box Breakers SEASON 15 -  Episode 3 - 07/18/2025</t>
        </is>
      </c>
      <c r="H304" s="41" t="n">
        <v>0.1120949074074074</v>
      </c>
      <c r="I304" s="42" t="n">
        <v>811</v>
      </c>
      <c r="J304" s="42" t="n">
        <v>35</v>
      </c>
      <c r="K304" s="42" t="n">
        <v>1</v>
      </c>
      <c r="L304" s="43" t="n"/>
      <c r="M304" s="44" t="n"/>
      <c r="N304" s="44" t="inlineStr">
        <is>
          <t>UCor_9jRnNNZVzTuQ92PKsaQ</t>
        </is>
      </c>
      <c r="O304" s="45" t="n">
        <v>45857.37569444445</v>
      </c>
      <c r="P304" s="46" t="n">
        <v>45857</v>
      </c>
      <c r="Q304" s="44" t="n">
        <v>2968</v>
      </c>
      <c r="R304" s="44" t="inlineStr">
        <is>
          <t>No Video ID yet</t>
        </is>
      </c>
      <c r="S304" s="46" t="n"/>
      <c r="T304" s="46" t="n"/>
      <c r="U304" s="44" t="n"/>
      <c r="V304" s="44">
        <f>IF(AND(P304&gt;=Calendar!$K$2,P304&lt;EDATE(Calendar!$K$2,1),OR(Calendar!$K$4="*",N304=Calendar!$K$4)),P304*100+COUNTIFS($P$6:$P$3271,P304,$Q$6:$Q$3271,"&lt;="&amp;Q304,$N$6:$N$3271,Calendar!$K$4),"")</f>
        <v/>
      </c>
      <c r="W304" s="44">
        <f>IF(AND(B304=Queue!$C$4,OR(Queue!$K$4="*",N304=Queue!$K$4)),Q304,"")</f>
        <v/>
      </c>
    </row>
    <row r="305">
      <c r="A305" s="35">
        <f>IF(M305="","",HYPERLINK("https://www.youtube.com/watch?v="&amp;M305,"▶"))</f>
        <v/>
      </c>
      <c r="B305" s="36">
        <f>IF(C305&lt;&gt;"",C305,IF(P305&lt;=IFERROR(INDEX(tblChannels[Watched Through],MATCH(N305,tblChannels[Channel ID],0)),0),"Watched","Unwatched"))</f>
        <v/>
      </c>
      <c r="C305" s="37" t="n"/>
      <c r="D305" s="38" t="n"/>
      <c r="E305" s="39" t="n">
        <v>45856.70486111111</v>
      </c>
      <c r="F305" s="47" t="inlineStr">
        <is>
          <t>Super Carlin Brothers</t>
        </is>
      </c>
      <c r="G305" t="inlineStr">
        <is>
          <t>Regulus Black was the FIRST Chosen One | Harry Potter Film Theory</t>
        </is>
      </c>
      <c r="H305" s="41" t="n">
        <v>0.01320601851851852</v>
      </c>
      <c r="I305" s="42" t="n">
        <v>145699</v>
      </c>
      <c r="J305" s="42" t="n">
        <v>6272</v>
      </c>
      <c r="K305" s="42" t="n">
        <v>743</v>
      </c>
      <c r="L305" s="43" t="n"/>
      <c r="M305" s="44" t="n"/>
      <c r="N305" s="44" t="inlineStr">
        <is>
          <t>UCKZo4N0lVPccBkSiuyVh4yg</t>
        </is>
      </c>
      <c r="O305" s="45" t="n">
        <v>45856.87152777778</v>
      </c>
      <c r="P305" s="46" t="n">
        <v>45856</v>
      </c>
      <c r="Q305" s="44" t="n">
        <v>2967</v>
      </c>
      <c r="R305" s="44" t="inlineStr">
        <is>
          <t>No Video ID yet</t>
        </is>
      </c>
      <c r="S305" s="46" t="n"/>
      <c r="T305" s="46" t="n"/>
      <c r="U305" s="44" t="n"/>
      <c r="V305" s="44">
        <f>IF(AND(P305&gt;=Calendar!$K$2,P305&lt;EDATE(Calendar!$K$2,1),OR(Calendar!$K$4="*",N305=Calendar!$K$4)),P305*100+COUNTIFS($P$6:$P$3271,P305,$Q$6:$Q$3271,"&lt;="&amp;Q305,$N$6:$N$3271,Calendar!$K$4),"")</f>
        <v/>
      </c>
      <c r="W305" s="44">
        <f>IF(AND(B305=Queue!$C$4,OR(Queue!$K$4="*",N305=Queue!$K$4)),Q305,"")</f>
        <v/>
      </c>
    </row>
    <row r="306">
      <c r="A306" s="35">
        <f>IF(M306="","",HYPERLINK("https://www.youtube.com/watch?v="&amp;M306,"▶"))</f>
        <v/>
      </c>
      <c r="B306" s="36">
        <f>IF(C306&lt;&gt;"",C306,IF(P306&lt;=IFERROR(INDEX(tblChannels[Watched Through],MATCH(N306,tblChannels[Channel ID],0)),0),"Watched","Unwatched"))</f>
        <v/>
      </c>
      <c r="C306" s="37" t="n"/>
      <c r="D306" s="38" t="n"/>
      <c r="E306" s="39" t="n">
        <v>45856.56111111111</v>
      </c>
      <c r="F306" s="47" t="inlineStr">
        <is>
          <t>Super Carlin Brothers</t>
        </is>
      </c>
      <c r="G306" t="inlineStr">
        <is>
          <t>The Mirror of Erised’s SECRET Origin..</t>
        </is>
      </c>
      <c r="H306" s="41" t="n">
        <v>0.001759259259259259</v>
      </c>
      <c r="I306" s="42" t="n">
        <v>60444</v>
      </c>
      <c r="J306" s="42" t="n">
        <v>3101</v>
      </c>
      <c r="K306" s="42" t="n">
        <v>62</v>
      </c>
      <c r="L306" s="43" t="n"/>
      <c r="M306" s="44" t="n"/>
      <c r="N306" s="44" t="inlineStr">
        <is>
          <t>UCKZo4N0lVPccBkSiuyVh4yg</t>
        </is>
      </c>
      <c r="O306" s="45" t="n">
        <v>45856.72777777778</v>
      </c>
      <c r="P306" s="46" t="n">
        <v>45856</v>
      </c>
      <c r="Q306" s="44" t="n">
        <v>2966</v>
      </c>
      <c r="R306" s="44" t="inlineStr">
        <is>
          <t>No Video ID yet</t>
        </is>
      </c>
      <c r="S306" s="46" t="n"/>
      <c r="T306" s="46" t="n"/>
      <c r="U306" s="44" t="n"/>
      <c r="V306" s="44">
        <f>IF(AND(P306&gt;=Calendar!$K$2,P306&lt;EDATE(Calendar!$K$2,1),OR(Calendar!$K$4="*",N306=Calendar!$K$4)),P306*100+COUNTIFS($P$6:$P$3271,P306,$Q$6:$Q$3271,"&lt;="&amp;Q306,$N$6:$N$3271,Calendar!$K$4),"")</f>
        <v/>
      </c>
      <c r="W306" s="44">
        <f>IF(AND(B306=Queue!$C$4,OR(Queue!$K$4="*",N306=Queue!$K$4)),Q306,"")</f>
        <v/>
      </c>
    </row>
    <row r="307">
      <c r="A307" s="35">
        <f>IF(M307="","",HYPERLINK("https://www.youtube.com/watch?v="&amp;M307,"▶"))</f>
        <v/>
      </c>
      <c r="B307" s="36">
        <f>IF(C307&lt;&gt;"",C307,IF(P307&lt;=IFERROR(INDEX(tblChannels[Watched Through],MATCH(N307,tblChannels[Channel ID],0)),0),"Watched","Unwatched"))</f>
        <v/>
      </c>
      <c r="C307" s="37" t="n"/>
      <c r="D307" s="38" t="n"/>
      <c r="E307" s="39" t="n">
        <v>45856.41666666666</v>
      </c>
      <c r="F307" s="40" t="inlineStr">
        <is>
          <t>Popcorn Culture</t>
        </is>
      </c>
      <c r="G307" t="inlineStr">
        <is>
          <t>Summer Break (Ben’s Version) [From The Vault] | Popcorn Culture</t>
        </is>
      </c>
      <c r="H307" s="41" t="n">
        <v>0.04604166666666667</v>
      </c>
      <c r="I307" s="42" t="n">
        <v>2900</v>
      </c>
      <c r="J307" s="42" t="n">
        <v>142</v>
      </c>
      <c r="K307" s="42" t="n">
        <v>22</v>
      </c>
      <c r="L307" s="43" t="n"/>
      <c r="M307" s="44" t="n"/>
      <c r="N307" s="44" t="inlineStr">
        <is>
          <t>UCHfIbq9thHPC8yrKjAdJgDA</t>
        </is>
      </c>
      <c r="O307" s="45" t="n">
        <v>45856.58333333334</v>
      </c>
      <c r="P307" s="46" t="n">
        <v>45856</v>
      </c>
      <c r="Q307" s="44" t="n">
        <v>2965</v>
      </c>
      <c r="R307" s="44" t="inlineStr">
        <is>
          <t>No Video ID yet</t>
        </is>
      </c>
      <c r="S307" s="46" t="n"/>
      <c r="T307" s="46" t="n"/>
      <c r="U307" s="44" t="n"/>
      <c r="V307" s="44">
        <f>IF(AND(P307&gt;=Calendar!$K$2,P307&lt;EDATE(Calendar!$K$2,1),OR(Calendar!$K$4="*",N307=Calendar!$K$4)),P307*100+COUNTIFS($P$6:$P$3271,P307,$Q$6:$Q$3271,"&lt;="&amp;Q307,$N$6:$N$3271,Calendar!$K$4),"")</f>
        <v/>
      </c>
      <c r="W307" s="44">
        <f>IF(AND(B307=Queue!$C$4,OR(Queue!$K$4="*",N307=Queue!$K$4)),Q307,"")</f>
        <v/>
      </c>
    </row>
    <row r="308">
      <c r="A308" s="35">
        <f>IF(M308="","",HYPERLINK("https://www.youtube.com/watch?v="&amp;M308,"▶"))</f>
        <v/>
      </c>
      <c r="B308" s="36">
        <f>IF(C308&lt;&gt;"",C308,IF(P308&lt;=IFERROR(INDEX(tblChannels[Watched Through],MATCH(N308,tblChannels[Channel ID],0)),0),"Watched","Unwatched"))</f>
        <v/>
      </c>
      <c r="C308" s="37" t="n"/>
      <c r="D308" s="38" t="n"/>
      <c r="E308" s="39" t="n">
        <v>45854.625</v>
      </c>
      <c r="F308" s="47" t="inlineStr">
        <is>
          <t>Super Carlin Brothers</t>
        </is>
      </c>
      <c r="G308" t="inlineStr">
        <is>
          <t>J vs Ben: Can We Remember Our OWN Harry Potter Theories??</t>
        </is>
      </c>
      <c r="H308" s="41" t="n">
        <v>0.03498842592592592</v>
      </c>
      <c r="I308" s="42" t="n">
        <v>216035</v>
      </c>
      <c r="J308" s="42" t="n">
        <v>5985</v>
      </c>
      <c r="K308" s="42" t="n">
        <v>497</v>
      </c>
      <c r="L308" s="43" t="n"/>
      <c r="M308" s="44" t="n"/>
      <c r="N308" s="44" t="inlineStr">
        <is>
          <t>UCKZo4N0lVPccBkSiuyVh4yg</t>
        </is>
      </c>
      <c r="O308" s="45" t="n">
        <v>45854.79166666666</v>
      </c>
      <c r="P308" s="46" t="n">
        <v>45854</v>
      </c>
      <c r="Q308" s="44" t="n">
        <v>2964</v>
      </c>
      <c r="R308" s="44" t="inlineStr">
        <is>
          <t>No Video ID yet</t>
        </is>
      </c>
      <c r="S308" s="46" t="n"/>
      <c r="T308" s="46" t="n"/>
      <c r="U308" s="44" t="n"/>
      <c r="V308" s="44">
        <f>IF(AND(P308&gt;=Calendar!$K$2,P308&lt;EDATE(Calendar!$K$2,1),OR(Calendar!$K$4="*",N308=Calendar!$K$4)),P308*100+COUNTIFS($P$6:$P$3271,P308,$Q$6:$Q$3271,"&lt;="&amp;Q308,$N$6:$N$3271,Calendar!$K$4),"")</f>
        <v/>
      </c>
      <c r="W308" s="44">
        <f>IF(AND(B308=Queue!$C$4,OR(Queue!$K$4="*",N308=Queue!$K$4)),Q308,"")</f>
        <v/>
      </c>
    </row>
    <row r="309">
      <c r="A309" s="35">
        <f>IF(M309="","",HYPERLINK("https://www.youtube.com/watch?v="&amp;M309,"▶"))</f>
        <v/>
      </c>
      <c r="B309" s="36">
        <f>IF(C309&lt;&gt;"",C309,IF(P309&lt;=IFERROR(INDEX(tblChannels[Watched Through],MATCH(N309,tblChannels[Channel ID],0)),0),"Watched","Unwatched"))</f>
        <v/>
      </c>
      <c r="C309" s="37" t="n"/>
      <c r="D309" s="38" t="n"/>
      <c r="E309" s="39" t="n">
        <v>45851.41736111111</v>
      </c>
      <c r="F309" s="48" t="inlineStr">
        <is>
          <t>Through The Griffin Door</t>
        </is>
      </c>
      <c r="G309" t="inlineStr">
        <is>
          <t>Chapter 33: The Death Eaters | Goblet of Fire</t>
        </is>
      </c>
      <c r="H309" s="41" t="n">
        <v>0.06987268518518519</v>
      </c>
      <c r="I309" s="42" t="n">
        <v>60349</v>
      </c>
      <c r="J309" s="42" t="n">
        <v>1460</v>
      </c>
      <c r="K309" s="42" t="n">
        <v>432</v>
      </c>
      <c r="L309" s="43" t="n"/>
      <c r="M309" s="44" t="n"/>
      <c r="N309" s="44" t="inlineStr">
        <is>
          <t>UCEscP6ETYXWSSvsNrDHekMQ</t>
        </is>
      </c>
      <c r="O309" s="45" t="n">
        <v>45851.58402777778</v>
      </c>
      <c r="P309" s="46" t="n">
        <v>45851</v>
      </c>
      <c r="Q309" s="44" t="n">
        <v>2963</v>
      </c>
      <c r="R309" s="44" t="inlineStr">
        <is>
          <t>No Video ID yet</t>
        </is>
      </c>
      <c r="S309" s="46" t="n"/>
      <c r="T309" s="46" t="n"/>
      <c r="U309" s="44" t="n"/>
      <c r="V309" s="44">
        <f>IF(AND(P309&gt;=Calendar!$K$2,P309&lt;EDATE(Calendar!$K$2,1),OR(Calendar!$K$4="*",N309=Calendar!$K$4)),P309*100+COUNTIFS($P$6:$P$3271,P309,$Q$6:$Q$3271,"&lt;="&amp;Q309,$N$6:$N$3271,Calendar!$K$4),"")</f>
        <v/>
      </c>
      <c r="W309" s="44">
        <f>IF(AND(B309=Queue!$C$4,OR(Queue!$K$4="*",N309=Queue!$K$4)),Q309,"")</f>
        <v/>
      </c>
    </row>
    <row r="310">
      <c r="A310" s="35">
        <f>IF(M310="","",HYPERLINK("https://www.youtube.com/watch?v="&amp;M310,"▶"))</f>
        <v/>
      </c>
      <c r="B310" s="36">
        <f>IF(C310&lt;&gt;"",C310,IF(P310&lt;=IFERROR(INDEX(tblChannels[Watched Through],MATCH(N310,tblChannels[Channel ID],0)),0),"Watched","Unwatched"))</f>
        <v/>
      </c>
      <c r="C310" s="37" t="n"/>
      <c r="D310" s="38" t="n"/>
      <c r="E310" s="39" t="n">
        <v>45849.67638888889</v>
      </c>
      <c r="F310" s="47" t="inlineStr">
        <is>
          <t>Super Carlin Brothers</t>
        </is>
      </c>
      <c r="G310" t="inlineStr">
        <is>
          <t>How Voldemort FOUND Nagini | Harry Potter Film Theory</t>
        </is>
      </c>
      <c r="H310" s="41" t="n">
        <v>0.01100694444444444</v>
      </c>
      <c r="I310" s="42" t="n">
        <v>155582</v>
      </c>
      <c r="J310" s="42" t="n">
        <v>5801</v>
      </c>
      <c r="K310" s="42" t="n">
        <v>463</v>
      </c>
      <c r="L310" s="43" t="n"/>
      <c r="M310" s="44" t="n"/>
      <c r="N310" s="44" t="inlineStr">
        <is>
          <t>UCKZo4N0lVPccBkSiuyVh4yg</t>
        </is>
      </c>
      <c r="O310" s="45" t="n">
        <v>45849.84305555555</v>
      </c>
      <c r="P310" s="46" t="n">
        <v>45849</v>
      </c>
      <c r="Q310" s="44" t="n">
        <v>2962</v>
      </c>
      <c r="R310" s="44" t="inlineStr">
        <is>
          <t>No Video ID yet</t>
        </is>
      </c>
      <c r="S310" s="46" t="n"/>
      <c r="T310" s="46" t="n"/>
      <c r="U310" s="44" t="n"/>
      <c r="V310" s="44">
        <f>IF(AND(P310&gt;=Calendar!$K$2,P310&lt;EDATE(Calendar!$K$2,1),OR(Calendar!$K$4="*",N310=Calendar!$K$4)),P310*100+COUNTIFS($P$6:$P$3271,P310,$Q$6:$Q$3271,"&lt;="&amp;Q310,$N$6:$N$3271,Calendar!$K$4),"")</f>
        <v/>
      </c>
      <c r="W310" s="44">
        <f>IF(AND(B310=Queue!$C$4,OR(Queue!$K$4="*",N310=Queue!$K$4)),Q310,"")</f>
        <v/>
      </c>
    </row>
    <row r="311">
      <c r="A311" s="35">
        <f>IF(M311="","",HYPERLINK("https://www.youtube.com/watch?v="&amp;M311,"▶"))</f>
        <v/>
      </c>
      <c r="B311" s="36">
        <f>IF(C311&lt;&gt;"",C311,IF(P311&lt;=IFERROR(INDEX(tblChannels[Watched Through],MATCH(N311,tblChannels[Channel ID],0)),0),"Watched","Unwatched"))</f>
        <v/>
      </c>
      <c r="C311" s="37" t="n"/>
      <c r="D311" s="38" t="n"/>
      <c r="E311" s="39" t="n">
        <v>45849.41666666666</v>
      </c>
      <c r="F311" s="40" t="inlineStr">
        <is>
          <t>Popcorn Culture</t>
        </is>
      </c>
      <c r="G311" t="inlineStr">
        <is>
          <t>J on 30A | Popcorn Culture</t>
        </is>
      </c>
      <c r="H311" s="41" t="n">
        <v>0.04565972222222222</v>
      </c>
      <c r="I311" s="42" t="n">
        <v>3025</v>
      </c>
      <c r="J311" s="42" t="n">
        <v>148</v>
      </c>
      <c r="K311" s="42" t="n">
        <v>14</v>
      </c>
      <c r="L311" s="43" t="n"/>
      <c r="M311" s="44" t="n"/>
      <c r="N311" s="44" t="inlineStr">
        <is>
          <t>UCHfIbq9thHPC8yrKjAdJgDA</t>
        </is>
      </c>
      <c r="O311" s="45" t="n">
        <v>45849.58333333334</v>
      </c>
      <c r="P311" s="46" t="n">
        <v>45849</v>
      </c>
      <c r="Q311" s="44" t="n">
        <v>2961</v>
      </c>
      <c r="R311" s="44" t="inlineStr">
        <is>
          <t>No Video ID yet</t>
        </is>
      </c>
      <c r="S311" s="46" t="n"/>
      <c r="T311" s="46" t="n"/>
      <c r="U311" s="44" t="n"/>
      <c r="V311" s="44">
        <f>IF(AND(P311&gt;=Calendar!$K$2,P311&lt;EDATE(Calendar!$K$2,1),OR(Calendar!$K$4="*",N311=Calendar!$K$4)),P311*100+COUNTIFS($P$6:$P$3271,P311,$Q$6:$Q$3271,"&lt;="&amp;Q311,$N$6:$N$3271,Calendar!$K$4),"")</f>
        <v/>
      </c>
      <c r="W311" s="44">
        <f>IF(AND(B311=Queue!$C$4,OR(Queue!$K$4="*",N311=Queue!$K$4)),Q311,"")</f>
        <v/>
      </c>
    </row>
    <row r="312">
      <c r="A312" s="35">
        <f>IF(M312="","",HYPERLINK("https://www.youtube.com/watch?v="&amp;M312,"▶"))</f>
        <v/>
      </c>
      <c r="B312" s="36">
        <f>IF(C312&lt;&gt;"",C312,IF(P312&lt;=IFERROR(INDEX(tblChannels[Watched Through],MATCH(N312,tblChannels[Channel ID],0)),0),"Watched","Unwatched"))</f>
        <v/>
      </c>
      <c r="C312" s="37" t="n"/>
      <c r="D312" s="38" t="n"/>
      <c r="E312" s="39" t="n">
        <v>45847.61736111111</v>
      </c>
      <c r="F312" s="47" t="inlineStr">
        <is>
          <t>Super Carlin Brothers</t>
        </is>
      </c>
      <c r="G312" t="inlineStr">
        <is>
          <t>How ELIO Fits Into The Pixar Theory</t>
        </is>
      </c>
      <c r="H312" s="41" t="n">
        <v>0.01318287037037037</v>
      </c>
      <c r="I312" s="42" t="n">
        <v>43184</v>
      </c>
      <c r="J312" s="42" t="n">
        <v>2186</v>
      </c>
      <c r="K312" s="42" t="n">
        <v>276</v>
      </c>
      <c r="L312" s="43" t="n"/>
      <c r="M312" s="44" t="n"/>
      <c r="N312" s="44" t="inlineStr">
        <is>
          <t>UCKZo4N0lVPccBkSiuyVh4yg</t>
        </is>
      </c>
      <c r="O312" s="45" t="n">
        <v>45847.78402777778</v>
      </c>
      <c r="P312" s="46" t="n">
        <v>45847</v>
      </c>
      <c r="Q312" s="44" t="n">
        <v>2960</v>
      </c>
      <c r="R312" s="44" t="inlineStr">
        <is>
          <t>No Video ID yet</t>
        </is>
      </c>
      <c r="S312" s="46" t="n"/>
      <c r="T312" s="46" t="n"/>
      <c r="U312" s="44" t="n"/>
      <c r="V312" s="44">
        <f>IF(AND(P312&gt;=Calendar!$K$2,P312&lt;EDATE(Calendar!$K$2,1),OR(Calendar!$K$4="*",N312=Calendar!$K$4)),P312*100+COUNTIFS($P$6:$P$3271,P312,$Q$6:$Q$3271,"&lt;="&amp;Q312,$N$6:$N$3271,Calendar!$K$4),"")</f>
        <v/>
      </c>
      <c r="W312" s="44">
        <f>IF(AND(B312=Queue!$C$4,OR(Queue!$K$4="*",N312=Queue!$K$4)),Q312,"")</f>
        <v/>
      </c>
    </row>
    <row r="313">
      <c r="A313" s="35">
        <f>IF(M313="","",HYPERLINK("https://www.youtube.com/watch?v="&amp;M313,"▶"))</f>
        <v/>
      </c>
      <c r="B313" s="36">
        <f>IF(C313&lt;&gt;"",C313,IF(P313&lt;=IFERROR(INDEX(tblChannels[Watched Through],MATCH(N313,tblChannels[Channel ID],0)),0),"Watched","Unwatched"))</f>
        <v/>
      </c>
      <c r="C313" s="37" t="n"/>
      <c r="D313" s="38" t="n"/>
      <c r="E313" s="39" t="n">
        <v>45844.41666666666</v>
      </c>
      <c r="F313" s="48" t="inlineStr">
        <is>
          <t>Through The Griffin Door</t>
        </is>
      </c>
      <c r="G313" t="inlineStr">
        <is>
          <t>The Owlery Special Part 2!</t>
        </is>
      </c>
      <c r="H313" s="41" t="n">
        <v>0.05153935185185185</v>
      </c>
      <c r="I313" s="42" t="n">
        <v>28383</v>
      </c>
      <c r="J313" s="42" t="n">
        <v>880</v>
      </c>
      <c r="K313" s="42" t="n">
        <v>382</v>
      </c>
      <c r="L313" s="43" t="n"/>
      <c r="M313" s="44" t="n"/>
      <c r="N313" s="44" t="inlineStr">
        <is>
          <t>UCEscP6ETYXWSSvsNrDHekMQ</t>
        </is>
      </c>
      <c r="O313" s="45" t="n">
        <v>45844.58333333334</v>
      </c>
      <c r="P313" s="46" t="n">
        <v>45844</v>
      </c>
      <c r="Q313" s="44" t="n">
        <v>2959</v>
      </c>
      <c r="R313" s="44" t="inlineStr">
        <is>
          <t>No Video ID yet</t>
        </is>
      </c>
      <c r="S313" s="46" t="n"/>
      <c r="T313" s="46" t="n"/>
      <c r="U313" s="44" t="n"/>
      <c r="V313" s="44">
        <f>IF(AND(P313&gt;=Calendar!$K$2,P313&lt;EDATE(Calendar!$K$2,1),OR(Calendar!$K$4="*",N313=Calendar!$K$4)),P313*100+COUNTIFS($P$6:$P$3271,P313,$Q$6:$Q$3271,"&lt;="&amp;Q313,$N$6:$N$3271,Calendar!$K$4),"")</f>
        <v/>
      </c>
      <c r="W313" s="44">
        <f>IF(AND(B313=Queue!$C$4,OR(Queue!$K$4="*",N313=Queue!$K$4)),Q313,"")</f>
        <v/>
      </c>
    </row>
    <row r="314">
      <c r="A314" s="35">
        <f>IF(M314="","",HYPERLINK("https://www.youtube.com/watch?v="&amp;M314,"▶"))</f>
        <v/>
      </c>
      <c r="B314" s="36">
        <f>IF(C314&lt;&gt;"",C314,IF(P314&lt;=IFERROR(INDEX(tblChannels[Watched Through],MATCH(N314,tblChannels[Channel ID],0)),0),"Watched","Unwatched"))</f>
        <v/>
      </c>
      <c r="C314" s="37" t="n"/>
      <c r="D314" s="38" t="n"/>
      <c r="E314" s="39" t="n">
        <v>45842.625</v>
      </c>
      <c r="F314" s="47" t="inlineStr">
        <is>
          <t>Super Carlin Brothers</t>
        </is>
      </c>
      <c r="G314" t="inlineStr">
        <is>
          <t>J vs Ben: Impossible FRED &amp; GEORGE Harry Potter Trivia Quiz</t>
        </is>
      </c>
      <c r="H314" s="41" t="n">
        <v>0.02365740740740741</v>
      </c>
      <c r="I314" s="42" t="n">
        <v>81860</v>
      </c>
      <c r="J314" s="42" t="n">
        <v>3396</v>
      </c>
      <c r="K314" s="42" t="n">
        <v>264</v>
      </c>
      <c r="L314" s="43" t="n"/>
      <c r="M314" s="44" t="n"/>
      <c r="N314" s="44" t="inlineStr">
        <is>
          <t>UCKZo4N0lVPccBkSiuyVh4yg</t>
        </is>
      </c>
      <c r="O314" s="45" t="n">
        <v>45842.79166666666</v>
      </c>
      <c r="P314" s="46" t="n">
        <v>45842</v>
      </c>
      <c r="Q314" s="44" t="n">
        <v>2958</v>
      </c>
      <c r="R314" s="44" t="inlineStr">
        <is>
          <t>No Video ID yet</t>
        </is>
      </c>
      <c r="S314" s="46" t="n"/>
      <c r="T314" s="46" t="n"/>
      <c r="U314" s="44" t="n"/>
      <c r="V314" s="44">
        <f>IF(AND(P314&gt;=Calendar!$K$2,P314&lt;EDATE(Calendar!$K$2,1),OR(Calendar!$K$4="*",N314=Calendar!$K$4)),P314*100+COUNTIFS($P$6:$P$3271,P314,$Q$6:$Q$3271,"&lt;="&amp;Q314,$N$6:$N$3271,Calendar!$K$4),"")</f>
        <v/>
      </c>
      <c r="W314" s="44">
        <f>IF(AND(B314=Queue!$C$4,OR(Queue!$K$4="*",N314=Queue!$K$4)),Q314,"")</f>
        <v/>
      </c>
    </row>
    <row r="315">
      <c r="A315" s="35">
        <f>IF(M315="","",HYPERLINK("https://www.youtube.com/watch?v="&amp;M315,"▶"))</f>
        <v/>
      </c>
      <c r="B315" s="36">
        <f>IF(C315&lt;&gt;"",C315,IF(P315&lt;=IFERROR(INDEX(tblChannels[Watched Through],MATCH(N315,tblChannels[Channel ID],0)),0),"Watched","Unwatched"))</f>
        <v/>
      </c>
      <c r="C315" s="37" t="n"/>
      <c r="D315" s="38" t="n"/>
      <c r="E315" s="39" t="n">
        <v>45842.41666666666</v>
      </c>
      <c r="F315" s="40" t="inlineStr">
        <is>
          <t>Popcorn Culture</t>
        </is>
      </c>
      <c r="G315" t="inlineStr">
        <is>
          <t>Popcorn Never Goes Bad | Popcorn Culture</t>
        </is>
      </c>
      <c r="H315" s="41" t="n">
        <v>0.05622685185185185</v>
      </c>
      <c r="I315" s="42" t="n">
        <v>3197</v>
      </c>
      <c r="J315" s="42" t="n">
        <v>152</v>
      </c>
      <c r="K315" s="42" t="n">
        <v>29</v>
      </c>
      <c r="L315" s="43" t="n"/>
      <c r="M315" s="44" t="n"/>
      <c r="N315" s="44" t="inlineStr">
        <is>
          <t>UCHfIbq9thHPC8yrKjAdJgDA</t>
        </is>
      </c>
      <c r="O315" s="45" t="n">
        <v>45842.58333333334</v>
      </c>
      <c r="P315" s="46" t="n">
        <v>45842</v>
      </c>
      <c r="Q315" s="44" t="n">
        <v>2957</v>
      </c>
      <c r="R315" s="44" t="inlineStr">
        <is>
          <t>No Video ID yet</t>
        </is>
      </c>
      <c r="S315" s="46" t="n"/>
      <c r="T315" s="46" t="n"/>
      <c r="U315" s="44" t="n"/>
      <c r="V315" s="44">
        <f>IF(AND(P315&gt;=Calendar!$K$2,P315&lt;EDATE(Calendar!$K$2,1),OR(Calendar!$K$4="*",N315=Calendar!$K$4)),P315*100+COUNTIFS($P$6:$P$3271,P315,$Q$6:$Q$3271,"&lt;="&amp;Q315,$N$6:$N$3271,Calendar!$K$4),"")</f>
        <v/>
      </c>
      <c r="W315" s="44">
        <f>IF(AND(B315=Queue!$C$4,OR(Queue!$K$4="*",N315=Queue!$K$4)),Q315,"")</f>
        <v/>
      </c>
    </row>
    <row r="316">
      <c r="A316" s="35">
        <f>IF(M316="","",HYPERLINK("https://www.youtube.com/watch?v="&amp;M316,"▶"))</f>
        <v/>
      </c>
      <c r="B316" s="36">
        <f>IF(C316&lt;&gt;"",C316,IF(P316&lt;=IFERROR(INDEX(tblChannels[Watched Through],MATCH(N316,tblChannels[Channel ID],0)),0),"Watched","Unwatched"))</f>
        <v/>
      </c>
      <c r="C316" s="37" t="n"/>
      <c r="D316" s="38" t="n"/>
      <c r="E316" s="39" t="n">
        <v>45840.66666666666</v>
      </c>
      <c r="F316" s="47" t="inlineStr">
        <is>
          <t>Super Carlin Brothers</t>
        </is>
      </c>
      <c r="G316" t="inlineStr">
        <is>
          <t>The Pensieve’s Dark Twin REVEALED | Harry Potter Film Theory</t>
        </is>
      </c>
      <c r="H316" s="41" t="n">
        <v>0.01327546296296296</v>
      </c>
      <c r="I316" s="42" t="n">
        <v>153963</v>
      </c>
      <c r="J316" s="42" t="n">
        <v>6496</v>
      </c>
      <c r="K316" s="42" t="n">
        <v>804</v>
      </c>
      <c r="L316" s="43" t="n"/>
      <c r="M316" s="44" t="n"/>
      <c r="N316" s="44" t="inlineStr">
        <is>
          <t>UCKZo4N0lVPccBkSiuyVh4yg</t>
        </is>
      </c>
      <c r="O316" s="45" t="n">
        <v>45840.83333333334</v>
      </c>
      <c r="P316" s="46" t="n">
        <v>45840</v>
      </c>
      <c r="Q316" s="44" t="n">
        <v>2956</v>
      </c>
      <c r="R316" s="44" t="inlineStr">
        <is>
          <t>No Video ID yet</t>
        </is>
      </c>
      <c r="S316" s="46" t="n"/>
      <c r="T316" s="46" t="n"/>
      <c r="U316" s="44" t="n"/>
      <c r="V316" s="44">
        <f>IF(AND(P316&gt;=Calendar!$K$2,P316&lt;EDATE(Calendar!$K$2,1),OR(Calendar!$K$4="*",N316=Calendar!$K$4)),P316*100+COUNTIFS($P$6:$P$3271,P316,$Q$6:$Q$3271,"&lt;="&amp;Q316,$N$6:$N$3271,Calendar!$K$4),"")</f>
        <v/>
      </c>
      <c r="W316" s="44">
        <f>IF(AND(B316=Queue!$C$4,OR(Queue!$K$4="*",N316=Queue!$K$4)),Q316,"")</f>
        <v/>
      </c>
    </row>
    <row r="317">
      <c r="A317" s="35">
        <f>IF(M317="","",HYPERLINK("https://www.youtube.com/watch?v="&amp;M317,"▶"))</f>
        <v/>
      </c>
      <c r="B317" s="36">
        <f>IF(C317&lt;&gt;"",C317,IF(P317&lt;=IFERROR(INDEX(tblChannels[Watched Through],MATCH(N317,tblChannels[Channel ID],0)),0),"Watched","Unwatched"))</f>
        <v/>
      </c>
      <c r="C317" s="37" t="n"/>
      <c r="D317" s="38" t="n"/>
      <c r="E317" s="39" t="n">
        <v>45837.41736111111</v>
      </c>
      <c r="F317" s="48" t="inlineStr">
        <is>
          <t>Through The Griffin Door</t>
        </is>
      </c>
      <c r="G317" t="inlineStr">
        <is>
          <t>Chapter 32: Flesh, Blood and Bone | Goblet of Fire</t>
        </is>
      </c>
      <c r="H317" s="41" t="n">
        <v>0.03988425925925926</v>
      </c>
      <c r="I317" s="42" t="n">
        <v>47353</v>
      </c>
      <c r="J317" s="42" t="n">
        <v>1367</v>
      </c>
      <c r="K317" s="42" t="n">
        <v>354</v>
      </c>
      <c r="L317" s="43" t="n"/>
      <c r="M317" s="44" t="n"/>
      <c r="N317" s="44" t="inlineStr">
        <is>
          <t>UCEscP6ETYXWSSvsNrDHekMQ</t>
        </is>
      </c>
      <c r="O317" s="45" t="n">
        <v>45837.58402777778</v>
      </c>
      <c r="P317" s="46" t="n">
        <v>45837</v>
      </c>
      <c r="Q317" s="44" t="n">
        <v>2955</v>
      </c>
      <c r="R317" s="44" t="inlineStr">
        <is>
          <t>No Video ID yet</t>
        </is>
      </c>
      <c r="S317" s="46" t="n"/>
      <c r="T317" s="46" t="n"/>
      <c r="U317" s="44" t="n"/>
      <c r="V317" s="44">
        <f>IF(AND(P317&gt;=Calendar!$K$2,P317&lt;EDATE(Calendar!$K$2,1),OR(Calendar!$K$4="*",N317=Calendar!$K$4)),P317*100+COUNTIFS($P$6:$P$3271,P317,$Q$6:$Q$3271,"&lt;="&amp;Q317,$N$6:$N$3271,Calendar!$K$4),"")</f>
        <v/>
      </c>
      <c r="W317" s="44">
        <f>IF(AND(B317=Queue!$C$4,OR(Queue!$K$4="*",N317=Queue!$K$4)),Q317,"")</f>
        <v/>
      </c>
    </row>
    <row r="318">
      <c r="A318" s="35">
        <f>IF(M318="","",HYPERLINK("https://www.youtube.com/watch?v="&amp;M318,"▶"))</f>
        <v/>
      </c>
      <c r="B318" s="36">
        <f>IF(C318&lt;&gt;"",C318,IF(P318&lt;=IFERROR(INDEX(tblChannels[Watched Through],MATCH(N318,tblChannels[Channel ID],0)),0),"Watched","Unwatched"))</f>
        <v/>
      </c>
      <c r="C318" s="37" t="n"/>
      <c r="D318" s="38" t="n"/>
      <c r="E318" s="39" t="n">
        <v>45835.71527777778</v>
      </c>
      <c r="F318" s="47" t="inlineStr">
        <is>
          <t>Super Carlin Brothers</t>
        </is>
      </c>
      <c r="G318" t="inlineStr">
        <is>
          <t>Pixar Made Us Cry Again. | Elio REVIEW</t>
        </is>
      </c>
      <c r="H318" s="41" t="n">
        <v>0.03759259259259259</v>
      </c>
      <c r="I318" s="42" t="n">
        <v>19628</v>
      </c>
      <c r="J318" s="42" t="n">
        <v>916</v>
      </c>
      <c r="K318" s="42" t="n">
        <v>241</v>
      </c>
      <c r="L318" s="43" t="n"/>
      <c r="M318" s="44" t="n"/>
      <c r="N318" s="44" t="inlineStr">
        <is>
          <t>UCKZo4N0lVPccBkSiuyVh4yg</t>
        </is>
      </c>
      <c r="O318" s="45" t="n">
        <v>45835.88194444445</v>
      </c>
      <c r="P318" s="46" t="n">
        <v>45835</v>
      </c>
      <c r="Q318" s="44" t="n">
        <v>2954</v>
      </c>
      <c r="R318" s="44" t="inlineStr">
        <is>
          <t>No Video ID yet</t>
        </is>
      </c>
      <c r="S318" s="46" t="n"/>
      <c r="T318" s="46" t="n"/>
      <c r="U318" s="44" t="n"/>
      <c r="V318" s="44">
        <f>IF(AND(P318&gt;=Calendar!$K$2,P318&lt;EDATE(Calendar!$K$2,1),OR(Calendar!$K$4="*",N318=Calendar!$K$4)),P318*100+COUNTIFS($P$6:$P$3271,P318,$Q$6:$Q$3271,"&lt;="&amp;Q318,$N$6:$N$3271,Calendar!$K$4),"")</f>
        <v/>
      </c>
      <c r="W318" s="44">
        <f>IF(AND(B318=Queue!$C$4,OR(Queue!$K$4="*",N318=Queue!$K$4)),Q318,"")</f>
        <v/>
      </c>
    </row>
    <row r="319">
      <c r="A319" s="35">
        <f>IF(M319="","",HYPERLINK("https://www.youtube.com/watch?v="&amp;M319,"▶"))</f>
        <v/>
      </c>
      <c r="B319" s="36">
        <f>IF(C319&lt;&gt;"",C319,IF(P319&lt;=IFERROR(INDEX(tblChannels[Watched Through],MATCH(N319,tblChannels[Channel ID],0)),0),"Watched","Unwatched"))</f>
        <v/>
      </c>
      <c r="C319" s="37" t="n"/>
      <c r="D319" s="38" t="n"/>
      <c r="E319" s="39" t="n">
        <v>45835.41666666666</v>
      </c>
      <c r="F319" s="40" t="inlineStr">
        <is>
          <t>Popcorn Culture</t>
        </is>
      </c>
      <c r="G319" t="inlineStr">
        <is>
          <t>Money, Money, Money! | Popcorn Culture</t>
        </is>
      </c>
      <c r="H319" s="41" t="n">
        <v>0.05148148148148148</v>
      </c>
      <c r="I319" s="42" t="n">
        <v>3051</v>
      </c>
      <c r="J319" s="42" t="n">
        <v>146</v>
      </c>
      <c r="K319" s="42" t="n">
        <v>18</v>
      </c>
      <c r="L319" s="43" t="n"/>
      <c r="M319" s="44" t="n"/>
      <c r="N319" s="44" t="inlineStr">
        <is>
          <t>UCHfIbq9thHPC8yrKjAdJgDA</t>
        </is>
      </c>
      <c r="O319" s="45" t="n">
        <v>45835.58333333334</v>
      </c>
      <c r="P319" s="46" t="n">
        <v>45835</v>
      </c>
      <c r="Q319" s="44" t="n">
        <v>2953</v>
      </c>
      <c r="R319" s="44" t="inlineStr">
        <is>
          <t>No Video ID yet</t>
        </is>
      </c>
      <c r="S319" s="46" t="n"/>
      <c r="T319" s="46" t="n"/>
      <c r="U319" s="44" t="n"/>
      <c r="V319" s="44">
        <f>IF(AND(P319&gt;=Calendar!$K$2,P319&lt;EDATE(Calendar!$K$2,1),OR(Calendar!$K$4="*",N319=Calendar!$K$4)),P319*100+COUNTIFS($P$6:$P$3271,P319,$Q$6:$Q$3271,"&lt;="&amp;Q319,$N$6:$N$3271,Calendar!$K$4),"")</f>
        <v/>
      </c>
      <c r="W319" s="44">
        <f>IF(AND(B319=Queue!$C$4,OR(Queue!$K$4="*",N319=Queue!$K$4)),Q319,"")</f>
        <v/>
      </c>
    </row>
    <row r="320">
      <c r="A320" s="35">
        <f>IF(M320="","",HYPERLINK("https://www.youtube.com/watch?v="&amp;M320,"▶"))</f>
        <v/>
      </c>
      <c r="B320" s="36">
        <f>IF(C320&lt;&gt;"",C320,IF(P320&lt;=IFERROR(INDEX(tblChannels[Watched Through],MATCH(N320,tblChannels[Channel ID],0)),0),"Watched","Unwatched"))</f>
        <v/>
      </c>
      <c r="C320" s="37" t="n"/>
      <c r="D320" s="38" t="n"/>
      <c r="E320" s="39" t="n">
        <v>45833.72916666666</v>
      </c>
      <c r="F320" s="47" t="inlineStr">
        <is>
          <t>Super Carlin Brothers</t>
        </is>
      </c>
      <c r="G320" t="inlineStr">
        <is>
          <t>RITA SKEETER HAS A POINT?! | Harry Potter Film Theory</t>
        </is>
      </c>
      <c r="H320" s="41" t="n">
        <v>0.01375</v>
      </c>
      <c r="I320" s="42" t="n">
        <v>123472</v>
      </c>
      <c r="J320" s="42" t="n">
        <v>4530</v>
      </c>
      <c r="K320" s="42" t="n">
        <v>439</v>
      </c>
      <c r="L320" s="43" t="n"/>
      <c r="M320" s="44" t="n"/>
      <c r="N320" s="44" t="inlineStr">
        <is>
          <t>UCKZo4N0lVPccBkSiuyVh4yg</t>
        </is>
      </c>
      <c r="O320" s="45" t="n">
        <v>45833.89583333334</v>
      </c>
      <c r="P320" s="46" t="n">
        <v>45833</v>
      </c>
      <c r="Q320" s="44" t="n">
        <v>2952</v>
      </c>
      <c r="R320" s="44" t="inlineStr">
        <is>
          <t>No Video ID yet</t>
        </is>
      </c>
      <c r="S320" s="46" t="n"/>
      <c r="T320" s="46" t="n"/>
      <c r="U320" s="44" t="n"/>
      <c r="V320" s="44">
        <f>IF(AND(P320&gt;=Calendar!$K$2,P320&lt;EDATE(Calendar!$K$2,1),OR(Calendar!$K$4="*",N320=Calendar!$K$4)),P320*100+COUNTIFS($P$6:$P$3271,P320,$Q$6:$Q$3271,"&lt;="&amp;Q320,$N$6:$N$3271,Calendar!$K$4),"")</f>
        <v/>
      </c>
      <c r="W320" s="44">
        <f>IF(AND(B320=Queue!$C$4,OR(Queue!$K$4="*",N320=Queue!$K$4)),Q320,"")</f>
        <v/>
      </c>
    </row>
    <row r="321">
      <c r="A321" s="35">
        <f>IF(M321="","",HYPERLINK("https://www.youtube.com/watch?v="&amp;M321,"▶"))</f>
        <v/>
      </c>
      <c r="B321" s="36">
        <f>IF(C321&lt;&gt;"",C321,IF(P321&lt;=IFERROR(INDEX(tblChannels[Watched Through],MATCH(N321,tblChannels[Channel ID],0)),0),"Watched","Unwatched"))</f>
        <v/>
      </c>
      <c r="C321" s="37" t="n"/>
      <c r="D321" s="38" t="n"/>
      <c r="E321" s="39" t="n">
        <v>45833.54166666666</v>
      </c>
      <c r="F321" s="47" t="inlineStr">
        <is>
          <t>Super Carlin Brothers</t>
        </is>
      </c>
      <c r="G321" t="inlineStr">
        <is>
          <t>Sirius Black Was a Hufflepuff?!</t>
        </is>
      </c>
      <c r="H321" s="41" t="n">
        <v>0.002083333333333333</v>
      </c>
      <c r="I321" s="42" t="n">
        <v>383944</v>
      </c>
      <c r="J321" s="42" t="n">
        <v>25588</v>
      </c>
      <c r="K321" s="42" t="n">
        <v>363</v>
      </c>
      <c r="L321" s="43" t="n"/>
      <c r="M321" s="44" t="n"/>
      <c r="N321" s="44" t="inlineStr">
        <is>
          <t>UCKZo4N0lVPccBkSiuyVh4yg</t>
        </is>
      </c>
      <c r="O321" s="45" t="n">
        <v>45833.70833333334</v>
      </c>
      <c r="P321" s="46" t="n">
        <v>45833</v>
      </c>
      <c r="Q321" s="44" t="n">
        <v>2951</v>
      </c>
      <c r="R321" s="44" t="inlineStr">
        <is>
          <t>No Video ID yet</t>
        </is>
      </c>
      <c r="S321" s="46" t="n"/>
      <c r="T321" s="46" t="n"/>
      <c r="U321" s="44" t="n"/>
      <c r="V321" s="44">
        <f>IF(AND(P321&gt;=Calendar!$K$2,P321&lt;EDATE(Calendar!$K$2,1),OR(Calendar!$K$4="*",N321=Calendar!$K$4)),P321*100+COUNTIFS($P$6:$P$3271,P321,$Q$6:$Q$3271,"&lt;="&amp;Q321,$N$6:$N$3271,Calendar!$K$4),"")</f>
        <v/>
      </c>
      <c r="W321" s="44">
        <f>IF(AND(B321=Queue!$C$4,OR(Queue!$K$4="*",N321=Queue!$K$4)),Q321,"")</f>
        <v/>
      </c>
    </row>
    <row r="322">
      <c r="A322" s="35">
        <f>IF(M322="","",HYPERLINK("https://www.youtube.com/watch?v="&amp;M322,"▶"))</f>
        <v/>
      </c>
      <c r="B322" s="36">
        <f>IF(C322&lt;&gt;"",C322,IF(P322&lt;=IFERROR(INDEX(tblChannels[Watched Through],MATCH(N322,tblChannels[Channel ID],0)),0),"Watched","Unwatched"))</f>
        <v/>
      </c>
      <c r="C322" s="37" t="n"/>
      <c r="D322" s="38" t="n"/>
      <c r="E322" s="39" t="n">
        <v>45830.41736111111</v>
      </c>
      <c r="F322" s="48" t="inlineStr">
        <is>
          <t>Through The Griffin Door</t>
        </is>
      </c>
      <c r="G322" t="inlineStr">
        <is>
          <t>Chapter 31: The Third Task | Goblet of Fire</t>
        </is>
      </c>
      <c r="H322" s="41" t="n">
        <v>0.08263888888888889</v>
      </c>
      <c r="I322" s="42" t="n">
        <v>64769</v>
      </c>
      <c r="J322" s="42" t="n">
        <v>1533</v>
      </c>
      <c r="K322" s="42" t="n">
        <v>479</v>
      </c>
      <c r="L322" s="43" t="n"/>
      <c r="M322" s="44" t="n"/>
      <c r="N322" s="44" t="inlineStr">
        <is>
          <t>UCEscP6ETYXWSSvsNrDHekMQ</t>
        </is>
      </c>
      <c r="O322" s="45" t="n">
        <v>45830.58402777778</v>
      </c>
      <c r="P322" s="46" t="n">
        <v>45830</v>
      </c>
      <c r="Q322" s="44" t="n">
        <v>2950</v>
      </c>
      <c r="R322" s="44" t="inlineStr">
        <is>
          <t>No Video ID yet</t>
        </is>
      </c>
      <c r="S322" s="46" t="n"/>
      <c r="T322" s="46" t="n"/>
      <c r="U322" s="44" t="n"/>
      <c r="V322" s="44">
        <f>IF(AND(P322&gt;=Calendar!$K$2,P322&lt;EDATE(Calendar!$K$2,1),OR(Calendar!$K$4="*",N322=Calendar!$K$4)),P322*100+COUNTIFS($P$6:$P$3271,P322,$Q$6:$Q$3271,"&lt;="&amp;Q322,$N$6:$N$3271,Calendar!$K$4),"")</f>
        <v/>
      </c>
      <c r="W322" s="44">
        <f>IF(AND(B322=Queue!$C$4,OR(Queue!$K$4="*",N322=Queue!$K$4)),Q322,"")</f>
        <v/>
      </c>
    </row>
    <row r="323">
      <c r="A323" s="35">
        <f>IF(M323="","",HYPERLINK("https://www.youtube.com/watch?v="&amp;M323,"▶"))</f>
        <v/>
      </c>
      <c r="B323" s="36">
        <f>IF(C323&lt;&gt;"",C323,IF(P323&lt;=IFERROR(INDEX(tblChannels[Watched Through],MATCH(N323,tblChannels[Channel ID],0)),0),"Watched","Unwatched"))</f>
        <v/>
      </c>
      <c r="C323" s="37" t="n"/>
      <c r="D323" s="38" t="n"/>
      <c r="E323" s="39" t="n">
        <v>45829.41666666666</v>
      </c>
      <c r="F323" s="47" t="inlineStr">
        <is>
          <t>Super Carlin Brothers</t>
        </is>
      </c>
      <c r="G323" t="inlineStr">
        <is>
          <t>Through the Griffin Door Supercut: Goblet of Fire Chapters 28-30</t>
        </is>
      </c>
      <c r="H323" s="41" t="n">
        <v>0.2310069444444444</v>
      </c>
      <c r="I323" s="42" t="n">
        <v>16321</v>
      </c>
      <c r="J323" s="42" t="n">
        <v>282</v>
      </c>
      <c r="K323" s="42" t="n">
        <v>42</v>
      </c>
      <c r="L323" s="43" t="n"/>
      <c r="M323" s="44" t="n"/>
      <c r="N323" s="44" t="inlineStr">
        <is>
          <t>UCKZo4N0lVPccBkSiuyVh4yg</t>
        </is>
      </c>
      <c r="O323" s="45" t="n">
        <v>45829.58333333334</v>
      </c>
      <c r="P323" s="46" t="n">
        <v>45829</v>
      </c>
      <c r="Q323" s="44" t="n">
        <v>2949</v>
      </c>
      <c r="R323" s="44" t="inlineStr">
        <is>
          <t>No Video ID yet</t>
        </is>
      </c>
      <c r="S323" s="46" t="n"/>
      <c r="T323" s="46" t="n"/>
      <c r="U323" s="44" t="n"/>
      <c r="V323" s="44">
        <f>IF(AND(P323&gt;=Calendar!$K$2,P323&lt;EDATE(Calendar!$K$2,1),OR(Calendar!$K$4="*",N323=Calendar!$K$4)),P323*100+COUNTIFS($P$6:$P$3271,P323,$Q$6:$Q$3271,"&lt;="&amp;Q323,$N$6:$N$3271,Calendar!$K$4),"")</f>
        <v/>
      </c>
      <c r="W323" s="44">
        <f>IF(AND(B323=Queue!$C$4,OR(Queue!$K$4="*",N323=Queue!$K$4)),Q323,"")</f>
        <v/>
      </c>
    </row>
    <row r="324">
      <c r="A324" s="35">
        <f>IF(M324="","",HYPERLINK("https://www.youtube.com/watch?v="&amp;M324,"▶"))</f>
        <v/>
      </c>
      <c r="B324" s="36">
        <f>IF(C324&lt;&gt;"",C324,IF(P324&lt;=IFERROR(INDEX(tblChannels[Watched Through],MATCH(N324,tblChannels[Channel ID],0)),0),"Watched","Unwatched"))</f>
        <v/>
      </c>
      <c r="C324" s="37" t="n"/>
      <c r="D324" s="38" t="n"/>
      <c r="E324" s="39" t="n">
        <v>45828.66666666666</v>
      </c>
      <c r="F324" s="40" t="inlineStr">
        <is>
          <t>Popcorn Culture</t>
        </is>
      </c>
      <c r="G324" t="inlineStr">
        <is>
          <t>Ripping Blades | Popcorn Culture</t>
        </is>
      </c>
      <c r="H324" s="41" t="n">
        <v>0.04710648148148148</v>
      </c>
      <c r="I324" s="42" t="n">
        <v>2992</v>
      </c>
      <c r="J324" s="42" t="n">
        <v>166</v>
      </c>
      <c r="K324" s="42" t="n">
        <v>16</v>
      </c>
      <c r="L324" s="43" t="n"/>
      <c r="M324" s="44" t="n"/>
      <c r="N324" s="44" t="inlineStr">
        <is>
          <t>UCHfIbq9thHPC8yrKjAdJgDA</t>
        </is>
      </c>
      <c r="O324" s="45" t="n">
        <v>45828.83333333334</v>
      </c>
      <c r="P324" s="46" t="n">
        <v>45828</v>
      </c>
      <c r="Q324" s="44" t="n">
        <v>2948</v>
      </c>
      <c r="R324" s="44" t="inlineStr">
        <is>
          <t>No Video ID yet</t>
        </is>
      </c>
      <c r="S324" s="46" t="n"/>
      <c r="T324" s="46" t="n"/>
      <c r="U324" s="44" t="n"/>
      <c r="V324" s="44">
        <f>IF(AND(P324&gt;=Calendar!$K$2,P324&lt;EDATE(Calendar!$K$2,1),OR(Calendar!$K$4="*",N324=Calendar!$K$4)),P324*100+COUNTIFS($P$6:$P$3271,P324,$Q$6:$Q$3271,"&lt;="&amp;Q324,$N$6:$N$3271,Calendar!$K$4),"")</f>
        <v/>
      </c>
      <c r="W324" s="44">
        <f>IF(AND(B324=Queue!$C$4,OR(Queue!$K$4="*",N324=Queue!$K$4)),Q324,"")</f>
        <v/>
      </c>
    </row>
    <row r="325">
      <c r="A325" s="35">
        <f>IF(M325="","",HYPERLINK("https://www.youtube.com/watch?v="&amp;M325,"▶"))</f>
        <v/>
      </c>
      <c r="B325" s="36">
        <f>IF(C325&lt;&gt;"",C325,IF(P325&lt;=IFERROR(INDEX(tblChannels[Watched Through],MATCH(N325,tblChannels[Channel ID],0)),0),"Watched","Unwatched"))</f>
        <v/>
      </c>
      <c r="C325" s="37" t="n"/>
      <c r="D325" s="38" t="n"/>
      <c r="E325" s="39" t="n">
        <v>45828.65277777778</v>
      </c>
      <c r="F325" s="47" t="inlineStr">
        <is>
          <t>Super Carlin Brothers</t>
        </is>
      </c>
      <c r="G325" t="inlineStr">
        <is>
          <t>How to Train Your Dragon FIXED the Live Action Problem</t>
        </is>
      </c>
      <c r="H325" s="41" t="n">
        <v>0.01006944444444445</v>
      </c>
      <c r="I325" s="42" t="n">
        <v>43052</v>
      </c>
      <c r="J325" s="42" t="n">
        <v>2410</v>
      </c>
      <c r="K325" s="42" t="n">
        <v>348</v>
      </c>
      <c r="L325" s="43" t="n"/>
      <c r="M325" s="44" t="n"/>
      <c r="N325" s="44" t="inlineStr">
        <is>
          <t>UCKZo4N0lVPccBkSiuyVh4yg</t>
        </is>
      </c>
      <c r="O325" s="45" t="n">
        <v>45828.81944444445</v>
      </c>
      <c r="P325" s="46" t="n">
        <v>45828</v>
      </c>
      <c r="Q325" s="44" t="n">
        <v>2947</v>
      </c>
      <c r="R325" s="44" t="inlineStr">
        <is>
          <t>No Video ID yet</t>
        </is>
      </c>
      <c r="S325" s="46" t="n"/>
      <c r="T325" s="46" t="n"/>
      <c r="U325" s="44" t="n"/>
      <c r="V325" s="44">
        <f>IF(AND(P325&gt;=Calendar!$K$2,P325&lt;EDATE(Calendar!$K$2,1),OR(Calendar!$K$4="*",N325=Calendar!$K$4)),P325*100+COUNTIFS($P$6:$P$3271,P325,$Q$6:$Q$3271,"&lt;="&amp;Q325,$N$6:$N$3271,Calendar!$K$4),"")</f>
        <v/>
      </c>
      <c r="W325" s="44">
        <f>IF(AND(B325=Queue!$C$4,OR(Queue!$K$4="*",N325=Queue!$K$4)),Q325,"")</f>
        <v/>
      </c>
    </row>
    <row r="326">
      <c r="A326" s="35">
        <f>IF(M326="","",HYPERLINK("https://www.youtube.com/watch?v="&amp;M326,"▶"))</f>
        <v/>
      </c>
      <c r="B326" s="36">
        <f>IF(C326&lt;&gt;"",C326,IF(P326&lt;=IFERROR(INDEX(tblChannels[Watched Through],MATCH(N326,tblChannels[Channel ID],0)),0),"Watched","Unwatched"))</f>
        <v/>
      </c>
      <c r="C326" s="37" t="n"/>
      <c r="D326" s="38" t="n"/>
      <c r="E326" s="39" t="n">
        <v>45826.71458333333</v>
      </c>
      <c r="F326" s="47" t="inlineStr">
        <is>
          <t>Super Carlin Brothers</t>
        </is>
      </c>
      <c r="G326" t="inlineStr">
        <is>
          <t>J vs Ben: Quick Quotes Quiz | Harry Potter TRIVIA</t>
        </is>
      </c>
      <c r="H326" s="41" t="n">
        <v>0.03038194444444444</v>
      </c>
      <c r="I326" s="42" t="n">
        <v>112953</v>
      </c>
      <c r="J326" s="42" t="n">
        <v>3746</v>
      </c>
      <c r="K326" s="42" t="n">
        <v>473</v>
      </c>
      <c r="L326" s="43" t="n"/>
      <c r="M326" s="44" t="n"/>
      <c r="N326" s="44" t="inlineStr">
        <is>
          <t>UCKZo4N0lVPccBkSiuyVh4yg</t>
        </is>
      </c>
      <c r="O326" s="45" t="n">
        <v>45826.88125</v>
      </c>
      <c r="P326" s="46" t="n">
        <v>45826</v>
      </c>
      <c r="Q326" s="44" t="n">
        <v>2946</v>
      </c>
      <c r="R326" s="44" t="inlineStr">
        <is>
          <t>No Video ID yet</t>
        </is>
      </c>
      <c r="S326" s="46" t="n"/>
      <c r="T326" s="46" t="n"/>
      <c r="U326" s="44" t="n"/>
      <c r="V326" s="44">
        <f>IF(AND(P326&gt;=Calendar!$K$2,P326&lt;EDATE(Calendar!$K$2,1),OR(Calendar!$K$4="*",N326=Calendar!$K$4)),P326*100+COUNTIFS($P$6:$P$3271,P326,$Q$6:$Q$3271,"&lt;="&amp;Q326,$N$6:$N$3271,Calendar!$K$4),"")</f>
        <v/>
      </c>
      <c r="W326" s="44">
        <f>IF(AND(B326=Queue!$C$4,OR(Queue!$K$4="*",N326=Queue!$K$4)),Q326,"")</f>
        <v/>
      </c>
    </row>
    <row r="327">
      <c r="A327" s="35">
        <f>IF(M327="","",HYPERLINK("https://www.youtube.com/watch?v="&amp;M327,"▶"))</f>
        <v/>
      </c>
      <c r="B327" s="36">
        <f>IF(C327&lt;&gt;"",C327,IF(P327&lt;=IFERROR(INDEX(tblChannels[Watched Through],MATCH(N327,tblChannels[Channel ID],0)),0),"Watched","Unwatched"))</f>
        <v/>
      </c>
      <c r="C327" s="37" t="n"/>
      <c r="D327" s="38" t="n"/>
      <c r="E327" s="39" t="n">
        <v>45824.54166666666</v>
      </c>
      <c r="F327" s="47" t="inlineStr">
        <is>
          <t>Super Carlin Brothers</t>
        </is>
      </c>
      <c r="G327" t="inlineStr">
        <is>
          <t>Why Can Hela Catch Mjolnir? #marvel</t>
        </is>
      </c>
      <c r="H327" s="41" t="n">
        <v>0.001516203703703704</v>
      </c>
      <c r="I327" s="42" t="n">
        <v>2128422</v>
      </c>
      <c r="J327" s="42" t="n">
        <v>153460</v>
      </c>
      <c r="K327" s="42" t="n">
        <v>2212</v>
      </c>
      <c r="L327" s="43" t="n"/>
      <c r="M327" s="44" t="n"/>
      <c r="N327" s="44" t="inlineStr">
        <is>
          <t>UCKZo4N0lVPccBkSiuyVh4yg</t>
        </is>
      </c>
      <c r="O327" s="45" t="n">
        <v>45824.70833333334</v>
      </c>
      <c r="P327" s="46" t="n">
        <v>45824</v>
      </c>
      <c r="Q327" s="44" t="n">
        <v>2945</v>
      </c>
      <c r="R327" s="44" t="inlineStr">
        <is>
          <t>No Video ID yet</t>
        </is>
      </c>
      <c r="S327" s="46" t="n"/>
      <c r="T327" s="46" t="n"/>
      <c r="U327" s="44" t="n"/>
      <c r="V327" s="44">
        <f>IF(AND(P327&gt;=Calendar!$K$2,P327&lt;EDATE(Calendar!$K$2,1),OR(Calendar!$K$4="*",N327=Calendar!$K$4)),P327*100+COUNTIFS($P$6:$P$3271,P327,$Q$6:$Q$3271,"&lt;="&amp;Q327,$N$6:$N$3271,Calendar!$K$4),"")</f>
        <v/>
      </c>
      <c r="W327" s="44">
        <f>IF(AND(B327=Queue!$C$4,OR(Queue!$K$4="*",N327=Queue!$K$4)),Q327,"")</f>
        <v/>
      </c>
    </row>
    <row r="328">
      <c r="A328" s="35">
        <f>IF(M328="","",HYPERLINK("https://www.youtube.com/watch?v="&amp;M328,"▶"))</f>
        <v/>
      </c>
      <c r="B328" s="36">
        <f>IF(C328&lt;&gt;"",C328,IF(P328&lt;=IFERROR(INDEX(tblChannels[Watched Through],MATCH(N328,tblChannels[Channel ID],0)),0),"Watched","Unwatched"))</f>
        <v/>
      </c>
      <c r="C328" s="37" t="n"/>
      <c r="D328" s="38" t="n"/>
      <c r="E328" s="39" t="n">
        <v>45823.41736111111</v>
      </c>
      <c r="F328" s="48" t="inlineStr">
        <is>
          <t>Through The Griffin Door</t>
        </is>
      </c>
      <c r="G328" t="inlineStr">
        <is>
          <t>Chapter 30: The Pensive | Goblet of Fire</t>
        </is>
      </c>
      <c r="H328" s="41" t="n">
        <v>0.08605324074074074</v>
      </c>
      <c r="I328" s="42" t="n">
        <v>65676</v>
      </c>
      <c r="J328" s="42" t="n">
        <v>1517</v>
      </c>
      <c r="K328" s="42" t="n">
        <v>506</v>
      </c>
      <c r="L328" s="43" t="n"/>
      <c r="M328" s="44" t="n"/>
      <c r="N328" s="44" t="inlineStr">
        <is>
          <t>UCEscP6ETYXWSSvsNrDHekMQ</t>
        </is>
      </c>
      <c r="O328" s="45" t="n">
        <v>45823.58402777778</v>
      </c>
      <c r="P328" s="46" t="n">
        <v>45823</v>
      </c>
      <c r="Q328" s="44" t="n">
        <v>2944</v>
      </c>
      <c r="R328" s="44" t="inlineStr">
        <is>
          <t>No Video ID yet</t>
        </is>
      </c>
      <c r="S328" s="46" t="n"/>
      <c r="T328" s="46" t="n"/>
      <c r="U328" s="44" t="n"/>
      <c r="V328" s="44">
        <f>IF(AND(P328&gt;=Calendar!$K$2,P328&lt;EDATE(Calendar!$K$2,1),OR(Calendar!$K$4="*",N328=Calendar!$K$4)),P328*100+COUNTIFS($P$6:$P$3271,P328,$Q$6:$Q$3271,"&lt;="&amp;Q328,$N$6:$N$3271,Calendar!$K$4),"")</f>
        <v/>
      </c>
      <c r="W328" s="44">
        <f>IF(AND(B328=Queue!$C$4,OR(Queue!$K$4="*",N328=Queue!$K$4)),Q328,"")</f>
        <v/>
      </c>
    </row>
    <row r="329">
      <c r="A329" s="35">
        <f>IF(M329="","",HYPERLINK("https://www.youtube.com/watch?v="&amp;M329,"▶"))</f>
        <v/>
      </c>
      <c r="B329" s="36">
        <f>IF(C329&lt;&gt;"",C329,IF(P329&lt;=IFERROR(INDEX(tblChannels[Watched Through],MATCH(N329,tblChannels[Channel ID],0)),0),"Watched","Unwatched"))</f>
        <v/>
      </c>
      <c r="C329" s="37" t="n"/>
      <c r="D329" s="38" t="n"/>
      <c r="E329" s="39" t="n">
        <v>45822.21597222222</v>
      </c>
      <c r="F329" s="49" t="inlineStr">
        <is>
          <t>Super Carlin Gaming</t>
        </is>
      </c>
      <c r="G329" t="inlineStr">
        <is>
          <t>JOURNEY TOGETHER - Pokemon Box Breakers SEASON 15 -  Episode 2 - 06/13/2025</t>
        </is>
      </c>
      <c r="H329" s="41" t="n">
        <v>0.1141782407407407</v>
      </c>
      <c r="I329" s="42" t="n">
        <v>842</v>
      </c>
      <c r="J329" s="42" t="n">
        <v>30</v>
      </c>
      <c r="K329" s="42" t="n">
        <v>3</v>
      </c>
      <c r="L329" s="43" t="n"/>
      <c r="M329" s="44" t="n"/>
      <c r="N329" s="44" t="inlineStr">
        <is>
          <t>UCor_9jRnNNZVzTuQ92PKsaQ</t>
        </is>
      </c>
      <c r="O329" s="45" t="n">
        <v>45822.38263888889</v>
      </c>
      <c r="P329" s="46" t="n">
        <v>45822</v>
      </c>
      <c r="Q329" s="44" t="n">
        <v>2943</v>
      </c>
      <c r="R329" s="44" t="inlineStr">
        <is>
          <t>No Video ID yet</t>
        </is>
      </c>
      <c r="S329" s="46" t="n"/>
      <c r="T329" s="46" t="n"/>
      <c r="U329" s="44" t="n"/>
      <c r="V329" s="44">
        <f>IF(AND(P329&gt;=Calendar!$K$2,P329&lt;EDATE(Calendar!$K$2,1),OR(Calendar!$K$4="*",N329=Calendar!$K$4)),P329*100+COUNTIFS($P$6:$P$3271,P329,$Q$6:$Q$3271,"&lt;="&amp;Q329,$N$6:$N$3271,Calendar!$K$4),"")</f>
        <v/>
      </c>
      <c r="W329" s="44">
        <f>IF(AND(B329=Queue!$C$4,OR(Queue!$K$4="*",N329=Queue!$K$4)),Q329,"")</f>
        <v/>
      </c>
    </row>
    <row r="330">
      <c r="A330" s="35">
        <f>IF(M330="","",HYPERLINK("https://www.youtube.com/watch?v="&amp;M330,"▶"))</f>
        <v/>
      </c>
      <c r="B330" s="36">
        <f>IF(C330&lt;&gt;"",C330,IF(P330&lt;=IFERROR(INDEX(tblChannels[Watched Through],MATCH(N330,tblChannels[Channel ID],0)),0),"Watched","Unwatched"))</f>
        <v/>
      </c>
      <c r="C330" s="37" t="n"/>
      <c r="D330" s="38" t="n"/>
      <c r="E330" s="39" t="n">
        <v>45821.70486111111</v>
      </c>
      <c r="F330" s="47" t="inlineStr">
        <is>
          <t>Super Carlin Brothers</t>
        </is>
      </c>
      <c r="G330" t="inlineStr">
        <is>
          <t>Are Snape and Krum… BROTHERS?! | Harry Potter Film Theory</t>
        </is>
      </c>
      <c r="H330" s="41" t="n">
        <v>0.009236111111111112</v>
      </c>
      <c r="I330" s="42" t="n">
        <v>71393</v>
      </c>
      <c r="J330" s="42" t="n">
        <v>3494</v>
      </c>
      <c r="K330" s="42" t="n">
        <v>594</v>
      </c>
      <c r="L330" s="43" t="n"/>
      <c r="M330" s="44" t="n"/>
      <c r="N330" s="44" t="inlineStr">
        <is>
          <t>UCKZo4N0lVPccBkSiuyVh4yg</t>
        </is>
      </c>
      <c r="O330" s="45" t="n">
        <v>45821.87152777778</v>
      </c>
      <c r="P330" s="46" t="n">
        <v>45821</v>
      </c>
      <c r="Q330" s="44" t="n">
        <v>2942</v>
      </c>
      <c r="R330" s="44" t="inlineStr">
        <is>
          <t>No Video ID yet</t>
        </is>
      </c>
      <c r="S330" s="46" t="n"/>
      <c r="T330" s="46" t="n"/>
      <c r="U330" s="44" t="n"/>
      <c r="V330" s="44">
        <f>IF(AND(P330&gt;=Calendar!$K$2,P330&lt;EDATE(Calendar!$K$2,1),OR(Calendar!$K$4="*",N330=Calendar!$K$4)),P330*100+COUNTIFS($P$6:$P$3271,P330,$Q$6:$Q$3271,"&lt;="&amp;Q330,$N$6:$N$3271,Calendar!$K$4),"")</f>
        <v/>
      </c>
      <c r="W330" s="44">
        <f>IF(AND(B330=Queue!$C$4,OR(Queue!$K$4="*",N330=Queue!$K$4)),Q330,"")</f>
        <v/>
      </c>
    </row>
    <row r="331">
      <c r="A331" s="35">
        <f>IF(M331="","",HYPERLINK("https://www.youtube.com/watch?v="&amp;M331,"▶"))</f>
        <v/>
      </c>
      <c r="B331" s="36">
        <f>IF(C331&lt;&gt;"",C331,IF(P331&lt;=IFERROR(INDEX(tblChannels[Watched Through],MATCH(N331,tblChannels[Channel ID],0)),0),"Watched","Unwatched"))</f>
        <v/>
      </c>
      <c r="C331" s="37" t="n"/>
      <c r="D331" s="38" t="n"/>
      <c r="E331" s="39" t="n">
        <v>45821.41666666666</v>
      </c>
      <c r="F331" s="40" t="inlineStr">
        <is>
          <t>Popcorn Culture</t>
        </is>
      </c>
      <c r="G331" t="inlineStr">
        <is>
          <t>A Funny Snake Story | Popcorn Culture</t>
        </is>
      </c>
      <c r="H331" s="41" t="n">
        <v>0.04747685185185185</v>
      </c>
      <c r="I331" s="42" t="n">
        <v>3276</v>
      </c>
      <c r="J331" s="42" t="n">
        <v>159</v>
      </c>
      <c r="K331" s="42" t="n">
        <v>26</v>
      </c>
      <c r="L331" s="43" t="n"/>
      <c r="M331" s="44" t="n"/>
      <c r="N331" s="44" t="inlineStr">
        <is>
          <t>UCHfIbq9thHPC8yrKjAdJgDA</t>
        </is>
      </c>
      <c r="O331" s="45" t="n">
        <v>45821.58333333334</v>
      </c>
      <c r="P331" s="46" t="n">
        <v>45821</v>
      </c>
      <c r="Q331" s="44" t="n">
        <v>2941</v>
      </c>
      <c r="R331" s="44" t="inlineStr">
        <is>
          <t>No Video ID yet</t>
        </is>
      </c>
      <c r="S331" s="46" t="n"/>
      <c r="T331" s="46" t="n"/>
      <c r="U331" s="44" t="n"/>
      <c r="V331" s="44">
        <f>IF(AND(P331&gt;=Calendar!$K$2,P331&lt;EDATE(Calendar!$K$2,1),OR(Calendar!$K$4="*",N331=Calendar!$K$4)),P331*100+COUNTIFS($P$6:$P$3271,P331,$Q$6:$Q$3271,"&lt;="&amp;Q331,$N$6:$N$3271,Calendar!$K$4),"")</f>
        <v/>
      </c>
      <c r="W331" s="44">
        <f>IF(AND(B331=Queue!$C$4,OR(Queue!$K$4="*",N331=Queue!$K$4)),Q331,"")</f>
        <v/>
      </c>
    </row>
    <row r="332">
      <c r="A332" s="35">
        <f>IF(M332="","",HYPERLINK("https://www.youtube.com/watch?v="&amp;M332,"▶"))</f>
        <v/>
      </c>
      <c r="B332" s="36">
        <f>IF(C332&lt;&gt;"",C332,IF(P332&lt;=IFERROR(INDEX(tblChannels[Watched Through],MATCH(N332,tblChannels[Channel ID],0)),0),"Watched","Unwatched"))</f>
        <v/>
      </c>
      <c r="C332" s="37" t="n"/>
      <c r="D332" s="38" t="n"/>
      <c r="E332" s="39" t="n">
        <v>45819.72916666666</v>
      </c>
      <c r="F332" s="47" t="inlineStr">
        <is>
          <t>Super Carlin Brothers</t>
        </is>
      </c>
      <c r="G332" t="inlineStr">
        <is>
          <t>Reacting to EVERY Harry Potter HBO Casting So Far | Harry Potter Film Theory</t>
        </is>
      </c>
      <c r="H332" s="41" t="n">
        <v>0.01344907407407407</v>
      </c>
      <c r="I332" s="42" t="n">
        <v>162980</v>
      </c>
      <c r="J332" s="42" t="n">
        <v>7478</v>
      </c>
      <c r="K332" s="42" t="n">
        <v>3052</v>
      </c>
      <c r="L332" s="43" t="n"/>
      <c r="M332" s="44" t="n"/>
      <c r="N332" s="44" t="inlineStr">
        <is>
          <t>UCKZo4N0lVPccBkSiuyVh4yg</t>
        </is>
      </c>
      <c r="O332" s="45" t="n">
        <v>45819.89583333334</v>
      </c>
      <c r="P332" s="46" t="n">
        <v>45819</v>
      </c>
      <c r="Q332" s="44" t="n">
        <v>2940</v>
      </c>
      <c r="R332" s="44" t="inlineStr">
        <is>
          <t>No Video ID yet</t>
        </is>
      </c>
      <c r="S332" s="46" t="n"/>
      <c r="T332" s="46" t="n"/>
      <c r="U332" s="44" t="n"/>
      <c r="V332" s="44">
        <f>IF(AND(P332&gt;=Calendar!$K$2,P332&lt;EDATE(Calendar!$K$2,1),OR(Calendar!$K$4="*",N332=Calendar!$K$4)),P332*100+COUNTIFS($P$6:$P$3271,P332,$Q$6:$Q$3271,"&lt;="&amp;Q332,$N$6:$N$3271,Calendar!$K$4),"")</f>
        <v/>
      </c>
      <c r="W332" s="44">
        <f>IF(AND(B332=Queue!$C$4,OR(Queue!$K$4="*",N332=Queue!$K$4)),Q332,"")</f>
        <v/>
      </c>
    </row>
    <row r="333">
      <c r="A333" s="35">
        <f>IF(M333="","",HYPERLINK("https://www.youtube.com/watch?v="&amp;M333,"▶"))</f>
        <v/>
      </c>
      <c r="B333" s="36">
        <f>IF(C333&lt;&gt;"",C333,IF(P333&lt;=IFERROR(INDEX(tblChannels[Watched Through],MATCH(N333,tblChannels[Channel ID],0)),0),"Watched","Unwatched"))</f>
        <v/>
      </c>
      <c r="C333" s="37" t="n"/>
      <c r="D333" s="38" t="n"/>
      <c r="E333" s="39" t="n">
        <v>45819.62013888889</v>
      </c>
      <c r="F333" s="47" t="inlineStr">
        <is>
          <t>Super Carlin Brothers</t>
        </is>
      </c>
      <c r="G333" t="inlineStr">
        <is>
          <t>Moana wasn't the first Chosen One.. #Disney</t>
        </is>
      </c>
      <c r="H333" s="41" t="n">
        <v>0.002083333333333333</v>
      </c>
      <c r="I333" s="42" t="n">
        <v>890031</v>
      </c>
      <c r="J333" s="42" t="n">
        <v>73573</v>
      </c>
      <c r="K333" s="42" t="n">
        <v>259</v>
      </c>
      <c r="L333" s="43" t="n"/>
      <c r="M333" s="44" t="n"/>
      <c r="N333" s="44" t="inlineStr">
        <is>
          <t>UCKZo4N0lVPccBkSiuyVh4yg</t>
        </is>
      </c>
      <c r="O333" s="45" t="n">
        <v>45819.78680555556</v>
      </c>
      <c r="P333" s="46" t="n">
        <v>45819</v>
      </c>
      <c r="Q333" s="44" t="n">
        <v>2939</v>
      </c>
      <c r="R333" s="44" t="inlineStr">
        <is>
          <t>No Video ID yet</t>
        </is>
      </c>
      <c r="S333" s="46" t="n"/>
      <c r="T333" s="46" t="n"/>
      <c r="U333" s="44" t="n"/>
      <c r="V333" s="44">
        <f>IF(AND(P333&gt;=Calendar!$K$2,P333&lt;EDATE(Calendar!$K$2,1),OR(Calendar!$K$4="*",N333=Calendar!$K$4)),P333*100+COUNTIFS($P$6:$P$3271,P333,$Q$6:$Q$3271,"&lt;="&amp;Q333,$N$6:$N$3271,Calendar!$K$4),"")</f>
        <v/>
      </c>
      <c r="W333" s="44">
        <f>IF(AND(B333=Queue!$C$4,OR(Queue!$K$4="*",N333=Queue!$K$4)),Q333,"")</f>
        <v/>
      </c>
    </row>
    <row r="334">
      <c r="A334" s="35">
        <f>IF(M334="","",HYPERLINK("https://www.youtube.com/watch?v="&amp;M334,"▶"))</f>
        <v/>
      </c>
      <c r="B334" s="36">
        <f>IF(C334&lt;&gt;"",C334,IF(P334&lt;=IFERROR(INDEX(tblChannels[Watched Through],MATCH(N334,tblChannels[Channel ID],0)),0),"Watched","Unwatched"))</f>
        <v/>
      </c>
      <c r="C334" s="37" t="n"/>
      <c r="D334" s="38" t="n"/>
      <c r="E334" s="39" t="n">
        <v>45817.84027777778</v>
      </c>
      <c r="F334" s="47" t="inlineStr">
        <is>
          <t>Super Carlin Brothers</t>
        </is>
      </c>
      <c r="G334" t="inlineStr">
        <is>
          <t>What Happened To Kristoff’s Parents? #disney</t>
        </is>
      </c>
      <c r="H334" s="41" t="n">
        <v>0.002094907407407407</v>
      </c>
      <c r="I334" s="42" t="n">
        <v>182563</v>
      </c>
      <c r="J334" s="42" t="n">
        <v>17227</v>
      </c>
      <c r="K334" s="42" t="n">
        <v>89</v>
      </c>
      <c r="L334" s="43" t="n"/>
      <c r="M334" s="44" t="n"/>
      <c r="N334" s="44" t="inlineStr">
        <is>
          <t>UCKZo4N0lVPccBkSiuyVh4yg</t>
        </is>
      </c>
      <c r="O334" s="45" t="n">
        <v>45818.00694444445</v>
      </c>
      <c r="P334" s="46" t="n">
        <v>45817</v>
      </c>
      <c r="Q334" s="44" t="n">
        <v>2938</v>
      </c>
      <c r="R334" s="44" t="inlineStr">
        <is>
          <t>No Video ID yet</t>
        </is>
      </c>
      <c r="S334" s="46" t="n"/>
      <c r="T334" s="46" t="n"/>
      <c r="U334" s="44" t="n"/>
      <c r="V334" s="44">
        <f>IF(AND(P334&gt;=Calendar!$K$2,P334&lt;EDATE(Calendar!$K$2,1),OR(Calendar!$K$4="*",N334=Calendar!$K$4)),P334*100+COUNTIFS($P$6:$P$3271,P334,$Q$6:$Q$3271,"&lt;="&amp;Q334,$N$6:$N$3271,Calendar!$K$4),"")</f>
        <v/>
      </c>
      <c r="W334" s="44">
        <f>IF(AND(B334=Queue!$C$4,OR(Queue!$K$4="*",N334=Queue!$K$4)),Q334,"")</f>
        <v/>
      </c>
    </row>
    <row r="335">
      <c r="A335" s="35">
        <f>IF(M335="","",HYPERLINK("https://www.youtube.com/watch?v="&amp;M335,"▶"))</f>
        <v/>
      </c>
      <c r="B335" s="36">
        <f>IF(C335&lt;&gt;"",C335,IF(P335&lt;=IFERROR(INDEX(tblChannels[Watched Through],MATCH(N335,tblChannels[Channel ID],0)),0),"Watched","Unwatched"))</f>
        <v/>
      </c>
      <c r="C335" s="37" t="n"/>
      <c r="D335" s="38" t="n"/>
      <c r="E335" s="39" t="n">
        <v>45816.41666666666</v>
      </c>
      <c r="F335" s="48" t="inlineStr">
        <is>
          <t>Through The Griffin Door</t>
        </is>
      </c>
      <c r="G335" t="inlineStr">
        <is>
          <t>Chapter 29: The Dream | Goblet of Fire</t>
        </is>
      </c>
      <c r="H335" s="41" t="n">
        <v>0.06362268518518518</v>
      </c>
      <c r="I335" s="42" t="n">
        <v>53144</v>
      </c>
      <c r="J335" s="42" t="n">
        <v>1380</v>
      </c>
      <c r="K335" s="42" t="n">
        <v>404</v>
      </c>
      <c r="L335" s="43" t="n"/>
      <c r="M335" s="44" t="n"/>
      <c r="N335" s="44" t="inlineStr">
        <is>
          <t>UCEscP6ETYXWSSvsNrDHekMQ</t>
        </is>
      </c>
      <c r="O335" s="45" t="n">
        <v>45816.58333333334</v>
      </c>
      <c r="P335" s="46" t="n">
        <v>45816</v>
      </c>
      <c r="Q335" s="44" t="n">
        <v>2937</v>
      </c>
      <c r="R335" s="44" t="inlineStr">
        <is>
          <t>No Video ID yet</t>
        </is>
      </c>
      <c r="S335" s="46" t="n"/>
      <c r="T335" s="46" t="n"/>
      <c r="U335" s="44" t="n"/>
      <c r="V335" s="44">
        <f>IF(AND(P335&gt;=Calendar!$K$2,P335&lt;EDATE(Calendar!$K$2,1),OR(Calendar!$K$4="*",N335=Calendar!$K$4)),P335*100+COUNTIFS($P$6:$P$3271,P335,$Q$6:$Q$3271,"&lt;="&amp;Q335,$N$6:$N$3271,Calendar!$K$4),"")</f>
        <v/>
      </c>
      <c r="W335" s="44">
        <f>IF(AND(B335=Queue!$C$4,OR(Queue!$K$4="*",N335=Queue!$K$4)),Q335,"")</f>
        <v/>
      </c>
    </row>
    <row r="336">
      <c r="A336" s="35">
        <f>IF(M336="","",HYPERLINK("https://www.youtube.com/watch?v="&amp;M336,"▶"))</f>
        <v/>
      </c>
      <c r="B336" s="36">
        <f>IF(C336&lt;&gt;"",C336,IF(P336&lt;=IFERROR(INDEX(tblChannels[Watched Through],MATCH(N336,tblChannels[Channel ID],0)),0),"Watched","Unwatched"))</f>
        <v/>
      </c>
      <c r="C336" s="37" t="n"/>
      <c r="D336" s="38" t="n"/>
      <c r="E336" s="39" t="n">
        <v>45814.67777777778</v>
      </c>
      <c r="F336" s="47" t="inlineStr">
        <is>
          <t>Super Carlin Brothers</t>
        </is>
      </c>
      <c r="G336" t="inlineStr">
        <is>
          <t>Barty Crouch Jr’s HORCRUX | Harry Potter Film Theory</t>
        </is>
      </c>
      <c r="H336" s="41" t="n">
        <v>0.01018518518518519</v>
      </c>
      <c r="I336" s="42" t="n">
        <v>179627</v>
      </c>
      <c r="J336" s="42" t="n">
        <v>7938</v>
      </c>
      <c r="K336" s="42" t="n">
        <v>956</v>
      </c>
      <c r="L336" s="43" t="n"/>
      <c r="M336" s="44" t="n"/>
      <c r="N336" s="44" t="inlineStr">
        <is>
          <t>UCKZo4N0lVPccBkSiuyVh4yg</t>
        </is>
      </c>
      <c r="O336" s="45" t="n">
        <v>45814.84444444445</v>
      </c>
      <c r="P336" s="46" t="n">
        <v>45814</v>
      </c>
      <c r="Q336" s="44" t="n">
        <v>2936</v>
      </c>
      <c r="R336" s="44" t="inlineStr">
        <is>
          <t>No Video ID yet</t>
        </is>
      </c>
      <c r="S336" s="46" t="n"/>
      <c r="T336" s="46" t="n"/>
      <c r="U336" s="44" t="n"/>
      <c r="V336" s="44">
        <f>IF(AND(P336&gt;=Calendar!$K$2,P336&lt;EDATE(Calendar!$K$2,1),OR(Calendar!$K$4="*",N336=Calendar!$K$4)),P336*100+COUNTIFS($P$6:$P$3271,P336,$Q$6:$Q$3271,"&lt;="&amp;Q336,$N$6:$N$3271,Calendar!$K$4),"")</f>
        <v/>
      </c>
      <c r="W336" s="44">
        <f>IF(AND(B336=Queue!$C$4,OR(Queue!$K$4="*",N336=Queue!$K$4)),Q336,"")</f>
        <v/>
      </c>
    </row>
    <row r="337">
      <c r="A337" s="35">
        <f>IF(M337="","",HYPERLINK("https://www.youtube.com/watch?v="&amp;M337,"▶"))</f>
        <v/>
      </c>
      <c r="B337" s="36">
        <f>IF(C337&lt;&gt;"",C337,IF(P337&lt;=IFERROR(INDEX(tblChannels[Watched Through],MATCH(N337,tblChannels[Channel ID],0)),0),"Watched","Unwatched"))</f>
        <v/>
      </c>
      <c r="C337" s="37" t="n"/>
      <c r="D337" s="38" t="n"/>
      <c r="E337" s="39" t="n">
        <v>45814.67361111111</v>
      </c>
      <c r="F337" s="47" t="inlineStr">
        <is>
          <t>Super Carlin Brothers</t>
        </is>
      </c>
      <c r="G337" t="inlineStr">
        <is>
          <t>How Dumbledore SPIES On People! #harrypotter</t>
        </is>
      </c>
      <c r="H337" s="41" t="n">
        <v>0.001747685185185185</v>
      </c>
      <c r="I337" s="42" t="n">
        <v>76902</v>
      </c>
      <c r="J337" s="42" t="n">
        <v>4849</v>
      </c>
      <c r="K337" s="42" t="n">
        <v>108</v>
      </c>
      <c r="L337" s="43" t="n"/>
      <c r="M337" s="44" t="n"/>
      <c r="N337" s="44" t="inlineStr">
        <is>
          <t>UCKZo4N0lVPccBkSiuyVh4yg</t>
        </is>
      </c>
      <c r="O337" s="45" t="n">
        <v>45814.84027777778</v>
      </c>
      <c r="P337" s="46" t="n">
        <v>45814</v>
      </c>
      <c r="Q337" s="44" t="n">
        <v>2935</v>
      </c>
      <c r="R337" s="44" t="inlineStr">
        <is>
          <t>No Video ID yet</t>
        </is>
      </c>
      <c r="S337" s="46" t="n"/>
      <c r="T337" s="46" t="n"/>
      <c r="U337" s="44" t="n"/>
      <c r="V337" s="44">
        <f>IF(AND(P337&gt;=Calendar!$K$2,P337&lt;EDATE(Calendar!$K$2,1),OR(Calendar!$K$4="*",N337=Calendar!$K$4)),P337*100+COUNTIFS($P$6:$P$3271,P337,$Q$6:$Q$3271,"&lt;="&amp;Q337,$N$6:$N$3271,Calendar!$K$4),"")</f>
        <v/>
      </c>
      <c r="W337" s="44">
        <f>IF(AND(B337=Queue!$C$4,OR(Queue!$K$4="*",N337=Queue!$K$4)),Q337,"")</f>
        <v/>
      </c>
    </row>
    <row r="338">
      <c r="A338" s="35">
        <f>IF(M338="","",HYPERLINK("https://www.youtube.com/watch?v="&amp;M338,"▶"))</f>
        <v/>
      </c>
      <c r="B338" s="36">
        <f>IF(C338&lt;&gt;"",C338,IF(P338&lt;=IFERROR(INDEX(tblChannels[Watched Through],MATCH(N338,tblChannels[Channel ID],0)),0),"Watched","Unwatched"))</f>
        <v/>
      </c>
      <c r="C338" s="37" t="n"/>
      <c r="D338" s="38" t="n"/>
      <c r="E338" s="39" t="n">
        <v>45814.55486111111</v>
      </c>
      <c r="F338" s="40" t="inlineStr">
        <is>
          <t>Popcorn Culture</t>
        </is>
      </c>
      <c r="G338" t="inlineStr">
        <is>
          <t>LETS MAKE CORNDOGS OUTSIDE | Popcorn Culture</t>
        </is>
      </c>
      <c r="H338" s="41" t="n">
        <v>0.0008333333333333334</v>
      </c>
      <c r="I338" s="42" t="n">
        <v>6773</v>
      </c>
      <c r="J338" s="42" t="n">
        <v>526</v>
      </c>
      <c r="K338" s="42" t="n">
        <v>17</v>
      </c>
      <c r="L338" s="43" t="n"/>
      <c r="M338" s="44" t="n"/>
      <c r="N338" s="44" t="inlineStr">
        <is>
          <t>UCHfIbq9thHPC8yrKjAdJgDA</t>
        </is>
      </c>
      <c r="O338" s="45" t="n">
        <v>45814.72152777778</v>
      </c>
      <c r="P338" s="46" t="n">
        <v>45814</v>
      </c>
      <c r="Q338" s="44" t="n">
        <v>2934</v>
      </c>
      <c r="R338" s="44" t="inlineStr">
        <is>
          <t>No Video ID yet</t>
        </is>
      </c>
      <c r="S338" s="46" t="n"/>
      <c r="T338" s="46" t="n"/>
      <c r="U338" s="44" t="n"/>
      <c r="V338" s="44">
        <f>IF(AND(P338&gt;=Calendar!$K$2,P338&lt;EDATE(Calendar!$K$2,1),OR(Calendar!$K$4="*",N338=Calendar!$K$4)),P338*100+COUNTIFS($P$6:$P$3271,P338,$Q$6:$Q$3271,"&lt;="&amp;Q338,$N$6:$N$3271,Calendar!$K$4),"")</f>
        <v/>
      </c>
      <c r="W338" s="44">
        <f>IF(AND(B338=Queue!$C$4,OR(Queue!$K$4="*",N338=Queue!$K$4)),Q338,"")</f>
        <v/>
      </c>
    </row>
    <row r="339">
      <c r="A339" s="35">
        <f>IF(M339="","",HYPERLINK("https://www.youtube.com/watch?v="&amp;M339,"▶"))</f>
        <v/>
      </c>
      <c r="B339" s="36">
        <f>IF(C339&lt;&gt;"",C339,IF(P339&lt;=IFERROR(INDEX(tblChannels[Watched Through],MATCH(N339,tblChannels[Channel ID],0)),0),"Watched","Unwatched"))</f>
        <v/>
      </c>
      <c r="C339" s="37" t="n"/>
      <c r="D339" s="38" t="n"/>
      <c r="E339" s="39" t="n">
        <v>45814.41666666666</v>
      </c>
      <c r="F339" s="40" t="inlineStr">
        <is>
          <t>Popcorn Culture</t>
        </is>
      </c>
      <c r="G339" t="inlineStr">
        <is>
          <t>Campfire Corndogs | Popcorn Culture</t>
        </is>
      </c>
      <c r="H339" s="41" t="n">
        <v>0.04349537037037037</v>
      </c>
      <c r="I339" s="42" t="n">
        <v>3197</v>
      </c>
      <c r="J339" s="42" t="n">
        <v>158</v>
      </c>
      <c r="K339" s="42" t="n">
        <v>14</v>
      </c>
      <c r="L339" s="43" t="n"/>
      <c r="M339" s="44" t="n"/>
      <c r="N339" s="44" t="inlineStr">
        <is>
          <t>UCHfIbq9thHPC8yrKjAdJgDA</t>
        </is>
      </c>
      <c r="O339" s="45" t="n">
        <v>45814.58333333334</v>
      </c>
      <c r="P339" s="46" t="n">
        <v>45814</v>
      </c>
      <c r="Q339" s="44" t="n">
        <v>2933</v>
      </c>
      <c r="R339" s="44" t="inlineStr">
        <is>
          <t>No Video ID yet</t>
        </is>
      </c>
      <c r="S339" s="46" t="n"/>
      <c r="T339" s="46" t="n"/>
      <c r="U339" s="44" t="n"/>
      <c r="V339" s="44">
        <f>IF(AND(P339&gt;=Calendar!$K$2,P339&lt;EDATE(Calendar!$K$2,1),OR(Calendar!$K$4="*",N339=Calendar!$K$4)),P339*100+COUNTIFS($P$6:$P$3271,P339,$Q$6:$Q$3271,"&lt;="&amp;Q339,$N$6:$N$3271,Calendar!$K$4),"")</f>
        <v/>
      </c>
      <c r="W339" s="44">
        <f>IF(AND(B339=Queue!$C$4,OR(Queue!$K$4="*",N339=Queue!$K$4)),Q339,"")</f>
        <v/>
      </c>
    </row>
    <row r="340">
      <c r="A340" s="35">
        <f>IF(M340="","",HYPERLINK("https://www.youtube.com/watch?v="&amp;M340,"▶"))</f>
        <v/>
      </c>
      <c r="B340" s="36">
        <f>IF(C340&lt;&gt;"",C340,IF(P340&lt;=IFERROR(INDEX(tblChannels[Watched Through],MATCH(N340,tblChannels[Channel ID],0)),0),"Watched","Unwatched"))</f>
        <v/>
      </c>
      <c r="C340" s="37" t="n"/>
      <c r="D340" s="38" t="n"/>
      <c r="E340" s="39" t="n">
        <v>45812.70347222222</v>
      </c>
      <c r="F340" s="47" t="inlineStr">
        <is>
          <t>Super Carlin Brothers</t>
        </is>
      </c>
      <c r="G340" t="inlineStr">
        <is>
          <t>J vs Ben: Who Said What? Harry Potter TRIVIA Quiz</t>
        </is>
      </c>
      <c r="H340" s="41" t="n">
        <v>0.03240740740740741</v>
      </c>
      <c r="I340" s="42" t="n">
        <v>136700</v>
      </c>
      <c r="J340" s="42" t="n">
        <v>4376</v>
      </c>
      <c r="K340" s="42" t="n">
        <v>435</v>
      </c>
      <c r="L340" s="43" t="n"/>
      <c r="M340" s="44" t="n"/>
      <c r="N340" s="44" t="inlineStr">
        <is>
          <t>UCKZo4N0lVPccBkSiuyVh4yg</t>
        </is>
      </c>
      <c r="O340" s="45" t="n">
        <v>45812.87013888889</v>
      </c>
      <c r="P340" s="46" t="n">
        <v>45812</v>
      </c>
      <c r="Q340" s="44" t="n">
        <v>2932</v>
      </c>
      <c r="R340" s="44" t="inlineStr">
        <is>
          <t>No Video ID yet</t>
        </is>
      </c>
      <c r="S340" s="46" t="n"/>
      <c r="T340" s="46" t="n"/>
      <c r="U340" s="44" t="n"/>
      <c r="V340" s="44">
        <f>IF(AND(P340&gt;=Calendar!$K$2,P340&lt;EDATE(Calendar!$K$2,1),OR(Calendar!$K$4="*",N340=Calendar!$K$4)),P340*100+COUNTIFS($P$6:$P$3271,P340,$Q$6:$Q$3271,"&lt;="&amp;Q340,$N$6:$N$3271,Calendar!$K$4),"")</f>
        <v/>
      </c>
      <c r="W340" s="44">
        <f>IF(AND(B340=Queue!$C$4,OR(Queue!$K$4="*",N340=Queue!$K$4)),Q340,"")</f>
        <v/>
      </c>
    </row>
    <row r="341">
      <c r="A341" s="35">
        <f>IF(M341="","",HYPERLINK("https://www.youtube.com/watch?v="&amp;M341,"▶"))</f>
        <v/>
      </c>
      <c r="B341" s="36">
        <f>IF(C341&lt;&gt;"",C341,IF(P341&lt;=IFERROR(INDEX(tblChannels[Watched Through],MATCH(N341,tblChannels[Channel ID],0)),0),"Watched","Unwatched"))</f>
        <v/>
      </c>
      <c r="C341" s="37" t="n"/>
      <c r="D341" s="38" t="n"/>
      <c r="E341" s="39" t="n">
        <v>45812.64861111111</v>
      </c>
      <c r="F341" s="47" t="inlineStr">
        <is>
          <t>Super Carlin Brothers</t>
        </is>
      </c>
      <c r="G341" t="inlineStr">
        <is>
          <t>Hunger Games MASTER Plan #HungerGames</t>
        </is>
      </c>
      <c r="H341" s="41" t="n">
        <v>0.002083333333333333</v>
      </c>
      <c r="I341" s="42" t="n">
        <v>107972</v>
      </c>
      <c r="J341" s="42" t="n">
        <v>5341</v>
      </c>
      <c r="K341" s="42" t="n">
        <v>104</v>
      </c>
      <c r="L341" s="43" t="n"/>
      <c r="M341" s="44" t="n"/>
      <c r="N341" s="44" t="inlineStr">
        <is>
          <t>UCKZo4N0lVPccBkSiuyVh4yg</t>
        </is>
      </c>
      <c r="O341" s="45" t="n">
        <v>45812.81527777778</v>
      </c>
      <c r="P341" s="46" t="n">
        <v>45812</v>
      </c>
      <c r="Q341" s="44" t="n">
        <v>2931</v>
      </c>
      <c r="R341" s="44" t="inlineStr">
        <is>
          <t>No Video ID yet</t>
        </is>
      </c>
      <c r="S341" s="46" t="n"/>
      <c r="T341" s="46" t="n"/>
      <c r="U341" s="44" t="n"/>
      <c r="V341" s="44">
        <f>IF(AND(P341&gt;=Calendar!$K$2,P341&lt;EDATE(Calendar!$K$2,1),OR(Calendar!$K$4="*",N341=Calendar!$K$4)),P341*100+COUNTIFS($P$6:$P$3271,P341,$Q$6:$Q$3271,"&lt;="&amp;Q341,$N$6:$N$3271,Calendar!$K$4),"")</f>
        <v/>
      </c>
      <c r="W341" s="44">
        <f>IF(AND(B341=Queue!$C$4,OR(Queue!$K$4="*",N341=Queue!$K$4)),Q341,"")</f>
        <v/>
      </c>
    </row>
    <row r="342">
      <c r="A342" s="35">
        <f>IF(M342="","",HYPERLINK("https://www.youtube.com/watch?v="&amp;M342,"▶"))</f>
        <v/>
      </c>
      <c r="B342" s="36">
        <f>IF(C342&lt;&gt;"",C342,IF(P342&lt;=IFERROR(INDEX(tblChannels[Watched Through],MATCH(N342,tblChannels[Channel ID],0)),0),"Watched","Unwatched"))</f>
        <v/>
      </c>
      <c r="C342" s="37" t="n"/>
      <c r="D342" s="38" t="n"/>
      <c r="E342" s="39" t="n">
        <v>45810.66597222222</v>
      </c>
      <c r="F342" s="47" t="inlineStr">
        <is>
          <t>Super Carlin Brothers</t>
        </is>
      </c>
      <c r="G342" t="inlineStr">
        <is>
          <t>Mirabel Can BEND REALITY?? #disney</t>
        </is>
      </c>
      <c r="H342" s="41" t="n">
        <v>0.002083333333333333</v>
      </c>
      <c r="I342" s="42" t="n">
        <v>1139199</v>
      </c>
      <c r="J342" s="42" t="n">
        <v>78735</v>
      </c>
      <c r="K342" s="42" t="n">
        <v>596</v>
      </c>
      <c r="L342" s="43" t="n"/>
      <c r="M342" s="44" t="n"/>
      <c r="N342" s="44" t="inlineStr">
        <is>
          <t>UCKZo4N0lVPccBkSiuyVh4yg</t>
        </is>
      </c>
      <c r="O342" s="45" t="n">
        <v>45810.83263888889</v>
      </c>
      <c r="P342" s="46" t="n">
        <v>45810</v>
      </c>
      <c r="Q342" s="44" t="n">
        <v>2930</v>
      </c>
      <c r="R342" s="44" t="inlineStr">
        <is>
          <t>No Video ID yet</t>
        </is>
      </c>
      <c r="S342" s="46" t="n"/>
      <c r="T342" s="46" t="n"/>
      <c r="U342" s="44" t="n"/>
      <c r="V342" s="44">
        <f>IF(AND(P342&gt;=Calendar!$K$2,P342&lt;EDATE(Calendar!$K$2,1),OR(Calendar!$K$4="*",N342=Calendar!$K$4)),P342*100+COUNTIFS($P$6:$P$3271,P342,$Q$6:$Q$3271,"&lt;="&amp;Q342,$N$6:$N$3271,Calendar!$K$4),"")</f>
        <v/>
      </c>
      <c r="W342" s="44">
        <f>IF(AND(B342=Queue!$C$4,OR(Queue!$K$4="*",N342=Queue!$K$4)),Q342,"")</f>
        <v/>
      </c>
    </row>
    <row r="343">
      <c r="A343" s="35">
        <f>IF(M343="","",HYPERLINK("https://www.youtube.com/watch?v="&amp;M343,"▶"))</f>
        <v/>
      </c>
      <c r="B343" s="36">
        <f>IF(C343&lt;&gt;"",C343,IF(P343&lt;=IFERROR(INDEX(tblChannels[Watched Through],MATCH(N343,tblChannels[Channel ID],0)),0),"Watched","Unwatched"))</f>
        <v/>
      </c>
      <c r="C343" s="37" t="n"/>
      <c r="D343" s="38" t="n"/>
      <c r="E343" s="39" t="n">
        <v>45809.41736111111</v>
      </c>
      <c r="F343" s="48" t="inlineStr">
        <is>
          <t>Through The Griffin Door</t>
        </is>
      </c>
      <c r="G343" t="inlineStr">
        <is>
          <t>Chapter 28 :The Madness of Mr. Crouch | Goblet of Fire</t>
        </is>
      </c>
      <c r="H343" s="41" t="n">
        <v>0.08427083333333334</v>
      </c>
      <c r="I343" s="42" t="n">
        <v>63032</v>
      </c>
      <c r="J343" s="42" t="n">
        <v>1494</v>
      </c>
      <c r="K343" s="42" t="n">
        <v>538</v>
      </c>
      <c r="L343" s="43" t="n"/>
      <c r="M343" s="44" t="n"/>
      <c r="N343" s="44" t="inlineStr">
        <is>
          <t>UCEscP6ETYXWSSvsNrDHekMQ</t>
        </is>
      </c>
      <c r="O343" s="45" t="n">
        <v>45809.58402777778</v>
      </c>
      <c r="P343" s="46" t="n">
        <v>45809</v>
      </c>
      <c r="Q343" s="44" t="n">
        <v>2929</v>
      </c>
      <c r="R343" s="44" t="inlineStr">
        <is>
          <t>No Video ID yet</t>
        </is>
      </c>
      <c r="S343" s="46" t="n"/>
      <c r="T343" s="46" t="n"/>
      <c r="U343" s="44" t="n"/>
      <c r="V343" s="44">
        <f>IF(AND(P343&gt;=Calendar!$K$2,P343&lt;EDATE(Calendar!$K$2,1),OR(Calendar!$K$4="*",N343=Calendar!$K$4)),P343*100+COUNTIFS($P$6:$P$3271,P343,$Q$6:$Q$3271,"&lt;="&amp;Q343,$N$6:$N$3271,Calendar!$K$4),"")</f>
        <v/>
      </c>
      <c r="W343" s="44">
        <f>IF(AND(B343=Queue!$C$4,OR(Queue!$K$4="*",N343=Queue!$K$4)),Q343,"")</f>
        <v/>
      </c>
    </row>
    <row r="344">
      <c r="A344" s="35">
        <f>IF(M344="","",HYPERLINK("https://www.youtube.com/watch?v="&amp;M344,"▶"))</f>
        <v/>
      </c>
      <c r="B344" s="36">
        <f>IF(C344&lt;&gt;"",C344,IF(P344&lt;=IFERROR(INDEX(tblChannels[Watched Through],MATCH(N344,tblChannels[Channel ID],0)),0),"Watched","Unwatched"))</f>
        <v/>
      </c>
      <c r="C344" s="37" t="n"/>
      <c r="D344" s="38" t="n"/>
      <c r="E344" s="39" t="n">
        <v>45808.41666666666</v>
      </c>
      <c r="F344" s="47" t="inlineStr">
        <is>
          <t>Super Carlin Brothers</t>
        </is>
      </c>
      <c r="G344" t="inlineStr">
        <is>
          <t>Through the Griffin Door Supercut: Goblet of Fire Chapters 25-27</t>
        </is>
      </c>
      <c r="H344" s="41" t="n">
        <v>0.2433449074074074</v>
      </c>
      <c r="I344" s="42" t="n">
        <v>15666</v>
      </c>
      <c r="J344" s="42" t="n">
        <v>277</v>
      </c>
      <c r="K344" s="42" t="n">
        <v>50</v>
      </c>
      <c r="L344" s="43" t="n"/>
      <c r="M344" s="44" t="n"/>
      <c r="N344" s="44" t="inlineStr">
        <is>
          <t>UCKZo4N0lVPccBkSiuyVh4yg</t>
        </is>
      </c>
      <c r="O344" s="45" t="n">
        <v>45808.58333333334</v>
      </c>
      <c r="P344" s="46" t="n">
        <v>45808</v>
      </c>
      <c r="Q344" s="44" t="n">
        <v>2928</v>
      </c>
      <c r="R344" s="44" t="inlineStr">
        <is>
          <t>No Video ID yet</t>
        </is>
      </c>
      <c r="S344" s="46" t="n"/>
      <c r="T344" s="46" t="n"/>
      <c r="U344" s="44" t="n"/>
      <c r="V344" s="44">
        <f>IF(AND(P344&gt;=Calendar!$K$2,P344&lt;EDATE(Calendar!$K$2,1),OR(Calendar!$K$4="*",N344=Calendar!$K$4)),P344*100+COUNTIFS($P$6:$P$3271,P344,$Q$6:$Q$3271,"&lt;="&amp;Q344,$N$6:$N$3271,Calendar!$K$4),"")</f>
        <v/>
      </c>
      <c r="W344" s="44">
        <f>IF(AND(B344=Queue!$C$4,OR(Queue!$K$4="*",N344=Queue!$K$4)),Q344,"")</f>
        <v/>
      </c>
    </row>
    <row r="345">
      <c r="A345" s="35">
        <f>IF(M345="","",HYPERLINK("https://www.youtube.com/watch?v="&amp;M345,"▶"))</f>
        <v/>
      </c>
      <c r="B345" s="36">
        <f>IF(C345&lt;&gt;"",C345,IF(P345&lt;=IFERROR(INDEX(tblChannels[Watched Through],MATCH(N345,tblChannels[Channel ID],0)),0),"Watched","Unwatched"))</f>
        <v/>
      </c>
      <c r="C345" s="37" t="n"/>
      <c r="D345" s="38" t="n"/>
      <c r="E345" s="39" t="n">
        <v>45807.91736111111</v>
      </c>
      <c r="F345" s="47" t="inlineStr">
        <is>
          <t>Super Carlin Brothers</t>
        </is>
      </c>
      <c r="G345" t="inlineStr">
        <is>
          <t>Who is Toy Story Andy’s Monster?? #toystory</t>
        </is>
      </c>
      <c r="H345" s="41" t="n">
        <v>0.001990740740740741</v>
      </c>
      <c r="I345" s="42" t="n">
        <v>2289265</v>
      </c>
      <c r="J345" s="42" t="n">
        <v>159642</v>
      </c>
      <c r="K345" s="42" t="n">
        <v>1281</v>
      </c>
      <c r="L345" s="43" t="n"/>
      <c r="M345" s="44" t="n"/>
      <c r="N345" s="44" t="inlineStr">
        <is>
          <t>UCKZo4N0lVPccBkSiuyVh4yg</t>
        </is>
      </c>
      <c r="O345" s="45" t="n">
        <v>45808.08402777778</v>
      </c>
      <c r="P345" s="46" t="n">
        <v>45807</v>
      </c>
      <c r="Q345" s="44" t="n">
        <v>2927</v>
      </c>
      <c r="R345" s="44" t="inlineStr">
        <is>
          <t>No Video ID yet</t>
        </is>
      </c>
      <c r="S345" s="46" t="n"/>
      <c r="T345" s="46" t="n"/>
      <c r="U345" s="44" t="n"/>
      <c r="V345" s="44">
        <f>IF(AND(P345&gt;=Calendar!$K$2,P345&lt;EDATE(Calendar!$K$2,1),OR(Calendar!$K$4="*",N345=Calendar!$K$4)),P345*100+COUNTIFS($P$6:$P$3271,P345,$Q$6:$Q$3271,"&lt;="&amp;Q345,$N$6:$N$3271,Calendar!$K$4),"")</f>
        <v/>
      </c>
      <c r="W345" s="44">
        <f>IF(AND(B345=Queue!$C$4,OR(Queue!$K$4="*",N345=Queue!$K$4)),Q345,"")</f>
        <v/>
      </c>
    </row>
    <row r="346">
      <c r="A346" s="35">
        <f>IF(M346="","",HYPERLINK("https://www.youtube.com/watch?v="&amp;M346,"▶"))</f>
        <v/>
      </c>
      <c r="B346" s="36">
        <f>IF(C346&lt;&gt;"",C346,IF(P346&lt;=IFERROR(INDEX(tblChannels[Watched Through],MATCH(N346,tblChannels[Channel ID],0)),0),"Watched","Unwatched"))</f>
        <v/>
      </c>
      <c r="C346" s="37" t="n"/>
      <c r="D346" s="38" t="n"/>
      <c r="E346" s="39" t="n">
        <v>45807.71180555555</v>
      </c>
      <c r="F346" s="47" t="inlineStr">
        <is>
          <t>Super Carlin Brothers</t>
        </is>
      </c>
      <c r="G346" t="inlineStr">
        <is>
          <t>Hogwarts is… ALIVE?! | Harry Potter Film Theory</t>
        </is>
      </c>
      <c r="H346" s="41" t="n">
        <v>0.0121875</v>
      </c>
      <c r="I346" s="42" t="n">
        <v>139136</v>
      </c>
      <c r="J346" s="42" t="n">
        <v>6140</v>
      </c>
      <c r="K346" s="42" t="n">
        <v>576</v>
      </c>
      <c r="L346" s="43" t="n"/>
      <c r="M346" s="44" t="n"/>
      <c r="N346" s="44" t="inlineStr">
        <is>
          <t>UCKZo4N0lVPccBkSiuyVh4yg</t>
        </is>
      </c>
      <c r="O346" s="45" t="n">
        <v>45807.87847222222</v>
      </c>
      <c r="P346" s="46" t="n">
        <v>45807</v>
      </c>
      <c r="Q346" s="44" t="n">
        <v>2926</v>
      </c>
      <c r="R346" s="44" t="inlineStr">
        <is>
          <t>No Video ID yet</t>
        </is>
      </c>
      <c r="S346" s="46" t="n"/>
      <c r="T346" s="46" t="n"/>
      <c r="U346" s="44" t="n"/>
      <c r="V346" s="44">
        <f>IF(AND(P346&gt;=Calendar!$K$2,P346&lt;EDATE(Calendar!$K$2,1),OR(Calendar!$K$4="*",N346=Calendar!$K$4)),P346*100+COUNTIFS($P$6:$P$3271,P346,$Q$6:$Q$3271,"&lt;="&amp;Q346,$N$6:$N$3271,Calendar!$K$4),"")</f>
        <v/>
      </c>
      <c r="W346" s="44">
        <f>IF(AND(B346=Queue!$C$4,OR(Queue!$K$4="*",N346=Queue!$K$4)),Q346,"")</f>
        <v/>
      </c>
    </row>
    <row r="347">
      <c r="A347" s="35">
        <f>IF(M347="","",HYPERLINK("https://www.youtube.com/watch?v="&amp;M347,"▶"))</f>
        <v/>
      </c>
      <c r="B347" s="36">
        <f>IF(C347&lt;&gt;"",C347,IF(P347&lt;=IFERROR(INDEX(tblChannels[Watched Through],MATCH(N347,tblChannels[Channel ID],0)),0),"Watched","Unwatched"))</f>
        <v/>
      </c>
      <c r="C347" s="37" t="n"/>
      <c r="D347" s="38" t="n"/>
      <c r="E347" s="39" t="n">
        <v>45807.41666666666</v>
      </c>
      <c r="F347" s="40" t="inlineStr">
        <is>
          <t>Popcorn Culture</t>
        </is>
      </c>
      <c r="G347" t="inlineStr">
        <is>
          <t>EPIC WAS EPIC!!! | Popcorn Culture</t>
        </is>
      </c>
      <c r="H347" s="41" t="n">
        <v>0.06771990740740741</v>
      </c>
      <c r="I347" s="42" t="n">
        <v>4849</v>
      </c>
      <c r="J347" s="42" t="n">
        <v>204</v>
      </c>
      <c r="K347" s="42" t="n">
        <v>33</v>
      </c>
      <c r="L347" s="43" t="n"/>
      <c r="M347" s="44" t="n"/>
      <c r="N347" s="44" t="inlineStr">
        <is>
          <t>UCHfIbq9thHPC8yrKjAdJgDA</t>
        </is>
      </c>
      <c r="O347" s="45" t="n">
        <v>45807.58333333334</v>
      </c>
      <c r="P347" s="46" t="n">
        <v>45807</v>
      </c>
      <c r="Q347" s="44" t="n">
        <v>2925</v>
      </c>
      <c r="R347" s="44" t="inlineStr">
        <is>
          <t>No Video ID yet</t>
        </is>
      </c>
      <c r="S347" s="46" t="n"/>
      <c r="T347" s="46" t="n"/>
      <c r="U347" s="44" t="n"/>
      <c r="V347" s="44">
        <f>IF(AND(P347&gt;=Calendar!$K$2,P347&lt;EDATE(Calendar!$K$2,1),OR(Calendar!$K$4="*",N347=Calendar!$K$4)),P347*100+COUNTIFS($P$6:$P$3271,P347,$Q$6:$Q$3271,"&lt;="&amp;Q347,$N$6:$N$3271,Calendar!$K$4),"")</f>
        <v/>
      </c>
      <c r="W347" s="44">
        <f>IF(AND(B347=Queue!$C$4,OR(Queue!$K$4="*",N347=Queue!$K$4)),Q347,"")</f>
        <v/>
      </c>
    </row>
    <row r="348">
      <c r="A348" s="35">
        <f>IF(M348="","",HYPERLINK("https://www.youtube.com/watch?v="&amp;M348,"▶"))</f>
        <v/>
      </c>
      <c r="B348" s="36">
        <f>IF(C348&lt;&gt;"",C348,IF(P348&lt;=IFERROR(INDEX(tblChannels[Watched Through],MATCH(N348,tblChannels[Channel ID],0)),0),"Watched","Unwatched"))</f>
        <v/>
      </c>
      <c r="C348" s="37" t="n"/>
      <c r="D348" s="38" t="n"/>
      <c r="E348" s="39" t="n">
        <v>45805.70416666667</v>
      </c>
      <c r="F348" s="47" t="inlineStr">
        <is>
          <t>Super Carlin Brothers</t>
        </is>
      </c>
      <c r="G348" t="inlineStr">
        <is>
          <t>What REALLY Happened to Umbridge After Harry Potter? (It’s Canon Now!)</t>
        </is>
      </c>
      <c r="H348" s="41" t="n">
        <v>0.0106712962962963</v>
      </c>
      <c r="I348" s="42" t="n">
        <v>274314</v>
      </c>
      <c r="J348" s="42" t="n">
        <v>9210</v>
      </c>
      <c r="K348" s="42" t="n">
        <v>713</v>
      </c>
      <c r="L348" s="43" t="n"/>
      <c r="M348" s="44" t="n"/>
      <c r="N348" s="44" t="inlineStr">
        <is>
          <t>UCKZo4N0lVPccBkSiuyVh4yg</t>
        </is>
      </c>
      <c r="O348" s="45" t="n">
        <v>45805.87083333333</v>
      </c>
      <c r="P348" s="46" t="n">
        <v>45805</v>
      </c>
      <c r="Q348" s="44" t="n">
        <v>2924</v>
      </c>
      <c r="R348" s="44" t="inlineStr">
        <is>
          <t>No Video ID yet</t>
        </is>
      </c>
      <c r="S348" s="46" t="n"/>
      <c r="T348" s="46" t="n"/>
      <c r="U348" s="44" t="n"/>
      <c r="V348" s="44">
        <f>IF(AND(P348&gt;=Calendar!$K$2,P348&lt;EDATE(Calendar!$K$2,1),OR(Calendar!$K$4="*",N348=Calendar!$K$4)),P348*100+COUNTIFS($P$6:$P$3271,P348,$Q$6:$Q$3271,"&lt;="&amp;Q348,$N$6:$N$3271,Calendar!$K$4),"")</f>
        <v/>
      </c>
      <c r="W348" s="44">
        <f>IF(AND(B348=Queue!$C$4,OR(Queue!$K$4="*",N348=Queue!$K$4)),Q348,"")</f>
        <v/>
      </c>
    </row>
    <row r="349">
      <c r="A349" s="35">
        <f>IF(M349="","",HYPERLINK("https://www.youtube.com/watch?v="&amp;M349,"▶"))</f>
        <v/>
      </c>
      <c r="B349" s="36">
        <f>IF(C349&lt;&gt;"",C349,IF(P349&lt;=IFERROR(INDEX(tblChannels[Watched Through],MATCH(N349,tblChannels[Channel ID],0)),0),"Watched","Unwatched"))</f>
        <v/>
      </c>
      <c r="C349" s="37" t="n"/>
      <c r="D349" s="38" t="n"/>
      <c r="E349" s="39" t="n">
        <v>45802.41736111111</v>
      </c>
      <c r="F349" s="48" t="inlineStr">
        <is>
          <t>Through The Griffin Door</t>
        </is>
      </c>
      <c r="G349" t="inlineStr">
        <is>
          <t>Chapter 27: Padfoot Returns | Goblet of Fire</t>
        </is>
      </c>
      <c r="H349" s="41" t="n">
        <v>0.09129629629629629</v>
      </c>
      <c r="I349" s="42" t="n">
        <v>65559</v>
      </c>
      <c r="J349" s="42" t="n">
        <v>1469</v>
      </c>
      <c r="K349" s="42" t="n">
        <v>397</v>
      </c>
      <c r="L349" s="43" t="n"/>
      <c r="M349" s="44" t="n"/>
      <c r="N349" s="44" t="inlineStr">
        <is>
          <t>UCEscP6ETYXWSSvsNrDHekMQ</t>
        </is>
      </c>
      <c r="O349" s="45" t="n">
        <v>45802.58402777778</v>
      </c>
      <c r="P349" s="46" t="n">
        <v>45802</v>
      </c>
      <c r="Q349" s="44" t="n">
        <v>2923</v>
      </c>
      <c r="R349" s="44" t="inlineStr">
        <is>
          <t>No Video ID yet</t>
        </is>
      </c>
      <c r="S349" s="46" t="n"/>
      <c r="T349" s="46" t="n"/>
      <c r="U349" s="44" t="n"/>
      <c r="V349" s="44">
        <f>IF(AND(P349&gt;=Calendar!$K$2,P349&lt;EDATE(Calendar!$K$2,1),OR(Calendar!$K$4="*",N349=Calendar!$K$4)),P349*100+COUNTIFS($P$6:$P$3271,P349,$Q$6:$Q$3271,"&lt;="&amp;Q349,$N$6:$N$3271,Calendar!$K$4),"")</f>
        <v/>
      </c>
      <c r="W349" s="44">
        <f>IF(AND(B349=Queue!$C$4,OR(Queue!$K$4="*",N349=Queue!$K$4)),Q349,"")</f>
        <v/>
      </c>
    </row>
    <row r="350">
      <c r="A350" s="35">
        <f>IF(M350="","",HYPERLINK("https://www.youtube.com/watch?v="&amp;M350,"▶"))</f>
        <v/>
      </c>
      <c r="B350" s="36">
        <f>IF(C350&lt;&gt;"",C350,IF(P350&lt;=IFERROR(INDEX(tblChannels[Watched Through],MATCH(N350,tblChannels[Channel ID],0)),0),"Watched","Unwatched"))</f>
        <v/>
      </c>
      <c r="C350" s="37" t="n"/>
      <c r="D350" s="38" t="n"/>
      <c r="E350" s="39" t="n">
        <v>45800.70277777778</v>
      </c>
      <c r="F350" s="47" t="inlineStr">
        <is>
          <t>Super Carlin Brothers</t>
        </is>
      </c>
      <c r="G350" t="inlineStr">
        <is>
          <t>Reacting To Our FIRST EVER Harry Potter Videos</t>
        </is>
      </c>
      <c r="H350" s="41" t="n">
        <v>0.03327546296296297</v>
      </c>
      <c r="I350" s="42" t="n">
        <v>136006</v>
      </c>
      <c r="J350" s="42" t="n">
        <v>5121</v>
      </c>
      <c r="K350" s="42" t="n">
        <v>706</v>
      </c>
      <c r="L350" s="43" t="n"/>
      <c r="M350" s="44" t="n"/>
      <c r="N350" s="44" t="inlineStr">
        <is>
          <t>UCKZo4N0lVPccBkSiuyVh4yg</t>
        </is>
      </c>
      <c r="O350" s="45" t="n">
        <v>45800.86944444444</v>
      </c>
      <c r="P350" s="46" t="n">
        <v>45800</v>
      </c>
      <c r="Q350" s="44" t="n">
        <v>2922</v>
      </c>
      <c r="R350" s="44" t="inlineStr">
        <is>
          <t>No Video ID yet</t>
        </is>
      </c>
      <c r="S350" s="46" t="n"/>
      <c r="T350" s="46" t="n"/>
      <c r="U350" s="44" t="n"/>
      <c r="V350" s="44">
        <f>IF(AND(P350&gt;=Calendar!$K$2,P350&lt;EDATE(Calendar!$K$2,1),OR(Calendar!$K$4="*",N350=Calendar!$K$4)),P350*100+COUNTIFS($P$6:$P$3271,P350,$Q$6:$Q$3271,"&lt;="&amp;Q350,$N$6:$N$3271,Calendar!$K$4),"")</f>
        <v/>
      </c>
      <c r="W350" s="44">
        <f>IF(AND(B350=Queue!$C$4,OR(Queue!$K$4="*",N350=Queue!$K$4)),Q350,"")</f>
        <v/>
      </c>
    </row>
    <row r="351">
      <c r="A351" s="35">
        <f>IF(M351="","",HYPERLINK("https://www.youtube.com/watch?v="&amp;M351,"▶"))</f>
        <v/>
      </c>
      <c r="B351" s="36">
        <f>IF(C351&lt;&gt;"",C351,IF(P351&lt;=IFERROR(INDEX(tblChannels[Watched Through],MATCH(N351,tblChannels[Channel ID],0)),0),"Watched","Unwatched"))</f>
        <v/>
      </c>
      <c r="C351" s="37" t="n"/>
      <c r="D351" s="38" t="n"/>
      <c r="E351" s="39" t="n">
        <v>45800.41666666666</v>
      </c>
      <c r="F351" s="40" t="inlineStr">
        <is>
          <t>Popcorn Culture</t>
        </is>
      </c>
      <c r="G351" t="inlineStr">
        <is>
          <t>SCB Saved My Life | Popcorn Culture</t>
        </is>
      </c>
      <c r="H351" s="41" t="n">
        <v>0.04998842592592593</v>
      </c>
      <c r="I351" s="42" t="n">
        <v>3632</v>
      </c>
      <c r="J351" s="42" t="n">
        <v>199</v>
      </c>
      <c r="K351" s="42" t="n">
        <v>44</v>
      </c>
      <c r="L351" s="43" t="n"/>
      <c r="M351" s="44" t="n"/>
      <c r="N351" s="44" t="inlineStr">
        <is>
          <t>UCHfIbq9thHPC8yrKjAdJgDA</t>
        </is>
      </c>
      <c r="O351" s="45" t="n">
        <v>45800.58333333334</v>
      </c>
      <c r="P351" s="46" t="n">
        <v>45800</v>
      </c>
      <c r="Q351" s="44" t="n">
        <v>2921</v>
      </c>
      <c r="R351" s="44" t="inlineStr">
        <is>
          <t>No Video ID yet</t>
        </is>
      </c>
      <c r="S351" s="46" t="n"/>
      <c r="T351" s="46" t="n"/>
      <c r="U351" s="44" t="n"/>
      <c r="V351" s="44">
        <f>IF(AND(P351&gt;=Calendar!$K$2,P351&lt;EDATE(Calendar!$K$2,1),OR(Calendar!$K$4="*",N351=Calendar!$K$4)),P351*100+COUNTIFS($P$6:$P$3271,P351,$Q$6:$Q$3271,"&lt;="&amp;Q351,$N$6:$N$3271,Calendar!$K$4),"")</f>
        <v/>
      </c>
      <c r="W351" s="44">
        <f>IF(AND(B351=Queue!$C$4,OR(Queue!$K$4="*",N351=Queue!$K$4)),Q351,"")</f>
        <v/>
      </c>
    </row>
    <row r="352">
      <c r="A352" s="35">
        <f>IF(M352="","",HYPERLINK("https://www.youtube.com/watch?v="&amp;M352,"▶"))</f>
        <v/>
      </c>
      <c r="B352" s="36">
        <f>IF(C352&lt;&gt;"",C352,IF(P352&lt;=IFERROR(INDEX(tblChannels[Watched Through],MATCH(N352,tblChannels[Channel ID],0)),0),"Watched","Unwatched"))</f>
        <v/>
      </c>
      <c r="C352" s="37" t="n"/>
      <c r="D352" s="38" t="n"/>
      <c r="E352" s="39" t="n">
        <v>45798.625</v>
      </c>
      <c r="F352" s="47" t="inlineStr">
        <is>
          <t>Super Carlin Brothers</t>
        </is>
      </c>
      <c r="G352" t="inlineStr">
        <is>
          <t>J vs Ben: ULTIMATE Harry Potter Last Chapters TRIVIA Quiz</t>
        </is>
      </c>
      <c r="H352" s="41" t="n">
        <v>0.02725694444444444</v>
      </c>
      <c r="I352" s="42" t="n">
        <v>91033</v>
      </c>
      <c r="J352" s="42" t="n">
        <v>3445</v>
      </c>
      <c r="K352" s="42" t="n">
        <v>296</v>
      </c>
      <c r="L352" s="43" t="n"/>
      <c r="M352" s="44" t="n"/>
      <c r="N352" s="44" t="inlineStr">
        <is>
          <t>UCKZo4N0lVPccBkSiuyVh4yg</t>
        </is>
      </c>
      <c r="O352" s="45" t="n">
        <v>45798.79166666666</v>
      </c>
      <c r="P352" s="46" t="n">
        <v>45798</v>
      </c>
      <c r="Q352" s="44" t="n">
        <v>2920</v>
      </c>
      <c r="R352" s="44" t="inlineStr">
        <is>
          <t>No Video ID yet</t>
        </is>
      </c>
      <c r="S352" s="46" t="n"/>
      <c r="T352" s="46" t="n"/>
      <c r="U352" s="44" t="n"/>
      <c r="V352" s="44">
        <f>IF(AND(P352&gt;=Calendar!$K$2,P352&lt;EDATE(Calendar!$K$2,1),OR(Calendar!$K$4="*",N352=Calendar!$K$4)),P352*100+COUNTIFS($P$6:$P$3271,P352,$Q$6:$Q$3271,"&lt;="&amp;Q352,$N$6:$N$3271,Calendar!$K$4),"")</f>
        <v/>
      </c>
      <c r="W352" s="44">
        <f>IF(AND(B352=Queue!$C$4,OR(Queue!$K$4="*",N352=Queue!$K$4)),Q352,"")</f>
        <v/>
      </c>
    </row>
    <row r="353">
      <c r="A353" s="35">
        <f>IF(M353="","",HYPERLINK("https://www.youtube.com/watch?v="&amp;M353,"▶"))</f>
        <v/>
      </c>
      <c r="B353" s="36">
        <f>IF(C353&lt;&gt;"",C353,IF(P353&lt;=IFERROR(INDEX(tblChannels[Watched Through],MATCH(N353,tblChannels[Channel ID],0)),0),"Watched","Unwatched"))</f>
        <v/>
      </c>
      <c r="C353" s="37" t="n"/>
      <c r="D353" s="38" t="n"/>
      <c r="E353" s="39" t="n">
        <v>45795.41666666666</v>
      </c>
      <c r="F353" s="48" t="inlineStr">
        <is>
          <t>Through The Griffin Door</t>
        </is>
      </c>
      <c r="G353" t="inlineStr">
        <is>
          <t>Chapter 26: The Second Task | Goblet of Fire</t>
        </is>
      </c>
      <c r="H353" s="41" t="n">
        <v>0.09291666666666666</v>
      </c>
      <c r="I353" s="42" t="n">
        <v>66637</v>
      </c>
      <c r="J353" s="42" t="n">
        <v>1496</v>
      </c>
      <c r="K353" s="42" t="n">
        <v>468</v>
      </c>
      <c r="L353" s="43" t="n"/>
      <c r="M353" s="44" t="n"/>
      <c r="N353" s="44" t="inlineStr">
        <is>
          <t>UCEscP6ETYXWSSvsNrDHekMQ</t>
        </is>
      </c>
      <c r="O353" s="45" t="n">
        <v>45795.58333333334</v>
      </c>
      <c r="P353" s="46" t="n">
        <v>45795</v>
      </c>
      <c r="Q353" s="44" t="n">
        <v>2919</v>
      </c>
      <c r="R353" s="44" t="inlineStr">
        <is>
          <t>No Video ID yet</t>
        </is>
      </c>
      <c r="S353" s="46" t="n"/>
      <c r="T353" s="46" t="n"/>
      <c r="U353" s="44" t="n"/>
      <c r="V353" s="44">
        <f>IF(AND(P353&gt;=Calendar!$K$2,P353&lt;EDATE(Calendar!$K$2,1),OR(Calendar!$K$4="*",N353=Calendar!$K$4)),P353*100+COUNTIFS($P$6:$P$3271,P353,$Q$6:$Q$3271,"&lt;="&amp;Q353,$N$6:$N$3271,Calendar!$K$4),"")</f>
        <v/>
      </c>
      <c r="W353" s="44">
        <f>IF(AND(B353=Queue!$C$4,OR(Queue!$K$4="*",N353=Queue!$K$4)),Q353,"")</f>
        <v/>
      </c>
    </row>
    <row r="354">
      <c r="A354" s="35">
        <f>IF(M354="","",HYPERLINK("https://www.youtube.com/watch?v="&amp;M354,"▶"))</f>
        <v/>
      </c>
      <c r="B354" s="36">
        <f>IF(C354&lt;&gt;"",C354,IF(P354&lt;=IFERROR(INDEX(tblChannels[Watched Through],MATCH(N354,tblChannels[Channel ID],0)),0),"Watched","Unwatched"))</f>
        <v/>
      </c>
      <c r="C354" s="37" t="n"/>
      <c r="D354" s="38" t="n"/>
      <c r="E354" s="39" t="n">
        <v>45793.67222222222</v>
      </c>
      <c r="F354" s="47" t="inlineStr">
        <is>
          <t>Super Carlin Brothers</t>
        </is>
      </c>
      <c r="G354" t="inlineStr">
        <is>
          <t>What If Ron's Wand NEVER Broke | Harry Potter Film Theory</t>
        </is>
      </c>
      <c r="H354" s="41" t="n">
        <v>0.01273148148148148</v>
      </c>
      <c r="I354" s="42" t="n">
        <v>89810</v>
      </c>
      <c r="J354" s="42" t="n">
        <v>4193</v>
      </c>
      <c r="K354" s="42" t="n">
        <v>472</v>
      </c>
      <c r="L354" s="43" t="n"/>
      <c r="M354" s="44" t="n"/>
      <c r="N354" s="44" t="inlineStr">
        <is>
          <t>UCKZo4N0lVPccBkSiuyVh4yg</t>
        </is>
      </c>
      <c r="O354" s="45" t="n">
        <v>45793.83888888889</v>
      </c>
      <c r="P354" s="46" t="n">
        <v>45793</v>
      </c>
      <c r="Q354" s="44" t="n">
        <v>2918</v>
      </c>
      <c r="R354" s="44" t="inlineStr">
        <is>
          <t>No Video ID yet</t>
        </is>
      </c>
      <c r="S354" s="46" t="n"/>
      <c r="T354" s="46" t="n"/>
      <c r="U354" s="44" t="n"/>
      <c r="V354" s="44">
        <f>IF(AND(P354&gt;=Calendar!$K$2,P354&lt;EDATE(Calendar!$K$2,1),OR(Calendar!$K$4="*",N354=Calendar!$K$4)),P354*100+COUNTIFS($P$6:$P$3271,P354,$Q$6:$Q$3271,"&lt;="&amp;Q354,$N$6:$N$3271,Calendar!$K$4),"")</f>
        <v/>
      </c>
      <c r="W354" s="44">
        <f>IF(AND(B354=Queue!$C$4,OR(Queue!$K$4="*",N354=Queue!$K$4)),Q354,"")</f>
        <v/>
      </c>
    </row>
    <row r="355">
      <c r="A355" s="35">
        <f>IF(M355="","",HYPERLINK("https://www.youtube.com/watch?v="&amp;M355,"▶"))</f>
        <v/>
      </c>
      <c r="B355" s="36">
        <f>IF(C355&lt;&gt;"",C355,IF(P355&lt;=IFERROR(INDEX(tblChannels[Watched Through],MATCH(N355,tblChannels[Channel ID],0)),0),"Watched","Unwatched"))</f>
        <v/>
      </c>
      <c r="C355" s="37" t="n"/>
      <c r="D355" s="38" t="n"/>
      <c r="E355" s="39" t="n">
        <v>45793.41666666666</v>
      </c>
      <c r="F355" s="40" t="inlineStr">
        <is>
          <t>Popcorn Culture</t>
        </is>
      </c>
      <c r="G355" t="inlineStr">
        <is>
          <t>Exit Light | Popcorn Culture</t>
        </is>
      </c>
      <c r="H355" s="41" t="n">
        <v>0.04456018518518518</v>
      </c>
      <c r="I355" s="42" t="n">
        <v>3101</v>
      </c>
      <c r="J355" s="42" t="n">
        <v>162</v>
      </c>
      <c r="K355" s="42" t="n">
        <v>21</v>
      </c>
      <c r="L355" s="43" t="n"/>
      <c r="M355" s="44" t="n"/>
      <c r="N355" s="44" t="inlineStr">
        <is>
          <t>UCHfIbq9thHPC8yrKjAdJgDA</t>
        </is>
      </c>
      <c r="O355" s="45" t="n">
        <v>45793.58333333334</v>
      </c>
      <c r="P355" s="46" t="n">
        <v>45793</v>
      </c>
      <c r="Q355" s="44" t="n">
        <v>2917</v>
      </c>
      <c r="R355" s="44" t="inlineStr">
        <is>
          <t>No Video ID yet</t>
        </is>
      </c>
      <c r="S355" s="46" t="n"/>
      <c r="T355" s="46" t="n"/>
      <c r="U355" s="44" t="n"/>
      <c r="V355" s="44">
        <f>IF(AND(P355&gt;=Calendar!$K$2,P355&lt;EDATE(Calendar!$K$2,1),OR(Calendar!$K$4="*",N355=Calendar!$K$4)),P355*100+COUNTIFS($P$6:$P$3271,P355,$Q$6:$Q$3271,"&lt;="&amp;Q355,$N$6:$N$3271,Calendar!$K$4),"")</f>
        <v/>
      </c>
      <c r="W355" s="44">
        <f>IF(AND(B355=Queue!$C$4,OR(Queue!$K$4="*",N355=Queue!$K$4)),Q355,"")</f>
        <v/>
      </c>
    </row>
    <row r="356">
      <c r="A356" s="35">
        <f>IF(M356="","",HYPERLINK("https://www.youtube.com/watch?v="&amp;M356,"▶"))</f>
        <v/>
      </c>
      <c r="B356" s="36">
        <f>IF(C356&lt;&gt;"",C356,IF(P356&lt;=IFERROR(INDEX(tblChannels[Watched Through],MATCH(N356,tblChannels[Channel ID],0)),0),"Watched","Unwatched"))</f>
        <v/>
      </c>
      <c r="C356" s="37" t="n"/>
      <c r="D356" s="38" t="n"/>
      <c r="E356" s="39" t="n">
        <v>45791.69305555556</v>
      </c>
      <c r="F356" s="47" t="inlineStr">
        <is>
          <t>Super Carlin Brothers</t>
        </is>
      </c>
      <c r="G356" t="inlineStr">
        <is>
          <t>Toy Story 5 NEEDS Andy | Pixar Film Theory</t>
        </is>
      </c>
      <c r="H356" s="41" t="n">
        <v>0.0103125</v>
      </c>
      <c r="I356" s="42" t="n">
        <v>58999</v>
      </c>
      <c r="J356" s="42" t="n">
        <v>2815</v>
      </c>
      <c r="K356" s="42" t="n">
        <v>435</v>
      </c>
      <c r="L356" s="43" t="n"/>
      <c r="M356" s="44" t="n"/>
      <c r="N356" s="44" t="inlineStr">
        <is>
          <t>UCKZo4N0lVPccBkSiuyVh4yg</t>
        </is>
      </c>
      <c r="O356" s="45" t="n">
        <v>45791.85972222222</v>
      </c>
      <c r="P356" s="46" t="n">
        <v>45791</v>
      </c>
      <c r="Q356" s="44" t="n">
        <v>2916</v>
      </c>
      <c r="R356" s="44" t="inlineStr">
        <is>
          <t>No Video ID yet</t>
        </is>
      </c>
      <c r="S356" s="46" t="n"/>
      <c r="T356" s="46" t="n"/>
      <c r="U356" s="44" t="n"/>
      <c r="V356" s="44">
        <f>IF(AND(P356&gt;=Calendar!$K$2,P356&lt;EDATE(Calendar!$K$2,1),OR(Calendar!$K$4="*",N356=Calendar!$K$4)),P356*100+COUNTIFS($P$6:$P$3271,P356,$Q$6:$Q$3271,"&lt;="&amp;Q356,$N$6:$N$3271,Calendar!$K$4),"")</f>
        <v/>
      </c>
      <c r="W356" s="44">
        <f>IF(AND(B356=Queue!$C$4,OR(Queue!$K$4="*",N356=Queue!$K$4)),Q356,"")</f>
        <v/>
      </c>
    </row>
    <row r="357">
      <c r="A357" s="35">
        <f>IF(M357="","",HYPERLINK("https://www.youtube.com/watch?v="&amp;M357,"▶"))</f>
        <v/>
      </c>
      <c r="B357" s="36">
        <f>IF(C357&lt;&gt;"",C357,IF(P357&lt;=IFERROR(INDEX(tblChannels[Watched Through],MATCH(N357,tblChannels[Channel ID],0)),0),"Watched","Unwatched"))</f>
        <v/>
      </c>
      <c r="C357" s="37" t="n"/>
      <c r="D357" s="38" t="n"/>
      <c r="E357" s="39" t="n">
        <v>45788.41666666666</v>
      </c>
      <c r="F357" s="48" t="inlineStr">
        <is>
          <t>Through The Griffin Door</t>
        </is>
      </c>
      <c r="G357" t="inlineStr">
        <is>
          <t>Chapter 25: The Egg and the Eye | Goblet of Fire</t>
        </is>
      </c>
      <c r="H357" s="41" t="n">
        <v>0.06326388888888888</v>
      </c>
      <c r="I357" s="42" t="n">
        <v>52622</v>
      </c>
      <c r="J357" s="42" t="n">
        <v>1429</v>
      </c>
      <c r="K357" s="42" t="n">
        <v>340</v>
      </c>
      <c r="L357" s="43" t="n"/>
      <c r="M357" s="44" t="n"/>
      <c r="N357" s="44" t="inlineStr">
        <is>
          <t>UCEscP6ETYXWSSvsNrDHekMQ</t>
        </is>
      </c>
      <c r="O357" s="45" t="n">
        <v>45788.58333333334</v>
      </c>
      <c r="P357" s="46" t="n">
        <v>45788</v>
      </c>
      <c r="Q357" s="44" t="n">
        <v>2915</v>
      </c>
      <c r="R357" s="44" t="inlineStr">
        <is>
          <t>No Video ID yet</t>
        </is>
      </c>
      <c r="S357" s="46" t="n"/>
      <c r="T357" s="46" t="n"/>
      <c r="U357" s="44" t="n"/>
      <c r="V357" s="44">
        <f>IF(AND(P357&gt;=Calendar!$K$2,P357&lt;EDATE(Calendar!$K$2,1),OR(Calendar!$K$4="*",N357=Calendar!$K$4)),P357*100+COUNTIFS($P$6:$P$3271,P357,$Q$6:$Q$3271,"&lt;="&amp;Q357,$N$6:$N$3271,Calendar!$K$4),"")</f>
        <v/>
      </c>
      <c r="W357" s="44">
        <f>IF(AND(B357=Queue!$C$4,OR(Queue!$K$4="*",N357=Queue!$K$4)),Q357,"")</f>
        <v/>
      </c>
    </row>
    <row r="358">
      <c r="A358" s="35">
        <f>IF(M358="","",HYPERLINK("https://www.youtube.com/watch?v="&amp;M358,"▶"))</f>
        <v/>
      </c>
      <c r="B358" s="36">
        <f>IF(C358&lt;&gt;"",C358,IF(P358&lt;=IFERROR(INDEX(tblChannels[Watched Through],MATCH(N358,tblChannels[Channel ID],0)),0),"Watched","Unwatched"))</f>
        <v/>
      </c>
      <c r="C358" s="37" t="n"/>
      <c r="D358" s="38" t="n"/>
      <c r="E358" s="39" t="n">
        <v>45787.41736111111</v>
      </c>
      <c r="F358" s="47" t="inlineStr">
        <is>
          <t>Super Carlin Brothers</t>
        </is>
      </c>
      <c r="G358" t="inlineStr">
        <is>
          <t>Through the Griffin Door Supercut: Goblet of Fire Chapters 21-24</t>
        </is>
      </c>
      <c r="H358" s="41" t="n">
        <v>0.2337037037037037</v>
      </c>
      <c r="I358" s="42" t="n">
        <v>16147</v>
      </c>
      <c r="J358" s="42" t="n">
        <v>250</v>
      </c>
      <c r="K358" s="42" t="n">
        <v>59</v>
      </c>
      <c r="L358" s="43" t="n"/>
      <c r="M358" s="44" t="n"/>
      <c r="N358" s="44" t="inlineStr">
        <is>
          <t>UCKZo4N0lVPccBkSiuyVh4yg</t>
        </is>
      </c>
      <c r="O358" s="45" t="n">
        <v>45787.58402777778</v>
      </c>
      <c r="P358" s="46" t="n">
        <v>45787</v>
      </c>
      <c r="Q358" s="44" t="n">
        <v>2914</v>
      </c>
      <c r="R358" s="44" t="inlineStr">
        <is>
          <t>No Video ID yet</t>
        </is>
      </c>
      <c r="S358" s="46" t="n"/>
      <c r="T358" s="46" t="n"/>
      <c r="U358" s="44" t="n"/>
      <c r="V358" s="44">
        <f>IF(AND(P358&gt;=Calendar!$K$2,P358&lt;EDATE(Calendar!$K$2,1),OR(Calendar!$K$4="*",N358=Calendar!$K$4)),P358*100+COUNTIFS($P$6:$P$3271,P358,$Q$6:$Q$3271,"&lt;="&amp;Q358,$N$6:$N$3271,Calendar!$K$4),"")</f>
        <v/>
      </c>
      <c r="W358" s="44">
        <f>IF(AND(B358=Queue!$C$4,OR(Queue!$K$4="*",N358=Queue!$K$4)),Q358,"")</f>
        <v/>
      </c>
    </row>
    <row r="359">
      <c r="A359" s="35">
        <f>IF(M359="","",HYPERLINK("https://www.youtube.com/watch?v="&amp;M359,"▶"))</f>
        <v/>
      </c>
      <c r="B359" s="36">
        <f>IF(C359&lt;&gt;"",C359,IF(P359&lt;=IFERROR(INDEX(tblChannels[Watched Through],MATCH(N359,tblChannels[Channel ID],0)),0),"Watched","Unwatched"))</f>
        <v/>
      </c>
      <c r="C359" s="37" t="n"/>
      <c r="D359" s="38" t="n"/>
      <c r="E359" s="39" t="n">
        <v>45787.21111111111</v>
      </c>
      <c r="F359" s="49" t="inlineStr">
        <is>
          <t>Super Carlin Gaming</t>
        </is>
      </c>
      <c r="G359" t="inlineStr">
        <is>
          <t>JOURNEY TOGETHER - Pokemon Box Breakers SEASON 15 -  Episode 1 - 05/09/2025</t>
        </is>
      </c>
      <c r="H359" s="41" t="n">
        <v>0.1114583333333333</v>
      </c>
      <c r="I359" s="42" t="n">
        <v>1536</v>
      </c>
      <c r="J359" s="42" t="n">
        <v>48</v>
      </c>
      <c r="K359" s="42" t="n">
        <v>1</v>
      </c>
      <c r="L359" s="43" t="n"/>
      <c r="M359" s="44" t="n"/>
      <c r="N359" s="44" t="inlineStr">
        <is>
          <t>UCor_9jRnNNZVzTuQ92PKsaQ</t>
        </is>
      </c>
      <c r="O359" s="45" t="n">
        <v>45787.37777777778</v>
      </c>
      <c r="P359" s="46" t="n">
        <v>45787</v>
      </c>
      <c r="Q359" s="44" t="n">
        <v>2913</v>
      </c>
      <c r="R359" s="44" t="inlineStr">
        <is>
          <t>No Video ID yet</t>
        </is>
      </c>
      <c r="S359" s="46" t="n"/>
      <c r="T359" s="46" t="n"/>
      <c r="U359" s="44" t="n"/>
      <c r="V359" s="44">
        <f>IF(AND(P359&gt;=Calendar!$K$2,P359&lt;EDATE(Calendar!$K$2,1),OR(Calendar!$K$4="*",N359=Calendar!$K$4)),P359*100+COUNTIFS($P$6:$P$3271,P359,$Q$6:$Q$3271,"&lt;="&amp;Q359,$N$6:$N$3271,Calendar!$K$4),"")</f>
        <v/>
      </c>
      <c r="W359" s="44">
        <f>IF(AND(B359=Queue!$C$4,OR(Queue!$K$4="*",N359=Queue!$K$4)),Q359,"")</f>
        <v/>
      </c>
    </row>
    <row r="360">
      <c r="A360" s="35">
        <f>IF(M360="","",HYPERLINK("https://www.youtube.com/watch?v="&amp;M360,"▶"))</f>
        <v/>
      </c>
      <c r="B360" s="36">
        <f>IF(C360&lt;&gt;"",C360,IF(P360&lt;=IFERROR(INDEX(tblChannels[Watched Through],MATCH(N360,tblChannels[Channel ID],0)),0),"Watched","Unwatched"))</f>
        <v/>
      </c>
      <c r="C360" s="37" t="n"/>
      <c r="D360" s="38" t="n"/>
      <c r="E360" s="39" t="n">
        <v>45786.71041666667</v>
      </c>
      <c r="F360" s="47" t="inlineStr">
        <is>
          <t>Super Carlin Brothers</t>
        </is>
      </c>
      <c r="G360" t="inlineStr">
        <is>
          <t>What If Moody Defeated Barty Crouch Jr? | Harry Potter Film Theory</t>
        </is>
      </c>
      <c r="H360" s="41" t="n">
        <v>0.01237268518518518</v>
      </c>
      <c r="I360" s="42" t="n">
        <v>153960</v>
      </c>
      <c r="J360" s="42" t="n">
        <v>6087</v>
      </c>
      <c r="K360" s="42" t="n">
        <v>794</v>
      </c>
      <c r="L360" s="43" t="n"/>
      <c r="M360" s="44" t="n"/>
      <c r="N360" s="44" t="inlineStr">
        <is>
          <t>UCKZo4N0lVPccBkSiuyVh4yg</t>
        </is>
      </c>
      <c r="O360" s="45" t="n">
        <v>45786.87708333333</v>
      </c>
      <c r="P360" s="46" t="n">
        <v>45786</v>
      </c>
      <c r="Q360" s="44" t="n">
        <v>2912</v>
      </c>
      <c r="R360" s="44" t="inlineStr">
        <is>
          <t>No Video ID yet</t>
        </is>
      </c>
      <c r="S360" s="46" t="n"/>
      <c r="T360" s="46" t="n"/>
      <c r="U360" s="44" t="n"/>
      <c r="V360" s="44">
        <f>IF(AND(P360&gt;=Calendar!$K$2,P360&lt;EDATE(Calendar!$K$2,1),OR(Calendar!$K$4="*",N360=Calendar!$K$4)),P360*100+COUNTIFS($P$6:$P$3271,P360,$Q$6:$Q$3271,"&lt;="&amp;Q360,$N$6:$N$3271,Calendar!$K$4),"")</f>
        <v/>
      </c>
      <c r="W360" s="44">
        <f>IF(AND(B360=Queue!$C$4,OR(Queue!$K$4="*",N360=Queue!$K$4)),Q360,"")</f>
        <v/>
      </c>
    </row>
    <row r="361">
      <c r="A361" s="35">
        <f>IF(M361="","",HYPERLINK("https://www.youtube.com/watch?v="&amp;M361,"▶"))</f>
        <v/>
      </c>
      <c r="B361" s="36">
        <f>IF(C361&lt;&gt;"",C361,IF(P361&lt;=IFERROR(INDEX(tblChannels[Watched Through],MATCH(N361,tblChannels[Channel ID],0)),0),"Watched","Unwatched"))</f>
        <v/>
      </c>
      <c r="C361" s="37" t="n"/>
      <c r="D361" s="38" t="n"/>
      <c r="E361" s="39" t="n">
        <v>45786.5</v>
      </c>
      <c r="F361" s="47" t="inlineStr">
        <is>
          <t>Super Carlin Brothers</t>
        </is>
      </c>
      <c r="G361" t="inlineStr">
        <is>
          <t>Harry IS The Sorcerer’s Stone #harrypotter</t>
        </is>
      </c>
      <c r="H361" s="41" t="n">
        <v>0.002083333333333333</v>
      </c>
      <c r="I361" s="42" t="n">
        <v>192775</v>
      </c>
      <c r="J361" s="42" t="n">
        <v>12253</v>
      </c>
      <c r="K361" s="42" t="n">
        <v>161</v>
      </c>
      <c r="L361" s="43" t="n"/>
      <c r="M361" s="44" t="n"/>
      <c r="N361" s="44" t="inlineStr">
        <is>
          <t>UCKZo4N0lVPccBkSiuyVh4yg</t>
        </is>
      </c>
      <c r="O361" s="45" t="n">
        <v>45786.66666666666</v>
      </c>
      <c r="P361" s="46" t="n">
        <v>45786</v>
      </c>
      <c r="Q361" s="44" t="n">
        <v>2911</v>
      </c>
      <c r="R361" s="44" t="inlineStr">
        <is>
          <t>No Video ID yet</t>
        </is>
      </c>
      <c r="S361" s="46" t="n"/>
      <c r="T361" s="46" t="n"/>
      <c r="U361" s="44" t="n"/>
      <c r="V361" s="44">
        <f>IF(AND(P361&gt;=Calendar!$K$2,P361&lt;EDATE(Calendar!$K$2,1),OR(Calendar!$K$4="*",N361=Calendar!$K$4)),P361*100+COUNTIFS($P$6:$P$3271,P361,$Q$6:$Q$3271,"&lt;="&amp;Q361,$N$6:$N$3271,Calendar!$K$4),"")</f>
        <v/>
      </c>
      <c r="W361" s="44">
        <f>IF(AND(B361=Queue!$C$4,OR(Queue!$K$4="*",N361=Queue!$K$4)),Q361,"")</f>
        <v/>
      </c>
    </row>
    <row r="362">
      <c r="A362" s="35">
        <f>IF(M362="","",HYPERLINK("https://www.youtube.com/watch?v="&amp;M362,"▶"))</f>
        <v/>
      </c>
      <c r="B362" s="36">
        <f>IF(C362&lt;&gt;"",C362,IF(P362&lt;=IFERROR(INDEX(tblChannels[Watched Through],MATCH(N362,tblChannels[Channel ID],0)),0),"Watched","Unwatched"))</f>
        <v/>
      </c>
      <c r="C362" s="37" t="n"/>
      <c r="D362" s="38" t="n"/>
      <c r="E362" s="39" t="n">
        <v>45786.48541666667</v>
      </c>
      <c r="F362" s="49" t="inlineStr">
        <is>
          <t>Super Carlin Gaming</t>
        </is>
      </c>
      <c r="G362" t="inlineStr">
        <is>
          <t>JOURNEY TOGETHER - Pokemon Box Breakers SEASON 15-  Episode 1 - 05/09/2025</t>
        </is>
      </c>
      <c r="H362" s="41" t="n">
        <v>0</v>
      </c>
      <c r="I362" s="42" t="n">
        <v>0</v>
      </c>
      <c r="J362" s="42" t="n">
        <v>1</v>
      </c>
      <c r="K362" s="42" t="n">
        <v>0</v>
      </c>
      <c r="L362" s="43" t="n"/>
      <c r="M362" s="44" t="n"/>
      <c r="N362" s="44" t="inlineStr">
        <is>
          <t>UCor_9jRnNNZVzTuQ92PKsaQ</t>
        </is>
      </c>
      <c r="O362" s="45" t="n">
        <v>45786.65208333333</v>
      </c>
      <c r="P362" s="46" t="n">
        <v>45786</v>
      </c>
      <c r="Q362" s="44" t="n">
        <v>2910</v>
      </c>
      <c r="R362" s="44" t="inlineStr">
        <is>
          <t>No Video ID yet</t>
        </is>
      </c>
      <c r="S362" s="46" t="n"/>
      <c r="T362" s="46" t="n"/>
      <c r="U362" s="44" t="n"/>
      <c r="V362" s="44">
        <f>IF(AND(P362&gt;=Calendar!$K$2,P362&lt;EDATE(Calendar!$K$2,1),OR(Calendar!$K$4="*",N362=Calendar!$K$4)),P362*100+COUNTIFS($P$6:$P$3271,P362,$Q$6:$Q$3271,"&lt;="&amp;Q362,$N$6:$N$3271,Calendar!$K$4),"")</f>
        <v/>
      </c>
      <c r="W362" s="44">
        <f>IF(AND(B362=Queue!$C$4,OR(Queue!$K$4="*",N362=Queue!$K$4)),Q362,"")</f>
        <v/>
      </c>
    </row>
    <row r="363">
      <c r="A363" s="35">
        <f>IF(M363="","",HYPERLINK("https://www.youtube.com/watch?v="&amp;M363,"▶"))</f>
        <v/>
      </c>
      <c r="B363" s="36">
        <f>IF(C363&lt;&gt;"",C363,IF(P363&lt;=IFERROR(INDEX(tblChannels[Watched Through],MATCH(N363,tblChannels[Channel ID],0)),0),"Watched","Unwatched"))</f>
        <v/>
      </c>
      <c r="C363" s="37" t="n"/>
      <c r="D363" s="38" t="n"/>
      <c r="E363" s="39" t="n">
        <v>45786.41666666666</v>
      </c>
      <c r="F363" s="40" t="inlineStr">
        <is>
          <t>Popcorn Culture</t>
        </is>
      </c>
      <c r="G363" t="inlineStr">
        <is>
          <t>J DID A TRIATHLON!! | Popcorn Culture</t>
        </is>
      </c>
      <c r="H363" s="41" t="n">
        <v>0.0461574074074074</v>
      </c>
      <c r="I363" s="42" t="n">
        <v>3254</v>
      </c>
      <c r="J363" s="42" t="n">
        <v>158</v>
      </c>
      <c r="K363" s="42" t="n">
        <v>16</v>
      </c>
      <c r="L363" s="43" t="n"/>
      <c r="M363" s="44" t="n"/>
      <c r="N363" s="44" t="inlineStr">
        <is>
          <t>UCHfIbq9thHPC8yrKjAdJgDA</t>
        </is>
      </c>
      <c r="O363" s="45" t="n">
        <v>45786.58333333334</v>
      </c>
      <c r="P363" s="46" t="n">
        <v>45786</v>
      </c>
      <c r="Q363" s="44" t="n">
        <v>2909</v>
      </c>
      <c r="R363" s="44" t="inlineStr">
        <is>
          <t>No Video ID yet</t>
        </is>
      </c>
      <c r="S363" s="46" t="n"/>
      <c r="T363" s="46" t="n"/>
      <c r="U363" s="44" t="n"/>
      <c r="V363" s="44">
        <f>IF(AND(P363&gt;=Calendar!$K$2,P363&lt;EDATE(Calendar!$K$2,1),OR(Calendar!$K$4="*",N363=Calendar!$K$4)),P363*100+COUNTIFS($P$6:$P$3271,P363,$Q$6:$Q$3271,"&lt;="&amp;Q363,$N$6:$N$3271,Calendar!$K$4),"")</f>
        <v/>
      </c>
      <c r="W363" s="44">
        <f>IF(AND(B363=Queue!$C$4,OR(Queue!$K$4="*",N363=Queue!$K$4)),Q363,"")</f>
        <v/>
      </c>
    </row>
    <row r="364">
      <c r="A364" s="35">
        <f>IF(M364="","",HYPERLINK("https://www.youtube.com/watch?v="&amp;M364,"▶"))</f>
        <v/>
      </c>
      <c r="B364" s="36">
        <f>IF(C364&lt;&gt;"",C364,IF(P364&lt;=IFERROR(INDEX(tblChannels[Watched Through],MATCH(N364,tblChannels[Channel ID],0)),0),"Watched","Unwatched"))</f>
        <v/>
      </c>
      <c r="C364" s="37" t="n"/>
      <c r="D364" s="38" t="n"/>
      <c r="E364" s="39" t="n">
        <v>45784.58472222222</v>
      </c>
      <c r="F364" s="47" t="inlineStr">
        <is>
          <t>Super Carlin Brothers</t>
        </is>
      </c>
      <c r="G364" t="inlineStr">
        <is>
          <t>Pedro IS Casita! 🕯️ #disney</t>
        </is>
      </c>
      <c r="H364" s="41" t="n">
        <v>0.002083333333333333</v>
      </c>
      <c r="I364" s="42" t="n">
        <v>75558</v>
      </c>
      <c r="J364" s="42" t="n">
        <v>6699</v>
      </c>
      <c r="K364" s="42" t="n">
        <v>85</v>
      </c>
      <c r="L364" s="43" t="n"/>
      <c r="M364" s="44" t="n"/>
      <c r="N364" s="44" t="inlineStr">
        <is>
          <t>UCKZo4N0lVPccBkSiuyVh4yg</t>
        </is>
      </c>
      <c r="O364" s="45" t="n">
        <v>45784.75138888889</v>
      </c>
      <c r="P364" s="46" t="n">
        <v>45784</v>
      </c>
      <c r="Q364" s="44" t="n">
        <v>2908</v>
      </c>
      <c r="R364" s="44" t="inlineStr">
        <is>
          <t>No Video ID yet</t>
        </is>
      </c>
      <c r="S364" s="46" t="n"/>
      <c r="T364" s="46" t="n"/>
      <c r="U364" s="44" t="n"/>
      <c r="V364" s="44">
        <f>IF(AND(P364&gt;=Calendar!$K$2,P364&lt;EDATE(Calendar!$K$2,1),OR(Calendar!$K$4="*",N364=Calendar!$K$4)),P364*100+COUNTIFS($P$6:$P$3271,P364,$Q$6:$Q$3271,"&lt;="&amp;Q364,$N$6:$N$3271,Calendar!$K$4),"")</f>
        <v/>
      </c>
      <c r="W364" s="44">
        <f>IF(AND(B364=Queue!$C$4,OR(Queue!$K$4="*",N364=Queue!$K$4)),Q364,"")</f>
        <v/>
      </c>
    </row>
    <row r="365">
      <c r="A365" s="35">
        <f>IF(M365="","",HYPERLINK("https://www.youtube.com/watch?v="&amp;M365,"▶"))</f>
        <v/>
      </c>
      <c r="B365" s="36">
        <f>IF(C365&lt;&gt;"",C365,IF(P365&lt;=IFERROR(INDEX(tblChannels[Watched Through],MATCH(N365,tblChannels[Channel ID],0)),0),"Watched","Unwatched"))</f>
        <v/>
      </c>
      <c r="C365" s="37" t="n"/>
      <c r="D365" s="38" t="n"/>
      <c r="E365" s="39" t="n">
        <v>45784.58125</v>
      </c>
      <c r="F365" s="47" t="inlineStr">
        <is>
          <t>Super Carlin Brothers</t>
        </is>
      </c>
      <c r="G365" t="inlineStr">
        <is>
          <t>J vs Ben: HARDEST Harry Potter First Chapters TRIVIA Quiz</t>
        </is>
      </c>
      <c r="H365" s="41" t="n">
        <v>0.02950231481481481</v>
      </c>
      <c r="I365" s="42" t="n">
        <v>114994</v>
      </c>
      <c r="J365" s="42" t="n">
        <v>3715</v>
      </c>
      <c r="K365" s="42" t="n">
        <v>470</v>
      </c>
      <c r="L365" s="43" t="n"/>
      <c r="M365" s="44" t="n"/>
      <c r="N365" s="44" t="inlineStr">
        <is>
          <t>UCKZo4N0lVPccBkSiuyVh4yg</t>
        </is>
      </c>
      <c r="O365" s="45" t="n">
        <v>45784.74791666667</v>
      </c>
      <c r="P365" s="46" t="n">
        <v>45784</v>
      </c>
      <c r="Q365" s="44" t="n">
        <v>2907</v>
      </c>
      <c r="R365" s="44" t="inlineStr">
        <is>
          <t>No Video ID yet</t>
        </is>
      </c>
      <c r="S365" s="46" t="n"/>
      <c r="T365" s="46" t="n"/>
      <c r="U365" s="44" t="n"/>
      <c r="V365" s="44">
        <f>IF(AND(P365&gt;=Calendar!$K$2,P365&lt;EDATE(Calendar!$K$2,1),OR(Calendar!$K$4="*",N365=Calendar!$K$4)),P365*100+COUNTIFS($P$6:$P$3271,P365,$Q$6:$Q$3271,"&lt;="&amp;Q365,$N$6:$N$3271,Calendar!$K$4),"")</f>
        <v/>
      </c>
      <c r="W365" s="44">
        <f>IF(AND(B365=Queue!$C$4,OR(Queue!$K$4="*",N365=Queue!$K$4)),Q365,"")</f>
        <v/>
      </c>
    </row>
    <row r="366">
      <c r="A366" s="35">
        <f>IF(M366="","",HYPERLINK("https://www.youtube.com/watch?v="&amp;M366,"▶"))</f>
        <v/>
      </c>
      <c r="B366" s="36">
        <f>IF(C366&lt;&gt;"",C366,IF(P366&lt;=IFERROR(INDEX(tblChannels[Watched Through],MATCH(N366,tblChannels[Channel ID],0)),0),"Watched","Unwatched"))</f>
        <v/>
      </c>
      <c r="C366" s="37" t="n"/>
      <c r="D366" s="38" t="n"/>
      <c r="E366" s="39" t="n">
        <v>45782.68680555555</v>
      </c>
      <c r="F366" s="47" t="inlineStr">
        <is>
          <t>Super Carlin Brothers</t>
        </is>
      </c>
      <c r="G366" t="inlineStr">
        <is>
          <t>Hans Is A Personality Mirror #disney</t>
        </is>
      </c>
      <c r="H366" s="41" t="n">
        <v>0.001608796296296296</v>
      </c>
      <c r="I366" s="42" t="n">
        <v>1236816</v>
      </c>
      <c r="J366" s="42" t="n">
        <v>129881</v>
      </c>
      <c r="K366" s="42" t="n">
        <v>823</v>
      </c>
      <c r="L366" s="43" t="n"/>
      <c r="M366" s="44" t="n"/>
      <c r="N366" s="44" t="inlineStr">
        <is>
          <t>UCKZo4N0lVPccBkSiuyVh4yg</t>
        </is>
      </c>
      <c r="O366" s="45" t="n">
        <v>45782.85347222222</v>
      </c>
      <c r="P366" s="46" t="n">
        <v>45782</v>
      </c>
      <c r="Q366" s="44" t="n">
        <v>2906</v>
      </c>
      <c r="R366" s="44" t="inlineStr">
        <is>
          <t>No Video ID yet</t>
        </is>
      </c>
      <c r="S366" s="46" t="n"/>
      <c r="T366" s="46" t="n"/>
      <c r="U366" s="44" t="n"/>
      <c r="V366" s="44">
        <f>IF(AND(P366&gt;=Calendar!$K$2,P366&lt;EDATE(Calendar!$K$2,1),OR(Calendar!$K$4="*",N366=Calendar!$K$4)),P366*100+COUNTIFS($P$6:$P$3271,P366,$Q$6:$Q$3271,"&lt;="&amp;Q366,$N$6:$N$3271,Calendar!$K$4),"")</f>
        <v/>
      </c>
      <c r="W366" s="44">
        <f>IF(AND(B366=Queue!$C$4,OR(Queue!$K$4="*",N366=Queue!$K$4)),Q366,"")</f>
        <v/>
      </c>
    </row>
    <row r="367">
      <c r="A367" s="35">
        <f>IF(M367="","",HYPERLINK("https://www.youtube.com/watch?v="&amp;M367,"▶"))</f>
        <v/>
      </c>
      <c r="B367" s="36">
        <f>IF(C367&lt;&gt;"",C367,IF(P367&lt;=IFERROR(INDEX(tblChannels[Watched Through],MATCH(N367,tblChannels[Channel ID],0)),0),"Watched","Unwatched"))</f>
        <v/>
      </c>
      <c r="C367" s="37" t="n"/>
      <c r="D367" s="38" t="n"/>
      <c r="E367" s="39" t="n">
        <v>45781.41666666666</v>
      </c>
      <c r="F367" s="48" t="inlineStr">
        <is>
          <t>Through The Griffin Door</t>
        </is>
      </c>
      <c r="G367" t="inlineStr">
        <is>
          <t>Chapter 24: Rita Skeeter’s Scoop | Goblet of Fire</t>
        </is>
      </c>
      <c r="H367" s="41" t="n">
        <v>0.07656250000000001</v>
      </c>
      <c r="I367" s="42" t="n">
        <v>58593</v>
      </c>
      <c r="J367" s="42" t="n">
        <v>1493</v>
      </c>
      <c r="K367" s="42" t="n">
        <v>354</v>
      </c>
      <c r="L367" s="43" t="n"/>
      <c r="M367" s="44" t="n"/>
      <c r="N367" s="44" t="inlineStr">
        <is>
          <t>UCEscP6ETYXWSSvsNrDHekMQ</t>
        </is>
      </c>
      <c r="O367" s="45" t="n">
        <v>45781.58333333334</v>
      </c>
      <c r="P367" s="46" t="n">
        <v>45781</v>
      </c>
      <c r="Q367" s="44" t="n">
        <v>2905</v>
      </c>
      <c r="R367" s="44" t="inlineStr">
        <is>
          <t>No Video ID yet</t>
        </is>
      </c>
      <c r="S367" s="46" t="n"/>
      <c r="T367" s="46" t="n"/>
      <c r="U367" s="44" t="n"/>
      <c r="V367" s="44">
        <f>IF(AND(P367&gt;=Calendar!$K$2,P367&lt;EDATE(Calendar!$K$2,1),OR(Calendar!$K$4="*",N367=Calendar!$K$4)),P367*100+COUNTIFS($P$6:$P$3271,P367,$Q$6:$Q$3271,"&lt;="&amp;Q367,$N$6:$N$3271,Calendar!$K$4),"")</f>
        <v/>
      </c>
      <c r="W367" s="44">
        <f>IF(AND(B367=Queue!$C$4,OR(Queue!$K$4="*",N367=Queue!$K$4)),Q367,"")</f>
        <v/>
      </c>
    </row>
    <row r="368">
      <c r="A368" s="35">
        <f>IF(M368="","",HYPERLINK("https://www.youtube.com/watch?v="&amp;M368,"▶"))</f>
        <v/>
      </c>
      <c r="B368" s="36">
        <f>IF(C368&lt;&gt;"",C368,IF(P368&lt;=IFERROR(INDEX(tblChannels[Watched Through],MATCH(N368,tblChannels[Channel ID],0)),0),"Watched","Unwatched"))</f>
        <v/>
      </c>
      <c r="C368" s="37" t="n"/>
      <c r="D368" s="38" t="n"/>
      <c r="E368" s="39" t="n">
        <v>45779.76458333333</v>
      </c>
      <c r="F368" s="47" t="inlineStr">
        <is>
          <t>Super Carlin Brothers</t>
        </is>
      </c>
      <c r="G368" t="inlineStr">
        <is>
          <t>Mother Gothel COACHES The Other Disney Villains | Disney Film Theory</t>
        </is>
      </c>
      <c r="H368" s="41" t="n">
        <v>0.01373842592592593</v>
      </c>
      <c r="I368" s="42" t="n">
        <v>53151</v>
      </c>
      <c r="J368" s="42" t="n">
        <v>2746</v>
      </c>
      <c r="K368" s="42" t="n">
        <v>364</v>
      </c>
      <c r="L368" s="43" t="n"/>
      <c r="M368" s="44" t="n"/>
      <c r="N368" s="44" t="inlineStr">
        <is>
          <t>UCKZo4N0lVPccBkSiuyVh4yg</t>
        </is>
      </c>
      <c r="O368" s="45" t="n">
        <v>45779.93125</v>
      </c>
      <c r="P368" s="46" t="n">
        <v>45779</v>
      </c>
      <c r="Q368" s="44" t="n">
        <v>2904</v>
      </c>
      <c r="R368" s="44" t="inlineStr">
        <is>
          <t>No Video ID yet</t>
        </is>
      </c>
      <c r="S368" s="46" t="n"/>
      <c r="T368" s="46" t="n"/>
      <c r="U368" s="44" t="n"/>
      <c r="V368" s="44">
        <f>IF(AND(P368&gt;=Calendar!$K$2,P368&lt;EDATE(Calendar!$K$2,1),OR(Calendar!$K$4="*",N368=Calendar!$K$4)),P368*100+COUNTIFS($P$6:$P$3271,P368,$Q$6:$Q$3271,"&lt;="&amp;Q368,$N$6:$N$3271,Calendar!$K$4),"")</f>
        <v/>
      </c>
      <c r="W368" s="44">
        <f>IF(AND(B368=Queue!$C$4,OR(Queue!$K$4="*",N368=Queue!$K$4)),Q368,"")</f>
        <v/>
      </c>
    </row>
    <row r="369">
      <c r="A369" s="35">
        <f>IF(M369="","",HYPERLINK("https://www.youtube.com/watch?v="&amp;M369,"▶"))</f>
        <v/>
      </c>
      <c r="B369" s="36">
        <f>IF(C369&lt;&gt;"",C369,IF(P369&lt;=IFERROR(INDEX(tblChannels[Watched Through],MATCH(N369,tblChannels[Channel ID],0)),0),"Watched","Unwatched"))</f>
        <v/>
      </c>
      <c r="C369" s="37" t="n"/>
      <c r="D369" s="38" t="n"/>
      <c r="E369" s="39" t="n">
        <v>45779.69930555556</v>
      </c>
      <c r="F369" s="47" t="inlineStr">
        <is>
          <t>Super Carlin Brothers</t>
        </is>
      </c>
      <c r="G369" t="inlineStr">
        <is>
          <t>Ty Lee Is An Air Nomad! #avatarthelastairbender</t>
        </is>
      </c>
      <c r="H369" s="41" t="n">
        <v>0.002083333333333333</v>
      </c>
      <c r="I369" s="42" t="n">
        <v>635991</v>
      </c>
      <c r="J369" s="42" t="n">
        <v>45085</v>
      </c>
      <c r="K369" s="42" t="n">
        <v>380</v>
      </c>
      <c r="L369" s="43" t="n"/>
      <c r="M369" s="44" t="n"/>
      <c r="N369" s="44" t="inlineStr">
        <is>
          <t>UCKZo4N0lVPccBkSiuyVh4yg</t>
        </is>
      </c>
      <c r="O369" s="45" t="n">
        <v>45779.86597222222</v>
      </c>
      <c r="P369" s="46" t="n">
        <v>45779</v>
      </c>
      <c r="Q369" s="44" t="n">
        <v>2903</v>
      </c>
      <c r="R369" s="44" t="inlineStr">
        <is>
          <t>No Video ID yet</t>
        </is>
      </c>
      <c r="S369" s="46" t="n"/>
      <c r="T369" s="46" t="n"/>
      <c r="U369" s="44" t="n"/>
      <c r="V369" s="44">
        <f>IF(AND(P369&gt;=Calendar!$K$2,P369&lt;EDATE(Calendar!$K$2,1),OR(Calendar!$K$4="*",N369=Calendar!$K$4)),P369*100+COUNTIFS($P$6:$P$3271,P369,$Q$6:$Q$3271,"&lt;="&amp;Q369,$N$6:$N$3271,Calendar!$K$4),"")</f>
        <v/>
      </c>
      <c r="W369" s="44">
        <f>IF(AND(B369=Queue!$C$4,OR(Queue!$K$4="*",N369=Queue!$K$4)),Q369,"")</f>
        <v/>
      </c>
    </row>
    <row r="370">
      <c r="A370" s="35">
        <f>IF(M370="","",HYPERLINK("https://www.youtube.com/watch?v="&amp;M370,"▶"))</f>
        <v/>
      </c>
      <c r="B370" s="36">
        <f>IF(C370&lt;&gt;"",C370,IF(P370&lt;=IFERROR(INDEX(tblChannels[Watched Through],MATCH(N370,tblChannels[Channel ID],0)),0),"Watched","Unwatched"))</f>
        <v/>
      </c>
      <c r="C370" s="37" t="n"/>
      <c r="D370" s="38" t="n"/>
      <c r="E370" s="39" t="n">
        <v>45779.41666666666</v>
      </c>
      <c r="F370" s="40" t="inlineStr">
        <is>
          <t>Popcorn Culture</t>
        </is>
      </c>
      <c r="G370" t="inlineStr">
        <is>
          <t>Ben’s Second Tattoo?? | Popcorn Culture</t>
        </is>
      </c>
      <c r="H370" s="41" t="n">
        <v>0.04649305555555556</v>
      </c>
      <c r="I370" s="42" t="n">
        <v>3621</v>
      </c>
      <c r="J370" s="42" t="n">
        <v>170</v>
      </c>
      <c r="K370" s="42" t="n">
        <v>28</v>
      </c>
      <c r="L370" s="43" t="n"/>
      <c r="M370" s="44" t="n"/>
      <c r="N370" s="44" t="inlineStr">
        <is>
          <t>UCHfIbq9thHPC8yrKjAdJgDA</t>
        </is>
      </c>
      <c r="O370" s="45" t="n">
        <v>45779.58333333334</v>
      </c>
      <c r="P370" s="46" t="n">
        <v>45779</v>
      </c>
      <c r="Q370" s="44" t="n">
        <v>2902</v>
      </c>
      <c r="R370" s="44" t="inlineStr">
        <is>
          <t>No Video ID yet</t>
        </is>
      </c>
      <c r="S370" s="46" t="n"/>
      <c r="T370" s="46" t="n"/>
      <c r="U370" s="44" t="n"/>
      <c r="V370" s="44">
        <f>IF(AND(P370&gt;=Calendar!$K$2,P370&lt;EDATE(Calendar!$K$2,1),OR(Calendar!$K$4="*",N370=Calendar!$K$4)),P370*100+COUNTIFS($P$6:$P$3271,P370,$Q$6:$Q$3271,"&lt;="&amp;Q370,$N$6:$N$3271,Calendar!$K$4),"")</f>
        <v/>
      </c>
      <c r="W370" s="44">
        <f>IF(AND(B370=Queue!$C$4,OR(Queue!$K$4="*",N370=Queue!$K$4)),Q370,"")</f>
        <v/>
      </c>
    </row>
    <row r="371">
      <c r="A371" s="35">
        <f>IF(M371="","",HYPERLINK("https://www.youtube.com/watch?v="&amp;M371,"▶"))</f>
        <v/>
      </c>
      <c r="B371" s="36">
        <f>IF(C371&lt;&gt;"",C371,IF(P371&lt;=IFERROR(INDEX(tblChannels[Watched Through],MATCH(N371,tblChannels[Channel ID],0)),0),"Watched","Unwatched"))</f>
        <v/>
      </c>
      <c r="C371" s="37" t="n"/>
      <c r="D371" s="38" t="n"/>
      <c r="E371" s="39" t="n">
        <v>45777.70972222222</v>
      </c>
      <c r="F371" s="47" t="inlineStr">
        <is>
          <t>Super Carlin Brothers</t>
        </is>
      </c>
      <c r="G371" t="inlineStr">
        <is>
          <t>How To Get A Perfect Score On Space Ranger Spin #disney</t>
        </is>
      </c>
      <c r="H371" s="41" t="n">
        <v>0.001423611111111111</v>
      </c>
      <c r="I371" s="42" t="n">
        <v>653363</v>
      </c>
      <c r="J371" s="42" t="n">
        <v>40382</v>
      </c>
      <c r="K371" s="42" t="n">
        <v>143</v>
      </c>
      <c r="L371" s="43" t="n"/>
      <c r="M371" s="44" t="n"/>
      <c r="N371" s="44" t="inlineStr">
        <is>
          <t>UCKZo4N0lVPccBkSiuyVh4yg</t>
        </is>
      </c>
      <c r="O371" s="45" t="n">
        <v>45777.87638888889</v>
      </c>
      <c r="P371" s="46" t="n">
        <v>45777</v>
      </c>
      <c r="Q371" s="44" t="n">
        <v>2901</v>
      </c>
      <c r="R371" s="44" t="inlineStr">
        <is>
          <t>No Video ID yet</t>
        </is>
      </c>
      <c r="S371" s="46" t="n"/>
      <c r="T371" s="46" t="n"/>
      <c r="U371" s="44" t="n"/>
      <c r="V371" s="44">
        <f>IF(AND(P371&gt;=Calendar!$K$2,P371&lt;EDATE(Calendar!$K$2,1),OR(Calendar!$K$4="*",N371=Calendar!$K$4)),P371*100+COUNTIFS($P$6:$P$3271,P371,$Q$6:$Q$3271,"&lt;="&amp;Q371,$N$6:$N$3271,Calendar!$K$4),"")</f>
        <v/>
      </c>
      <c r="W371" s="44">
        <f>IF(AND(B371=Queue!$C$4,OR(Queue!$K$4="*",N371=Queue!$K$4)),Q371,"")</f>
        <v/>
      </c>
    </row>
    <row r="372">
      <c r="A372" s="35">
        <f>IF(M372="","",HYPERLINK("https://www.youtube.com/watch?v="&amp;M372,"▶"))</f>
        <v/>
      </c>
      <c r="B372" s="36">
        <f>IF(C372&lt;&gt;"",C372,IF(P372&lt;=IFERROR(INDEX(tblChannels[Watched Through],MATCH(N372,tblChannels[Channel ID],0)),0),"Watched","Unwatched"))</f>
        <v/>
      </c>
      <c r="C372" s="37" t="n"/>
      <c r="D372" s="38" t="n"/>
      <c r="E372" s="39" t="n">
        <v>45777.70069444444</v>
      </c>
      <c r="F372" s="47" t="inlineStr">
        <is>
          <t>Super Carlin Brothers</t>
        </is>
      </c>
      <c r="G372" t="inlineStr">
        <is>
          <t>Which Bending Style Is Each Harry Potter Character? | Harry Potter Film Theory</t>
        </is>
      </c>
      <c r="H372" s="41" t="n">
        <v>0.01377314814814815</v>
      </c>
      <c r="I372" s="42" t="n">
        <v>52134</v>
      </c>
      <c r="J372" s="42" t="n">
        <v>2789</v>
      </c>
      <c r="K372" s="42" t="n">
        <v>604</v>
      </c>
      <c r="L372" s="43" t="n"/>
      <c r="M372" s="44" t="n"/>
      <c r="N372" s="44" t="inlineStr">
        <is>
          <t>UCKZo4N0lVPccBkSiuyVh4yg</t>
        </is>
      </c>
      <c r="O372" s="45" t="n">
        <v>45777.86736111111</v>
      </c>
      <c r="P372" s="46" t="n">
        <v>45777</v>
      </c>
      <c r="Q372" s="44" t="n">
        <v>2900</v>
      </c>
      <c r="R372" s="44" t="inlineStr">
        <is>
          <t>No Video ID yet</t>
        </is>
      </c>
      <c r="S372" s="46" t="n"/>
      <c r="T372" s="46" t="n"/>
      <c r="U372" s="44" t="n"/>
      <c r="V372" s="44">
        <f>IF(AND(P372&gt;=Calendar!$K$2,P372&lt;EDATE(Calendar!$K$2,1),OR(Calendar!$K$4="*",N372=Calendar!$K$4)),P372*100+COUNTIFS($P$6:$P$3271,P372,$Q$6:$Q$3271,"&lt;="&amp;Q372,$N$6:$N$3271,Calendar!$K$4),"")</f>
        <v/>
      </c>
      <c r="W372" s="44">
        <f>IF(AND(B372=Queue!$C$4,OR(Queue!$K$4="*",N372=Queue!$K$4)),Q372,"")</f>
        <v/>
      </c>
    </row>
    <row r="373">
      <c r="A373" s="35">
        <f>IF(M373="","",HYPERLINK("https://www.youtube.com/watch?v="&amp;M373,"▶"))</f>
        <v/>
      </c>
      <c r="B373" s="36">
        <f>IF(C373&lt;&gt;"",C373,IF(P373&lt;=IFERROR(INDEX(tblChannels[Watched Through],MATCH(N373,tblChannels[Channel ID],0)),0),"Watched","Unwatched"))</f>
        <v/>
      </c>
      <c r="C373" s="37" t="n"/>
      <c r="D373" s="38" t="n"/>
      <c r="E373" s="39" t="n">
        <v>45775.70694444444</v>
      </c>
      <c r="F373" s="47" t="inlineStr">
        <is>
          <t>Super Carlin Brothers</t>
        </is>
      </c>
      <c r="G373" t="inlineStr">
        <is>
          <t>Tadashi Is ALIVE?! #disney</t>
        </is>
      </c>
      <c r="H373" s="41" t="n">
        <v>0.001979166666666667</v>
      </c>
      <c r="I373" s="42" t="n">
        <v>3211193</v>
      </c>
      <c r="J373" s="42" t="n">
        <v>276647</v>
      </c>
      <c r="K373" s="42" t="n">
        <v>2035</v>
      </c>
      <c r="L373" s="43" t="n"/>
      <c r="M373" s="44" t="n"/>
      <c r="N373" s="44" t="inlineStr">
        <is>
          <t>UCKZo4N0lVPccBkSiuyVh4yg</t>
        </is>
      </c>
      <c r="O373" s="45" t="n">
        <v>45775.87361111111</v>
      </c>
      <c r="P373" s="46" t="n">
        <v>45775</v>
      </c>
      <c r="Q373" s="44" t="n">
        <v>2899</v>
      </c>
      <c r="R373" s="44" t="inlineStr">
        <is>
          <t>No Video ID yet</t>
        </is>
      </c>
      <c r="S373" s="46" t="n"/>
      <c r="T373" s="46" t="n"/>
      <c r="U373" s="44" t="n"/>
      <c r="V373" s="44">
        <f>IF(AND(P373&gt;=Calendar!$K$2,P373&lt;EDATE(Calendar!$K$2,1),OR(Calendar!$K$4="*",N373=Calendar!$K$4)),P373*100+COUNTIFS($P$6:$P$3271,P373,$Q$6:$Q$3271,"&lt;="&amp;Q373,$N$6:$N$3271,Calendar!$K$4),"")</f>
        <v/>
      </c>
      <c r="W373" s="44">
        <f>IF(AND(B373=Queue!$C$4,OR(Queue!$K$4="*",N373=Queue!$K$4)),Q373,"")</f>
        <v/>
      </c>
    </row>
    <row r="374">
      <c r="A374" s="35">
        <f>IF(M374="","",HYPERLINK("https://www.youtube.com/watch?v="&amp;M374,"▶"))</f>
        <v/>
      </c>
      <c r="B374" s="36">
        <f>IF(C374&lt;&gt;"",C374,IF(P374&lt;=IFERROR(INDEX(tblChannels[Watched Through],MATCH(N374,tblChannels[Channel ID],0)),0),"Watched","Unwatched"))</f>
        <v/>
      </c>
      <c r="C374" s="37" t="n"/>
      <c r="D374" s="38" t="n"/>
      <c r="E374" s="39" t="n">
        <v>45774.41666666666</v>
      </c>
      <c r="F374" s="48" t="inlineStr">
        <is>
          <t>Through The Griffin Door</t>
        </is>
      </c>
      <c r="G374" t="inlineStr">
        <is>
          <t>Chapter 23: The Yule Ball | Goblet of Fire</t>
        </is>
      </c>
      <c r="H374" s="41" t="n">
        <v>0.09164351851851851</v>
      </c>
      <c r="I374" s="42" t="n">
        <v>68200</v>
      </c>
      <c r="J374" s="42" t="n">
        <v>1600</v>
      </c>
      <c r="K374" s="42" t="n">
        <v>613</v>
      </c>
      <c r="L374" s="43" t="n"/>
      <c r="M374" s="44" t="n"/>
      <c r="N374" s="44" t="inlineStr">
        <is>
          <t>UCEscP6ETYXWSSvsNrDHekMQ</t>
        </is>
      </c>
      <c r="O374" s="45" t="n">
        <v>45774.58333333334</v>
      </c>
      <c r="P374" s="46" t="n">
        <v>45774</v>
      </c>
      <c r="Q374" s="44" t="n">
        <v>2898</v>
      </c>
      <c r="R374" s="44" t="inlineStr">
        <is>
          <t>No Video ID yet</t>
        </is>
      </c>
      <c r="S374" s="46" t="n"/>
      <c r="T374" s="46" t="n"/>
      <c r="U374" s="44" t="n"/>
      <c r="V374" s="44">
        <f>IF(AND(P374&gt;=Calendar!$K$2,P374&lt;EDATE(Calendar!$K$2,1),OR(Calendar!$K$4="*",N374=Calendar!$K$4)),P374*100+COUNTIFS($P$6:$P$3271,P374,$Q$6:$Q$3271,"&lt;="&amp;Q374,$N$6:$N$3271,Calendar!$K$4),"")</f>
        <v/>
      </c>
      <c r="W374" s="44">
        <f>IF(AND(B374=Queue!$C$4,OR(Queue!$K$4="*",N374=Queue!$K$4)),Q374,"")</f>
        <v/>
      </c>
    </row>
    <row r="375">
      <c r="A375" s="35">
        <f>IF(M375="","",HYPERLINK("https://www.youtube.com/watch?v="&amp;M375,"▶"))</f>
        <v/>
      </c>
      <c r="B375" s="36">
        <f>IF(C375&lt;&gt;"",C375,IF(P375&lt;=IFERROR(INDEX(tblChannels[Watched Through],MATCH(N375,tblChannels[Channel ID],0)),0),"Watched","Unwatched"))</f>
        <v/>
      </c>
      <c r="C375" s="37" t="n"/>
      <c r="D375" s="38" t="n"/>
      <c r="E375" s="39" t="n">
        <v>45773.2375</v>
      </c>
      <c r="F375" s="49" t="inlineStr">
        <is>
          <t>Super Carlin Gaming</t>
        </is>
      </c>
      <c r="G375" t="inlineStr">
        <is>
          <t>SURGING SPARKS - Pokemon Box Breakers SEASON 14-  Episode 3 - 04/25/2025</t>
        </is>
      </c>
      <c r="H375" s="41" t="n">
        <v>0.1204398148148148</v>
      </c>
      <c r="I375" s="42" t="n">
        <v>1076</v>
      </c>
      <c r="J375" s="42" t="n">
        <v>34</v>
      </c>
      <c r="K375" s="42" t="n">
        <v>9</v>
      </c>
      <c r="L375" s="43" t="n"/>
      <c r="M375" s="44" t="n"/>
      <c r="N375" s="44" t="inlineStr">
        <is>
          <t>UCor_9jRnNNZVzTuQ92PKsaQ</t>
        </is>
      </c>
      <c r="O375" s="45" t="n">
        <v>45773.40416666667</v>
      </c>
      <c r="P375" s="46" t="n">
        <v>45773</v>
      </c>
      <c r="Q375" s="44" t="n">
        <v>2897</v>
      </c>
      <c r="R375" s="44" t="inlineStr">
        <is>
          <t>No Video ID yet</t>
        </is>
      </c>
      <c r="S375" s="46" t="n"/>
      <c r="T375" s="46" t="n"/>
      <c r="U375" s="44" t="n"/>
      <c r="V375" s="44">
        <f>IF(AND(P375&gt;=Calendar!$K$2,P375&lt;EDATE(Calendar!$K$2,1),OR(Calendar!$K$4="*",N375=Calendar!$K$4)),P375*100+COUNTIFS($P$6:$P$3271,P375,$Q$6:$Q$3271,"&lt;="&amp;Q375,$N$6:$N$3271,Calendar!$K$4),"")</f>
        <v/>
      </c>
      <c r="W375" s="44">
        <f>IF(AND(B375=Queue!$C$4,OR(Queue!$K$4="*",N375=Queue!$K$4)),Q375,"")</f>
        <v/>
      </c>
    </row>
    <row r="376">
      <c r="A376" s="35">
        <f>IF(M376="","",HYPERLINK("https://www.youtube.com/watch?v="&amp;M376,"▶"))</f>
        <v/>
      </c>
      <c r="B376" s="36">
        <f>IF(C376&lt;&gt;"",C376,IF(P376&lt;=IFERROR(INDEX(tblChannels[Watched Through],MATCH(N376,tblChannels[Channel ID],0)),0),"Watched","Unwatched"))</f>
        <v/>
      </c>
      <c r="C376" s="37" t="n"/>
      <c r="D376" s="38" t="n"/>
      <c r="E376" s="39" t="n">
        <v>45772.71944444445</v>
      </c>
      <c r="F376" s="47" t="inlineStr">
        <is>
          <t>Super Carlin Brothers</t>
        </is>
      </c>
      <c r="G376" t="inlineStr">
        <is>
          <t>Fleur’s SECRET Crush! | Harry Potter Film Theory</t>
        </is>
      </c>
      <c r="H376" s="41" t="n">
        <v>0.01126157407407407</v>
      </c>
      <c r="I376" s="42" t="n">
        <v>84446</v>
      </c>
      <c r="J376" s="42" t="n">
        <v>3875</v>
      </c>
      <c r="K376" s="42" t="n">
        <v>327</v>
      </c>
      <c r="L376" s="43" t="n"/>
      <c r="M376" s="44" t="n"/>
      <c r="N376" s="44" t="inlineStr">
        <is>
          <t>UCKZo4N0lVPccBkSiuyVh4yg</t>
        </is>
      </c>
      <c r="O376" s="45" t="n">
        <v>45772.88611111111</v>
      </c>
      <c r="P376" s="46" t="n">
        <v>45772</v>
      </c>
      <c r="Q376" s="44" t="n">
        <v>2896</v>
      </c>
      <c r="R376" s="44" t="inlineStr">
        <is>
          <t>No Video ID yet</t>
        </is>
      </c>
      <c r="S376" s="46" t="n"/>
      <c r="T376" s="46" t="n"/>
      <c r="U376" s="44" t="n"/>
      <c r="V376" s="44">
        <f>IF(AND(P376&gt;=Calendar!$K$2,P376&lt;EDATE(Calendar!$K$2,1),OR(Calendar!$K$4="*",N376=Calendar!$K$4)),P376*100+COUNTIFS($P$6:$P$3271,P376,$Q$6:$Q$3271,"&lt;="&amp;Q376,$N$6:$N$3271,Calendar!$K$4),"")</f>
        <v/>
      </c>
      <c r="W376" s="44">
        <f>IF(AND(B376=Queue!$C$4,OR(Queue!$K$4="*",N376=Queue!$K$4)),Q376,"")</f>
        <v/>
      </c>
    </row>
    <row r="377">
      <c r="A377" s="35">
        <f>IF(M377="","",HYPERLINK("https://www.youtube.com/watch?v="&amp;M377,"▶"))</f>
        <v/>
      </c>
      <c r="B377" s="36">
        <f>IF(C377&lt;&gt;"",C377,IF(P377&lt;=IFERROR(INDEX(tblChannels[Watched Through],MATCH(N377,tblChannels[Channel ID],0)),0),"Watched","Unwatched"))</f>
        <v/>
      </c>
      <c r="C377" s="37" t="n"/>
      <c r="D377" s="38" t="n"/>
      <c r="E377" s="39" t="n">
        <v>45772.58263888889</v>
      </c>
      <c r="F377" s="47" t="inlineStr">
        <is>
          <t>Super Carlin Brothers</t>
        </is>
      </c>
      <c r="G377" t="inlineStr">
        <is>
          <t>Meg IS Mother Gothel! ☀️ #disney</t>
        </is>
      </c>
      <c r="H377" s="41" t="n">
        <v>0.002025462962962963</v>
      </c>
      <c r="I377" s="42" t="n">
        <v>2338709</v>
      </c>
      <c r="J377" s="42" t="n">
        <v>197942</v>
      </c>
      <c r="K377" s="42" t="n">
        <v>2725</v>
      </c>
      <c r="L377" s="43" t="n"/>
      <c r="M377" s="44" t="n"/>
      <c r="N377" s="44" t="inlineStr">
        <is>
          <t>UCKZo4N0lVPccBkSiuyVh4yg</t>
        </is>
      </c>
      <c r="O377" s="45" t="n">
        <v>45772.74930555555</v>
      </c>
      <c r="P377" s="46" t="n">
        <v>45772</v>
      </c>
      <c r="Q377" s="44" t="n">
        <v>2895</v>
      </c>
      <c r="R377" s="44" t="inlineStr">
        <is>
          <t>No Video ID yet</t>
        </is>
      </c>
      <c r="S377" s="46" t="n"/>
      <c r="T377" s="46" t="n"/>
      <c r="U377" s="44" t="n"/>
      <c r="V377" s="44">
        <f>IF(AND(P377&gt;=Calendar!$K$2,P377&lt;EDATE(Calendar!$K$2,1),OR(Calendar!$K$4="*",N377=Calendar!$K$4)),P377*100+COUNTIFS($P$6:$P$3271,P377,$Q$6:$Q$3271,"&lt;="&amp;Q377,$N$6:$N$3271,Calendar!$K$4),"")</f>
        <v/>
      </c>
      <c r="W377" s="44">
        <f>IF(AND(B377=Queue!$C$4,OR(Queue!$K$4="*",N377=Queue!$K$4)),Q377,"")</f>
        <v/>
      </c>
    </row>
    <row r="378">
      <c r="A378" s="35">
        <f>IF(M378="","",HYPERLINK("https://www.youtube.com/watch?v="&amp;M378,"▶"))</f>
        <v/>
      </c>
      <c r="B378" s="36">
        <f>IF(C378&lt;&gt;"",C378,IF(P378&lt;=IFERROR(INDEX(tblChannels[Watched Through],MATCH(N378,tblChannels[Channel ID],0)),0),"Watched","Unwatched"))</f>
        <v/>
      </c>
      <c r="C378" s="37" t="n"/>
      <c r="D378" s="38" t="n"/>
      <c r="E378" s="39" t="n">
        <v>45772.41666666666</v>
      </c>
      <c r="F378" s="40" t="inlineStr">
        <is>
          <t>Popcorn Culture</t>
        </is>
      </c>
      <c r="G378" t="inlineStr">
        <is>
          <t>WE WENT TO JAPAN! | Popcorn Culture</t>
        </is>
      </c>
      <c r="H378" s="41" t="n">
        <v>0.05480324074074074</v>
      </c>
      <c r="I378" s="42" t="n">
        <v>4021</v>
      </c>
      <c r="J378" s="42" t="n">
        <v>196</v>
      </c>
      <c r="K378" s="42" t="n">
        <v>29</v>
      </c>
      <c r="L378" s="43" t="n"/>
      <c r="M378" s="44" t="n"/>
      <c r="N378" s="44" t="inlineStr">
        <is>
          <t>UCHfIbq9thHPC8yrKjAdJgDA</t>
        </is>
      </c>
      <c r="O378" s="45" t="n">
        <v>45772.58333333334</v>
      </c>
      <c r="P378" s="46" t="n">
        <v>45772</v>
      </c>
      <c r="Q378" s="44" t="n">
        <v>2894</v>
      </c>
      <c r="R378" s="44" t="inlineStr">
        <is>
          <t>No Video ID yet</t>
        </is>
      </c>
      <c r="S378" s="46" t="n"/>
      <c r="T378" s="46" t="n"/>
      <c r="U378" s="44" t="n"/>
      <c r="V378" s="44">
        <f>IF(AND(P378&gt;=Calendar!$K$2,P378&lt;EDATE(Calendar!$K$2,1),OR(Calendar!$K$4="*",N378=Calendar!$K$4)),P378*100+COUNTIFS($P$6:$P$3271,P378,$Q$6:$Q$3271,"&lt;="&amp;Q378,$N$6:$N$3271,Calendar!$K$4),"")</f>
        <v/>
      </c>
      <c r="W378" s="44">
        <f>IF(AND(B378=Queue!$C$4,OR(Queue!$K$4="*",N378=Queue!$K$4)),Q378,"")</f>
        <v/>
      </c>
    </row>
    <row r="379">
      <c r="A379" s="35">
        <f>IF(M379="","",HYPERLINK("https://www.youtube.com/watch?v="&amp;M379,"▶"))</f>
        <v/>
      </c>
      <c r="B379" s="36">
        <f>IF(C379&lt;&gt;"",C379,IF(P379&lt;=IFERROR(INDEX(tblChannels[Watched Through],MATCH(N379,tblChannels[Channel ID],0)),0),"Watched","Unwatched"))</f>
        <v/>
      </c>
      <c r="C379" s="37" t="n"/>
      <c r="D379" s="38" t="n"/>
      <c r="E379" s="39" t="n">
        <v>45770.70208333333</v>
      </c>
      <c r="F379" s="47" t="inlineStr">
        <is>
          <t>Super Carlin Brothers</t>
        </is>
      </c>
      <c r="G379" t="inlineStr">
        <is>
          <t>J vs Ben: HARDEST Deathly Hallows Part 2 Harry Potter Movie TRIVIA Quiz</t>
        </is>
      </c>
      <c r="H379" s="41" t="n">
        <v>0.02927083333333333</v>
      </c>
      <c r="I379" s="42" t="n">
        <v>104873</v>
      </c>
      <c r="J379" s="42" t="n">
        <v>3918</v>
      </c>
      <c r="K379" s="42" t="n">
        <v>541</v>
      </c>
      <c r="L379" s="43" t="n"/>
      <c r="M379" s="44" t="n"/>
      <c r="N379" s="44" t="inlineStr">
        <is>
          <t>UCKZo4N0lVPccBkSiuyVh4yg</t>
        </is>
      </c>
      <c r="O379" s="45" t="n">
        <v>45770.86875</v>
      </c>
      <c r="P379" s="46" t="n">
        <v>45770</v>
      </c>
      <c r="Q379" s="44" t="n">
        <v>2893</v>
      </c>
      <c r="R379" s="44" t="inlineStr">
        <is>
          <t>No Video ID yet</t>
        </is>
      </c>
      <c r="S379" s="46" t="n"/>
      <c r="T379" s="46" t="n"/>
      <c r="U379" s="44" t="n"/>
      <c r="V379" s="44">
        <f>IF(AND(P379&gt;=Calendar!$K$2,P379&lt;EDATE(Calendar!$K$2,1),OR(Calendar!$K$4="*",N379=Calendar!$K$4)),P379*100+COUNTIFS($P$6:$P$3271,P379,$Q$6:$Q$3271,"&lt;="&amp;Q379,$N$6:$N$3271,Calendar!$K$4),"")</f>
        <v/>
      </c>
      <c r="W379" s="44">
        <f>IF(AND(B379=Queue!$C$4,OR(Queue!$K$4="*",N379=Queue!$K$4)),Q379,"")</f>
        <v/>
      </c>
    </row>
    <row r="380">
      <c r="A380" s="35">
        <f>IF(M380="","",HYPERLINK("https://www.youtube.com/watch?v="&amp;M380,"▶"))</f>
        <v/>
      </c>
      <c r="B380" s="36">
        <f>IF(C380&lt;&gt;"",C380,IF(P380&lt;=IFERROR(INDEX(tblChannels[Watched Through],MATCH(N380,tblChannels[Channel ID],0)),0),"Watched","Unwatched"))</f>
        <v/>
      </c>
      <c r="C380" s="37" t="n"/>
      <c r="D380" s="38" t="n"/>
      <c r="E380" s="39" t="n">
        <v>45770.59236111111</v>
      </c>
      <c r="F380" s="47" t="inlineStr">
        <is>
          <t>Super Carlin Brothers</t>
        </is>
      </c>
      <c r="G380" t="inlineStr">
        <is>
          <t>Why Does Woody Have A Holster? #toystory</t>
        </is>
      </c>
      <c r="H380" s="41" t="n">
        <v>0.001990740740740741</v>
      </c>
      <c r="I380" s="42" t="n">
        <v>8882125</v>
      </c>
      <c r="J380" s="42" t="n">
        <v>534185</v>
      </c>
      <c r="K380" s="42" t="n">
        <v>3410</v>
      </c>
      <c r="L380" s="43" t="n"/>
      <c r="M380" s="44" t="n"/>
      <c r="N380" s="44" t="inlineStr">
        <is>
          <t>UCKZo4N0lVPccBkSiuyVh4yg</t>
        </is>
      </c>
      <c r="O380" s="45" t="n">
        <v>45770.75902777778</v>
      </c>
      <c r="P380" s="46" t="n">
        <v>45770</v>
      </c>
      <c r="Q380" s="44" t="n">
        <v>2892</v>
      </c>
      <c r="R380" s="44" t="inlineStr">
        <is>
          <t>No Video ID yet</t>
        </is>
      </c>
      <c r="S380" s="46" t="n"/>
      <c r="T380" s="46" t="n"/>
      <c r="U380" s="44" t="n"/>
      <c r="V380" s="44">
        <f>IF(AND(P380&gt;=Calendar!$K$2,P380&lt;EDATE(Calendar!$K$2,1),OR(Calendar!$K$4="*",N380=Calendar!$K$4)),P380*100+COUNTIFS($P$6:$P$3271,P380,$Q$6:$Q$3271,"&lt;="&amp;Q380,$N$6:$N$3271,Calendar!$K$4),"")</f>
        <v/>
      </c>
      <c r="W380" s="44">
        <f>IF(AND(B380=Queue!$C$4,OR(Queue!$K$4="*",N380=Queue!$K$4)),Q380,"")</f>
        <v/>
      </c>
    </row>
    <row r="381">
      <c r="A381" s="35">
        <f>IF(M381="","",HYPERLINK("https://www.youtube.com/watch?v="&amp;M381,"▶"))</f>
        <v/>
      </c>
      <c r="B381" s="36">
        <f>IF(C381&lt;&gt;"",C381,IF(P381&lt;=IFERROR(INDEX(tblChannels[Watched Through],MATCH(N381,tblChannels[Channel ID],0)),0),"Watched","Unwatched"))</f>
        <v/>
      </c>
      <c r="C381" s="37" t="n"/>
      <c r="D381" s="38" t="n"/>
      <c r="E381" s="39" t="n">
        <v>45770.45833333334</v>
      </c>
      <c r="F381" s="48" t="inlineStr">
        <is>
          <t>Through The Griffin Door</t>
        </is>
      </c>
      <c r="G381" t="inlineStr">
        <is>
          <t>THROUGH THE GRIFFIN TOUR - MIDWEST!</t>
        </is>
      </c>
      <c r="H381" s="41" t="n">
        <v>0.001284722222222222</v>
      </c>
      <c r="I381" s="42" t="n">
        <v>3054</v>
      </c>
      <c r="J381" s="42" t="n">
        <v>192</v>
      </c>
      <c r="K381" s="42" t="n">
        <v>71</v>
      </c>
      <c r="L381" s="43" t="n"/>
      <c r="M381" s="44" t="n"/>
      <c r="N381" s="44" t="inlineStr">
        <is>
          <t>UCEscP6ETYXWSSvsNrDHekMQ</t>
        </is>
      </c>
      <c r="O381" s="45" t="n">
        <v>45770.625</v>
      </c>
      <c r="P381" s="46" t="n">
        <v>45770</v>
      </c>
      <c r="Q381" s="44" t="n">
        <v>2891</v>
      </c>
      <c r="R381" s="44" t="inlineStr">
        <is>
          <t>No Video ID yet</t>
        </is>
      </c>
      <c r="S381" s="46" t="n"/>
      <c r="T381" s="46" t="n"/>
      <c r="U381" s="44" t="n"/>
      <c r="V381" s="44">
        <f>IF(AND(P381&gt;=Calendar!$K$2,P381&lt;EDATE(Calendar!$K$2,1),OR(Calendar!$K$4="*",N381=Calendar!$K$4)),P381*100+COUNTIFS($P$6:$P$3271,P381,$Q$6:$Q$3271,"&lt;="&amp;Q381,$N$6:$N$3271,Calendar!$K$4),"")</f>
        <v/>
      </c>
      <c r="W381" s="44">
        <f>IF(AND(B381=Queue!$C$4,OR(Queue!$K$4="*",N381=Queue!$K$4)),Q381,"")</f>
        <v/>
      </c>
    </row>
    <row r="382">
      <c r="A382" s="35">
        <f>IF(M382="","",HYPERLINK("https://www.youtube.com/watch?v="&amp;M382,"▶"))</f>
        <v/>
      </c>
      <c r="B382" s="36">
        <f>IF(C382&lt;&gt;"",C382,IF(P382&lt;=IFERROR(INDEX(tblChannels[Watched Through],MATCH(N382,tblChannels[Channel ID],0)),0),"Watched","Unwatched"))</f>
        <v/>
      </c>
      <c r="C382" s="37" t="n"/>
      <c r="D382" s="38" t="n"/>
      <c r="E382" s="39" t="n">
        <v>45770.45833333334</v>
      </c>
      <c r="F382" s="47" t="inlineStr">
        <is>
          <t>Super Carlin Brothers</t>
        </is>
      </c>
      <c r="G382" t="inlineStr">
        <is>
          <t>THROUGH THE GRIFFIN TOUR - MIDWEST!</t>
        </is>
      </c>
      <c r="H382" s="41" t="n">
        <v>0.0008449074074074074</v>
      </c>
      <c r="I382" s="42" t="n">
        <v>5909</v>
      </c>
      <c r="J382" s="42" t="n">
        <v>271</v>
      </c>
      <c r="K382" s="42" t="n">
        <v>102</v>
      </c>
      <c r="L382" s="43" t="n"/>
      <c r="M382" s="44" t="n"/>
      <c r="N382" s="44" t="inlineStr">
        <is>
          <t>UCKZo4N0lVPccBkSiuyVh4yg</t>
        </is>
      </c>
      <c r="O382" s="45" t="n">
        <v>45770.625</v>
      </c>
      <c r="P382" s="46" t="n">
        <v>45770</v>
      </c>
      <c r="Q382" s="44" t="n">
        <v>2890</v>
      </c>
      <c r="R382" s="44" t="inlineStr">
        <is>
          <t>No Video ID yet</t>
        </is>
      </c>
      <c r="S382" s="46" t="n"/>
      <c r="T382" s="46" t="n"/>
      <c r="U382" s="44" t="n"/>
      <c r="V382" s="44">
        <f>IF(AND(P382&gt;=Calendar!$K$2,P382&lt;EDATE(Calendar!$K$2,1),OR(Calendar!$K$4="*",N382=Calendar!$K$4)),P382*100+COUNTIFS($P$6:$P$3271,P382,$Q$6:$Q$3271,"&lt;="&amp;Q382,$N$6:$N$3271,Calendar!$K$4),"")</f>
        <v/>
      </c>
      <c r="W382" s="44">
        <f>IF(AND(B382=Queue!$C$4,OR(Queue!$K$4="*",N382=Queue!$K$4)),Q382,"")</f>
        <v/>
      </c>
    </row>
    <row r="383">
      <c r="A383" s="35">
        <f>IF(M383="","",HYPERLINK("https://www.youtube.com/watch?v="&amp;M383,"▶"))</f>
        <v/>
      </c>
      <c r="B383" s="36">
        <f>IF(C383&lt;&gt;"",C383,IF(P383&lt;=IFERROR(INDEX(tblChannels[Watched Through],MATCH(N383,tblChannels[Channel ID],0)),0),"Watched","Unwatched"))</f>
        <v/>
      </c>
      <c r="C383" s="37" t="n"/>
      <c r="D383" s="38" t="n"/>
      <c r="E383" s="39" t="n">
        <v>45767.41666666666</v>
      </c>
      <c r="F383" s="48" t="inlineStr">
        <is>
          <t>Through The Griffin Door</t>
        </is>
      </c>
      <c r="G383" t="inlineStr">
        <is>
          <t>Chapter 22: The Unexpected Task | Goblet of Fire</t>
        </is>
      </c>
      <c r="H383" s="41" t="n">
        <v>0.06768518518518518</v>
      </c>
      <c r="I383" s="42" t="n">
        <v>58819</v>
      </c>
      <c r="J383" s="42" t="n">
        <v>1534</v>
      </c>
      <c r="K383" s="42" t="n">
        <v>458</v>
      </c>
      <c r="L383" s="43" t="n"/>
      <c r="M383" s="44" t="n"/>
      <c r="N383" s="44" t="inlineStr">
        <is>
          <t>UCEscP6ETYXWSSvsNrDHekMQ</t>
        </is>
      </c>
      <c r="O383" s="45" t="n">
        <v>45767.58333333334</v>
      </c>
      <c r="P383" s="46" t="n">
        <v>45767</v>
      </c>
      <c r="Q383" s="44" t="n">
        <v>2889</v>
      </c>
      <c r="R383" s="44" t="inlineStr">
        <is>
          <t>No Video ID yet</t>
        </is>
      </c>
      <c r="S383" s="46" t="n"/>
      <c r="T383" s="46" t="n"/>
      <c r="U383" s="44" t="n"/>
      <c r="V383" s="44">
        <f>IF(AND(P383&gt;=Calendar!$K$2,P383&lt;EDATE(Calendar!$K$2,1),OR(Calendar!$K$4="*",N383=Calendar!$K$4)),P383*100+COUNTIFS($P$6:$P$3271,P383,$Q$6:$Q$3271,"&lt;="&amp;Q383,$N$6:$N$3271,Calendar!$K$4),"")</f>
        <v/>
      </c>
      <c r="W383" s="44">
        <f>IF(AND(B383=Queue!$C$4,OR(Queue!$K$4="*",N383=Queue!$K$4)),Q383,"")</f>
        <v/>
      </c>
    </row>
    <row r="384">
      <c r="A384" s="35">
        <f>IF(M384="","",HYPERLINK("https://www.youtube.com/watch?v="&amp;M384,"▶"))</f>
        <v/>
      </c>
      <c r="B384" s="36">
        <f>IF(C384&lt;&gt;"",C384,IF(P384&lt;=IFERROR(INDEX(tblChannels[Watched Through],MATCH(N384,tblChannels[Channel ID],0)),0),"Watched","Unwatched"))</f>
        <v/>
      </c>
      <c r="C384" s="37" t="n"/>
      <c r="D384" s="38" t="n"/>
      <c r="E384" s="39" t="n">
        <v>45766.41736111111</v>
      </c>
      <c r="F384" s="47" t="inlineStr">
        <is>
          <t>Super Carlin Brothers</t>
        </is>
      </c>
      <c r="G384" t="inlineStr">
        <is>
          <t>Through the Griffin Door Supercut: Goblet of Fire Chapters 19-21</t>
        </is>
      </c>
      <c r="H384" s="41" t="n">
        <v>0.2107175925925926</v>
      </c>
      <c r="I384" s="42" t="n">
        <v>15746</v>
      </c>
      <c r="J384" s="42" t="n">
        <v>245</v>
      </c>
      <c r="K384" s="42" t="n">
        <v>42</v>
      </c>
      <c r="L384" s="43" t="n"/>
      <c r="M384" s="44" t="n"/>
      <c r="N384" s="44" t="inlineStr">
        <is>
          <t>UCKZo4N0lVPccBkSiuyVh4yg</t>
        </is>
      </c>
      <c r="O384" s="45" t="n">
        <v>45766.58402777778</v>
      </c>
      <c r="P384" s="46" t="n">
        <v>45766</v>
      </c>
      <c r="Q384" s="44" t="n">
        <v>2888</v>
      </c>
      <c r="R384" s="44" t="inlineStr">
        <is>
          <t>No Video ID yet</t>
        </is>
      </c>
      <c r="S384" s="46" t="n"/>
      <c r="T384" s="46" t="n"/>
      <c r="U384" s="44" t="n"/>
      <c r="V384" s="44">
        <f>IF(AND(P384&gt;=Calendar!$K$2,P384&lt;EDATE(Calendar!$K$2,1),OR(Calendar!$K$4="*",N384=Calendar!$K$4)),P384*100+COUNTIFS($P$6:$P$3271,P384,$Q$6:$Q$3271,"&lt;="&amp;Q384,$N$6:$N$3271,Calendar!$K$4),"")</f>
        <v/>
      </c>
      <c r="W384" s="44">
        <f>IF(AND(B384=Queue!$C$4,OR(Queue!$K$4="*",N384=Queue!$K$4)),Q384,"")</f>
        <v/>
      </c>
    </row>
    <row r="385">
      <c r="A385" s="35">
        <f>IF(M385="","",HYPERLINK("https://www.youtube.com/watch?v="&amp;M385,"▶"))</f>
        <v/>
      </c>
      <c r="B385" s="36">
        <f>IF(C385&lt;&gt;"",C385,IF(P385&lt;=IFERROR(INDEX(tblChannels[Watched Through],MATCH(N385,tblChannels[Channel ID],0)),0),"Watched","Unwatched"))</f>
        <v/>
      </c>
      <c r="C385" s="37" t="n"/>
      <c r="D385" s="38" t="n"/>
      <c r="E385" s="39" t="n">
        <v>45766.37638888889</v>
      </c>
      <c r="F385" s="47" t="inlineStr">
        <is>
          <t>Super Carlin Brothers</t>
        </is>
      </c>
      <c r="G385" t="inlineStr">
        <is>
          <t>Harry Could’ve Controlled the Basilisk 😳</t>
        </is>
      </c>
      <c r="H385" s="41" t="n">
        <v>0.001111111111111111</v>
      </c>
      <c r="I385" s="42" t="n">
        <v>111663</v>
      </c>
      <c r="J385" s="42" t="n">
        <v>7271</v>
      </c>
      <c r="K385" s="42" t="n">
        <v>202</v>
      </c>
      <c r="L385" s="43" t="n"/>
      <c r="M385" s="44" t="n"/>
      <c r="N385" s="44" t="inlineStr">
        <is>
          <t>UCKZo4N0lVPccBkSiuyVh4yg</t>
        </is>
      </c>
      <c r="O385" s="45" t="n">
        <v>45766.54305555556</v>
      </c>
      <c r="P385" s="46" t="n">
        <v>45766</v>
      </c>
      <c r="Q385" s="44" t="n">
        <v>2887</v>
      </c>
      <c r="R385" s="44" t="inlineStr">
        <is>
          <t>No Video ID yet</t>
        </is>
      </c>
      <c r="S385" s="46" t="n"/>
      <c r="T385" s="46" t="n"/>
      <c r="U385" s="44" t="n"/>
      <c r="V385" s="44">
        <f>IF(AND(P385&gt;=Calendar!$K$2,P385&lt;EDATE(Calendar!$K$2,1),OR(Calendar!$K$4="*",N385=Calendar!$K$4)),P385*100+COUNTIFS($P$6:$P$3271,P385,$Q$6:$Q$3271,"&lt;="&amp;Q385,$N$6:$N$3271,Calendar!$K$4),"")</f>
        <v/>
      </c>
      <c r="W385" s="44">
        <f>IF(AND(B385=Queue!$C$4,OR(Queue!$K$4="*",N385=Queue!$K$4)),Q385,"")</f>
        <v/>
      </c>
    </row>
    <row r="386">
      <c r="A386" s="35">
        <f>IF(M386="","",HYPERLINK("https://www.youtube.com/watch?v="&amp;M386,"▶"))</f>
        <v/>
      </c>
      <c r="B386" s="36">
        <f>IF(C386&lt;&gt;"",C386,IF(P386&lt;=IFERROR(INDEX(tblChannels[Watched Through],MATCH(N386,tblChannels[Channel ID],0)),0),"Watched","Unwatched"))</f>
        <v/>
      </c>
      <c r="C386" s="37" t="n"/>
      <c r="D386" s="38" t="n"/>
      <c r="E386" s="39" t="n">
        <v>45765.625</v>
      </c>
      <c r="F386" s="47" t="inlineStr">
        <is>
          <t>Super Carlin Brothers</t>
        </is>
      </c>
      <c r="G386" t="inlineStr">
        <is>
          <t>What is Hagrid’s House? - REACTING to Our Old Theories!</t>
        </is>
      </c>
      <c r="H386" s="41" t="n">
        <v>0.02274305555555555</v>
      </c>
      <c r="I386" s="42" t="n">
        <v>142160</v>
      </c>
      <c r="J386" s="42" t="n">
        <v>5433</v>
      </c>
      <c r="K386" s="42" t="n">
        <v>651</v>
      </c>
      <c r="L386" s="43" t="n"/>
      <c r="M386" s="44" t="n"/>
      <c r="N386" s="44" t="inlineStr">
        <is>
          <t>UCKZo4N0lVPccBkSiuyVh4yg</t>
        </is>
      </c>
      <c r="O386" s="45" t="n">
        <v>45765.79166666666</v>
      </c>
      <c r="P386" s="46" t="n">
        <v>45765</v>
      </c>
      <c r="Q386" s="44" t="n">
        <v>2886</v>
      </c>
      <c r="R386" s="44" t="inlineStr">
        <is>
          <t>No Video ID yet</t>
        </is>
      </c>
      <c r="S386" s="46" t="n"/>
      <c r="T386" s="46" t="n"/>
      <c r="U386" s="44" t="n"/>
      <c r="V386" s="44">
        <f>IF(AND(P386&gt;=Calendar!$K$2,P386&lt;EDATE(Calendar!$K$2,1),OR(Calendar!$K$4="*",N386=Calendar!$K$4)),P386*100+COUNTIFS($P$6:$P$3271,P386,$Q$6:$Q$3271,"&lt;="&amp;Q386,$N$6:$N$3271,Calendar!$K$4),"")</f>
        <v/>
      </c>
      <c r="W386" s="44">
        <f>IF(AND(B386=Queue!$C$4,OR(Queue!$K$4="*",N386=Queue!$K$4)),Q386,"")</f>
        <v/>
      </c>
    </row>
    <row r="387">
      <c r="A387" s="35">
        <f>IF(M387="","",HYPERLINK("https://www.youtube.com/watch?v="&amp;M387,"▶"))</f>
        <v/>
      </c>
      <c r="B387" s="36">
        <f>IF(C387&lt;&gt;"",C387,IF(P387&lt;=IFERROR(INDEX(tblChannels[Watched Through],MATCH(N387,tblChannels[Channel ID],0)),0),"Watched","Unwatched"))</f>
        <v/>
      </c>
      <c r="C387" s="37" t="n"/>
      <c r="D387" s="38" t="n"/>
      <c r="E387" s="39" t="n">
        <v>45765.41666666666</v>
      </c>
      <c r="F387" s="40" t="inlineStr">
        <is>
          <t>Popcorn Culture</t>
        </is>
      </c>
      <c r="G387" t="inlineStr">
        <is>
          <t>J Charges a Herd of Deer | Popcorn Culture</t>
        </is>
      </c>
      <c r="H387" s="41" t="n">
        <v>0.04195601851851852</v>
      </c>
      <c r="I387" s="42" t="n">
        <v>3082</v>
      </c>
      <c r="J387" s="42" t="n">
        <v>153</v>
      </c>
      <c r="K387" s="42" t="n">
        <v>22</v>
      </c>
      <c r="L387" s="43" t="n"/>
      <c r="M387" s="44" t="n"/>
      <c r="N387" s="44" t="inlineStr">
        <is>
          <t>UCHfIbq9thHPC8yrKjAdJgDA</t>
        </is>
      </c>
      <c r="O387" s="45" t="n">
        <v>45765.58333333334</v>
      </c>
      <c r="P387" s="46" t="n">
        <v>45765</v>
      </c>
      <c r="Q387" s="44" t="n">
        <v>2885</v>
      </c>
      <c r="R387" s="44" t="inlineStr">
        <is>
          <t>No Video ID yet</t>
        </is>
      </c>
      <c r="S387" s="46" t="n"/>
      <c r="T387" s="46" t="n"/>
      <c r="U387" s="44" t="n"/>
      <c r="V387" s="44">
        <f>IF(AND(P387&gt;=Calendar!$K$2,P387&lt;EDATE(Calendar!$K$2,1),OR(Calendar!$K$4="*",N387=Calendar!$K$4)),P387*100+COUNTIFS($P$6:$P$3271,P387,$Q$6:$Q$3271,"&lt;="&amp;Q387,$N$6:$N$3271,Calendar!$K$4),"")</f>
        <v/>
      </c>
      <c r="W387" s="44">
        <f>IF(AND(B387=Queue!$C$4,OR(Queue!$K$4="*",N387=Queue!$K$4)),Q387,"")</f>
        <v/>
      </c>
    </row>
    <row r="388">
      <c r="A388" s="35">
        <f>IF(M388="","",HYPERLINK("https://www.youtube.com/watch?v="&amp;M388,"▶"))</f>
        <v/>
      </c>
      <c r="B388" s="36">
        <f>IF(C388&lt;&gt;"",C388,IF(P388&lt;=IFERROR(INDEX(tblChannels[Watched Through],MATCH(N388,tblChannels[Channel ID],0)),0),"Watched","Unwatched"))</f>
        <v/>
      </c>
      <c r="C388" s="37" t="n"/>
      <c r="D388" s="38" t="n"/>
      <c r="E388" s="39" t="n">
        <v>45763.90555555555</v>
      </c>
      <c r="F388" s="47" t="inlineStr">
        <is>
          <t>Super Carlin Brothers</t>
        </is>
      </c>
      <c r="G388" t="inlineStr">
        <is>
          <t>Quidditch is DUMB!.. Ever heard of Swivenhodge? #harrypotter</t>
        </is>
      </c>
      <c r="H388" s="41" t="n">
        <v>0.0004282407407407408</v>
      </c>
      <c r="I388" s="42" t="n">
        <v>58808</v>
      </c>
      <c r="J388" s="42" t="n">
        <v>2479</v>
      </c>
      <c r="K388" s="42" t="n">
        <v>46</v>
      </c>
      <c r="L388" s="43" t="n"/>
      <c r="M388" s="44" t="n"/>
      <c r="N388" s="44" t="inlineStr">
        <is>
          <t>UCKZo4N0lVPccBkSiuyVh4yg</t>
        </is>
      </c>
      <c r="O388" s="45" t="n">
        <v>45764.07222222222</v>
      </c>
      <c r="P388" s="46" t="n">
        <v>45763</v>
      </c>
      <c r="Q388" s="44" t="n">
        <v>2884</v>
      </c>
      <c r="R388" s="44" t="inlineStr">
        <is>
          <t>No Video ID yet</t>
        </is>
      </c>
      <c r="S388" s="46" t="n"/>
      <c r="T388" s="46" t="n"/>
      <c r="U388" s="44" t="n"/>
      <c r="V388" s="44">
        <f>IF(AND(P388&gt;=Calendar!$K$2,P388&lt;EDATE(Calendar!$K$2,1),OR(Calendar!$K$4="*",N388=Calendar!$K$4)),P388*100+COUNTIFS($P$6:$P$3271,P388,$Q$6:$Q$3271,"&lt;="&amp;Q388,$N$6:$N$3271,Calendar!$K$4),"")</f>
        <v/>
      </c>
      <c r="W388" s="44">
        <f>IF(AND(B388=Queue!$C$4,OR(Queue!$K$4="*",N388=Queue!$K$4)),Q388,"")</f>
        <v/>
      </c>
    </row>
    <row r="389">
      <c r="A389" s="35">
        <f>IF(M389="","",HYPERLINK("https://www.youtube.com/watch?v="&amp;M389,"▶"))</f>
        <v/>
      </c>
      <c r="B389" s="36">
        <f>IF(C389&lt;&gt;"",C389,IF(P389&lt;=IFERROR(INDEX(tblChannels[Watched Through],MATCH(N389,tblChannels[Channel ID],0)),0),"Watched","Unwatched"))</f>
        <v/>
      </c>
      <c r="C389" s="37" t="n"/>
      <c r="D389" s="38" t="n"/>
      <c r="E389" s="39" t="n">
        <v>45763.74583333333</v>
      </c>
      <c r="F389" s="47" t="inlineStr">
        <is>
          <t>Super Carlin Brothers</t>
        </is>
      </c>
      <c r="G389" t="inlineStr">
        <is>
          <t>Why Harry Is The OPPOSITE of Neville | Harry Potter Film Theory</t>
        </is>
      </c>
      <c r="H389" s="41" t="n">
        <v>0.01012731481481481</v>
      </c>
      <c r="I389" s="42" t="n">
        <v>73849</v>
      </c>
      <c r="J389" s="42" t="n">
        <v>3782</v>
      </c>
      <c r="K389" s="42" t="n">
        <v>381</v>
      </c>
      <c r="L389" s="43" t="n"/>
      <c r="M389" s="44" t="n"/>
      <c r="N389" s="44" t="inlineStr">
        <is>
          <t>UCKZo4N0lVPccBkSiuyVh4yg</t>
        </is>
      </c>
      <c r="O389" s="45" t="n">
        <v>45763.9125</v>
      </c>
      <c r="P389" s="46" t="n">
        <v>45763</v>
      </c>
      <c r="Q389" s="44" t="n">
        <v>2883</v>
      </c>
      <c r="R389" s="44" t="inlineStr">
        <is>
          <t>No Video ID yet</t>
        </is>
      </c>
      <c r="S389" s="46" t="n"/>
      <c r="T389" s="46" t="n"/>
      <c r="U389" s="44" t="n"/>
      <c r="V389" s="44">
        <f>IF(AND(P389&gt;=Calendar!$K$2,P389&lt;EDATE(Calendar!$K$2,1),OR(Calendar!$K$4="*",N389=Calendar!$K$4)),P389*100+COUNTIFS($P$6:$P$3271,P389,$Q$6:$Q$3271,"&lt;="&amp;Q389,$N$6:$N$3271,Calendar!$K$4),"")</f>
        <v/>
      </c>
      <c r="W389" s="44">
        <f>IF(AND(B389=Queue!$C$4,OR(Queue!$K$4="*",N389=Queue!$K$4)),Q389,"")</f>
        <v/>
      </c>
    </row>
    <row r="390">
      <c r="A390" s="35">
        <f>IF(M390="","",HYPERLINK("https://www.youtube.com/watch?v="&amp;M390,"▶"))</f>
        <v/>
      </c>
      <c r="B390" s="36">
        <f>IF(C390&lt;&gt;"",C390,IF(P390&lt;=IFERROR(INDEX(tblChannels[Watched Through],MATCH(N390,tblChannels[Channel ID],0)),0),"Watched","Unwatched"))</f>
        <v/>
      </c>
      <c r="C390" s="37" t="n"/>
      <c r="D390" s="38" t="n"/>
      <c r="E390" s="39" t="n">
        <v>45761.63125</v>
      </c>
      <c r="F390" s="47" t="inlineStr">
        <is>
          <t>Super Carlin Brothers</t>
        </is>
      </c>
      <c r="G390" t="inlineStr">
        <is>
          <t>Blood-Math in Harry Potter Explained🩸 #harrypotter</t>
        </is>
      </c>
      <c r="H390" s="41" t="n">
        <v>0.001574074074074074</v>
      </c>
      <c r="I390" s="42" t="n">
        <v>850402</v>
      </c>
      <c r="J390" s="42" t="n">
        <v>46355</v>
      </c>
      <c r="K390" s="42" t="n">
        <v>1177</v>
      </c>
      <c r="L390" s="43" t="n"/>
      <c r="M390" s="44" t="n"/>
      <c r="N390" s="44" t="inlineStr">
        <is>
          <t>UCKZo4N0lVPccBkSiuyVh4yg</t>
        </is>
      </c>
      <c r="O390" s="45" t="n">
        <v>45761.79791666667</v>
      </c>
      <c r="P390" s="46" t="n">
        <v>45761</v>
      </c>
      <c r="Q390" s="44" t="n">
        <v>2882</v>
      </c>
      <c r="R390" s="44" t="inlineStr">
        <is>
          <t>No Video ID yet</t>
        </is>
      </c>
      <c r="S390" s="46" t="n"/>
      <c r="T390" s="46" t="n"/>
      <c r="U390" s="44" t="n"/>
      <c r="V390" s="44">
        <f>IF(AND(P390&gt;=Calendar!$K$2,P390&lt;EDATE(Calendar!$K$2,1),OR(Calendar!$K$4="*",N390=Calendar!$K$4)),P390*100+COUNTIFS($P$6:$P$3271,P390,$Q$6:$Q$3271,"&lt;="&amp;Q390,$N$6:$N$3271,Calendar!$K$4),"")</f>
        <v/>
      </c>
      <c r="W390" s="44">
        <f>IF(AND(B390=Queue!$C$4,OR(Queue!$K$4="*",N390=Queue!$K$4)),Q390,"")</f>
        <v/>
      </c>
    </row>
    <row r="391">
      <c r="A391" s="35">
        <f>IF(M391="","",HYPERLINK("https://www.youtube.com/watch?v="&amp;M391,"▶"))</f>
        <v/>
      </c>
      <c r="B391" s="36">
        <f>IF(C391&lt;&gt;"",C391,IF(P391&lt;=IFERROR(INDEX(tblChannels[Watched Through],MATCH(N391,tblChannels[Channel ID],0)),0),"Watched","Unwatched"))</f>
        <v/>
      </c>
      <c r="C391" s="37" t="n"/>
      <c r="D391" s="38" t="n"/>
      <c r="E391" s="39" t="n">
        <v>45760.41736111111</v>
      </c>
      <c r="F391" s="48" t="inlineStr">
        <is>
          <t>Through The Griffin Door</t>
        </is>
      </c>
      <c r="G391" t="inlineStr">
        <is>
          <t>Chapter 21: The House Elf Liberation Front | Goblet of Fire</t>
        </is>
      </c>
      <c r="H391" s="41" t="n">
        <v>0.07363425925925926</v>
      </c>
      <c r="I391" s="42" t="n">
        <v>60387</v>
      </c>
      <c r="J391" s="42" t="n">
        <v>1591</v>
      </c>
      <c r="K391" s="42" t="n">
        <v>438</v>
      </c>
      <c r="L391" s="43" t="n"/>
      <c r="M391" s="44" t="n"/>
      <c r="N391" s="44" t="inlineStr">
        <is>
          <t>UCEscP6ETYXWSSvsNrDHekMQ</t>
        </is>
      </c>
      <c r="O391" s="45" t="n">
        <v>45760.58402777778</v>
      </c>
      <c r="P391" s="46" t="n">
        <v>45760</v>
      </c>
      <c r="Q391" s="44" t="n">
        <v>2881</v>
      </c>
      <c r="R391" s="44" t="inlineStr">
        <is>
          <t>No Video ID yet</t>
        </is>
      </c>
      <c r="S391" s="46" t="n"/>
      <c r="T391" s="46" t="n"/>
      <c r="U391" s="44" t="n"/>
      <c r="V391" s="44">
        <f>IF(AND(P391&gt;=Calendar!$K$2,P391&lt;EDATE(Calendar!$K$2,1),OR(Calendar!$K$4="*",N391=Calendar!$K$4)),P391*100+COUNTIFS($P$6:$P$3271,P391,$Q$6:$Q$3271,"&lt;="&amp;Q391,$N$6:$N$3271,Calendar!$K$4),"")</f>
        <v/>
      </c>
      <c r="W391" s="44">
        <f>IF(AND(B391=Queue!$C$4,OR(Queue!$K$4="*",N391=Queue!$K$4)),Q391,"")</f>
        <v/>
      </c>
    </row>
    <row r="392">
      <c r="A392" s="35">
        <f>IF(M392="","",HYPERLINK("https://www.youtube.com/watch?v="&amp;M392,"▶"))</f>
        <v/>
      </c>
      <c r="B392" s="36">
        <f>IF(C392&lt;&gt;"",C392,IF(P392&lt;=IFERROR(INDEX(tblChannels[Watched Through],MATCH(N392,tblChannels[Channel ID],0)),0),"Watched","Unwatched"))</f>
        <v/>
      </c>
      <c r="C392" s="37" t="n"/>
      <c r="D392" s="38" t="n"/>
      <c r="E392" s="39" t="n">
        <v>45758.67638888889</v>
      </c>
      <c r="F392" s="47" t="inlineStr">
        <is>
          <t>Super Carlin Brothers</t>
        </is>
      </c>
      <c r="G392" t="inlineStr">
        <is>
          <t>The DARK Origin Of Barty Crouch Jr | Harry Potter Film Theory</t>
        </is>
      </c>
      <c r="H392" s="41" t="n">
        <v>0.01092592592592593</v>
      </c>
      <c r="I392" s="42" t="n">
        <v>152311</v>
      </c>
      <c r="J392" s="42" t="n">
        <v>6002</v>
      </c>
      <c r="K392" s="42" t="n">
        <v>546</v>
      </c>
      <c r="L392" s="43" t="n"/>
      <c r="M392" s="44" t="n"/>
      <c r="N392" s="44" t="inlineStr">
        <is>
          <t>UCKZo4N0lVPccBkSiuyVh4yg</t>
        </is>
      </c>
      <c r="O392" s="45" t="n">
        <v>45758.84305555555</v>
      </c>
      <c r="P392" s="46" t="n">
        <v>45758</v>
      </c>
      <c r="Q392" s="44" t="n">
        <v>2880</v>
      </c>
      <c r="R392" s="44" t="inlineStr">
        <is>
          <t>No Video ID yet</t>
        </is>
      </c>
      <c r="S392" s="46" t="n"/>
      <c r="T392" s="46" t="n"/>
      <c r="U392" s="44" t="n"/>
      <c r="V392" s="44">
        <f>IF(AND(P392&gt;=Calendar!$K$2,P392&lt;EDATE(Calendar!$K$2,1),OR(Calendar!$K$4="*",N392=Calendar!$K$4)),P392*100+COUNTIFS($P$6:$P$3271,P392,$Q$6:$Q$3271,"&lt;="&amp;Q392,$N$6:$N$3271,Calendar!$K$4),"")</f>
        <v/>
      </c>
      <c r="W392" s="44">
        <f>IF(AND(B392=Queue!$C$4,OR(Queue!$K$4="*",N392=Queue!$K$4)),Q392,"")</f>
        <v/>
      </c>
    </row>
    <row r="393">
      <c r="A393" s="35">
        <f>IF(M393="","",HYPERLINK("https://www.youtube.com/watch?v="&amp;M393,"▶"))</f>
        <v/>
      </c>
      <c r="B393" s="36">
        <f>IF(C393&lt;&gt;"",C393,IF(P393&lt;=IFERROR(INDEX(tblChannels[Watched Through],MATCH(N393,tblChannels[Channel ID],0)),0),"Watched","Unwatched"))</f>
        <v/>
      </c>
      <c r="C393" s="37" t="n"/>
      <c r="D393" s="38" t="n"/>
      <c r="E393" s="39" t="n">
        <v>45758.47222222222</v>
      </c>
      <c r="F393" s="47" t="inlineStr">
        <is>
          <t>Super Carlin Brothers</t>
        </is>
      </c>
      <c r="G393" t="inlineStr">
        <is>
          <t>Dumbledore Gaslights Snape.. #harrypotter</t>
        </is>
      </c>
      <c r="H393" s="41" t="n">
        <v>0.001712962962962963</v>
      </c>
      <c r="I393" s="42" t="n">
        <v>75596</v>
      </c>
      <c r="J393" s="42" t="n">
        <v>5273</v>
      </c>
      <c r="K393" s="42" t="n">
        <v>245</v>
      </c>
      <c r="L393" s="43" t="n"/>
      <c r="M393" s="44" t="n"/>
      <c r="N393" s="44" t="inlineStr">
        <is>
          <t>UCKZo4N0lVPccBkSiuyVh4yg</t>
        </is>
      </c>
      <c r="O393" s="45" t="n">
        <v>45758.63888888889</v>
      </c>
      <c r="P393" s="46" t="n">
        <v>45758</v>
      </c>
      <c r="Q393" s="44" t="n">
        <v>2879</v>
      </c>
      <c r="R393" s="44" t="inlineStr">
        <is>
          <t>No Video ID yet</t>
        </is>
      </c>
      <c r="S393" s="46" t="n"/>
      <c r="T393" s="46" t="n"/>
      <c r="U393" s="44" t="n"/>
      <c r="V393" s="44">
        <f>IF(AND(P393&gt;=Calendar!$K$2,P393&lt;EDATE(Calendar!$K$2,1),OR(Calendar!$K$4="*",N393=Calendar!$K$4)),P393*100+COUNTIFS($P$6:$P$3271,P393,$Q$6:$Q$3271,"&lt;="&amp;Q393,$N$6:$N$3271,Calendar!$K$4),"")</f>
        <v/>
      </c>
      <c r="W393" s="44">
        <f>IF(AND(B393=Queue!$C$4,OR(Queue!$K$4="*",N393=Queue!$K$4)),Q393,"")</f>
        <v/>
      </c>
    </row>
    <row r="394">
      <c r="A394" s="35">
        <f>IF(M394="","",HYPERLINK("https://www.youtube.com/watch?v="&amp;M394,"▶"))</f>
        <v/>
      </c>
      <c r="B394" s="36">
        <f>IF(C394&lt;&gt;"",C394,IF(P394&lt;=IFERROR(INDEX(tblChannels[Watched Through],MATCH(N394,tblChannels[Channel ID],0)),0),"Watched","Unwatched"))</f>
        <v/>
      </c>
      <c r="C394" s="37" t="n"/>
      <c r="D394" s="38" t="n"/>
      <c r="E394" s="39" t="n">
        <v>45758.41666666666</v>
      </c>
      <c r="F394" s="40" t="inlineStr">
        <is>
          <t>Popcorn Culture</t>
        </is>
      </c>
      <c r="G394" t="inlineStr">
        <is>
          <t>Don’t Ask for Forgiveness | Popcorn Culture</t>
        </is>
      </c>
      <c r="H394" s="41" t="n">
        <v>0.04907407407407408</v>
      </c>
      <c r="I394" s="42" t="n">
        <v>3281</v>
      </c>
      <c r="J394" s="42" t="n">
        <v>159</v>
      </c>
      <c r="K394" s="42" t="n">
        <v>20</v>
      </c>
      <c r="L394" s="43" t="n"/>
      <c r="M394" s="44" t="n"/>
      <c r="N394" s="44" t="inlineStr">
        <is>
          <t>UCHfIbq9thHPC8yrKjAdJgDA</t>
        </is>
      </c>
      <c r="O394" s="45" t="n">
        <v>45758.58333333334</v>
      </c>
      <c r="P394" s="46" t="n">
        <v>45758</v>
      </c>
      <c r="Q394" s="44" t="n">
        <v>2878</v>
      </c>
      <c r="R394" s="44" t="inlineStr">
        <is>
          <t>No Video ID yet</t>
        </is>
      </c>
      <c r="S394" s="46" t="n"/>
      <c r="T394" s="46" t="n"/>
      <c r="U394" s="44" t="n"/>
      <c r="V394" s="44">
        <f>IF(AND(P394&gt;=Calendar!$K$2,P394&lt;EDATE(Calendar!$K$2,1),OR(Calendar!$K$4="*",N394=Calendar!$K$4)),P394*100+COUNTIFS($P$6:$P$3271,P394,$Q$6:$Q$3271,"&lt;="&amp;Q394,$N$6:$N$3271,Calendar!$K$4),"")</f>
        <v/>
      </c>
      <c r="W394" s="44">
        <f>IF(AND(B394=Queue!$C$4,OR(Queue!$K$4="*",N394=Queue!$K$4)),Q394,"")</f>
        <v/>
      </c>
    </row>
    <row r="395">
      <c r="A395" s="35">
        <f>IF(M395="","",HYPERLINK("https://www.youtube.com/watch?v="&amp;M395,"▶"))</f>
        <v/>
      </c>
      <c r="B395" s="36">
        <f>IF(C395&lt;&gt;"",C395,IF(P395&lt;=IFERROR(INDEX(tblChannels[Watched Through],MATCH(N395,tblChannels[Channel ID],0)),0),"Watched","Unwatched"))</f>
        <v/>
      </c>
      <c r="C395" s="37" t="n"/>
      <c r="D395" s="38" t="n"/>
      <c r="E395" s="39" t="n">
        <v>45756.70833333334</v>
      </c>
      <c r="F395" s="47" t="inlineStr">
        <is>
          <t>Super Carlin Brothers</t>
        </is>
      </c>
      <c r="G395" t="inlineStr">
        <is>
          <t>J vs Ben: HARDEST Deathly Hallows Part 1 Harry Potter Movie TRIVIA Quiz</t>
        </is>
      </c>
      <c r="H395" s="41" t="n">
        <v>0.02695601851851852</v>
      </c>
      <c r="I395" s="42" t="n">
        <v>120115</v>
      </c>
      <c r="J395" s="42" t="n">
        <v>4097</v>
      </c>
      <c r="K395" s="42" t="n">
        <v>443</v>
      </c>
      <c r="L395" s="43" t="n"/>
      <c r="M395" s="44" t="n"/>
      <c r="N395" s="44" t="inlineStr">
        <is>
          <t>UCKZo4N0lVPccBkSiuyVh4yg</t>
        </is>
      </c>
      <c r="O395" s="45" t="n">
        <v>45756.875</v>
      </c>
      <c r="P395" s="46" t="n">
        <v>45756</v>
      </c>
      <c r="Q395" s="44" t="n">
        <v>2877</v>
      </c>
      <c r="R395" s="44" t="inlineStr">
        <is>
          <t>No Video ID yet</t>
        </is>
      </c>
      <c r="S395" s="46" t="n"/>
      <c r="T395" s="46" t="n"/>
      <c r="U395" s="44" t="n"/>
      <c r="V395" s="44">
        <f>IF(AND(P395&gt;=Calendar!$K$2,P395&lt;EDATE(Calendar!$K$2,1),OR(Calendar!$K$4="*",N395=Calendar!$K$4)),P395*100+COUNTIFS($P$6:$P$3271,P395,$Q$6:$Q$3271,"&lt;="&amp;Q395,$N$6:$N$3271,Calendar!$K$4),"")</f>
        <v/>
      </c>
      <c r="W395" s="44">
        <f>IF(AND(B395=Queue!$C$4,OR(Queue!$K$4="*",N395=Queue!$K$4)),Q395,"")</f>
        <v/>
      </c>
    </row>
    <row r="396">
      <c r="A396" s="35">
        <f>IF(M396="","",HYPERLINK("https://www.youtube.com/watch?v="&amp;M396,"▶"))</f>
        <v/>
      </c>
      <c r="B396" s="36">
        <f>IF(C396&lt;&gt;"",C396,IF(P396&lt;=IFERROR(INDEX(tblChannels[Watched Through],MATCH(N396,tblChannels[Channel ID],0)),0),"Watched","Unwatched"))</f>
        <v/>
      </c>
      <c r="C396" s="37" t="n"/>
      <c r="D396" s="38" t="n"/>
      <c r="E396" s="39" t="n">
        <v>45756.4625</v>
      </c>
      <c r="F396" s="47" t="inlineStr">
        <is>
          <t>Super Carlin Brothers</t>
        </is>
      </c>
      <c r="G396" t="inlineStr">
        <is>
          <t>Snape Asks Voldemort to Spare Lily… #harrypotter</t>
        </is>
      </c>
      <c r="H396" s="41" t="n">
        <v>0.001342592592592592</v>
      </c>
      <c r="I396" s="42" t="n">
        <v>62032</v>
      </c>
      <c r="J396" s="42" t="n">
        <v>3342</v>
      </c>
      <c r="K396" s="42" t="n">
        <v>153</v>
      </c>
      <c r="L396" s="43" t="n"/>
      <c r="M396" s="44" t="n"/>
      <c r="N396" s="44" t="inlineStr">
        <is>
          <t>UCKZo4N0lVPccBkSiuyVh4yg</t>
        </is>
      </c>
      <c r="O396" s="45" t="n">
        <v>45756.62916666667</v>
      </c>
      <c r="P396" s="46" t="n">
        <v>45756</v>
      </c>
      <c r="Q396" s="44" t="n">
        <v>2876</v>
      </c>
      <c r="R396" s="44" t="inlineStr">
        <is>
          <t>No Video ID yet</t>
        </is>
      </c>
      <c r="S396" s="46" t="n"/>
      <c r="T396" s="46" t="n"/>
      <c r="U396" s="44" t="n"/>
      <c r="V396" s="44">
        <f>IF(AND(P396&gt;=Calendar!$K$2,P396&lt;EDATE(Calendar!$K$2,1),OR(Calendar!$K$4="*",N396=Calendar!$K$4)),P396*100+COUNTIFS($P$6:$P$3271,P396,$Q$6:$Q$3271,"&lt;="&amp;Q396,$N$6:$N$3271,Calendar!$K$4),"")</f>
        <v/>
      </c>
      <c r="W396" s="44">
        <f>IF(AND(B396=Queue!$C$4,OR(Queue!$K$4="*",N396=Queue!$K$4)),Q396,"")</f>
        <v/>
      </c>
    </row>
    <row r="397">
      <c r="A397" s="35">
        <f>IF(M397="","",HYPERLINK("https://www.youtube.com/watch?v="&amp;M397,"▶"))</f>
        <v/>
      </c>
      <c r="B397" s="36">
        <f>IF(C397&lt;&gt;"",C397,IF(P397&lt;=IFERROR(INDEX(tblChannels[Watched Through],MATCH(N397,tblChannels[Channel ID],0)),0),"Watched","Unwatched"))</f>
        <v/>
      </c>
      <c r="C397" s="37" t="n"/>
      <c r="D397" s="38" t="n"/>
      <c r="E397" s="39" t="n">
        <v>45753.41666666666</v>
      </c>
      <c r="F397" s="48" t="inlineStr">
        <is>
          <t>Through The Griffin Door</t>
        </is>
      </c>
      <c r="G397" t="inlineStr">
        <is>
          <t>Chapter 20: The First Task | Goblet of Fire</t>
        </is>
      </c>
      <c r="H397" s="41" t="n">
        <v>0.07895833333333334</v>
      </c>
      <c r="I397" s="42" t="n">
        <v>66286</v>
      </c>
      <c r="J397" s="42" t="n">
        <v>1661</v>
      </c>
      <c r="K397" s="42" t="n">
        <v>554</v>
      </c>
      <c r="L397" s="43" t="n"/>
      <c r="M397" s="44" t="n"/>
      <c r="N397" s="44" t="inlineStr">
        <is>
          <t>UCEscP6ETYXWSSvsNrDHekMQ</t>
        </is>
      </c>
      <c r="O397" s="45" t="n">
        <v>45753.58333333334</v>
      </c>
      <c r="P397" s="46" t="n">
        <v>45753</v>
      </c>
      <c r="Q397" s="44" t="n">
        <v>2875</v>
      </c>
      <c r="R397" s="44" t="inlineStr">
        <is>
          <t>No Video ID yet</t>
        </is>
      </c>
      <c r="S397" s="46" t="n"/>
      <c r="T397" s="46" t="n"/>
      <c r="U397" s="44" t="n"/>
      <c r="V397" s="44">
        <f>IF(AND(P397&gt;=Calendar!$K$2,P397&lt;EDATE(Calendar!$K$2,1),OR(Calendar!$K$4="*",N397=Calendar!$K$4)),P397*100+COUNTIFS($P$6:$P$3271,P397,$Q$6:$Q$3271,"&lt;="&amp;Q397,$N$6:$N$3271,Calendar!$K$4),"")</f>
        <v/>
      </c>
      <c r="W397" s="44">
        <f>IF(AND(B397=Queue!$C$4,OR(Queue!$K$4="*",N397=Queue!$K$4)),Q397,"")</f>
        <v/>
      </c>
    </row>
    <row r="398">
      <c r="A398" s="35">
        <f>IF(M398="","",HYPERLINK("https://www.youtube.com/watch?v="&amp;M398,"▶"))</f>
        <v/>
      </c>
      <c r="B398" s="36">
        <f>IF(C398&lt;&gt;"",C398,IF(P398&lt;=IFERROR(INDEX(tblChannels[Watched Through],MATCH(N398,tblChannels[Channel ID],0)),0),"Watched","Unwatched"))</f>
        <v/>
      </c>
      <c r="C398" s="37" t="n"/>
      <c r="D398" s="38" t="n"/>
      <c r="E398" s="39" t="n">
        <v>45751.67430555556</v>
      </c>
      <c r="F398" s="47" t="inlineStr">
        <is>
          <t>Super Carlin Brothers</t>
        </is>
      </c>
      <c r="G398" t="inlineStr">
        <is>
          <t>SNAPE Played Quidditch?! | Harry Potter Film Theory</t>
        </is>
      </c>
      <c r="H398" s="41" t="n">
        <v>0.01178240740740741</v>
      </c>
      <c r="I398" s="42" t="n">
        <v>92852</v>
      </c>
      <c r="J398" s="42" t="n">
        <v>4212</v>
      </c>
      <c r="K398" s="42" t="n">
        <v>443</v>
      </c>
      <c r="L398" s="43" t="n"/>
      <c r="M398" s="44" t="n"/>
      <c r="N398" s="44" t="inlineStr">
        <is>
          <t>UCKZo4N0lVPccBkSiuyVh4yg</t>
        </is>
      </c>
      <c r="O398" s="45" t="n">
        <v>45751.84097222222</v>
      </c>
      <c r="P398" s="46" t="n">
        <v>45751</v>
      </c>
      <c r="Q398" s="44" t="n">
        <v>2874</v>
      </c>
      <c r="R398" s="44" t="inlineStr">
        <is>
          <t>No Video ID yet</t>
        </is>
      </c>
      <c r="S398" s="46" t="n"/>
      <c r="T398" s="46" t="n"/>
      <c r="U398" s="44" t="n"/>
      <c r="V398" s="44">
        <f>IF(AND(P398&gt;=Calendar!$K$2,P398&lt;EDATE(Calendar!$K$2,1),OR(Calendar!$K$4="*",N398=Calendar!$K$4)),P398*100+COUNTIFS($P$6:$P$3271,P398,$Q$6:$Q$3271,"&lt;="&amp;Q398,$N$6:$N$3271,Calendar!$K$4),"")</f>
        <v/>
      </c>
      <c r="W398" s="44">
        <f>IF(AND(B398=Queue!$C$4,OR(Queue!$K$4="*",N398=Queue!$K$4)),Q398,"")</f>
        <v/>
      </c>
    </row>
    <row r="399">
      <c r="A399" s="35">
        <f>IF(M399="","",HYPERLINK("https://www.youtube.com/watch?v="&amp;M399,"▶"))</f>
        <v/>
      </c>
      <c r="B399" s="36">
        <f>IF(C399&lt;&gt;"",C399,IF(P399&lt;=IFERROR(INDEX(tblChannels[Watched Through],MATCH(N399,tblChannels[Channel ID],0)),0),"Watched","Unwatched"))</f>
        <v/>
      </c>
      <c r="C399" s="37" t="n"/>
      <c r="D399" s="38" t="n"/>
      <c r="E399" s="39" t="n">
        <v>45751.41666666666</v>
      </c>
      <c r="F399" s="40" t="inlineStr">
        <is>
          <t>Popcorn Culture</t>
        </is>
      </c>
      <c r="G399" t="inlineStr">
        <is>
          <t>Ben’s House Got Struck by Lightning | Popcorn Culture</t>
        </is>
      </c>
      <c r="H399" s="41" t="n">
        <v>0.0525</v>
      </c>
      <c r="I399" s="42" t="n">
        <v>3828</v>
      </c>
      <c r="J399" s="42" t="n">
        <v>191</v>
      </c>
      <c r="K399" s="42" t="n">
        <v>16</v>
      </c>
      <c r="L399" s="43" t="n"/>
      <c r="M399" s="44" t="n"/>
      <c r="N399" s="44" t="inlineStr">
        <is>
          <t>UCHfIbq9thHPC8yrKjAdJgDA</t>
        </is>
      </c>
      <c r="O399" s="45" t="n">
        <v>45751.58333333334</v>
      </c>
      <c r="P399" s="46" t="n">
        <v>45751</v>
      </c>
      <c r="Q399" s="44" t="n">
        <v>2873</v>
      </c>
      <c r="R399" s="44" t="inlineStr">
        <is>
          <t>No Video ID yet</t>
        </is>
      </c>
      <c r="S399" s="46" t="n"/>
      <c r="T399" s="46" t="n"/>
      <c r="U399" s="44" t="n"/>
      <c r="V399" s="44">
        <f>IF(AND(P399&gt;=Calendar!$K$2,P399&lt;EDATE(Calendar!$K$2,1),OR(Calendar!$K$4="*",N399=Calendar!$K$4)),P399*100+COUNTIFS($P$6:$P$3271,P399,$Q$6:$Q$3271,"&lt;="&amp;Q399,$N$6:$N$3271,Calendar!$K$4),"")</f>
        <v/>
      </c>
      <c r="W399" s="44">
        <f>IF(AND(B399=Queue!$C$4,OR(Queue!$K$4="*",N399=Queue!$K$4)),Q399,"")</f>
        <v/>
      </c>
    </row>
    <row r="400">
      <c r="A400" s="35">
        <f>IF(M400="","",HYPERLINK("https://www.youtube.com/watch?v="&amp;M400,"▶"))</f>
        <v/>
      </c>
      <c r="B400" s="36">
        <f>IF(C400&lt;&gt;"",C400,IF(P400&lt;=IFERROR(INDEX(tblChannels[Watched Through],MATCH(N400,tblChannels[Channel ID],0)),0),"Watched","Unwatched"))</f>
        <v/>
      </c>
      <c r="C400" s="37" t="n"/>
      <c r="D400" s="38" t="n"/>
      <c r="E400" s="39" t="n">
        <v>45750.70833333334</v>
      </c>
      <c r="F400" s="48" t="inlineStr">
        <is>
          <t>Through The Griffin Door</t>
        </is>
      </c>
      <c r="G400" t="inlineStr">
        <is>
          <t>Live in Nashville: Chapter 19: The Hungarian Horntail | Goblet of Fire</t>
        </is>
      </c>
      <c r="H400" s="41" t="n">
        <v>0.05064814814814815</v>
      </c>
      <c r="I400" s="42" t="n">
        <v>10811</v>
      </c>
      <c r="J400" s="42" t="n">
        <v>437</v>
      </c>
      <c r="K400" s="42" t="n">
        <v>66</v>
      </c>
      <c r="L400" s="43" t="n"/>
      <c r="M400" s="44" t="n"/>
      <c r="N400" s="44" t="inlineStr">
        <is>
          <t>UCEscP6ETYXWSSvsNrDHekMQ</t>
        </is>
      </c>
      <c r="O400" s="45" t="n">
        <v>45750.875</v>
      </c>
      <c r="P400" s="46" t="n">
        <v>45750</v>
      </c>
      <c r="Q400" s="44" t="n">
        <v>2872</v>
      </c>
      <c r="R400" s="44" t="inlineStr">
        <is>
          <t>No Video ID yet</t>
        </is>
      </c>
      <c r="S400" s="46" t="n"/>
      <c r="T400" s="46" t="n"/>
      <c r="U400" s="44" t="n"/>
      <c r="V400" s="44">
        <f>IF(AND(P400&gt;=Calendar!$K$2,P400&lt;EDATE(Calendar!$K$2,1),OR(Calendar!$K$4="*",N400=Calendar!$K$4)),P400*100+COUNTIFS($P$6:$P$3271,P400,$Q$6:$Q$3271,"&lt;="&amp;Q400,$N$6:$N$3271,Calendar!$K$4),"")</f>
        <v/>
      </c>
      <c r="W400" s="44">
        <f>IF(AND(B400=Queue!$C$4,OR(Queue!$K$4="*",N400=Queue!$K$4)),Q400,"")</f>
        <v/>
      </c>
    </row>
    <row r="401">
      <c r="A401" s="35">
        <f>IF(M401="","",HYPERLINK("https://www.youtube.com/watch?v="&amp;M401,"▶"))</f>
        <v/>
      </c>
      <c r="B401" s="36">
        <f>IF(C401&lt;&gt;"",C401,IF(P401&lt;=IFERROR(INDEX(tblChannels[Watched Through],MATCH(N401,tblChannels[Channel ID],0)),0),"Watched","Unwatched"))</f>
        <v/>
      </c>
      <c r="C401" s="37" t="n"/>
      <c r="D401" s="38" t="n"/>
      <c r="E401" s="39" t="n">
        <v>45749.70972222222</v>
      </c>
      <c r="F401" s="47" t="inlineStr">
        <is>
          <t>Super Carlin Brothers</t>
        </is>
      </c>
      <c r="G401" t="inlineStr">
        <is>
          <t>The DARK History of the Black Pearl | Pirates of the Caribbean Film Theory</t>
        </is>
      </c>
      <c r="H401" s="41" t="n">
        <v>0.0125462962962963</v>
      </c>
      <c r="I401" s="42" t="n">
        <v>157434</v>
      </c>
      <c r="J401" s="42" t="n">
        <v>7410</v>
      </c>
      <c r="K401" s="42" t="n">
        <v>779</v>
      </c>
      <c r="L401" s="43" t="n"/>
      <c r="M401" s="44" t="n"/>
      <c r="N401" s="44" t="inlineStr">
        <is>
          <t>UCKZo4N0lVPccBkSiuyVh4yg</t>
        </is>
      </c>
      <c r="O401" s="45" t="n">
        <v>45749.87638888889</v>
      </c>
      <c r="P401" s="46" t="n">
        <v>45749</v>
      </c>
      <c r="Q401" s="44" t="n">
        <v>2871</v>
      </c>
      <c r="R401" s="44" t="inlineStr">
        <is>
          <t>No Video ID yet</t>
        </is>
      </c>
      <c r="S401" s="46" t="n"/>
      <c r="T401" s="46" t="n"/>
      <c r="U401" s="44" t="n"/>
      <c r="V401" s="44">
        <f>IF(AND(P401&gt;=Calendar!$K$2,P401&lt;EDATE(Calendar!$K$2,1),OR(Calendar!$K$4="*",N401=Calendar!$K$4)),P401*100+COUNTIFS($P$6:$P$3271,P401,$Q$6:$Q$3271,"&lt;="&amp;Q401,$N$6:$N$3271,Calendar!$K$4),"")</f>
        <v/>
      </c>
      <c r="W401" s="44">
        <f>IF(AND(B401=Queue!$C$4,OR(Queue!$K$4="*",N401=Queue!$K$4)),Q401,"")</f>
        <v/>
      </c>
    </row>
    <row r="402">
      <c r="A402" s="35">
        <f>IF(M402="","",HYPERLINK("https://www.youtube.com/watch?v="&amp;M402,"▶"))</f>
        <v/>
      </c>
      <c r="B402" s="36">
        <f>IF(C402&lt;&gt;"",C402,IF(P402&lt;=IFERROR(INDEX(tblChannels[Watched Through],MATCH(N402,tblChannels[Channel ID],0)),0),"Watched","Unwatched"))</f>
        <v/>
      </c>
      <c r="C402" s="37" t="n"/>
      <c r="D402" s="38" t="n"/>
      <c r="E402" s="39" t="n">
        <v>45746.41666666666</v>
      </c>
      <c r="F402" s="48" t="inlineStr">
        <is>
          <t>Through The Griffin Door</t>
        </is>
      </c>
      <c r="G402" t="inlineStr">
        <is>
          <t>Chapter 19: The Hungarian Horntail | Goblet of Fire</t>
        </is>
      </c>
      <c r="H402" s="41" t="n">
        <v>0.06069444444444445</v>
      </c>
      <c r="I402" s="42" t="n">
        <v>56696</v>
      </c>
      <c r="J402" s="42" t="n">
        <v>1486</v>
      </c>
      <c r="K402" s="42" t="n">
        <v>374</v>
      </c>
      <c r="L402" s="43" t="n"/>
      <c r="M402" s="44" t="n"/>
      <c r="N402" s="44" t="inlineStr">
        <is>
          <t>UCEscP6ETYXWSSvsNrDHekMQ</t>
        </is>
      </c>
      <c r="O402" s="45" t="n">
        <v>45746.58333333334</v>
      </c>
      <c r="P402" s="46" t="n">
        <v>45746</v>
      </c>
      <c r="Q402" s="44" t="n">
        <v>2870</v>
      </c>
      <c r="R402" s="44" t="inlineStr">
        <is>
          <t>No Video ID yet</t>
        </is>
      </c>
      <c r="S402" s="46" t="n"/>
      <c r="T402" s="46" t="n"/>
      <c r="U402" s="44" t="n"/>
      <c r="V402" s="44">
        <f>IF(AND(P402&gt;=Calendar!$K$2,P402&lt;EDATE(Calendar!$K$2,1),OR(Calendar!$K$4="*",N402=Calendar!$K$4)),P402*100+COUNTIFS($P$6:$P$3271,P402,$Q$6:$Q$3271,"&lt;="&amp;Q402,$N$6:$N$3271,Calendar!$K$4),"")</f>
        <v/>
      </c>
      <c r="W402" s="44">
        <f>IF(AND(B402=Queue!$C$4,OR(Queue!$K$4="*",N402=Queue!$K$4)),Q402,"")</f>
        <v/>
      </c>
    </row>
    <row r="403">
      <c r="A403" s="35">
        <f>IF(M403="","",HYPERLINK("https://www.youtube.com/watch?v="&amp;M403,"▶"))</f>
        <v/>
      </c>
      <c r="B403" s="36">
        <f>IF(C403&lt;&gt;"",C403,IF(P403&lt;=IFERROR(INDEX(tblChannels[Watched Through],MATCH(N403,tblChannels[Channel ID],0)),0),"Watched","Unwatched"))</f>
        <v/>
      </c>
      <c r="C403" s="37" t="n"/>
      <c r="D403" s="38" t="n"/>
      <c r="E403" s="39" t="n">
        <v>45745.41666666666</v>
      </c>
      <c r="F403" s="47" t="inlineStr">
        <is>
          <t>Super Carlin Brothers</t>
        </is>
      </c>
      <c r="G403" t="inlineStr">
        <is>
          <t>Through the Griffin Door Supercut: Goblet of Fire Chapters 16-18</t>
        </is>
      </c>
      <c r="H403" s="41" t="n">
        <v>0.1984375</v>
      </c>
      <c r="I403" s="42" t="n">
        <v>15780</v>
      </c>
      <c r="J403" s="42" t="n">
        <v>273</v>
      </c>
      <c r="K403" s="42" t="n">
        <v>56</v>
      </c>
      <c r="L403" s="43" t="n"/>
      <c r="M403" s="44" t="n"/>
      <c r="N403" s="44" t="inlineStr">
        <is>
          <t>UCKZo4N0lVPccBkSiuyVh4yg</t>
        </is>
      </c>
      <c r="O403" s="45" t="n">
        <v>45745.58333333334</v>
      </c>
      <c r="P403" s="46" t="n">
        <v>45745</v>
      </c>
      <c r="Q403" s="44" t="n">
        <v>2869</v>
      </c>
      <c r="R403" s="44" t="inlineStr">
        <is>
          <t>No Video ID yet</t>
        </is>
      </c>
      <c r="S403" s="46" t="n"/>
      <c r="T403" s="46" t="n"/>
      <c r="U403" s="44" t="n"/>
      <c r="V403" s="44">
        <f>IF(AND(P403&gt;=Calendar!$K$2,P403&lt;EDATE(Calendar!$K$2,1),OR(Calendar!$K$4="*",N403=Calendar!$K$4)),P403*100+COUNTIFS($P$6:$P$3271,P403,$Q$6:$Q$3271,"&lt;="&amp;Q403,$N$6:$N$3271,Calendar!$K$4),"")</f>
        <v/>
      </c>
      <c r="W403" s="44">
        <f>IF(AND(B403=Queue!$C$4,OR(Queue!$K$4="*",N403=Queue!$K$4)),Q403,"")</f>
        <v/>
      </c>
    </row>
    <row r="404">
      <c r="A404" s="35">
        <f>IF(M404="","",HYPERLINK("https://www.youtube.com/watch?v="&amp;M404,"▶"))</f>
        <v/>
      </c>
      <c r="B404" s="36">
        <f>IF(C404&lt;&gt;"",C404,IF(P404&lt;=IFERROR(INDEX(tblChannels[Watched Through],MATCH(N404,tblChannels[Channel ID],0)),0),"Watched","Unwatched"))</f>
        <v/>
      </c>
      <c r="C404" s="37" t="n"/>
      <c r="D404" s="38" t="n"/>
      <c r="E404" s="39" t="n">
        <v>45745.23819444444</v>
      </c>
      <c r="F404" s="49" t="inlineStr">
        <is>
          <t>Super Carlin Gaming</t>
        </is>
      </c>
      <c r="G404" t="inlineStr">
        <is>
          <t>SURGING SPARKS - Pokemon Box Breakers SEASON 14-  Episode 2 - 03/28/2025</t>
        </is>
      </c>
      <c r="H404" s="41" t="n">
        <v>0.1165625</v>
      </c>
      <c r="I404" s="42" t="n">
        <v>1009</v>
      </c>
      <c r="J404" s="42" t="n">
        <v>37</v>
      </c>
      <c r="K404" s="42" t="n">
        <v>4</v>
      </c>
      <c r="L404" s="43" t="n"/>
      <c r="M404" s="44" t="n"/>
      <c r="N404" s="44" t="inlineStr">
        <is>
          <t>UCor_9jRnNNZVzTuQ92PKsaQ</t>
        </is>
      </c>
      <c r="O404" s="45" t="n">
        <v>45745.40486111111</v>
      </c>
      <c r="P404" s="46" t="n">
        <v>45745</v>
      </c>
      <c r="Q404" s="44" t="n">
        <v>2868</v>
      </c>
      <c r="R404" s="44" t="inlineStr">
        <is>
          <t>No Video ID yet</t>
        </is>
      </c>
      <c r="S404" s="46" t="n"/>
      <c r="T404" s="46" t="n"/>
      <c r="U404" s="44" t="n"/>
      <c r="V404" s="44">
        <f>IF(AND(P404&gt;=Calendar!$K$2,P404&lt;EDATE(Calendar!$K$2,1),OR(Calendar!$K$4="*",N404=Calendar!$K$4)),P404*100+COUNTIFS($P$6:$P$3271,P404,$Q$6:$Q$3271,"&lt;="&amp;Q404,$N$6:$N$3271,Calendar!$K$4),"")</f>
        <v/>
      </c>
      <c r="W404" s="44">
        <f>IF(AND(B404=Queue!$C$4,OR(Queue!$K$4="*",N404=Queue!$K$4)),Q404,"")</f>
        <v/>
      </c>
    </row>
    <row r="405">
      <c r="A405" s="35">
        <f>IF(M405="","",HYPERLINK("https://www.youtube.com/watch?v="&amp;M405,"▶"))</f>
        <v/>
      </c>
      <c r="B405" s="36">
        <f>IF(C405&lt;&gt;"",C405,IF(P405&lt;=IFERROR(INDEX(tblChannels[Watched Through],MATCH(N405,tblChannels[Channel ID],0)),0),"Watched","Unwatched"))</f>
        <v/>
      </c>
      <c r="C405" s="37" t="n"/>
      <c r="D405" s="38" t="n"/>
      <c r="E405" s="39" t="n">
        <v>45744.70763888889</v>
      </c>
      <c r="F405" s="47" t="inlineStr">
        <is>
          <t>Super Carlin Brothers</t>
        </is>
      </c>
      <c r="G405" t="inlineStr">
        <is>
          <t>Why Didn’t Voldemort KILL Slughorn!? | Harry Potter Film Theory</t>
        </is>
      </c>
      <c r="H405" s="41" t="n">
        <v>0.01232638888888889</v>
      </c>
      <c r="I405" s="42" t="n">
        <v>228648</v>
      </c>
      <c r="J405" s="42" t="n">
        <v>7461</v>
      </c>
      <c r="K405" s="42" t="n">
        <v>548</v>
      </c>
      <c r="L405" s="43" t="n"/>
      <c r="M405" s="44" t="n"/>
      <c r="N405" s="44" t="inlineStr">
        <is>
          <t>UCKZo4N0lVPccBkSiuyVh4yg</t>
        </is>
      </c>
      <c r="O405" s="45" t="n">
        <v>45744.87430555555</v>
      </c>
      <c r="P405" s="46" t="n">
        <v>45744</v>
      </c>
      <c r="Q405" s="44" t="n">
        <v>2867</v>
      </c>
      <c r="R405" s="44" t="inlineStr">
        <is>
          <t>No Video ID yet</t>
        </is>
      </c>
      <c r="S405" s="46" t="n"/>
      <c r="T405" s="46" t="n"/>
      <c r="U405" s="44" t="n"/>
      <c r="V405" s="44">
        <f>IF(AND(P405&gt;=Calendar!$K$2,P405&lt;EDATE(Calendar!$K$2,1),OR(Calendar!$K$4="*",N405=Calendar!$K$4)),P405*100+COUNTIFS($P$6:$P$3271,P405,$Q$6:$Q$3271,"&lt;="&amp;Q405,$N$6:$N$3271,Calendar!$K$4),"")</f>
        <v/>
      </c>
      <c r="W405" s="44">
        <f>IF(AND(B405=Queue!$C$4,OR(Queue!$K$4="*",N405=Queue!$K$4)),Q405,"")</f>
        <v/>
      </c>
    </row>
    <row r="406">
      <c r="A406" s="35">
        <f>IF(M406="","",HYPERLINK("https://www.youtube.com/watch?v="&amp;M406,"▶"))</f>
        <v/>
      </c>
      <c r="B406" s="36">
        <f>IF(C406&lt;&gt;"",C406,IF(P406&lt;=IFERROR(INDEX(tblChannels[Watched Through],MATCH(N406,tblChannels[Channel ID],0)),0),"Watched","Unwatched"))</f>
        <v/>
      </c>
      <c r="C406" s="37" t="n"/>
      <c r="D406" s="38" t="n"/>
      <c r="E406" s="39" t="n">
        <v>45744.42291666667</v>
      </c>
      <c r="F406" s="48" t="inlineStr">
        <is>
          <t>Through The Griffin Door</t>
        </is>
      </c>
      <c r="G406" t="inlineStr">
        <is>
          <t>Live in Atlanta: Chapter 18: Weighing of the Wands | Goblet of Fire</t>
        </is>
      </c>
      <c r="H406" s="41" t="n">
        <v>0.05873842592592592</v>
      </c>
      <c r="I406" s="42" t="n">
        <v>9928</v>
      </c>
      <c r="J406" s="42" t="n">
        <v>416</v>
      </c>
      <c r="K406" s="42" t="n">
        <v>134</v>
      </c>
      <c r="L406" s="43" t="n"/>
      <c r="M406" s="44" t="n"/>
      <c r="N406" s="44" t="inlineStr">
        <is>
          <t>UCEscP6ETYXWSSvsNrDHekMQ</t>
        </is>
      </c>
      <c r="O406" s="45" t="n">
        <v>45744.58958333333</v>
      </c>
      <c r="P406" s="46" t="n">
        <v>45744</v>
      </c>
      <c r="Q406" s="44" t="n">
        <v>2866</v>
      </c>
      <c r="R406" s="44" t="inlineStr">
        <is>
          <t>No Video ID yet</t>
        </is>
      </c>
      <c r="S406" s="46" t="n"/>
      <c r="T406" s="46" t="n"/>
      <c r="U406" s="44" t="n"/>
      <c r="V406" s="44">
        <f>IF(AND(P406&gt;=Calendar!$K$2,P406&lt;EDATE(Calendar!$K$2,1),OR(Calendar!$K$4="*",N406=Calendar!$K$4)),P406*100+COUNTIFS($P$6:$P$3271,P406,$Q$6:$Q$3271,"&lt;="&amp;Q406,$N$6:$N$3271,Calendar!$K$4),"")</f>
        <v/>
      </c>
      <c r="W406" s="44">
        <f>IF(AND(B406=Queue!$C$4,OR(Queue!$K$4="*",N406=Queue!$K$4)),Q406,"")</f>
        <v/>
      </c>
    </row>
    <row r="407">
      <c r="A407" s="35">
        <f>IF(M407="","",HYPERLINK("https://www.youtube.com/watch?v="&amp;M407,"▶"))</f>
        <v/>
      </c>
      <c r="B407" s="36">
        <f>IF(C407&lt;&gt;"",C407,IF(P407&lt;=IFERROR(INDEX(tblChannels[Watched Through],MATCH(N407,tblChannels[Channel ID],0)),0),"Watched","Unwatched"))</f>
        <v/>
      </c>
      <c r="C407" s="37" t="n"/>
      <c r="D407" s="38" t="n"/>
      <c r="E407" s="39" t="n">
        <v>45744.41666666666</v>
      </c>
      <c r="F407" s="40" t="inlineStr">
        <is>
          <t>Popcorn Culture</t>
        </is>
      </c>
      <c r="G407" t="inlineStr">
        <is>
          <t>The Podcast is Mysterious and Important | Popcorn Culture</t>
        </is>
      </c>
      <c r="H407" s="41" t="n">
        <v>0.04209490740740741</v>
      </c>
      <c r="I407" s="42" t="n">
        <v>3005</v>
      </c>
      <c r="J407" s="42" t="n">
        <v>148</v>
      </c>
      <c r="K407" s="42" t="n">
        <v>21</v>
      </c>
      <c r="L407" s="43" t="n"/>
      <c r="M407" s="44" t="n"/>
      <c r="N407" s="44" t="inlineStr">
        <is>
          <t>UCHfIbq9thHPC8yrKjAdJgDA</t>
        </is>
      </c>
      <c r="O407" s="45" t="n">
        <v>45744.58333333334</v>
      </c>
      <c r="P407" s="46" t="n">
        <v>45744</v>
      </c>
      <c r="Q407" s="44" t="n">
        <v>2865</v>
      </c>
      <c r="R407" s="44" t="inlineStr">
        <is>
          <t>No Video ID yet</t>
        </is>
      </c>
      <c r="S407" s="46" t="n"/>
      <c r="T407" s="46" t="n"/>
      <c r="U407" s="44" t="n"/>
      <c r="V407" s="44">
        <f>IF(AND(P407&gt;=Calendar!$K$2,P407&lt;EDATE(Calendar!$K$2,1),OR(Calendar!$K$4="*",N407=Calendar!$K$4)),P407*100+COUNTIFS($P$6:$P$3271,P407,$Q$6:$Q$3271,"&lt;="&amp;Q407,$N$6:$N$3271,Calendar!$K$4),"")</f>
        <v/>
      </c>
      <c r="W407" s="44">
        <f>IF(AND(B407=Queue!$C$4,OR(Queue!$K$4="*",N407=Queue!$K$4)),Q407,"")</f>
        <v/>
      </c>
    </row>
    <row r="408">
      <c r="A408" s="35">
        <f>IF(M408="","",HYPERLINK("https://www.youtube.com/watch?v="&amp;M408,"▶"))</f>
        <v/>
      </c>
      <c r="B408" s="36">
        <f>IF(C408&lt;&gt;"",C408,IF(P408&lt;=IFERROR(INDEX(tblChannels[Watched Through],MATCH(N408,tblChannels[Channel ID],0)),0),"Watched","Unwatched"))</f>
        <v/>
      </c>
      <c r="C408" s="37" t="n"/>
      <c r="D408" s="38" t="n"/>
      <c r="E408" s="39" t="n">
        <v>45742.71944444445</v>
      </c>
      <c r="F408" s="47" t="inlineStr">
        <is>
          <t>Super Carlin Brothers</t>
        </is>
      </c>
      <c r="G408" t="inlineStr">
        <is>
          <t>J vs Ben: HARDEST Half-Blood Prince Movie Harry Potter Trivia Quiz EVER</t>
        </is>
      </c>
      <c r="H408" s="41" t="n">
        <v>0.02831018518518518</v>
      </c>
      <c r="I408" s="42" t="n">
        <v>126952</v>
      </c>
      <c r="J408" s="42" t="n">
        <v>4357</v>
      </c>
      <c r="K408" s="42" t="n">
        <v>679</v>
      </c>
      <c r="L408" s="43" t="n"/>
      <c r="M408" s="44" t="n"/>
      <c r="N408" s="44" t="inlineStr">
        <is>
          <t>UCKZo4N0lVPccBkSiuyVh4yg</t>
        </is>
      </c>
      <c r="O408" s="45" t="n">
        <v>45742.88611111111</v>
      </c>
      <c r="P408" s="46" t="n">
        <v>45742</v>
      </c>
      <c r="Q408" s="44" t="n">
        <v>2864</v>
      </c>
      <c r="R408" s="44" t="inlineStr">
        <is>
          <t>No Video ID yet</t>
        </is>
      </c>
      <c r="S408" s="46" t="n"/>
      <c r="T408" s="46" t="n"/>
      <c r="U408" s="44" t="n"/>
      <c r="V408" s="44">
        <f>IF(AND(P408&gt;=Calendar!$K$2,P408&lt;EDATE(Calendar!$K$2,1),OR(Calendar!$K$4="*",N408=Calendar!$K$4)),P408*100+COUNTIFS($P$6:$P$3271,P408,$Q$6:$Q$3271,"&lt;="&amp;Q408,$N$6:$N$3271,Calendar!$K$4),"")</f>
        <v/>
      </c>
      <c r="W408" s="44">
        <f>IF(AND(B408=Queue!$C$4,OR(Queue!$K$4="*",N408=Queue!$K$4)),Q408,"")</f>
        <v/>
      </c>
    </row>
    <row r="409">
      <c r="A409" s="35">
        <f>IF(M409="","",HYPERLINK("https://www.youtube.com/watch?v="&amp;M409,"▶"))</f>
        <v/>
      </c>
      <c r="B409" s="36">
        <f>IF(C409&lt;&gt;"",C409,IF(P409&lt;=IFERROR(INDEX(tblChannels[Watched Through],MATCH(N409,tblChannels[Channel ID],0)),0),"Watched","Unwatched"))</f>
        <v/>
      </c>
      <c r="C409" s="37" t="n"/>
      <c r="D409" s="38" t="n"/>
      <c r="E409" s="39" t="n">
        <v>45739.41666666666</v>
      </c>
      <c r="F409" s="48" t="inlineStr">
        <is>
          <t>Through The Griffin Door</t>
        </is>
      </c>
      <c r="G409" t="inlineStr">
        <is>
          <t>Chapter 18: Weighing of the Wands | Goblet of Fire</t>
        </is>
      </c>
      <c r="H409" s="41" t="n">
        <v>0.07116898148148149</v>
      </c>
      <c r="I409" s="42" t="n">
        <v>62788</v>
      </c>
      <c r="J409" s="42" t="n">
        <v>1619</v>
      </c>
      <c r="K409" s="42" t="n">
        <v>378</v>
      </c>
      <c r="L409" s="43" t="n"/>
      <c r="M409" s="44" t="n"/>
      <c r="N409" s="44" t="inlineStr">
        <is>
          <t>UCEscP6ETYXWSSvsNrDHekMQ</t>
        </is>
      </c>
      <c r="O409" s="45" t="n">
        <v>45739.58333333334</v>
      </c>
      <c r="P409" s="46" t="n">
        <v>45739</v>
      </c>
      <c r="Q409" s="44" t="n">
        <v>2863</v>
      </c>
      <c r="R409" s="44" t="inlineStr">
        <is>
          <t>No Video ID yet</t>
        </is>
      </c>
      <c r="S409" s="46" t="n"/>
      <c r="T409" s="46" t="n"/>
      <c r="U409" s="44" t="n"/>
      <c r="V409" s="44">
        <f>IF(AND(P409&gt;=Calendar!$K$2,P409&lt;EDATE(Calendar!$K$2,1),OR(Calendar!$K$4="*",N409=Calendar!$K$4)),P409*100+COUNTIFS($P$6:$P$3271,P409,$Q$6:$Q$3271,"&lt;="&amp;Q409,$N$6:$N$3271,Calendar!$K$4),"")</f>
        <v/>
      </c>
      <c r="W409" s="44">
        <f>IF(AND(B409=Queue!$C$4,OR(Queue!$K$4="*",N409=Queue!$K$4)),Q409,"")</f>
        <v/>
      </c>
    </row>
    <row r="410">
      <c r="A410" s="35">
        <f>IF(M410="","",HYPERLINK("https://www.youtube.com/watch?v="&amp;M410,"▶"))</f>
        <v/>
      </c>
      <c r="B410" s="36">
        <f>IF(C410&lt;&gt;"",C410,IF(P410&lt;=IFERROR(INDEX(tblChannels[Watched Through],MATCH(N410,tblChannels[Channel ID],0)),0),"Watched","Unwatched"))</f>
        <v/>
      </c>
      <c r="C410" s="37" t="n"/>
      <c r="D410" s="38" t="n"/>
      <c r="E410" s="39" t="n">
        <v>45737.68263888889</v>
      </c>
      <c r="F410" s="47" t="inlineStr">
        <is>
          <t>Super Carlin Brothers</t>
        </is>
      </c>
      <c r="G410" t="inlineStr">
        <is>
          <t>The WILD Mystery of the Sorting Hat Stool | Harry Potter Film Theory</t>
        </is>
      </c>
      <c r="H410" s="41" t="n">
        <v>0.01234953703703704</v>
      </c>
      <c r="I410" s="42" t="n">
        <v>79703</v>
      </c>
      <c r="J410" s="42" t="n">
        <v>4127</v>
      </c>
      <c r="K410" s="42" t="n">
        <v>560</v>
      </c>
      <c r="L410" s="43" t="n"/>
      <c r="M410" s="44" t="n"/>
      <c r="N410" s="44" t="inlineStr">
        <is>
          <t>UCKZo4N0lVPccBkSiuyVh4yg</t>
        </is>
      </c>
      <c r="O410" s="45" t="n">
        <v>45737.84930555556</v>
      </c>
      <c r="P410" s="46" t="n">
        <v>45737</v>
      </c>
      <c r="Q410" s="44" t="n">
        <v>2862</v>
      </c>
      <c r="R410" s="44" t="inlineStr">
        <is>
          <t>No Video ID yet</t>
        </is>
      </c>
      <c r="S410" s="46" t="n"/>
      <c r="T410" s="46" t="n"/>
      <c r="U410" s="44" t="n"/>
      <c r="V410" s="44">
        <f>IF(AND(P410&gt;=Calendar!$K$2,P410&lt;EDATE(Calendar!$K$2,1),OR(Calendar!$K$4="*",N410=Calendar!$K$4)),P410*100+COUNTIFS($P$6:$P$3271,P410,$Q$6:$Q$3271,"&lt;="&amp;Q410,$N$6:$N$3271,Calendar!$K$4),"")</f>
        <v/>
      </c>
      <c r="W410" s="44">
        <f>IF(AND(B410=Queue!$C$4,OR(Queue!$K$4="*",N410=Queue!$K$4)),Q410,"")</f>
        <v/>
      </c>
    </row>
    <row r="411">
      <c r="A411" s="35">
        <f>IF(M411="","",HYPERLINK("https://www.youtube.com/watch?v="&amp;M411,"▶"))</f>
        <v/>
      </c>
      <c r="B411" s="36">
        <f>IF(C411&lt;&gt;"",C411,IF(P411&lt;=IFERROR(INDEX(tblChannels[Watched Through],MATCH(N411,tblChannels[Channel ID],0)),0),"Watched","Unwatched"))</f>
        <v/>
      </c>
      <c r="C411" s="37" t="n"/>
      <c r="D411" s="38" t="n"/>
      <c r="E411" s="39" t="n">
        <v>45737.41666666666</v>
      </c>
      <c r="F411" s="40" t="inlineStr">
        <is>
          <t>Popcorn Culture</t>
        </is>
      </c>
      <c r="G411" t="inlineStr">
        <is>
          <t>Paint Patrick’s Day | Popcorn Culture</t>
        </is>
      </c>
      <c r="H411" s="41" t="n">
        <v>0.04599537037037037</v>
      </c>
      <c r="I411" s="42" t="n">
        <v>3277</v>
      </c>
      <c r="J411" s="42" t="n">
        <v>162</v>
      </c>
      <c r="K411" s="42" t="n">
        <v>21</v>
      </c>
      <c r="L411" s="43" t="n"/>
      <c r="M411" s="44" t="n"/>
      <c r="N411" s="44" t="inlineStr">
        <is>
          <t>UCHfIbq9thHPC8yrKjAdJgDA</t>
        </is>
      </c>
      <c r="O411" s="45" t="n">
        <v>45737.58333333334</v>
      </c>
      <c r="P411" s="46" t="n">
        <v>45737</v>
      </c>
      <c r="Q411" s="44" t="n">
        <v>2861</v>
      </c>
      <c r="R411" s="44" t="inlineStr">
        <is>
          <t>No Video ID yet</t>
        </is>
      </c>
      <c r="S411" s="46" t="n"/>
      <c r="T411" s="46" t="n"/>
      <c r="U411" s="44" t="n"/>
      <c r="V411" s="44">
        <f>IF(AND(P411&gt;=Calendar!$K$2,P411&lt;EDATE(Calendar!$K$2,1),OR(Calendar!$K$4="*",N411=Calendar!$K$4)),P411*100+COUNTIFS($P$6:$P$3271,P411,$Q$6:$Q$3271,"&lt;="&amp;Q411,$N$6:$N$3271,Calendar!$K$4),"")</f>
        <v/>
      </c>
      <c r="W411" s="44">
        <f>IF(AND(B411=Queue!$C$4,OR(Queue!$K$4="*",N411=Queue!$K$4)),Q411,"")</f>
        <v/>
      </c>
    </row>
    <row r="412">
      <c r="A412" s="35">
        <f>IF(M412="","",HYPERLINK("https://www.youtube.com/watch?v="&amp;M412,"▶"))</f>
        <v/>
      </c>
      <c r="B412" s="36">
        <f>IF(C412&lt;&gt;"",C412,IF(P412&lt;=IFERROR(INDEX(tblChannels[Watched Through],MATCH(N412,tblChannels[Channel ID],0)),0),"Watched","Unwatched"))</f>
        <v/>
      </c>
      <c r="C412" s="37" t="n"/>
      <c r="D412" s="38" t="n"/>
      <c r="E412" s="39" t="n">
        <v>45736.70833333334</v>
      </c>
      <c r="F412" s="48" t="inlineStr">
        <is>
          <t>Through The Griffin Door</t>
        </is>
      </c>
      <c r="G412" t="inlineStr">
        <is>
          <t>Live in Jacksonville: Chapter 17: The Four Champions | Goblet of Fire</t>
        </is>
      </c>
      <c r="H412" s="41" t="n">
        <v>0.04886574074074074</v>
      </c>
      <c r="I412" s="42" t="n">
        <v>10617</v>
      </c>
      <c r="J412" s="42" t="n">
        <v>413</v>
      </c>
      <c r="K412" s="42" t="n">
        <v>81</v>
      </c>
      <c r="L412" s="43" t="n"/>
      <c r="M412" s="44" t="n"/>
      <c r="N412" s="44" t="inlineStr">
        <is>
          <t>UCEscP6ETYXWSSvsNrDHekMQ</t>
        </is>
      </c>
      <c r="O412" s="45" t="n">
        <v>45736.875</v>
      </c>
      <c r="P412" s="46" t="n">
        <v>45736</v>
      </c>
      <c r="Q412" s="44" t="n">
        <v>2860</v>
      </c>
      <c r="R412" s="44" t="inlineStr">
        <is>
          <t>No Video ID yet</t>
        </is>
      </c>
      <c r="S412" s="46" t="n"/>
      <c r="T412" s="46" t="n"/>
      <c r="U412" s="44" t="n"/>
      <c r="V412" s="44">
        <f>IF(AND(P412&gt;=Calendar!$K$2,P412&lt;EDATE(Calendar!$K$2,1),OR(Calendar!$K$4="*",N412=Calendar!$K$4)),P412*100+COUNTIFS($P$6:$P$3271,P412,$Q$6:$Q$3271,"&lt;="&amp;Q412,$N$6:$N$3271,Calendar!$K$4),"")</f>
        <v/>
      </c>
      <c r="W412" s="44">
        <f>IF(AND(B412=Queue!$C$4,OR(Queue!$K$4="*",N412=Queue!$K$4)),Q412,"")</f>
        <v/>
      </c>
    </row>
    <row r="413">
      <c r="A413" s="35">
        <f>IF(M413="","",HYPERLINK("https://www.youtube.com/watch?v="&amp;M413,"▶"))</f>
        <v/>
      </c>
      <c r="B413" s="36">
        <f>IF(C413&lt;&gt;"",C413,IF(P413&lt;=IFERROR(INDEX(tblChannels[Watched Through],MATCH(N413,tblChannels[Channel ID],0)),0),"Watched","Unwatched"))</f>
        <v/>
      </c>
      <c r="C413" s="37" t="n"/>
      <c r="D413" s="38" t="n"/>
      <c r="E413" s="39" t="n">
        <v>45735.675</v>
      </c>
      <c r="F413" s="47" t="inlineStr">
        <is>
          <t>Super Carlin Brothers</t>
        </is>
      </c>
      <c r="G413" t="inlineStr">
        <is>
          <t>What If NOBODY Heard the Chosen One Prophecy? | Harry Potter Film Theory</t>
        </is>
      </c>
      <c r="H413" s="41" t="n">
        <v>0.0125</v>
      </c>
      <c r="I413" s="42" t="n">
        <v>149756</v>
      </c>
      <c r="J413" s="42" t="n">
        <v>5983</v>
      </c>
      <c r="K413" s="42" t="n">
        <v>703</v>
      </c>
      <c r="L413" s="43" t="n"/>
      <c r="M413" s="44" t="n"/>
      <c r="N413" s="44" t="inlineStr">
        <is>
          <t>UCKZo4N0lVPccBkSiuyVh4yg</t>
        </is>
      </c>
      <c r="O413" s="45" t="n">
        <v>45735.84166666667</v>
      </c>
      <c r="P413" s="46" t="n">
        <v>45735</v>
      </c>
      <c r="Q413" s="44" t="n">
        <v>2859</v>
      </c>
      <c r="R413" s="44" t="inlineStr">
        <is>
          <t>No Video ID yet</t>
        </is>
      </c>
      <c r="S413" s="46" t="n"/>
      <c r="T413" s="46" t="n"/>
      <c r="U413" s="44" t="n"/>
      <c r="V413" s="44">
        <f>IF(AND(P413&gt;=Calendar!$K$2,P413&lt;EDATE(Calendar!$K$2,1),OR(Calendar!$K$4="*",N413=Calendar!$K$4)),P413*100+COUNTIFS($P$6:$P$3271,P413,$Q$6:$Q$3271,"&lt;="&amp;Q413,$N$6:$N$3271,Calendar!$K$4),"")</f>
        <v/>
      </c>
      <c r="W413" s="44">
        <f>IF(AND(B413=Queue!$C$4,OR(Queue!$K$4="*",N413=Queue!$K$4)),Q413,"")</f>
        <v/>
      </c>
    </row>
    <row r="414">
      <c r="A414" s="35">
        <f>IF(M414="","",HYPERLINK("https://www.youtube.com/watch?v="&amp;M414,"▶"))</f>
        <v/>
      </c>
      <c r="B414" s="36">
        <f>IF(C414&lt;&gt;"",C414,IF(P414&lt;=IFERROR(INDEX(tblChannels[Watched Through],MATCH(N414,tblChannels[Channel ID],0)),0),"Watched","Unwatched"))</f>
        <v/>
      </c>
      <c r="C414" s="37" t="n"/>
      <c r="D414" s="38" t="n"/>
      <c r="E414" s="39" t="n">
        <v>45732.41666666666</v>
      </c>
      <c r="F414" s="48" t="inlineStr">
        <is>
          <t>Through The Griffin Door</t>
        </is>
      </c>
      <c r="G414" t="inlineStr">
        <is>
          <t>Chapter 17: The Four Champions | Goblet of Fire</t>
        </is>
      </c>
      <c r="H414" s="41" t="n">
        <v>0.06517361111111111</v>
      </c>
      <c r="I414" s="42" t="n">
        <v>57666</v>
      </c>
      <c r="J414" s="42" t="n">
        <v>1651</v>
      </c>
      <c r="K414" s="42" t="n">
        <v>431</v>
      </c>
      <c r="L414" s="43" t="n"/>
      <c r="M414" s="44" t="n"/>
      <c r="N414" s="44" t="inlineStr">
        <is>
          <t>UCEscP6ETYXWSSvsNrDHekMQ</t>
        </is>
      </c>
      <c r="O414" s="45" t="n">
        <v>45732.58333333334</v>
      </c>
      <c r="P414" s="46" t="n">
        <v>45732</v>
      </c>
      <c r="Q414" s="44" t="n">
        <v>2858</v>
      </c>
      <c r="R414" s="44" t="inlineStr">
        <is>
          <t>No Video ID yet</t>
        </is>
      </c>
      <c r="S414" s="46" t="n"/>
      <c r="T414" s="46" t="n"/>
      <c r="U414" s="44" t="n"/>
      <c r="V414" s="44">
        <f>IF(AND(P414&gt;=Calendar!$K$2,P414&lt;EDATE(Calendar!$K$2,1),OR(Calendar!$K$4="*",N414=Calendar!$K$4)),P414*100+COUNTIFS($P$6:$P$3271,P414,$Q$6:$Q$3271,"&lt;="&amp;Q414,$N$6:$N$3271,Calendar!$K$4),"")</f>
        <v/>
      </c>
      <c r="W414" s="44">
        <f>IF(AND(B414=Queue!$C$4,OR(Queue!$K$4="*",N414=Queue!$K$4)),Q414,"")</f>
        <v/>
      </c>
    </row>
    <row r="415">
      <c r="A415" s="35">
        <f>IF(M415="","",HYPERLINK("https://www.youtube.com/watch?v="&amp;M415,"▶"))</f>
        <v/>
      </c>
      <c r="B415" s="36">
        <f>IF(C415&lt;&gt;"",C415,IF(P415&lt;=IFERROR(INDEX(tblChannels[Watched Through],MATCH(N415,tblChannels[Channel ID],0)),0),"Watched","Unwatched"))</f>
        <v/>
      </c>
      <c r="C415" s="37" t="n"/>
      <c r="D415" s="38" t="n"/>
      <c r="E415" s="39" t="n">
        <v>45731.625</v>
      </c>
      <c r="F415" s="47" t="inlineStr">
        <is>
          <t>Super Carlin Brothers</t>
        </is>
      </c>
      <c r="G415" t="inlineStr">
        <is>
          <t>J vs Ben: Special Edition Harry Potter TRIVIA | Mary Murphy Tribute</t>
        </is>
      </c>
      <c r="H415" s="41" t="n">
        <v>0.01541666666666667</v>
      </c>
      <c r="I415" s="42" t="n">
        <v>81356</v>
      </c>
      <c r="J415" s="42" t="n">
        <v>5504</v>
      </c>
      <c r="K415" s="42" t="n">
        <v>572</v>
      </c>
      <c r="L415" s="43" t="n"/>
      <c r="M415" s="44" t="n"/>
      <c r="N415" s="44" t="inlineStr">
        <is>
          <t>UCKZo4N0lVPccBkSiuyVh4yg</t>
        </is>
      </c>
      <c r="O415" s="45" t="n">
        <v>45731.79166666666</v>
      </c>
      <c r="P415" s="46" t="n">
        <v>45731</v>
      </c>
      <c r="Q415" s="44" t="n">
        <v>2857</v>
      </c>
      <c r="R415" s="44" t="inlineStr">
        <is>
          <t>No Video ID yet</t>
        </is>
      </c>
      <c r="S415" s="46" t="n"/>
      <c r="T415" s="46" t="n"/>
      <c r="U415" s="44" t="n"/>
      <c r="V415" s="44">
        <f>IF(AND(P415&gt;=Calendar!$K$2,P415&lt;EDATE(Calendar!$K$2,1),OR(Calendar!$K$4="*",N415=Calendar!$K$4)),P415*100+COUNTIFS($P$6:$P$3271,P415,$Q$6:$Q$3271,"&lt;="&amp;Q415,$N$6:$N$3271,Calendar!$K$4),"")</f>
        <v/>
      </c>
      <c r="W415" s="44">
        <f>IF(AND(B415=Queue!$C$4,OR(Queue!$K$4="*",N415=Queue!$K$4)),Q415,"")</f>
        <v/>
      </c>
    </row>
    <row r="416">
      <c r="A416" s="35">
        <f>IF(M416="","",HYPERLINK("https://www.youtube.com/watch?v="&amp;M416,"▶"))</f>
        <v/>
      </c>
      <c r="B416" s="36">
        <f>IF(C416&lt;&gt;"",C416,IF(P416&lt;=IFERROR(INDEX(tblChannels[Watched Through],MATCH(N416,tblChannels[Channel ID],0)),0),"Watched","Unwatched"))</f>
        <v/>
      </c>
      <c r="C416" s="37" t="n"/>
      <c r="D416" s="38" t="n"/>
      <c r="E416" s="39" t="n">
        <v>45731.21597222222</v>
      </c>
      <c r="F416" s="49" t="inlineStr">
        <is>
          <t>Super Carlin Gaming</t>
        </is>
      </c>
      <c r="G416" t="inlineStr">
        <is>
          <t>SURGING SPARKS - Pokemon Box Breakers SEASON 14-  Episode 1 - 03/14/2025 (Happy Pi Day!)</t>
        </is>
      </c>
      <c r="H416" s="41" t="n">
        <v>0.1165046296296296</v>
      </c>
      <c r="I416" s="42" t="n">
        <v>1076</v>
      </c>
      <c r="J416" s="42" t="n">
        <v>46</v>
      </c>
      <c r="K416" s="42" t="n">
        <v>3</v>
      </c>
      <c r="L416" s="43" t="n"/>
      <c r="M416" s="44" t="n"/>
      <c r="N416" s="44" t="inlineStr">
        <is>
          <t>UCor_9jRnNNZVzTuQ92PKsaQ</t>
        </is>
      </c>
      <c r="O416" s="45" t="n">
        <v>45731.38263888889</v>
      </c>
      <c r="P416" s="46" t="n">
        <v>45731</v>
      </c>
      <c r="Q416" s="44" t="n">
        <v>2856</v>
      </c>
      <c r="R416" s="44" t="inlineStr">
        <is>
          <t>No Video ID yet</t>
        </is>
      </c>
      <c r="S416" s="46" t="n"/>
      <c r="T416" s="46" t="n"/>
      <c r="U416" s="44" t="n"/>
      <c r="V416" s="44">
        <f>IF(AND(P416&gt;=Calendar!$K$2,P416&lt;EDATE(Calendar!$K$2,1),OR(Calendar!$K$4="*",N416=Calendar!$K$4)),P416*100+COUNTIFS($P$6:$P$3271,P416,$Q$6:$Q$3271,"&lt;="&amp;Q416,$N$6:$N$3271,Calendar!$K$4),"")</f>
        <v/>
      </c>
      <c r="W416" s="44">
        <f>IF(AND(B416=Queue!$C$4,OR(Queue!$K$4="*",N416=Queue!$K$4)),Q416,"")</f>
        <v/>
      </c>
    </row>
    <row r="417">
      <c r="A417" s="35">
        <f>IF(M417="","",HYPERLINK("https://www.youtube.com/watch?v="&amp;M417,"▶"))</f>
        <v/>
      </c>
      <c r="B417" s="36">
        <f>IF(C417&lt;&gt;"",C417,IF(P417&lt;=IFERROR(INDEX(tblChannels[Watched Through],MATCH(N417,tblChannels[Channel ID],0)),0),"Watched","Unwatched"))</f>
        <v/>
      </c>
      <c r="C417" s="37" t="n"/>
      <c r="D417" s="38" t="n"/>
      <c r="E417" s="39" t="n">
        <v>45730.71319444444</v>
      </c>
      <c r="F417" s="47" t="inlineStr">
        <is>
          <t>Super Carlin Brothers</t>
        </is>
      </c>
      <c r="G417" t="inlineStr">
        <is>
          <t>Wicked Predictions - REACTING To Our Old Theories!</t>
        </is>
      </c>
      <c r="H417" s="41" t="n">
        <v>0.04440972222222223</v>
      </c>
      <c r="I417" s="42" t="n">
        <v>52512</v>
      </c>
      <c r="J417" s="42" t="n">
        <v>2197</v>
      </c>
      <c r="K417" s="42" t="n">
        <v>656</v>
      </c>
      <c r="L417" s="43" t="n"/>
      <c r="M417" s="44" t="n"/>
      <c r="N417" s="44" t="inlineStr">
        <is>
          <t>UCKZo4N0lVPccBkSiuyVh4yg</t>
        </is>
      </c>
      <c r="O417" s="45" t="n">
        <v>45730.87986111111</v>
      </c>
      <c r="P417" s="46" t="n">
        <v>45730</v>
      </c>
      <c r="Q417" s="44" t="n">
        <v>2855</v>
      </c>
      <c r="R417" s="44" t="inlineStr">
        <is>
          <t>No Video ID yet</t>
        </is>
      </c>
      <c r="S417" s="46" t="n"/>
      <c r="T417" s="46" t="n"/>
      <c r="U417" s="44" t="n"/>
      <c r="V417" s="44">
        <f>IF(AND(P417&gt;=Calendar!$K$2,P417&lt;EDATE(Calendar!$K$2,1),OR(Calendar!$K$4="*",N417=Calendar!$K$4)),P417*100+COUNTIFS($P$6:$P$3271,P417,$Q$6:$Q$3271,"&lt;="&amp;Q417,$N$6:$N$3271,Calendar!$K$4),"")</f>
        <v/>
      </c>
      <c r="W417" s="44">
        <f>IF(AND(B417=Queue!$C$4,OR(Queue!$K$4="*",N417=Queue!$K$4)),Q417,"")</f>
        <v/>
      </c>
    </row>
    <row r="418">
      <c r="A418" s="35">
        <f>IF(M418="","",HYPERLINK("https://www.youtube.com/watch?v="&amp;M418,"▶"))</f>
        <v/>
      </c>
      <c r="B418" s="36">
        <f>IF(C418&lt;&gt;"",C418,IF(P418&lt;=IFERROR(INDEX(tblChannels[Watched Through],MATCH(N418,tblChannels[Channel ID],0)),0),"Watched","Unwatched"))</f>
        <v/>
      </c>
      <c r="C418" s="37" t="n"/>
      <c r="D418" s="38" t="n"/>
      <c r="E418" s="39" t="n">
        <v>45730.42708333334</v>
      </c>
      <c r="F418" s="40" t="inlineStr">
        <is>
          <t>Popcorn Culture</t>
        </is>
      </c>
      <c r="G418" t="inlineStr">
        <is>
          <t>Call Me BIG JELLY | Popcorn Culture</t>
        </is>
      </c>
      <c r="H418" s="41" t="n">
        <v>0.05311342592592593</v>
      </c>
      <c r="I418" s="42" t="n">
        <v>3548</v>
      </c>
      <c r="J418" s="42" t="n">
        <v>175</v>
      </c>
      <c r="K418" s="42" t="n">
        <v>24</v>
      </c>
      <c r="L418" s="43" t="n"/>
      <c r="M418" s="44" t="n"/>
      <c r="N418" s="44" t="inlineStr">
        <is>
          <t>UCHfIbq9thHPC8yrKjAdJgDA</t>
        </is>
      </c>
      <c r="O418" s="45" t="n">
        <v>45730.59375</v>
      </c>
      <c r="P418" s="46" t="n">
        <v>45730</v>
      </c>
      <c r="Q418" s="44" t="n">
        <v>2854</v>
      </c>
      <c r="R418" s="44" t="inlineStr">
        <is>
          <t>No Video ID yet</t>
        </is>
      </c>
      <c r="S418" s="46" t="n"/>
      <c r="T418" s="46" t="n"/>
      <c r="U418" s="44" t="n"/>
      <c r="V418" s="44">
        <f>IF(AND(P418&gt;=Calendar!$K$2,P418&lt;EDATE(Calendar!$K$2,1),OR(Calendar!$K$4="*",N418=Calendar!$K$4)),P418*100+COUNTIFS($P$6:$P$3271,P418,$Q$6:$Q$3271,"&lt;="&amp;Q418,$N$6:$N$3271,Calendar!$K$4),"")</f>
        <v/>
      </c>
      <c r="W418" s="44">
        <f>IF(AND(B418=Queue!$C$4,OR(Queue!$K$4="*",N418=Queue!$K$4)),Q418,"")</f>
        <v/>
      </c>
    </row>
    <row r="419">
      <c r="A419" s="35">
        <f>IF(M419="","",HYPERLINK("https://www.youtube.com/watch?v="&amp;M419,"▶"))</f>
        <v/>
      </c>
      <c r="B419" s="36">
        <f>IF(C419&lt;&gt;"",C419,IF(P419&lt;=IFERROR(INDEX(tblChannels[Watched Through],MATCH(N419,tblChannels[Channel ID],0)),0),"Watched","Unwatched"))</f>
        <v/>
      </c>
      <c r="C419" s="37" t="n"/>
      <c r="D419" s="38" t="n"/>
      <c r="E419" s="39" t="n">
        <v>45729.70833333334</v>
      </c>
      <c r="F419" s="48" t="inlineStr">
        <is>
          <t>Through The Griffin Door</t>
        </is>
      </c>
      <c r="G419" t="inlineStr">
        <is>
          <t>Live in Tampa - Chapter 16: The Goblet of Fire | Goblet of Fire</t>
        </is>
      </c>
      <c r="H419" s="41" t="n">
        <v>0.05146990740740741</v>
      </c>
      <c r="I419" s="42" t="n">
        <v>11353</v>
      </c>
      <c r="J419" s="42" t="n">
        <v>474</v>
      </c>
      <c r="K419" s="42" t="n">
        <v>90</v>
      </c>
      <c r="L419" s="43" t="n"/>
      <c r="M419" s="44" t="n"/>
      <c r="N419" s="44" t="inlineStr">
        <is>
          <t>UCEscP6ETYXWSSvsNrDHekMQ</t>
        </is>
      </c>
      <c r="O419" s="45" t="n">
        <v>45729.875</v>
      </c>
      <c r="P419" s="46" t="n">
        <v>45729</v>
      </c>
      <c r="Q419" s="44" t="n">
        <v>2853</v>
      </c>
      <c r="R419" s="44" t="inlineStr">
        <is>
          <t>No Video ID yet</t>
        </is>
      </c>
      <c r="S419" s="46" t="n"/>
      <c r="T419" s="46" t="n"/>
      <c r="U419" s="44" t="n"/>
      <c r="V419" s="44">
        <f>IF(AND(P419&gt;=Calendar!$K$2,P419&lt;EDATE(Calendar!$K$2,1),OR(Calendar!$K$4="*",N419=Calendar!$K$4)),P419*100+COUNTIFS($P$6:$P$3271,P419,$Q$6:$Q$3271,"&lt;="&amp;Q419,$N$6:$N$3271,Calendar!$K$4),"")</f>
        <v/>
      </c>
      <c r="W419" s="44">
        <f>IF(AND(B419=Queue!$C$4,OR(Queue!$K$4="*",N419=Queue!$K$4)),Q419,"")</f>
        <v/>
      </c>
    </row>
    <row r="420">
      <c r="A420" s="35">
        <f>IF(M420="","",HYPERLINK("https://www.youtube.com/watch?v="&amp;M420,"▶"))</f>
        <v/>
      </c>
      <c r="B420" s="36">
        <f>IF(C420&lt;&gt;"",C420,IF(P420&lt;=IFERROR(INDEX(tblChannels[Watched Through],MATCH(N420,tblChannels[Channel ID],0)),0),"Watched","Unwatched"))</f>
        <v/>
      </c>
      <c r="C420" s="37" t="n"/>
      <c r="D420" s="38" t="n"/>
      <c r="E420" s="39" t="n">
        <v>45728.69166666667</v>
      </c>
      <c r="F420" s="47" t="inlineStr">
        <is>
          <t>Super Carlin Brothers</t>
        </is>
      </c>
      <c r="G420" t="inlineStr">
        <is>
          <t>J vs Ben: HARDEST Harry Potter and the Order of the Phoenix MOVIE Trivia Quiz</t>
        </is>
      </c>
      <c r="H420" s="41" t="n">
        <v>0.02650462962962963</v>
      </c>
      <c r="I420" s="42" t="n">
        <v>137470</v>
      </c>
      <c r="J420" s="42" t="n">
        <v>4555</v>
      </c>
      <c r="K420" s="42" t="n">
        <v>498</v>
      </c>
      <c r="L420" s="43" t="n"/>
      <c r="M420" s="44" t="n"/>
      <c r="N420" s="44" t="inlineStr">
        <is>
          <t>UCKZo4N0lVPccBkSiuyVh4yg</t>
        </is>
      </c>
      <c r="O420" s="45" t="n">
        <v>45728.85833333333</v>
      </c>
      <c r="P420" s="46" t="n">
        <v>45728</v>
      </c>
      <c r="Q420" s="44" t="n">
        <v>2852</v>
      </c>
      <c r="R420" s="44" t="inlineStr">
        <is>
          <t>No Video ID yet</t>
        </is>
      </c>
      <c r="S420" s="46" t="n"/>
      <c r="T420" s="46" t="n"/>
      <c r="U420" s="44" t="n"/>
      <c r="V420" s="44">
        <f>IF(AND(P420&gt;=Calendar!$K$2,P420&lt;EDATE(Calendar!$K$2,1),OR(Calendar!$K$4="*",N420=Calendar!$K$4)),P420*100+COUNTIFS($P$6:$P$3271,P420,$Q$6:$Q$3271,"&lt;="&amp;Q420,$N$6:$N$3271,Calendar!$K$4),"")</f>
        <v/>
      </c>
      <c r="W420" s="44">
        <f>IF(AND(B420=Queue!$C$4,OR(Queue!$K$4="*",N420=Queue!$K$4)),Q420,"")</f>
        <v/>
      </c>
    </row>
    <row r="421">
      <c r="A421" s="35">
        <f>IF(M421="","",HYPERLINK("https://www.youtube.com/watch?v="&amp;M421,"▶"))</f>
        <v/>
      </c>
      <c r="B421" s="36">
        <f>IF(C421&lt;&gt;"",C421,IF(P421&lt;=IFERROR(INDEX(tblChannels[Watched Through],MATCH(N421,tblChannels[Channel ID],0)),0),"Watched","Unwatched"))</f>
        <v/>
      </c>
      <c r="C421" s="37" t="n"/>
      <c r="D421" s="38" t="n"/>
      <c r="E421" s="39" t="n">
        <v>45725.41666666666</v>
      </c>
      <c r="F421" s="48" t="inlineStr">
        <is>
          <t>Through The Griffin Door</t>
        </is>
      </c>
      <c r="G421" t="inlineStr">
        <is>
          <t>Chapter 16: The Goblet of Fire | Goblet of Fire</t>
        </is>
      </c>
      <c r="H421" s="41" t="n">
        <v>0.06604166666666667</v>
      </c>
      <c r="I421" s="42" t="n">
        <v>58368</v>
      </c>
      <c r="J421" s="42" t="n">
        <v>1603</v>
      </c>
      <c r="K421" s="42" t="n">
        <v>548</v>
      </c>
      <c r="L421" s="43" t="n"/>
      <c r="M421" s="44" t="n"/>
      <c r="N421" s="44" t="inlineStr">
        <is>
          <t>UCEscP6ETYXWSSvsNrDHekMQ</t>
        </is>
      </c>
      <c r="O421" s="45" t="n">
        <v>45725.58333333334</v>
      </c>
      <c r="P421" s="46" t="n">
        <v>45725</v>
      </c>
      <c r="Q421" s="44" t="n">
        <v>2851</v>
      </c>
      <c r="R421" s="44" t="inlineStr">
        <is>
          <t>No Video ID yet</t>
        </is>
      </c>
      <c r="S421" s="46" t="n"/>
      <c r="T421" s="46" t="n"/>
      <c r="U421" s="44" t="n"/>
      <c r="V421" s="44">
        <f>IF(AND(P421&gt;=Calendar!$K$2,P421&lt;EDATE(Calendar!$K$2,1),OR(Calendar!$K$4="*",N421=Calendar!$K$4)),P421*100+COUNTIFS($P$6:$P$3271,P421,$Q$6:$Q$3271,"&lt;="&amp;Q421,$N$6:$N$3271,Calendar!$K$4),"")</f>
        <v/>
      </c>
      <c r="W421" s="44">
        <f>IF(AND(B421=Queue!$C$4,OR(Queue!$K$4="*",N421=Queue!$K$4)),Q421,"")</f>
        <v/>
      </c>
    </row>
    <row r="422">
      <c r="A422" s="35">
        <f>IF(M422="","",HYPERLINK("https://www.youtube.com/watch?v="&amp;M422,"▶"))</f>
        <v/>
      </c>
      <c r="B422" s="36">
        <f>IF(C422&lt;&gt;"",C422,IF(P422&lt;=IFERROR(INDEX(tblChannels[Watched Through],MATCH(N422,tblChannels[Channel ID],0)),0),"Watched","Unwatched"))</f>
        <v/>
      </c>
      <c r="C422" s="37" t="n"/>
      <c r="D422" s="38" t="n"/>
      <c r="E422" s="39" t="n">
        <v>45724.41736111111</v>
      </c>
      <c r="F422" s="47" t="inlineStr">
        <is>
          <t>Super Carlin Brothers</t>
        </is>
      </c>
      <c r="G422" t="inlineStr">
        <is>
          <t>Through the Griffin Door Supercut: Goblet of Fire Chapters 13 - 15</t>
        </is>
      </c>
      <c r="H422" s="41" t="n">
        <v>0.1905787037037037</v>
      </c>
      <c r="I422" s="42" t="n">
        <v>17086</v>
      </c>
      <c r="J422" s="42" t="n">
        <v>318</v>
      </c>
      <c r="K422" s="42" t="n">
        <v>71</v>
      </c>
      <c r="L422" s="43" t="n"/>
      <c r="M422" s="44" t="n"/>
      <c r="N422" s="44" t="inlineStr">
        <is>
          <t>UCKZo4N0lVPccBkSiuyVh4yg</t>
        </is>
      </c>
      <c r="O422" s="45" t="n">
        <v>45724.62569444445</v>
      </c>
      <c r="P422" s="46" t="n">
        <v>45724</v>
      </c>
      <c r="Q422" s="44" t="n">
        <v>2850</v>
      </c>
      <c r="R422" s="44" t="inlineStr">
        <is>
          <t>No Video ID yet</t>
        </is>
      </c>
      <c r="S422" s="46" t="n"/>
      <c r="T422" s="46" t="n"/>
      <c r="U422" s="44" t="n"/>
      <c r="V422" s="44">
        <f>IF(AND(P422&gt;=Calendar!$K$2,P422&lt;EDATE(Calendar!$K$2,1),OR(Calendar!$K$4="*",N422=Calendar!$K$4)),P422*100+COUNTIFS($P$6:$P$3271,P422,$Q$6:$Q$3271,"&lt;="&amp;Q422,$N$6:$N$3271,Calendar!$K$4),"")</f>
        <v/>
      </c>
      <c r="W422" s="44">
        <f>IF(AND(B422=Queue!$C$4,OR(Queue!$K$4="*",N422=Queue!$K$4)),Q422,"")</f>
        <v/>
      </c>
    </row>
    <row r="423">
      <c r="A423" s="35">
        <f>IF(M423="","",HYPERLINK("https://www.youtube.com/watch?v="&amp;M423,"▶"))</f>
        <v/>
      </c>
      <c r="B423" s="36">
        <f>IF(C423&lt;&gt;"",C423,IF(P423&lt;=IFERROR(INDEX(tblChannels[Watched Through],MATCH(N423,tblChannels[Channel ID],0)),0),"Watched","Unwatched"))</f>
        <v/>
      </c>
      <c r="C423" s="37" t="n"/>
      <c r="D423" s="38" t="n"/>
      <c r="E423" s="39" t="n">
        <v>45723.625</v>
      </c>
      <c r="F423" s="47" t="inlineStr">
        <is>
          <t>Super Carlin Brothers</t>
        </is>
      </c>
      <c r="G423" t="inlineStr">
        <is>
          <t>The COMPLETE History Of Pluto The Pup | Disney History Explained</t>
        </is>
      </c>
      <c r="H423" s="41" t="n">
        <v>0.01377314814814815</v>
      </c>
      <c r="I423" s="42" t="n">
        <v>40827</v>
      </c>
      <c r="J423" s="42" t="n">
        <v>2488</v>
      </c>
      <c r="K423" s="42" t="n">
        <v>342</v>
      </c>
      <c r="L423" s="43" t="n"/>
      <c r="M423" s="44" t="n"/>
      <c r="N423" s="44" t="inlineStr">
        <is>
          <t>UCKZo4N0lVPccBkSiuyVh4yg</t>
        </is>
      </c>
      <c r="O423" s="45" t="n">
        <v>45723.83333333334</v>
      </c>
      <c r="P423" s="46" t="n">
        <v>45723</v>
      </c>
      <c r="Q423" s="44" t="n">
        <v>2849</v>
      </c>
      <c r="R423" s="44" t="inlineStr">
        <is>
          <t>No Video ID yet</t>
        </is>
      </c>
      <c r="S423" s="46" t="n"/>
      <c r="T423" s="46" t="n"/>
      <c r="U423" s="44" t="n"/>
      <c r="V423" s="44">
        <f>IF(AND(P423&gt;=Calendar!$K$2,P423&lt;EDATE(Calendar!$K$2,1),OR(Calendar!$K$4="*",N423=Calendar!$K$4)),P423*100+COUNTIFS($P$6:$P$3271,P423,$Q$6:$Q$3271,"&lt;="&amp;Q423,$N$6:$N$3271,Calendar!$K$4),"")</f>
        <v/>
      </c>
      <c r="W423" s="44">
        <f>IF(AND(B423=Queue!$C$4,OR(Queue!$K$4="*",N423=Queue!$K$4)),Q423,"")</f>
        <v/>
      </c>
    </row>
    <row r="424">
      <c r="A424" s="35">
        <f>IF(M424="","",HYPERLINK("https://www.youtube.com/watch?v="&amp;M424,"▶"))</f>
        <v/>
      </c>
      <c r="B424" s="36">
        <f>IF(C424&lt;&gt;"",C424,IF(P424&lt;=IFERROR(INDEX(tblChannels[Watched Through],MATCH(N424,tblChannels[Channel ID],0)),0),"Watched","Unwatched"))</f>
        <v/>
      </c>
      <c r="C424" s="37" t="n"/>
      <c r="D424" s="38" t="n"/>
      <c r="E424" s="39" t="n">
        <v>45723.41666666666</v>
      </c>
      <c r="F424" s="40" t="inlineStr">
        <is>
          <t>Popcorn Culture</t>
        </is>
      </c>
      <c r="G424" t="inlineStr">
        <is>
          <t>Is Nature Art? | Popcorn Culture</t>
        </is>
      </c>
      <c r="H424" s="41" t="n">
        <v>0.04150462962962963</v>
      </c>
      <c r="I424" s="42" t="n">
        <v>3552</v>
      </c>
      <c r="J424" s="42" t="n">
        <v>180</v>
      </c>
      <c r="K424" s="42" t="n">
        <v>30</v>
      </c>
      <c r="L424" s="43" t="n"/>
      <c r="M424" s="44" t="n"/>
      <c r="N424" s="44" t="inlineStr">
        <is>
          <t>UCHfIbq9thHPC8yrKjAdJgDA</t>
        </is>
      </c>
      <c r="O424" s="45" t="n">
        <v>45723.625</v>
      </c>
      <c r="P424" s="46" t="n">
        <v>45723</v>
      </c>
      <c r="Q424" s="44" t="n">
        <v>2848</v>
      </c>
      <c r="R424" s="44" t="inlineStr">
        <is>
          <t>No Video ID yet</t>
        </is>
      </c>
      <c r="S424" s="46" t="n"/>
      <c r="T424" s="46" t="n"/>
      <c r="U424" s="44" t="n"/>
      <c r="V424" s="44">
        <f>IF(AND(P424&gt;=Calendar!$K$2,P424&lt;EDATE(Calendar!$K$2,1),OR(Calendar!$K$4="*",N424=Calendar!$K$4)),P424*100+COUNTIFS($P$6:$P$3271,P424,$Q$6:$Q$3271,"&lt;="&amp;Q424,$N$6:$N$3271,Calendar!$K$4),"")</f>
        <v/>
      </c>
      <c r="W424" s="44">
        <f>IF(AND(B424=Queue!$C$4,OR(Queue!$K$4="*",N424=Queue!$K$4)),Q424,"")</f>
        <v/>
      </c>
    </row>
    <row r="425">
      <c r="A425" s="35">
        <f>IF(M425="","",HYPERLINK("https://www.youtube.com/watch?v="&amp;M425,"▶"))</f>
        <v/>
      </c>
      <c r="B425" s="36">
        <f>IF(C425&lt;&gt;"",C425,IF(P425&lt;=IFERROR(INDEX(tblChannels[Watched Through],MATCH(N425,tblChannels[Channel ID],0)),0),"Watched","Unwatched"))</f>
        <v/>
      </c>
      <c r="C425" s="37" t="n"/>
      <c r="D425" s="38" t="n"/>
      <c r="E425" s="39" t="n">
        <v>45722.70833333334</v>
      </c>
      <c r="F425" s="48" t="inlineStr">
        <is>
          <t>Through The Griffin Door</t>
        </is>
      </c>
      <c r="G425" t="inlineStr">
        <is>
          <t>Live In Orlando - Chapter 15: Beauxbaton and Durmstrang | Goblet of Fire</t>
        </is>
      </c>
      <c r="H425" s="41" t="n">
        <v>0.05001157407407408</v>
      </c>
      <c r="I425" s="42" t="n">
        <v>11589</v>
      </c>
      <c r="J425" s="42" t="n">
        <v>490</v>
      </c>
      <c r="K425" s="42" t="n">
        <v>115</v>
      </c>
      <c r="L425" s="43" t="n"/>
      <c r="M425" s="44" t="n"/>
      <c r="N425" s="44" t="inlineStr">
        <is>
          <t>UCEscP6ETYXWSSvsNrDHekMQ</t>
        </is>
      </c>
      <c r="O425" s="45" t="n">
        <v>45722.91666666666</v>
      </c>
      <c r="P425" s="46" t="n">
        <v>45722</v>
      </c>
      <c r="Q425" s="44" t="n">
        <v>2847</v>
      </c>
      <c r="R425" s="44" t="inlineStr">
        <is>
          <t>No Video ID yet</t>
        </is>
      </c>
      <c r="S425" s="46" t="n"/>
      <c r="T425" s="46" t="n"/>
      <c r="U425" s="44" t="n"/>
      <c r="V425" s="44">
        <f>IF(AND(P425&gt;=Calendar!$K$2,P425&lt;EDATE(Calendar!$K$2,1),OR(Calendar!$K$4="*",N425=Calendar!$K$4)),P425*100+COUNTIFS($P$6:$P$3271,P425,$Q$6:$Q$3271,"&lt;="&amp;Q425,$N$6:$N$3271,Calendar!$K$4),"")</f>
        <v/>
      </c>
      <c r="W425" s="44">
        <f>IF(AND(B425=Queue!$C$4,OR(Queue!$K$4="*",N425=Queue!$K$4)),Q425,"")</f>
        <v/>
      </c>
    </row>
    <row r="426">
      <c r="A426" s="35">
        <f>IF(M426="","",HYPERLINK("https://www.youtube.com/watch?v="&amp;M426,"▶"))</f>
        <v/>
      </c>
      <c r="B426" s="36">
        <f>IF(C426&lt;&gt;"",C426,IF(P426&lt;=IFERROR(INDEX(tblChannels[Watched Through],MATCH(N426,tblChannels[Channel ID],0)),0),"Watched","Unwatched"))</f>
        <v/>
      </c>
      <c r="C426" s="37" t="n"/>
      <c r="D426" s="38" t="n"/>
      <c r="E426" s="39" t="n">
        <v>45721.84097222222</v>
      </c>
      <c r="F426" s="47" t="inlineStr">
        <is>
          <t>Super Carlin Brothers</t>
        </is>
      </c>
      <c r="G426" t="inlineStr">
        <is>
          <t>The REAL Reason Harry Can Resist The Imperius Curse | Harry Potter Theory</t>
        </is>
      </c>
      <c r="H426" s="41" t="n">
        <v>0.01258101851851852</v>
      </c>
      <c r="I426" s="42" t="n">
        <v>153395</v>
      </c>
      <c r="J426" s="42" t="n">
        <v>6434</v>
      </c>
      <c r="K426" s="42" t="n">
        <v>701</v>
      </c>
      <c r="L426" s="43" t="n"/>
      <c r="M426" s="44" t="n"/>
      <c r="N426" s="44" t="inlineStr">
        <is>
          <t>UCKZo4N0lVPccBkSiuyVh4yg</t>
        </is>
      </c>
      <c r="O426" s="45" t="n">
        <v>45722.04930555556</v>
      </c>
      <c r="P426" s="46" t="n">
        <v>45721</v>
      </c>
      <c r="Q426" s="44" t="n">
        <v>2846</v>
      </c>
      <c r="R426" s="44" t="inlineStr">
        <is>
          <t>No Video ID yet</t>
        </is>
      </c>
      <c r="S426" s="46" t="n"/>
      <c r="T426" s="46" t="n"/>
      <c r="U426" s="44" t="n"/>
      <c r="V426" s="44">
        <f>IF(AND(P426&gt;=Calendar!$K$2,P426&lt;EDATE(Calendar!$K$2,1),OR(Calendar!$K$4="*",N426=Calendar!$K$4)),P426*100+COUNTIFS($P$6:$P$3271,P426,$Q$6:$Q$3271,"&lt;="&amp;Q426,$N$6:$N$3271,Calendar!$K$4),"")</f>
        <v/>
      </c>
      <c r="W426" s="44">
        <f>IF(AND(B426=Queue!$C$4,OR(Queue!$K$4="*",N426=Queue!$K$4)),Q426,"")</f>
        <v/>
      </c>
    </row>
    <row r="427">
      <c r="A427" s="35">
        <f>IF(M427="","",HYPERLINK("https://www.youtube.com/watch?v="&amp;M427,"▶"))</f>
        <v/>
      </c>
      <c r="B427" s="36">
        <f>IF(C427&lt;&gt;"",C427,IF(P427&lt;=IFERROR(INDEX(tblChannels[Watched Through],MATCH(N427,tblChannels[Channel ID],0)),0),"Watched","Unwatched"))</f>
        <v/>
      </c>
      <c r="C427" s="37" t="n"/>
      <c r="D427" s="38" t="n"/>
      <c r="E427" s="39" t="n">
        <v>45718.41666666666</v>
      </c>
      <c r="F427" s="48" t="inlineStr">
        <is>
          <t>Through The Griffin Door</t>
        </is>
      </c>
      <c r="G427" t="inlineStr">
        <is>
          <t>Chapter 15: Beauxbaton and Durmstrang | Goblet of Fire</t>
        </is>
      </c>
      <c r="H427" s="41" t="n">
        <v>0.06646990740740741</v>
      </c>
      <c r="I427" s="42" t="n">
        <v>59848</v>
      </c>
      <c r="J427" s="42" t="n">
        <v>1613</v>
      </c>
      <c r="K427" s="42" t="n">
        <v>526</v>
      </c>
      <c r="L427" s="43" t="n"/>
      <c r="M427" s="44" t="n"/>
      <c r="N427" s="44" t="inlineStr">
        <is>
          <t>UCEscP6ETYXWSSvsNrDHekMQ</t>
        </is>
      </c>
      <c r="O427" s="45" t="n">
        <v>45718.625</v>
      </c>
      <c r="P427" s="46" t="n">
        <v>45718</v>
      </c>
      <c r="Q427" s="44" t="n">
        <v>2845</v>
      </c>
      <c r="R427" s="44" t="inlineStr">
        <is>
          <t>No Video ID yet</t>
        </is>
      </c>
      <c r="S427" s="46" t="n"/>
      <c r="T427" s="46" t="n"/>
      <c r="U427" s="44" t="n"/>
      <c r="V427" s="44">
        <f>IF(AND(P427&gt;=Calendar!$K$2,P427&lt;EDATE(Calendar!$K$2,1),OR(Calendar!$K$4="*",N427=Calendar!$K$4)),P427*100+COUNTIFS($P$6:$P$3271,P427,$Q$6:$Q$3271,"&lt;="&amp;Q427,$N$6:$N$3271,Calendar!$K$4),"")</f>
        <v/>
      </c>
      <c r="W427" s="44">
        <f>IF(AND(B427=Queue!$C$4,OR(Queue!$K$4="*",N427=Queue!$K$4)),Q427,"")</f>
        <v/>
      </c>
    </row>
    <row r="428">
      <c r="A428" s="35">
        <f>IF(M428="","",HYPERLINK("https://www.youtube.com/watch?v="&amp;M428,"▶"))</f>
        <v/>
      </c>
      <c r="B428" s="36">
        <f>IF(C428&lt;&gt;"",C428,IF(P428&lt;=IFERROR(INDEX(tblChannels[Watched Through],MATCH(N428,tblChannels[Channel ID],0)),0),"Watched","Unwatched"))</f>
        <v/>
      </c>
      <c r="C428" s="37" t="n"/>
      <c r="D428" s="38" t="n"/>
      <c r="E428" s="39" t="n">
        <v>45716.69444444445</v>
      </c>
      <c r="F428" s="47" t="inlineStr">
        <is>
          <t>Super Carlin Brothers</t>
        </is>
      </c>
      <c r="G428" t="inlineStr">
        <is>
          <t>How The Resurrection Stone Was Created | Harry Potter Film Theory</t>
        </is>
      </c>
      <c r="H428" s="41" t="n">
        <v>0.01134259259259259</v>
      </c>
      <c r="I428" s="42" t="n">
        <v>108879</v>
      </c>
      <c r="J428" s="42" t="n">
        <v>5008</v>
      </c>
      <c r="K428" s="42" t="n">
        <v>661</v>
      </c>
      <c r="L428" s="43" t="n"/>
      <c r="M428" s="44" t="n"/>
      <c r="N428" s="44" t="inlineStr">
        <is>
          <t>UCKZo4N0lVPccBkSiuyVh4yg</t>
        </is>
      </c>
      <c r="O428" s="45" t="n">
        <v>45716.90277777778</v>
      </c>
      <c r="P428" s="46" t="n">
        <v>45716</v>
      </c>
      <c r="Q428" s="44" t="n">
        <v>2844</v>
      </c>
      <c r="R428" s="44" t="inlineStr">
        <is>
          <t>No Video ID yet</t>
        </is>
      </c>
      <c r="S428" s="46" t="n"/>
      <c r="T428" s="46" t="n"/>
      <c r="U428" s="44" t="n"/>
      <c r="V428" s="44">
        <f>IF(AND(P428&gt;=Calendar!$K$2,P428&lt;EDATE(Calendar!$K$2,1),OR(Calendar!$K$4="*",N428=Calendar!$K$4)),P428*100+COUNTIFS($P$6:$P$3271,P428,$Q$6:$Q$3271,"&lt;="&amp;Q428,$N$6:$N$3271,Calendar!$K$4),"")</f>
        <v/>
      </c>
      <c r="W428" s="44">
        <f>IF(AND(B428=Queue!$C$4,OR(Queue!$K$4="*",N428=Queue!$K$4)),Q428,"")</f>
        <v/>
      </c>
    </row>
    <row r="429">
      <c r="A429" s="35">
        <f>IF(M429="","",HYPERLINK("https://www.youtube.com/watch?v="&amp;M429,"▶"))</f>
        <v/>
      </c>
      <c r="B429" s="36">
        <f>IF(C429&lt;&gt;"",C429,IF(P429&lt;=IFERROR(INDEX(tblChannels[Watched Through],MATCH(N429,tblChannels[Channel ID],0)),0),"Watched","Unwatched"))</f>
        <v/>
      </c>
      <c r="C429" s="37" t="n"/>
      <c r="D429" s="38" t="n"/>
      <c r="E429" s="39" t="n">
        <v>45716.41666666666</v>
      </c>
      <c r="F429" s="40" t="inlineStr">
        <is>
          <t>Popcorn Culture</t>
        </is>
      </c>
      <c r="G429" t="inlineStr">
        <is>
          <t>Ben Got Caught STEALING | Popcorn Culture</t>
        </is>
      </c>
      <c r="H429" s="41" t="n">
        <v>0.05115740740740741</v>
      </c>
      <c r="I429" s="42" t="n">
        <v>4245</v>
      </c>
      <c r="J429" s="42" t="n">
        <v>203</v>
      </c>
      <c r="K429" s="42" t="n">
        <v>35</v>
      </c>
      <c r="L429" s="43" t="n"/>
      <c r="M429" s="44" t="n"/>
      <c r="N429" s="44" t="inlineStr">
        <is>
          <t>UCHfIbq9thHPC8yrKjAdJgDA</t>
        </is>
      </c>
      <c r="O429" s="45" t="n">
        <v>45716.625</v>
      </c>
      <c r="P429" s="46" t="n">
        <v>45716</v>
      </c>
      <c r="Q429" s="44" t="n">
        <v>2843</v>
      </c>
      <c r="R429" s="44" t="inlineStr">
        <is>
          <t>No Video ID yet</t>
        </is>
      </c>
      <c r="S429" s="46" t="n"/>
      <c r="T429" s="46" t="n"/>
      <c r="U429" s="44" t="n"/>
      <c r="V429" s="44">
        <f>IF(AND(P429&gt;=Calendar!$K$2,P429&lt;EDATE(Calendar!$K$2,1),OR(Calendar!$K$4="*",N429=Calendar!$K$4)),P429*100+COUNTIFS($P$6:$P$3271,P429,$Q$6:$Q$3271,"&lt;="&amp;Q429,$N$6:$N$3271,Calendar!$K$4),"")</f>
        <v/>
      </c>
      <c r="W429" s="44">
        <f>IF(AND(B429=Queue!$C$4,OR(Queue!$K$4="*",N429=Queue!$K$4)),Q429,"")</f>
        <v/>
      </c>
    </row>
    <row r="430">
      <c r="A430" s="35">
        <f>IF(M430="","",HYPERLINK("https://www.youtube.com/watch?v="&amp;M430,"▶"))</f>
        <v/>
      </c>
      <c r="B430" s="36">
        <f>IF(C430&lt;&gt;"",C430,IF(P430&lt;=IFERROR(INDEX(tblChannels[Watched Through],MATCH(N430,tblChannels[Channel ID],0)),0),"Watched","Unwatched"))</f>
        <v/>
      </c>
      <c r="C430" s="37" t="n"/>
      <c r="D430" s="38" t="n"/>
      <c r="E430" s="39" t="n">
        <v>45715.70833333334</v>
      </c>
      <c r="F430" s="48" t="inlineStr">
        <is>
          <t>Through The Griffin Door</t>
        </is>
      </c>
      <c r="G430" t="inlineStr">
        <is>
          <t>Live in Charlotte - Chapter 14: The Unforgivable Curses | Goblet of Fire</t>
        </is>
      </c>
      <c r="H430" s="41" t="n">
        <v>0.05266203703703703</v>
      </c>
      <c r="I430" s="42" t="n">
        <v>13090</v>
      </c>
      <c r="J430" s="42" t="n">
        <v>570</v>
      </c>
      <c r="K430" s="42" t="n">
        <v>145</v>
      </c>
      <c r="L430" s="43" t="n"/>
      <c r="M430" s="44" t="n"/>
      <c r="N430" s="44" t="inlineStr">
        <is>
          <t>UCEscP6ETYXWSSvsNrDHekMQ</t>
        </is>
      </c>
      <c r="O430" s="45" t="n">
        <v>45715.91666666666</v>
      </c>
      <c r="P430" s="46" t="n">
        <v>45715</v>
      </c>
      <c r="Q430" s="44" t="n">
        <v>2842</v>
      </c>
      <c r="R430" s="44" t="inlineStr">
        <is>
          <t>No Video ID yet</t>
        </is>
      </c>
      <c r="S430" s="46" t="n"/>
      <c r="T430" s="46" t="n"/>
      <c r="U430" s="44" t="n"/>
      <c r="V430" s="44">
        <f>IF(AND(P430&gt;=Calendar!$K$2,P430&lt;EDATE(Calendar!$K$2,1),OR(Calendar!$K$4="*",N430=Calendar!$K$4)),P430*100+COUNTIFS($P$6:$P$3271,P430,$Q$6:$Q$3271,"&lt;="&amp;Q430,$N$6:$N$3271,Calendar!$K$4),"")</f>
        <v/>
      </c>
      <c r="W430" s="44">
        <f>IF(AND(B430=Queue!$C$4,OR(Queue!$K$4="*",N430=Queue!$K$4)),Q430,"")</f>
        <v/>
      </c>
    </row>
    <row r="431">
      <c r="A431" s="35">
        <f>IF(M431="","",HYPERLINK("https://www.youtube.com/watch?v="&amp;M431,"▶"))</f>
        <v/>
      </c>
      <c r="B431" s="36">
        <f>IF(C431&lt;&gt;"",C431,IF(P431&lt;=IFERROR(INDEX(tblChannels[Watched Through],MATCH(N431,tblChannels[Channel ID],0)),0),"Watched","Unwatched"))</f>
        <v/>
      </c>
      <c r="C431" s="37" t="n"/>
      <c r="D431" s="38" t="n"/>
      <c r="E431" s="39" t="n">
        <v>45714.70277777778</v>
      </c>
      <c r="F431" s="47" t="inlineStr">
        <is>
          <t>Super Carlin Brothers</t>
        </is>
      </c>
      <c r="G431" t="inlineStr">
        <is>
          <t>J vs Ben: HARDEST Goblet of Fire Movie Harry Potter TRIVIA Battle</t>
        </is>
      </c>
      <c r="H431" s="41" t="n">
        <v>0.02991898148148148</v>
      </c>
      <c r="I431" s="42" t="n">
        <v>154723</v>
      </c>
      <c r="J431" s="42" t="n">
        <v>4771</v>
      </c>
      <c r="K431" s="42" t="n">
        <v>650</v>
      </c>
      <c r="L431" s="43" t="n"/>
      <c r="M431" s="44" t="n"/>
      <c r="N431" s="44" t="inlineStr">
        <is>
          <t>UCKZo4N0lVPccBkSiuyVh4yg</t>
        </is>
      </c>
      <c r="O431" s="45" t="n">
        <v>45714.91111111111</v>
      </c>
      <c r="P431" s="46" t="n">
        <v>45714</v>
      </c>
      <c r="Q431" s="44" t="n">
        <v>2841</v>
      </c>
      <c r="R431" s="44" t="inlineStr">
        <is>
          <t>No Video ID yet</t>
        </is>
      </c>
      <c r="S431" s="46" t="n"/>
      <c r="T431" s="46" t="n"/>
      <c r="U431" s="44" t="n"/>
      <c r="V431" s="44">
        <f>IF(AND(P431&gt;=Calendar!$K$2,P431&lt;EDATE(Calendar!$K$2,1),OR(Calendar!$K$4="*",N431=Calendar!$K$4)),P431*100+COUNTIFS($P$6:$P$3271,P431,$Q$6:$Q$3271,"&lt;="&amp;Q431,$N$6:$N$3271,Calendar!$K$4),"")</f>
        <v/>
      </c>
      <c r="W431" s="44">
        <f>IF(AND(B431=Queue!$C$4,OR(Queue!$K$4="*",N431=Queue!$K$4)),Q431,"")</f>
        <v/>
      </c>
    </row>
    <row r="432">
      <c r="A432" s="35">
        <f>IF(M432="","",HYPERLINK("https://www.youtube.com/watch?v="&amp;M432,"▶"))</f>
        <v/>
      </c>
      <c r="B432" s="36">
        <f>IF(C432&lt;&gt;"",C432,IF(P432&lt;=IFERROR(INDEX(tblChannels[Watched Through],MATCH(N432,tblChannels[Channel ID],0)),0),"Watched","Unwatched"))</f>
        <v/>
      </c>
      <c r="C432" s="37" t="n"/>
      <c r="D432" s="38" t="n"/>
      <c r="E432" s="39" t="n">
        <v>45711.41736111111</v>
      </c>
      <c r="F432" s="48" t="inlineStr">
        <is>
          <t>Through The Griffin Door</t>
        </is>
      </c>
      <c r="G432" t="inlineStr">
        <is>
          <t>Chapter 14: The Unforgivable Curses | Goblet of Fire</t>
        </is>
      </c>
      <c r="H432" s="41" t="n">
        <v>0.06688657407407407</v>
      </c>
      <c r="I432" s="42" t="n">
        <v>61558</v>
      </c>
      <c r="J432" s="42" t="n">
        <v>1734</v>
      </c>
      <c r="K432" s="42" t="n">
        <v>468</v>
      </c>
      <c r="L432" s="43" t="n"/>
      <c r="M432" s="44" t="n"/>
      <c r="N432" s="44" t="inlineStr">
        <is>
          <t>UCEscP6ETYXWSSvsNrDHekMQ</t>
        </is>
      </c>
      <c r="O432" s="45" t="n">
        <v>45711.62569444445</v>
      </c>
      <c r="P432" s="46" t="n">
        <v>45711</v>
      </c>
      <c r="Q432" s="44" t="n">
        <v>2840</v>
      </c>
      <c r="R432" s="44" t="inlineStr">
        <is>
          <t>No Video ID yet</t>
        </is>
      </c>
      <c r="S432" s="46" t="n"/>
      <c r="T432" s="46" t="n"/>
      <c r="U432" s="44" t="n"/>
      <c r="V432" s="44">
        <f>IF(AND(P432&gt;=Calendar!$K$2,P432&lt;EDATE(Calendar!$K$2,1),OR(Calendar!$K$4="*",N432=Calendar!$K$4)),P432*100+COUNTIFS($P$6:$P$3271,P432,$Q$6:$Q$3271,"&lt;="&amp;Q432,$N$6:$N$3271,Calendar!$K$4),"")</f>
        <v/>
      </c>
      <c r="W432" s="44">
        <f>IF(AND(B432=Queue!$C$4,OR(Queue!$K$4="*",N432=Queue!$K$4)),Q432,"")</f>
        <v/>
      </c>
    </row>
    <row r="433">
      <c r="A433" s="35">
        <f>IF(M433="","",HYPERLINK("https://www.youtube.com/watch?v="&amp;M433,"▶"))</f>
        <v/>
      </c>
      <c r="B433" s="36">
        <f>IF(C433&lt;&gt;"",C433,IF(P433&lt;=IFERROR(INDEX(tblChannels[Watched Through],MATCH(N433,tblChannels[Channel ID],0)),0),"Watched","Unwatched"))</f>
        <v/>
      </c>
      <c r="C433" s="37" t="n"/>
      <c r="D433" s="38" t="n"/>
      <c r="E433" s="39" t="n">
        <v>45709.625</v>
      </c>
      <c r="F433" s="47" t="inlineStr">
        <is>
          <t>Super Carlin Brothers</t>
        </is>
      </c>
      <c r="G433" t="inlineStr">
        <is>
          <t>Who REALLY Brought Aragog to Hagrid? | Harry Potter Film Theory</t>
        </is>
      </c>
      <c r="H433" s="41" t="n">
        <v>0.01359953703703704</v>
      </c>
      <c r="I433" s="42" t="n">
        <v>121792</v>
      </c>
      <c r="J433" s="42" t="n">
        <v>5199</v>
      </c>
      <c r="K433" s="42" t="n">
        <v>530</v>
      </c>
      <c r="L433" s="43" t="n"/>
      <c r="M433" s="44" t="n"/>
      <c r="N433" s="44" t="inlineStr">
        <is>
          <t>UCKZo4N0lVPccBkSiuyVh4yg</t>
        </is>
      </c>
      <c r="O433" s="45" t="n">
        <v>45709.83333333334</v>
      </c>
      <c r="P433" s="46" t="n">
        <v>45709</v>
      </c>
      <c r="Q433" s="44" t="n">
        <v>2839</v>
      </c>
      <c r="R433" s="44" t="inlineStr">
        <is>
          <t>No Video ID yet</t>
        </is>
      </c>
      <c r="S433" s="46" t="n"/>
      <c r="T433" s="46" t="n"/>
      <c r="U433" s="44" t="n"/>
      <c r="V433" s="44">
        <f>IF(AND(P433&gt;=Calendar!$K$2,P433&lt;EDATE(Calendar!$K$2,1),OR(Calendar!$K$4="*",N433=Calendar!$K$4)),P433*100+COUNTIFS($P$6:$P$3271,P433,$Q$6:$Q$3271,"&lt;="&amp;Q433,$N$6:$N$3271,Calendar!$K$4),"")</f>
        <v/>
      </c>
      <c r="W433" s="44">
        <f>IF(AND(B433=Queue!$C$4,OR(Queue!$K$4="*",N433=Queue!$K$4)),Q433,"")</f>
        <v/>
      </c>
    </row>
    <row r="434">
      <c r="A434" s="35">
        <f>IF(M434="","",HYPERLINK("https://www.youtube.com/watch?v="&amp;M434,"▶"))</f>
        <v/>
      </c>
      <c r="B434" s="36">
        <f>IF(C434&lt;&gt;"",C434,IF(P434&lt;=IFERROR(INDEX(tblChannels[Watched Through],MATCH(N434,tblChannels[Channel ID],0)),0),"Watched","Unwatched"))</f>
        <v/>
      </c>
      <c r="C434" s="37" t="n"/>
      <c r="D434" s="38" t="n"/>
      <c r="E434" s="39" t="n">
        <v>45709.41666666666</v>
      </c>
      <c r="F434" s="40" t="inlineStr">
        <is>
          <t>Popcorn Culture</t>
        </is>
      </c>
      <c r="G434" t="inlineStr">
        <is>
          <t>Re-Popped Popcorn | Popcorn Culture</t>
        </is>
      </c>
      <c r="H434" s="41" t="n">
        <v>0.04461805555555556</v>
      </c>
      <c r="I434" s="42" t="n">
        <v>3463</v>
      </c>
      <c r="J434" s="42" t="n">
        <v>164</v>
      </c>
      <c r="K434" s="42" t="n">
        <v>21</v>
      </c>
      <c r="L434" s="43" t="n"/>
      <c r="M434" s="44" t="n"/>
      <c r="N434" s="44" t="inlineStr">
        <is>
          <t>UCHfIbq9thHPC8yrKjAdJgDA</t>
        </is>
      </c>
      <c r="O434" s="45" t="n">
        <v>45709.625</v>
      </c>
      <c r="P434" s="46" t="n">
        <v>45709</v>
      </c>
      <c r="Q434" s="44" t="n">
        <v>2838</v>
      </c>
      <c r="R434" s="44" t="inlineStr">
        <is>
          <t>No Video ID yet</t>
        </is>
      </c>
      <c r="S434" s="46" t="n"/>
      <c r="T434" s="46" t="n"/>
      <c r="U434" s="44" t="n"/>
      <c r="V434" s="44">
        <f>IF(AND(P434&gt;=Calendar!$K$2,P434&lt;EDATE(Calendar!$K$2,1),OR(Calendar!$K$4="*",N434=Calendar!$K$4)),P434*100+COUNTIFS($P$6:$P$3271,P434,$Q$6:$Q$3271,"&lt;="&amp;Q434,$N$6:$N$3271,Calendar!$K$4),"")</f>
        <v/>
      </c>
      <c r="W434" s="44">
        <f>IF(AND(B434=Queue!$C$4,OR(Queue!$K$4="*",N434=Queue!$K$4)),Q434,"")</f>
        <v/>
      </c>
    </row>
    <row r="435">
      <c r="A435" s="35">
        <f>IF(M435="","",HYPERLINK("https://www.youtube.com/watch?v="&amp;M435,"▶"))</f>
        <v/>
      </c>
      <c r="B435" s="36">
        <f>IF(C435&lt;&gt;"",C435,IF(P435&lt;=IFERROR(INDEX(tblChannels[Watched Through],MATCH(N435,tblChannels[Channel ID],0)),0),"Watched","Unwatched"))</f>
        <v/>
      </c>
      <c r="C435" s="37" t="n"/>
      <c r="D435" s="38" t="n"/>
      <c r="E435" s="39" t="n">
        <v>45707.625</v>
      </c>
      <c r="F435" s="47" t="inlineStr">
        <is>
          <t>Super Carlin Brothers</t>
        </is>
      </c>
      <c r="G435" t="inlineStr">
        <is>
          <t>Why Moody Can See Through Harry’s Cloak | Harry Potter Film Theory</t>
        </is>
      </c>
      <c r="H435" s="41" t="n">
        <v>0.01337962962962963</v>
      </c>
      <c r="I435" s="42" t="n">
        <v>153543</v>
      </c>
      <c r="J435" s="42" t="n">
        <v>6502</v>
      </c>
      <c r="K435" s="42" t="n">
        <v>907</v>
      </c>
      <c r="L435" s="43" t="n"/>
      <c r="M435" s="44" t="n"/>
      <c r="N435" s="44" t="inlineStr">
        <is>
          <t>UCKZo4N0lVPccBkSiuyVh4yg</t>
        </is>
      </c>
      <c r="O435" s="45" t="n">
        <v>45707.83333333334</v>
      </c>
      <c r="P435" s="46" t="n">
        <v>45707</v>
      </c>
      <c r="Q435" s="44" t="n">
        <v>2837</v>
      </c>
      <c r="R435" s="44" t="inlineStr">
        <is>
          <t>No Video ID yet</t>
        </is>
      </c>
      <c r="S435" s="46" t="n"/>
      <c r="T435" s="46" t="n"/>
      <c r="U435" s="44" t="n"/>
      <c r="V435" s="44">
        <f>IF(AND(P435&gt;=Calendar!$K$2,P435&lt;EDATE(Calendar!$K$2,1),OR(Calendar!$K$4="*",N435=Calendar!$K$4)),P435*100+COUNTIFS($P$6:$P$3271,P435,$Q$6:$Q$3271,"&lt;="&amp;Q435,$N$6:$N$3271,Calendar!$K$4),"")</f>
        <v/>
      </c>
      <c r="W435" s="44">
        <f>IF(AND(B435=Queue!$C$4,OR(Queue!$K$4="*",N435=Queue!$K$4)),Q435,"")</f>
        <v/>
      </c>
    </row>
    <row r="436">
      <c r="A436" s="35">
        <f>IF(M436="","",HYPERLINK("https://www.youtube.com/watch?v="&amp;M436,"▶"))</f>
        <v/>
      </c>
      <c r="B436" s="36">
        <f>IF(C436&lt;&gt;"",C436,IF(P436&lt;=IFERROR(INDEX(tblChannels[Watched Through],MATCH(N436,tblChannels[Channel ID],0)),0),"Watched","Unwatched"))</f>
        <v/>
      </c>
      <c r="C436" s="37" t="n"/>
      <c r="D436" s="38" t="n"/>
      <c r="E436" s="39" t="n">
        <v>45704.41666666666</v>
      </c>
      <c r="F436" s="48" t="inlineStr">
        <is>
          <t>Through The Griffin Door</t>
        </is>
      </c>
      <c r="G436" t="inlineStr">
        <is>
          <t>Chapter 13: Mad-Eye Moody | Goblet of Fire</t>
        </is>
      </c>
      <c r="H436" s="41" t="n">
        <v>0.05840277777777778</v>
      </c>
      <c r="I436" s="42" t="n">
        <v>57186</v>
      </c>
      <c r="J436" s="42" t="n">
        <v>1658</v>
      </c>
      <c r="K436" s="42" t="n">
        <v>370</v>
      </c>
      <c r="L436" s="43" t="n"/>
      <c r="M436" s="44" t="n"/>
      <c r="N436" s="44" t="inlineStr">
        <is>
          <t>UCEscP6ETYXWSSvsNrDHekMQ</t>
        </is>
      </c>
      <c r="O436" s="45" t="n">
        <v>45704.625</v>
      </c>
      <c r="P436" s="46" t="n">
        <v>45704</v>
      </c>
      <c r="Q436" s="44" t="n">
        <v>2836</v>
      </c>
      <c r="R436" s="44" t="inlineStr">
        <is>
          <t>No Video ID yet</t>
        </is>
      </c>
      <c r="S436" s="46" t="n"/>
      <c r="T436" s="46" t="n"/>
      <c r="U436" s="44" t="n"/>
      <c r="V436" s="44">
        <f>IF(AND(P436&gt;=Calendar!$K$2,P436&lt;EDATE(Calendar!$K$2,1),OR(Calendar!$K$4="*",N436=Calendar!$K$4)),P436*100+COUNTIFS($P$6:$P$3271,P436,$Q$6:$Q$3271,"&lt;="&amp;Q436,$N$6:$N$3271,Calendar!$K$4),"")</f>
        <v/>
      </c>
      <c r="W436" s="44">
        <f>IF(AND(B436=Queue!$C$4,OR(Queue!$K$4="*",N436=Queue!$K$4)),Q436,"")</f>
        <v/>
      </c>
    </row>
    <row r="437">
      <c r="A437" s="35">
        <f>IF(M437="","",HYPERLINK("https://www.youtube.com/watch?v="&amp;M437,"▶"))</f>
        <v/>
      </c>
      <c r="B437" s="36">
        <f>IF(C437&lt;&gt;"",C437,IF(P437&lt;=IFERROR(INDEX(tblChannels[Watched Through],MATCH(N437,tblChannels[Channel ID],0)),0),"Watched","Unwatched"))</f>
        <v/>
      </c>
      <c r="C437" s="37" t="n"/>
      <c r="D437" s="38" t="n"/>
      <c r="E437" s="39" t="n">
        <v>45703.41666666666</v>
      </c>
      <c r="F437" s="47" t="inlineStr">
        <is>
          <t>Super Carlin Brothers</t>
        </is>
      </c>
      <c r="G437" t="inlineStr">
        <is>
          <t>Through the Griffin Door Supercut: Goblet of Fire Chapters 10-12</t>
        </is>
      </c>
      <c r="H437" s="41" t="n">
        <v>0.195474537037037</v>
      </c>
      <c r="I437" s="42" t="n">
        <v>20016</v>
      </c>
      <c r="J437" s="42" t="n">
        <v>361</v>
      </c>
      <c r="K437" s="42" t="n">
        <v>96</v>
      </c>
      <c r="L437" s="43" t="n"/>
      <c r="M437" s="44" t="n"/>
      <c r="N437" s="44" t="inlineStr">
        <is>
          <t>UCKZo4N0lVPccBkSiuyVh4yg</t>
        </is>
      </c>
      <c r="O437" s="45" t="n">
        <v>45703.625</v>
      </c>
      <c r="P437" s="46" t="n">
        <v>45703</v>
      </c>
      <c r="Q437" s="44" t="n">
        <v>2835</v>
      </c>
      <c r="R437" s="44" t="inlineStr">
        <is>
          <t>No Video ID yet</t>
        </is>
      </c>
      <c r="S437" s="46" t="n"/>
      <c r="T437" s="46" t="n"/>
      <c r="U437" s="44" t="n"/>
      <c r="V437" s="44">
        <f>IF(AND(P437&gt;=Calendar!$K$2,P437&lt;EDATE(Calendar!$K$2,1),OR(Calendar!$K$4="*",N437=Calendar!$K$4)),P437*100+COUNTIFS($P$6:$P$3271,P437,$Q$6:$Q$3271,"&lt;="&amp;Q437,$N$6:$N$3271,Calendar!$K$4),"")</f>
        <v/>
      </c>
      <c r="W437" s="44">
        <f>IF(AND(B437=Queue!$C$4,OR(Queue!$K$4="*",N437=Queue!$K$4)),Q437,"")</f>
        <v/>
      </c>
    </row>
    <row r="438">
      <c r="A438" s="35">
        <f>IF(M438="","",HYPERLINK("https://www.youtube.com/watch?v="&amp;M438,"▶"))</f>
        <v/>
      </c>
      <c r="B438" s="36">
        <f>IF(C438&lt;&gt;"",C438,IF(P438&lt;=IFERROR(INDEX(tblChannels[Watched Through],MATCH(N438,tblChannels[Channel ID],0)),0),"Watched","Unwatched"))</f>
        <v/>
      </c>
      <c r="C438" s="37" t="n"/>
      <c r="D438" s="38" t="n"/>
      <c r="E438" s="39" t="n">
        <v>45702.625</v>
      </c>
      <c r="F438" s="47" t="inlineStr">
        <is>
          <t>Super Carlin Brothers</t>
        </is>
      </c>
      <c r="G438" t="inlineStr">
        <is>
          <t>Dumbledore's Horcrux - REACTING To Our Old Theories!</t>
        </is>
      </c>
      <c r="H438" s="41" t="n">
        <v>0.02850694444444445</v>
      </c>
      <c r="I438" s="42" t="n">
        <v>193741</v>
      </c>
      <c r="J438" s="42" t="n">
        <v>7785</v>
      </c>
      <c r="K438" s="42" t="n">
        <v>1268</v>
      </c>
      <c r="L438" s="43" t="n"/>
      <c r="M438" s="44" t="n"/>
      <c r="N438" s="44" t="inlineStr">
        <is>
          <t>UCKZo4N0lVPccBkSiuyVh4yg</t>
        </is>
      </c>
      <c r="O438" s="45" t="n">
        <v>45702.83333333334</v>
      </c>
      <c r="P438" s="46" t="n">
        <v>45702</v>
      </c>
      <c r="Q438" s="44" t="n">
        <v>2834</v>
      </c>
      <c r="R438" s="44" t="inlineStr">
        <is>
          <t>No Video ID yet</t>
        </is>
      </c>
      <c r="S438" s="46" t="n"/>
      <c r="T438" s="46" t="n"/>
      <c r="U438" s="44" t="n"/>
      <c r="V438" s="44">
        <f>IF(AND(P438&gt;=Calendar!$K$2,P438&lt;EDATE(Calendar!$K$2,1),OR(Calendar!$K$4="*",N438=Calendar!$K$4)),P438*100+COUNTIFS($P$6:$P$3271,P438,$Q$6:$Q$3271,"&lt;="&amp;Q438,$N$6:$N$3271,Calendar!$K$4),"")</f>
        <v/>
      </c>
      <c r="W438" s="44">
        <f>IF(AND(B438=Queue!$C$4,OR(Queue!$K$4="*",N438=Queue!$K$4)),Q438,"")</f>
        <v/>
      </c>
    </row>
    <row r="439">
      <c r="A439" s="35">
        <f>IF(M439="","",HYPERLINK("https://www.youtube.com/watch?v="&amp;M439,"▶"))</f>
        <v/>
      </c>
      <c r="B439" s="36">
        <f>IF(C439&lt;&gt;"",C439,IF(P439&lt;=IFERROR(INDEX(tblChannels[Watched Through],MATCH(N439,tblChannels[Channel ID],0)),0),"Watched","Unwatched"))</f>
        <v/>
      </c>
      <c r="C439" s="37" t="n"/>
      <c r="D439" s="38" t="n"/>
      <c r="E439" s="39" t="n">
        <v>45702.41666666666</v>
      </c>
      <c r="F439" s="40" t="inlineStr">
        <is>
          <t>Popcorn Culture</t>
        </is>
      </c>
      <c r="G439" t="inlineStr">
        <is>
          <t>The Freaky Friday Q+A |  Popcorn Culture</t>
        </is>
      </c>
      <c r="H439" s="41" t="n">
        <v>0.0466550925925926</v>
      </c>
      <c r="I439" s="42" t="n">
        <v>3772</v>
      </c>
      <c r="J439" s="42" t="n">
        <v>187</v>
      </c>
      <c r="K439" s="42" t="n">
        <v>20</v>
      </c>
      <c r="L439" s="43" t="n"/>
      <c r="M439" s="44" t="n"/>
      <c r="N439" s="44" t="inlineStr">
        <is>
          <t>UCHfIbq9thHPC8yrKjAdJgDA</t>
        </is>
      </c>
      <c r="O439" s="45" t="n">
        <v>45702.625</v>
      </c>
      <c r="P439" s="46" t="n">
        <v>45702</v>
      </c>
      <c r="Q439" s="44" t="n">
        <v>2833</v>
      </c>
      <c r="R439" s="44" t="inlineStr">
        <is>
          <t>No Video ID yet</t>
        </is>
      </c>
      <c r="S439" s="46" t="n"/>
      <c r="T439" s="46" t="n"/>
      <c r="U439" s="44" t="n"/>
      <c r="V439" s="44">
        <f>IF(AND(P439&gt;=Calendar!$K$2,P439&lt;EDATE(Calendar!$K$2,1),OR(Calendar!$K$4="*",N439=Calendar!$K$4)),P439*100+COUNTIFS($P$6:$P$3271,P439,$Q$6:$Q$3271,"&lt;="&amp;Q439,$N$6:$N$3271,Calendar!$K$4),"")</f>
        <v/>
      </c>
      <c r="W439" s="44">
        <f>IF(AND(B439=Queue!$C$4,OR(Queue!$K$4="*",N439=Queue!$K$4)),Q439,"")</f>
        <v/>
      </c>
    </row>
    <row r="440">
      <c r="A440" s="35">
        <f>IF(M440="","",HYPERLINK("https://www.youtube.com/watch?v="&amp;M440,"▶"))</f>
        <v/>
      </c>
      <c r="B440" s="36">
        <f>IF(C440&lt;&gt;"",C440,IF(P440&lt;=IFERROR(INDEX(tblChannels[Watched Through],MATCH(N440,tblChannels[Channel ID],0)),0),"Watched","Unwatched"))</f>
        <v/>
      </c>
      <c r="C440" s="37" t="n"/>
      <c r="D440" s="38" t="n"/>
      <c r="E440" s="39" t="n">
        <v>45700.625</v>
      </c>
      <c r="F440" s="47" t="inlineStr">
        <is>
          <t>Super Carlin Brothers</t>
        </is>
      </c>
      <c r="G440" t="inlineStr">
        <is>
          <t>J vs Ben: HARDEST Prisoner of Azkaban Movie Harry Potter TRIVIA Battle</t>
        </is>
      </c>
      <c r="H440" s="41" t="n">
        <v>0.03003472222222222</v>
      </c>
      <c r="I440" s="42" t="n">
        <v>159522</v>
      </c>
      <c r="J440" s="42" t="n">
        <v>4865</v>
      </c>
      <c r="K440" s="42" t="n">
        <v>768</v>
      </c>
      <c r="L440" s="43" t="n"/>
      <c r="M440" s="44" t="n"/>
      <c r="N440" s="44" t="inlineStr">
        <is>
          <t>UCKZo4N0lVPccBkSiuyVh4yg</t>
        </is>
      </c>
      <c r="O440" s="45" t="n">
        <v>45700.83333333334</v>
      </c>
      <c r="P440" s="46" t="n">
        <v>45700</v>
      </c>
      <c r="Q440" s="44" t="n">
        <v>2832</v>
      </c>
      <c r="R440" s="44" t="inlineStr">
        <is>
          <t>No Video ID yet</t>
        </is>
      </c>
      <c r="S440" s="46" t="n"/>
      <c r="T440" s="46" t="n"/>
      <c r="U440" s="44" t="n"/>
      <c r="V440" s="44">
        <f>IF(AND(P440&gt;=Calendar!$K$2,P440&lt;EDATE(Calendar!$K$2,1),OR(Calendar!$K$4="*",N440=Calendar!$K$4)),P440*100+COUNTIFS($P$6:$P$3271,P440,$Q$6:$Q$3271,"&lt;="&amp;Q440,$N$6:$N$3271,Calendar!$K$4),"")</f>
        <v/>
      </c>
      <c r="W440" s="44">
        <f>IF(AND(B440=Queue!$C$4,OR(Queue!$K$4="*",N440=Queue!$K$4)),Q440,"")</f>
        <v/>
      </c>
    </row>
    <row r="441">
      <c r="A441" s="35">
        <f>IF(M441="","",HYPERLINK("https://www.youtube.com/watch?v="&amp;M441,"▶"))</f>
        <v/>
      </c>
      <c r="B441" s="36">
        <f>IF(C441&lt;&gt;"",C441,IF(P441&lt;=IFERROR(INDEX(tblChannels[Watched Through],MATCH(N441,tblChannels[Channel ID],0)),0),"Watched","Unwatched"))</f>
        <v/>
      </c>
      <c r="C441" s="37" t="n"/>
      <c r="D441" s="38" t="n"/>
      <c r="E441" s="39" t="n">
        <v>45697.41666666666</v>
      </c>
      <c r="F441" s="48" t="inlineStr">
        <is>
          <t>Through The Griffin Door</t>
        </is>
      </c>
      <c r="G441" t="inlineStr">
        <is>
          <t>Chapter 12: The Triwizard Tournament | Goblet of Fire</t>
        </is>
      </c>
      <c r="H441" s="41" t="n">
        <v>0.07981481481481481</v>
      </c>
      <c r="I441" s="42" t="n">
        <v>72713</v>
      </c>
      <c r="J441" s="42" t="n">
        <v>1838</v>
      </c>
      <c r="K441" s="42" t="n">
        <v>718</v>
      </c>
      <c r="L441" s="43" t="n"/>
      <c r="M441" s="44" t="n"/>
      <c r="N441" s="44" t="inlineStr">
        <is>
          <t>UCEscP6ETYXWSSvsNrDHekMQ</t>
        </is>
      </c>
      <c r="O441" s="45" t="n">
        <v>45697.625</v>
      </c>
      <c r="P441" s="46" t="n">
        <v>45697</v>
      </c>
      <c r="Q441" s="44" t="n">
        <v>2831</v>
      </c>
      <c r="R441" s="44" t="inlineStr">
        <is>
          <t>No Video ID yet</t>
        </is>
      </c>
      <c r="S441" s="46" t="n"/>
      <c r="T441" s="46" t="n"/>
      <c r="U441" s="44" t="n"/>
      <c r="V441" s="44">
        <f>IF(AND(P441&gt;=Calendar!$K$2,P441&lt;EDATE(Calendar!$K$2,1),OR(Calendar!$K$4="*",N441=Calendar!$K$4)),P441*100+COUNTIFS($P$6:$P$3271,P441,$Q$6:$Q$3271,"&lt;="&amp;Q441,$N$6:$N$3271,Calendar!$K$4),"")</f>
        <v/>
      </c>
      <c r="W441" s="44">
        <f>IF(AND(B441=Queue!$C$4,OR(Queue!$K$4="*",N441=Queue!$K$4)),Q441,"")</f>
        <v/>
      </c>
    </row>
    <row r="442">
      <c r="A442" s="35">
        <f>IF(M442="","",HYPERLINK("https://www.youtube.com/watch?v="&amp;M442,"▶"))</f>
        <v/>
      </c>
      <c r="B442" s="36">
        <f>IF(C442&lt;&gt;"",C442,IF(P442&lt;=IFERROR(INDEX(tblChannels[Watched Through],MATCH(N442,tblChannels[Channel ID],0)),0),"Watched","Unwatched"))</f>
        <v/>
      </c>
      <c r="C442" s="37" t="n"/>
      <c r="D442" s="38" t="n"/>
      <c r="E442" s="39" t="n">
        <v>45695.7</v>
      </c>
      <c r="F442" s="47" t="inlineStr">
        <is>
          <t>Super Carlin Brothers</t>
        </is>
      </c>
      <c r="G442" t="inlineStr">
        <is>
          <t>Why Petunia Didn’t REVEAL The Wizarding World | Harry Potter Film Theory</t>
        </is>
      </c>
      <c r="H442" s="41" t="n">
        <v>0.01356481481481481</v>
      </c>
      <c r="I442" s="42" t="n">
        <v>210589</v>
      </c>
      <c r="J442" s="42" t="n">
        <v>7875</v>
      </c>
      <c r="K442" s="42" t="n">
        <v>834</v>
      </c>
      <c r="L442" s="43" t="n"/>
      <c r="M442" s="44" t="n"/>
      <c r="N442" s="44" t="inlineStr">
        <is>
          <t>UCKZo4N0lVPccBkSiuyVh4yg</t>
        </is>
      </c>
      <c r="O442" s="45" t="n">
        <v>45695.90833333333</v>
      </c>
      <c r="P442" s="46" t="n">
        <v>45695</v>
      </c>
      <c r="Q442" s="44" t="n">
        <v>2830</v>
      </c>
      <c r="R442" s="44" t="inlineStr">
        <is>
          <t>No Video ID yet</t>
        </is>
      </c>
      <c r="S442" s="46" t="n"/>
      <c r="T442" s="46" t="n"/>
      <c r="U442" s="44" t="n"/>
      <c r="V442" s="44">
        <f>IF(AND(P442&gt;=Calendar!$K$2,P442&lt;EDATE(Calendar!$K$2,1),OR(Calendar!$K$4="*",N442=Calendar!$K$4)),P442*100+COUNTIFS($P$6:$P$3271,P442,$Q$6:$Q$3271,"&lt;="&amp;Q442,$N$6:$N$3271,Calendar!$K$4),"")</f>
        <v/>
      </c>
      <c r="W442" s="44">
        <f>IF(AND(B442=Queue!$C$4,OR(Queue!$K$4="*",N442=Queue!$K$4)),Q442,"")</f>
        <v/>
      </c>
    </row>
    <row r="443">
      <c r="A443" s="35">
        <f>IF(M443="","",HYPERLINK("https://www.youtube.com/watch?v="&amp;M443,"▶"))</f>
        <v/>
      </c>
      <c r="B443" s="36">
        <f>IF(C443&lt;&gt;"",C443,IF(P443&lt;=IFERROR(INDEX(tblChannels[Watched Through],MATCH(N443,tblChannels[Channel ID],0)),0),"Watched","Unwatched"))</f>
        <v/>
      </c>
      <c r="C443" s="37" t="n"/>
      <c r="D443" s="38" t="n"/>
      <c r="E443" s="39" t="n">
        <v>45695.41666666666</v>
      </c>
      <c r="F443" s="40" t="inlineStr">
        <is>
          <t>Popcorn Culture</t>
        </is>
      </c>
      <c r="G443" t="inlineStr">
        <is>
          <t>Pin Trading Goes Hard | Popcorn Culture</t>
        </is>
      </c>
      <c r="H443" s="41" t="n">
        <v>0.06259259259259259</v>
      </c>
      <c r="I443" s="42" t="n">
        <v>4293</v>
      </c>
      <c r="J443" s="42" t="n">
        <v>215</v>
      </c>
      <c r="K443" s="42" t="n">
        <v>37</v>
      </c>
      <c r="L443" s="43" t="n"/>
      <c r="M443" s="44" t="n"/>
      <c r="N443" s="44" t="inlineStr">
        <is>
          <t>UCHfIbq9thHPC8yrKjAdJgDA</t>
        </is>
      </c>
      <c r="O443" s="45" t="n">
        <v>45695.625</v>
      </c>
      <c r="P443" s="46" t="n">
        <v>45695</v>
      </c>
      <c r="Q443" s="44" t="n">
        <v>2829</v>
      </c>
      <c r="R443" s="44" t="inlineStr">
        <is>
          <t>No Video ID yet</t>
        </is>
      </c>
      <c r="S443" s="46" t="n"/>
      <c r="T443" s="46" t="n"/>
      <c r="U443" s="44" t="n"/>
      <c r="V443" s="44">
        <f>IF(AND(P443&gt;=Calendar!$K$2,P443&lt;EDATE(Calendar!$K$2,1),OR(Calendar!$K$4="*",N443=Calendar!$K$4)),P443*100+COUNTIFS($P$6:$P$3271,P443,$Q$6:$Q$3271,"&lt;="&amp;Q443,$N$6:$N$3271,Calendar!$K$4),"")</f>
        <v/>
      </c>
      <c r="W443" s="44">
        <f>IF(AND(B443=Queue!$C$4,OR(Queue!$K$4="*",N443=Queue!$K$4)),Q443,"")</f>
        <v/>
      </c>
    </row>
    <row r="444">
      <c r="A444" s="35">
        <f>IF(M444="","",HYPERLINK("https://www.youtube.com/watch?v="&amp;M444,"▶"))</f>
        <v/>
      </c>
      <c r="B444" s="36">
        <f>IF(C444&lt;&gt;"",C444,IF(P444&lt;=IFERROR(INDEX(tblChannels[Watched Through],MATCH(N444,tblChannels[Channel ID],0)),0),"Watched","Unwatched"))</f>
        <v/>
      </c>
      <c r="C444" s="37" t="n"/>
      <c r="D444" s="38" t="n"/>
      <c r="E444" s="39" t="n">
        <v>45693.70625</v>
      </c>
      <c r="F444" s="47" t="inlineStr">
        <is>
          <t>Super Carlin Brothers</t>
        </is>
      </c>
      <c r="G444" t="inlineStr">
        <is>
          <t>How Spells Are CREATED In Harry Potter | Harry Potter Film Theory</t>
        </is>
      </c>
      <c r="H444" s="41" t="n">
        <v>0.01179398148148148</v>
      </c>
      <c r="I444" s="42" t="n">
        <v>486068</v>
      </c>
      <c r="J444" s="42" t="n">
        <v>15081</v>
      </c>
      <c r="K444" s="42" t="n">
        <v>1330</v>
      </c>
      <c r="L444" s="43" t="n"/>
      <c r="M444" s="44" t="n"/>
      <c r="N444" s="44" t="inlineStr">
        <is>
          <t>UCKZo4N0lVPccBkSiuyVh4yg</t>
        </is>
      </c>
      <c r="O444" s="45" t="n">
        <v>45693.91458333333</v>
      </c>
      <c r="P444" s="46" t="n">
        <v>45693</v>
      </c>
      <c r="Q444" s="44" t="n">
        <v>2828</v>
      </c>
      <c r="R444" s="44" t="inlineStr">
        <is>
          <t>No Video ID yet</t>
        </is>
      </c>
      <c r="S444" s="46" t="n"/>
      <c r="T444" s="46" t="n"/>
      <c r="U444" s="44" t="n"/>
      <c r="V444" s="44">
        <f>IF(AND(P444&gt;=Calendar!$K$2,P444&lt;EDATE(Calendar!$K$2,1),OR(Calendar!$K$4="*",N444=Calendar!$K$4)),P444*100+COUNTIFS($P$6:$P$3271,P444,$Q$6:$Q$3271,"&lt;="&amp;Q444,$N$6:$N$3271,Calendar!$K$4),"")</f>
        <v/>
      </c>
      <c r="W444" s="44">
        <f>IF(AND(B444=Queue!$C$4,OR(Queue!$K$4="*",N444=Queue!$K$4)),Q444,"")</f>
        <v/>
      </c>
    </row>
    <row r="445">
      <c r="A445" s="35">
        <f>IF(M445="","",HYPERLINK("https://www.youtube.com/watch?v="&amp;M445,"▶"))</f>
        <v/>
      </c>
      <c r="B445" s="36">
        <f>IF(C445&lt;&gt;"",C445,IF(P445&lt;=IFERROR(INDEX(tblChannels[Watched Through],MATCH(N445,tblChannels[Channel ID],0)),0),"Watched","Unwatched"))</f>
        <v/>
      </c>
      <c r="C445" s="37" t="n"/>
      <c r="D445" s="38" t="n"/>
      <c r="E445" s="39" t="n">
        <v>45690.41666666666</v>
      </c>
      <c r="F445" s="48" t="inlineStr">
        <is>
          <t>Through The Griffin Door</t>
        </is>
      </c>
      <c r="G445" t="inlineStr">
        <is>
          <t>Chapter 11: Aboard The Hogwarts Express | Goblet Of Fire</t>
        </is>
      </c>
      <c r="H445" s="41" t="n">
        <v>0.06196759259259259</v>
      </c>
      <c r="I445" s="42" t="n">
        <v>62695</v>
      </c>
      <c r="J445" s="42" t="n">
        <v>1697</v>
      </c>
      <c r="K445" s="42" t="n">
        <v>473</v>
      </c>
      <c r="L445" s="43" t="n"/>
      <c r="M445" s="44" t="n"/>
      <c r="N445" s="44" t="inlineStr">
        <is>
          <t>UCEscP6ETYXWSSvsNrDHekMQ</t>
        </is>
      </c>
      <c r="O445" s="45" t="n">
        <v>45690.625</v>
      </c>
      <c r="P445" s="46" t="n">
        <v>45690</v>
      </c>
      <c r="Q445" s="44" t="n">
        <v>2827</v>
      </c>
      <c r="R445" s="44" t="inlineStr">
        <is>
          <t>No Video ID yet</t>
        </is>
      </c>
      <c r="S445" s="46" t="n"/>
      <c r="T445" s="46" t="n"/>
      <c r="U445" s="44" t="n"/>
      <c r="V445" s="44">
        <f>IF(AND(P445&gt;=Calendar!$K$2,P445&lt;EDATE(Calendar!$K$2,1),OR(Calendar!$K$4="*",N445=Calendar!$K$4)),P445*100+COUNTIFS($P$6:$P$3271,P445,$Q$6:$Q$3271,"&lt;="&amp;Q445,$N$6:$N$3271,Calendar!$K$4),"")</f>
        <v/>
      </c>
      <c r="W445" s="44">
        <f>IF(AND(B445=Queue!$C$4,OR(Queue!$K$4="*",N445=Queue!$K$4)),Q445,"")</f>
        <v/>
      </c>
    </row>
    <row r="446">
      <c r="A446" s="35">
        <f>IF(M446="","",HYPERLINK("https://www.youtube.com/watch?v="&amp;M446,"▶"))</f>
        <v/>
      </c>
      <c r="B446" s="36">
        <f>IF(C446&lt;&gt;"",C446,IF(P446&lt;=IFERROR(INDEX(tblChannels[Watched Through],MATCH(N446,tblChannels[Channel ID],0)),0),"Watched","Unwatched"))</f>
        <v/>
      </c>
      <c r="C446" s="37" t="n"/>
      <c r="D446" s="38" t="n"/>
      <c r="E446" s="39" t="n">
        <v>45688.625</v>
      </c>
      <c r="F446" s="47" t="inlineStr">
        <is>
          <t>Super Carlin Brothers</t>
        </is>
      </c>
      <c r="G446" t="inlineStr">
        <is>
          <t>J vs Ben: HARDEST Harry Potter and the Chamber of Secrets MOVIE Trivia Quiz</t>
        </is>
      </c>
      <c r="H446" s="41" t="n">
        <v>0.03291666666666666</v>
      </c>
      <c r="I446" s="42" t="n">
        <v>199426</v>
      </c>
      <c r="J446" s="42" t="n">
        <v>4861</v>
      </c>
      <c r="K446" s="42" t="n">
        <v>757</v>
      </c>
      <c r="L446" s="43" t="n"/>
      <c r="M446" s="44" t="n"/>
      <c r="N446" s="44" t="inlineStr">
        <is>
          <t>UCKZo4N0lVPccBkSiuyVh4yg</t>
        </is>
      </c>
      <c r="O446" s="45" t="n">
        <v>45688.83333333334</v>
      </c>
      <c r="P446" s="46" t="n">
        <v>45688</v>
      </c>
      <c r="Q446" s="44" t="n">
        <v>2826</v>
      </c>
      <c r="R446" s="44" t="inlineStr">
        <is>
          <t>No Video ID yet</t>
        </is>
      </c>
      <c r="S446" s="46" t="n"/>
      <c r="T446" s="46" t="n"/>
      <c r="U446" s="44" t="n"/>
      <c r="V446" s="44">
        <f>IF(AND(P446&gt;=Calendar!$K$2,P446&lt;EDATE(Calendar!$K$2,1),OR(Calendar!$K$4="*",N446=Calendar!$K$4)),P446*100+COUNTIFS($P$6:$P$3271,P446,$Q$6:$Q$3271,"&lt;="&amp;Q446,$N$6:$N$3271,Calendar!$K$4),"")</f>
        <v/>
      </c>
      <c r="W446" s="44">
        <f>IF(AND(B446=Queue!$C$4,OR(Queue!$K$4="*",N446=Queue!$K$4)),Q446,"")</f>
        <v/>
      </c>
    </row>
    <row r="447">
      <c r="A447" s="35">
        <f>IF(M447="","",HYPERLINK("https://www.youtube.com/watch?v="&amp;M447,"▶"))</f>
        <v/>
      </c>
      <c r="B447" s="36">
        <f>IF(C447&lt;&gt;"",C447,IF(P447&lt;=IFERROR(INDEX(tblChannels[Watched Through],MATCH(N447,tblChannels[Channel ID],0)),0),"Watched","Unwatched"))</f>
        <v/>
      </c>
      <c r="C447" s="37" t="n"/>
      <c r="D447" s="38" t="n"/>
      <c r="E447" s="39" t="n">
        <v>45688.41666666666</v>
      </c>
      <c r="F447" s="40" t="inlineStr">
        <is>
          <t>Popcorn Culture</t>
        </is>
      </c>
      <c r="G447" t="inlineStr">
        <is>
          <t>Wives Pop 3.0! | Popcorn Culture</t>
        </is>
      </c>
      <c r="H447" s="41" t="n">
        <v>0.04211805555555555</v>
      </c>
      <c r="I447" s="42" t="n">
        <v>5607</v>
      </c>
      <c r="J447" s="42" t="n">
        <v>317</v>
      </c>
      <c r="K447" s="42" t="n">
        <v>37</v>
      </c>
      <c r="L447" s="43" t="n"/>
      <c r="M447" s="44" t="n"/>
      <c r="N447" s="44" t="inlineStr">
        <is>
          <t>UCHfIbq9thHPC8yrKjAdJgDA</t>
        </is>
      </c>
      <c r="O447" s="45" t="n">
        <v>45688.625</v>
      </c>
      <c r="P447" s="46" t="n">
        <v>45688</v>
      </c>
      <c r="Q447" s="44" t="n">
        <v>2825</v>
      </c>
      <c r="R447" s="44" t="inlineStr">
        <is>
          <t>No Video ID yet</t>
        </is>
      </c>
      <c r="S447" s="46" t="n"/>
      <c r="T447" s="46" t="n"/>
      <c r="U447" s="44" t="n"/>
      <c r="V447" s="44">
        <f>IF(AND(P447&gt;=Calendar!$K$2,P447&lt;EDATE(Calendar!$K$2,1),OR(Calendar!$K$4="*",N447=Calendar!$K$4)),P447*100+COUNTIFS($P$6:$P$3271,P447,$Q$6:$Q$3271,"&lt;="&amp;Q447,$N$6:$N$3271,Calendar!$K$4),"")</f>
        <v/>
      </c>
      <c r="W447" s="44">
        <f>IF(AND(B447=Queue!$C$4,OR(Queue!$K$4="*",N447=Queue!$K$4)),Q447,"")</f>
        <v/>
      </c>
    </row>
    <row r="448">
      <c r="A448" s="35">
        <f>IF(M448="","",HYPERLINK("https://www.youtube.com/watch?v="&amp;M448,"▶"))</f>
        <v/>
      </c>
      <c r="B448" s="36">
        <f>IF(C448&lt;&gt;"",C448,IF(P448&lt;=IFERROR(INDEX(tblChannels[Watched Through],MATCH(N448,tblChannels[Channel ID],0)),0),"Watched","Unwatched"))</f>
        <v/>
      </c>
      <c r="C448" s="37" t="n"/>
      <c r="D448" s="38" t="n"/>
      <c r="E448" s="39" t="n">
        <v>45686.625</v>
      </c>
      <c r="F448" s="47" t="inlineStr">
        <is>
          <t>Super Carlin Brothers</t>
        </is>
      </c>
      <c r="G448" t="inlineStr">
        <is>
          <t>Why Does Ron Weasley GOOGLE AUTOFILL | Harry Potter Film Theory</t>
        </is>
      </c>
      <c r="H448" s="41" t="n">
        <v>0.01498842592592593</v>
      </c>
      <c r="I448" s="42" t="n">
        <v>74384</v>
      </c>
      <c r="J448" s="42" t="n">
        <v>3482</v>
      </c>
      <c r="K448" s="42" t="n">
        <v>413</v>
      </c>
      <c r="L448" s="43" t="n"/>
      <c r="M448" s="44" t="n"/>
      <c r="N448" s="44" t="inlineStr">
        <is>
          <t>UCKZo4N0lVPccBkSiuyVh4yg</t>
        </is>
      </c>
      <c r="O448" s="45" t="n">
        <v>45686.83333333334</v>
      </c>
      <c r="P448" s="46" t="n">
        <v>45686</v>
      </c>
      <c r="Q448" s="44" t="n">
        <v>2824</v>
      </c>
      <c r="R448" s="44" t="inlineStr">
        <is>
          <t>No Video ID yet</t>
        </is>
      </c>
      <c r="S448" s="46" t="n"/>
      <c r="T448" s="46" t="n"/>
      <c r="U448" s="44" t="n"/>
      <c r="V448" s="44">
        <f>IF(AND(P448&gt;=Calendar!$K$2,P448&lt;EDATE(Calendar!$K$2,1),OR(Calendar!$K$4="*",N448=Calendar!$K$4)),P448*100+COUNTIFS($P$6:$P$3271,P448,$Q$6:$Q$3271,"&lt;="&amp;Q448,$N$6:$N$3271,Calendar!$K$4),"")</f>
        <v/>
      </c>
      <c r="W448" s="44">
        <f>IF(AND(B448=Queue!$C$4,OR(Queue!$K$4="*",N448=Queue!$K$4)),Q448,"")</f>
        <v/>
      </c>
    </row>
    <row r="449">
      <c r="A449" s="35">
        <f>IF(M449="","",HYPERLINK("https://www.youtube.com/watch?v="&amp;M449,"▶"))</f>
        <v/>
      </c>
      <c r="B449" s="36">
        <f>IF(C449&lt;&gt;"",C449,IF(P449&lt;=IFERROR(INDEX(tblChannels[Watched Through],MATCH(N449,tblChannels[Channel ID],0)),0),"Watched","Unwatched"))</f>
        <v/>
      </c>
      <c r="C449" s="37" t="n"/>
      <c r="D449" s="38" t="n"/>
      <c r="E449" s="39" t="n">
        <v>45683.41666666666</v>
      </c>
      <c r="F449" s="48" t="inlineStr">
        <is>
          <t>Through The Griffin Door</t>
        </is>
      </c>
      <c r="G449" t="inlineStr">
        <is>
          <t>Chapter 10: Mayhem at the Ministry | Goblet of Fire</t>
        </is>
      </c>
      <c r="H449" s="41" t="n">
        <v>0.05695601851851852</v>
      </c>
      <c r="I449" s="42" t="n">
        <v>61460</v>
      </c>
      <c r="J449" s="42" t="n">
        <v>1690</v>
      </c>
      <c r="K449" s="42" t="n">
        <v>389</v>
      </c>
      <c r="L449" s="43" t="n"/>
      <c r="M449" s="44" t="n"/>
      <c r="N449" s="44" t="inlineStr">
        <is>
          <t>UCEscP6ETYXWSSvsNrDHekMQ</t>
        </is>
      </c>
      <c r="O449" s="45" t="n">
        <v>45683.625</v>
      </c>
      <c r="P449" s="46" t="n">
        <v>45683</v>
      </c>
      <c r="Q449" s="44" t="n">
        <v>2823</v>
      </c>
      <c r="R449" s="44" t="inlineStr">
        <is>
          <t>No Video ID yet</t>
        </is>
      </c>
      <c r="S449" s="46" t="n"/>
      <c r="T449" s="46" t="n"/>
      <c r="U449" s="44" t="n"/>
      <c r="V449" s="44">
        <f>IF(AND(P449&gt;=Calendar!$K$2,P449&lt;EDATE(Calendar!$K$2,1),OR(Calendar!$K$4="*",N449=Calendar!$K$4)),P449*100+COUNTIFS($P$6:$P$3271,P449,$Q$6:$Q$3271,"&lt;="&amp;Q449,$N$6:$N$3271,Calendar!$K$4),"")</f>
        <v/>
      </c>
      <c r="W449" s="44">
        <f>IF(AND(B449=Queue!$C$4,OR(Queue!$K$4="*",N449=Queue!$K$4)),Q449,"")</f>
        <v/>
      </c>
    </row>
    <row r="450">
      <c r="A450" s="35">
        <f>IF(M450="","",HYPERLINK("https://www.youtube.com/watch?v="&amp;M450,"▶"))</f>
        <v/>
      </c>
      <c r="B450" s="36">
        <f>IF(C450&lt;&gt;"",C450,IF(P450&lt;=IFERROR(INDEX(tblChannels[Watched Through],MATCH(N450,tblChannels[Channel ID],0)),0),"Watched","Unwatched"))</f>
        <v/>
      </c>
      <c r="C450" s="37" t="n"/>
      <c r="D450" s="38" t="n"/>
      <c r="E450" s="39" t="n">
        <v>45682.41666666666</v>
      </c>
      <c r="F450" s="47" t="inlineStr">
        <is>
          <t>Super Carlin Brothers</t>
        </is>
      </c>
      <c r="G450" t="inlineStr">
        <is>
          <t>Through the Griffin Door Supercut: Goblet of Fire Chapters 7-9</t>
        </is>
      </c>
      <c r="H450" s="41" t="n">
        <v>0.232337962962963</v>
      </c>
      <c r="I450" s="42" t="n">
        <v>23143</v>
      </c>
      <c r="J450" s="42" t="n">
        <v>368</v>
      </c>
      <c r="K450" s="42" t="n">
        <v>183</v>
      </c>
      <c r="L450" s="43" t="n"/>
      <c r="M450" s="44" t="n"/>
      <c r="N450" s="44" t="inlineStr">
        <is>
          <t>UCKZo4N0lVPccBkSiuyVh4yg</t>
        </is>
      </c>
      <c r="O450" s="45" t="n">
        <v>45682.625</v>
      </c>
      <c r="P450" s="46" t="n">
        <v>45682</v>
      </c>
      <c r="Q450" s="44" t="n">
        <v>2822</v>
      </c>
      <c r="R450" s="44" t="inlineStr">
        <is>
          <t>No Video ID yet</t>
        </is>
      </c>
      <c r="S450" s="46" t="n"/>
      <c r="T450" s="46" t="n"/>
      <c r="U450" s="44" t="n"/>
      <c r="V450" s="44">
        <f>IF(AND(P450&gt;=Calendar!$K$2,P450&lt;EDATE(Calendar!$K$2,1),OR(Calendar!$K$4="*",N450=Calendar!$K$4)),P450*100+COUNTIFS($P$6:$P$3271,P450,$Q$6:$Q$3271,"&lt;="&amp;Q450,$N$6:$N$3271,Calendar!$K$4),"")</f>
        <v/>
      </c>
      <c r="W450" s="44">
        <f>IF(AND(B450=Queue!$C$4,OR(Queue!$K$4="*",N450=Queue!$K$4)),Q450,"")</f>
        <v/>
      </c>
    </row>
    <row r="451">
      <c r="A451" s="35">
        <f>IF(M451="","",HYPERLINK("https://www.youtube.com/watch?v="&amp;M451,"▶"))</f>
        <v/>
      </c>
      <c r="B451" s="36">
        <f>IF(C451&lt;&gt;"",C451,IF(P451&lt;=IFERROR(INDEX(tblChannels[Watched Through],MATCH(N451,tblChannels[Channel ID],0)),0),"Watched","Unwatched"))</f>
        <v/>
      </c>
      <c r="C451" s="37" t="n"/>
      <c r="D451" s="38" t="n"/>
      <c r="E451" s="39" t="n">
        <v>45681.62569444445</v>
      </c>
      <c r="F451" s="47" t="inlineStr">
        <is>
          <t>Super Carlin Brothers</t>
        </is>
      </c>
      <c r="G451" t="inlineStr">
        <is>
          <t>How Dumbledore Knew About Sacrificial Love | Harry Potter Film Theory</t>
        </is>
      </c>
      <c r="H451" s="41" t="n">
        <v>0.01351851851851852</v>
      </c>
      <c r="I451" s="42" t="n">
        <v>209530</v>
      </c>
      <c r="J451" s="42" t="n">
        <v>7453</v>
      </c>
      <c r="K451" s="42" t="n">
        <v>576</v>
      </c>
      <c r="L451" s="43" t="n"/>
      <c r="M451" s="44" t="n"/>
      <c r="N451" s="44" t="inlineStr">
        <is>
          <t>UCKZo4N0lVPccBkSiuyVh4yg</t>
        </is>
      </c>
      <c r="O451" s="45" t="n">
        <v>45681.83402777778</v>
      </c>
      <c r="P451" s="46" t="n">
        <v>45681</v>
      </c>
      <c r="Q451" s="44" t="n">
        <v>2821</v>
      </c>
      <c r="R451" s="44" t="inlineStr">
        <is>
          <t>No Video ID yet</t>
        </is>
      </c>
      <c r="S451" s="46" t="n"/>
      <c r="T451" s="46" t="n"/>
      <c r="U451" s="44" t="n"/>
      <c r="V451" s="44">
        <f>IF(AND(P451&gt;=Calendar!$K$2,P451&lt;EDATE(Calendar!$K$2,1),OR(Calendar!$K$4="*",N451=Calendar!$K$4)),P451*100+COUNTIFS($P$6:$P$3271,P451,$Q$6:$Q$3271,"&lt;="&amp;Q451,$N$6:$N$3271,Calendar!$K$4),"")</f>
        <v/>
      </c>
      <c r="W451" s="44">
        <f>IF(AND(B451=Queue!$C$4,OR(Queue!$K$4="*",N451=Queue!$K$4)),Q451,"")</f>
        <v/>
      </c>
    </row>
    <row r="452">
      <c r="A452" s="35">
        <f>IF(M452="","",HYPERLINK("https://www.youtube.com/watch?v="&amp;M452,"▶"))</f>
        <v/>
      </c>
      <c r="B452" s="36">
        <f>IF(C452&lt;&gt;"",C452,IF(P452&lt;=IFERROR(INDEX(tblChannels[Watched Through],MATCH(N452,tblChannels[Channel ID],0)),0),"Watched","Unwatched"))</f>
        <v/>
      </c>
      <c r="C452" s="37" t="n"/>
      <c r="D452" s="38" t="n"/>
      <c r="E452" s="39" t="n">
        <v>45681.41666666666</v>
      </c>
      <c r="F452" s="40" t="inlineStr">
        <is>
          <t>Popcorn Culture</t>
        </is>
      </c>
      <c r="G452" t="inlineStr">
        <is>
          <t>Disney Over/Unders | Popcorn Culture</t>
        </is>
      </c>
      <c r="H452" s="41" t="n">
        <v>0.05224537037037037</v>
      </c>
      <c r="I452" s="42" t="n">
        <v>4000</v>
      </c>
      <c r="J452" s="42" t="n">
        <v>204</v>
      </c>
      <c r="K452" s="42" t="n">
        <v>32</v>
      </c>
      <c r="L452" s="43" t="n"/>
      <c r="M452" s="44" t="n"/>
      <c r="N452" s="44" t="inlineStr">
        <is>
          <t>UCHfIbq9thHPC8yrKjAdJgDA</t>
        </is>
      </c>
      <c r="O452" s="45" t="n">
        <v>45681.625</v>
      </c>
      <c r="P452" s="46" t="n">
        <v>45681</v>
      </c>
      <c r="Q452" s="44" t="n">
        <v>2820</v>
      </c>
      <c r="R452" s="44" t="inlineStr">
        <is>
          <t>No Video ID yet</t>
        </is>
      </c>
      <c r="S452" s="46" t="n"/>
      <c r="T452" s="46" t="n"/>
      <c r="U452" s="44" t="n"/>
      <c r="V452" s="44">
        <f>IF(AND(P452&gt;=Calendar!$K$2,P452&lt;EDATE(Calendar!$K$2,1),OR(Calendar!$K$4="*",N452=Calendar!$K$4)),P452*100+COUNTIFS($P$6:$P$3271,P452,$Q$6:$Q$3271,"&lt;="&amp;Q452,$N$6:$N$3271,Calendar!$K$4),"")</f>
        <v/>
      </c>
      <c r="W452" s="44">
        <f>IF(AND(B452=Queue!$C$4,OR(Queue!$K$4="*",N452=Queue!$K$4)),Q452,"")</f>
        <v/>
      </c>
    </row>
    <row r="453">
      <c r="A453" s="35">
        <f>IF(M453="","",HYPERLINK("https://www.youtube.com/watch?v="&amp;M453,"▶"))</f>
        <v/>
      </c>
      <c r="B453" s="36">
        <f>IF(C453&lt;&gt;"",C453,IF(P453&lt;=IFERROR(INDEX(tblChannels[Watched Through],MATCH(N453,tblChannels[Channel ID],0)),0),"Watched","Unwatched"))</f>
        <v/>
      </c>
      <c r="C453" s="37" t="n"/>
      <c r="D453" s="38" t="n"/>
      <c r="E453" s="39" t="n">
        <v>45679.70763888889</v>
      </c>
      <c r="F453" s="47" t="inlineStr">
        <is>
          <t>Super Carlin Brothers</t>
        </is>
      </c>
      <c r="G453" t="inlineStr">
        <is>
          <t>Who is Bluey's HUSBAND? | Bluey Theory</t>
        </is>
      </c>
      <c r="H453" s="41" t="n">
        <v>0.01269675925925926</v>
      </c>
      <c r="I453" s="42" t="n">
        <v>49188</v>
      </c>
      <c r="J453" s="42" t="n">
        <v>2602</v>
      </c>
      <c r="K453" s="42" t="n">
        <v>550</v>
      </c>
      <c r="L453" s="43" t="n"/>
      <c r="M453" s="44" t="n"/>
      <c r="N453" s="44" t="inlineStr">
        <is>
          <t>UCKZo4N0lVPccBkSiuyVh4yg</t>
        </is>
      </c>
      <c r="O453" s="45" t="n">
        <v>45679.91597222222</v>
      </c>
      <c r="P453" s="46" t="n">
        <v>45679</v>
      </c>
      <c r="Q453" s="44" t="n">
        <v>2819</v>
      </c>
      <c r="R453" s="44" t="inlineStr">
        <is>
          <t>No Video ID yet</t>
        </is>
      </c>
      <c r="S453" s="46" t="n"/>
      <c r="T453" s="46" t="n"/>
      <c r="U453" s="44" t="n"/>
      <c r="V453" s="44">
        <f>IF(AND(P453&gt;=Calendar!$K$2,P453&lt;EDATE(Calendar!$K$2,1),OR(Calendar!$K$4="*",N453=Calendar!$K$4)),P453*100+COUNTIFS($P$6:$P$3271,P453,$Q$6:$Q$3271,"&lt;="&amp;Q453,$N$6:$N$3271,Calendar!$K$4),"")</f>
        <v/>
      </c>
      <c r="W453" s="44">
        <f>IF(AND(B453=Queue!$C$4,OR(Queue!$K$4="*",N453=Queue!$K$4)),Q453,"")</f>
        <v/>
      </c>
    </row>
    <row r="454">
      <c r="A454" s="35">
        <f>IF(M454="","",HYPERLINK("https://www.youtube.com/watch?v="&amp;M454,"▶"))</f>
        <v/>
      </c>
      <c r="B454" s="36">
        <f>IF(C454&lt;&gt;"",C454,IF(P454&lt;=IFERROR(INDEX(tblChannels[Watched Through],MATCH(N454,tblChannels[Channel ID],0)),0),"Watched","Unwatched"))</f>
        <v/>
      </c>
      <c r="C454" s="37" t="n"/>
      <c r="D454" s="38" t="n"/>
      <c r="E454" s="39" t="n">
        <v>45676.41736111111</v>
      </c>
      <c r="F454" s="48" t="inlineStr">
        <is>
          <t>Through The Griffin Door</t>
        </is>
      </c>
      <c r="G454" t="inlineStr">
        <is>
          <t>Chapter 9: The Dark Mark | Goblet of Fire</t>
        </is>
      </c>
      <c r="H454" s="41" t="n">
        <v>0.08105324074074075</v>
      </c>
      <c r="I454" s="42" t="n">
        <v>71896</v>
      </c>
      <c r="J454" s="42" t="n">
        <v>1808</v>
      </c>
      <c r="K454" s="42" t="n">
        <v>569</v>
      </c>
      <c r="L454" s="43" t="n"/>
      <c r="M454" s="44" t="n"/>
      <c r="N454" s="44" t="inlineStr">
        <is>
          <t>UCEscP6ETYXWSSvsNrDHekMQ</t>
        </is>
      </c>
      <c r="O454" s="45" t="n">
        <v>45676.62569444445</v>
      </c>
      <c r="P454" s="46" t="n">
        <v>45676</v>
      </c>
      <c r="Q454" s="44" t="n">
        <v>2818</v>
      </c>
      <c r="R454" s="44" t="inlineStr">
        <is>
          <t>No Video ID yet</t>
        </is>
      </c>
      <c r="S454" s="46" t="n"/>
      <c r="T454" s="46" t="n"/>
      <c r="U454" s="44" t="n"/>
      <c r="V454" s="44">
        <f>IF(AND(P454&gt;=Calendar!$K$2,P454&lt;EDATE(Calendar!$K$2,1),OR(Calendar!$K$4="*",N454=Calendar!$K$4)),P454*100+COUNTIFS($P$6:$P$3271,P454,$Q$6:$Q$3271,"&lt;="&amp;Q454,$N$6:$N$3271,Calendar!$K$4),"")</f>
        <v/>
      </c>
      <c r="W454" s="44">
        <f>IF(AND(B454=Queue!$C$4,OR(Queue!$K$4="*",N454=Queue!$K$4)),Q454,"")</f>
        <v/>
      </c>
    </row>
    <row r="455">
      <c r="A455" s="35">
        <f>IF(M455="","",HYPERLINK("https://www.youtube.com/watch?v="&amp;M455,"▶"))</f>
        <v/>
      </c>
      <c r="B455" s="36">
        <f>IF(C455&lt;&gt;"",C455,IF(P455&lt;=IFERROR(INDEX(tblChannels[Watched Through],MATCH(N455,tblChannels[Channel ID],0)),0),"Watched","Unwatched"))</f>
        <v/>
      </c>
      <c r="C455" s="37" t="n"/>
      <c r="D455" s="38" t="n"/>
      <c r="E455" s="39" t="n">
        <v>45675.24027777778</v>
      </c>
      <c r="F455" s="49" t="inlineStr">
        <is>
          <t>Super Carlin Gaming</t>
        </is>
      </c>
      <c r="G455" t="inlineStr">
        <is>
          <t>Pokemon Box Breakers SEASON 13 Episode 3 - 01/17/2025</t>
        </is>
      </c>
      <c r="H455" s="41" t="n">
        <v>0.128599537037037</v>
      </c>
      <c r="I455" s="42" t="n">
        <v>1119</v>
      </c>
      <c r="J455" s="42" t="n">
        <v>35</v>
      </c>
      <c r="K455" s="42" t="n">
        <v>0</v>
      </c>
      <c r="L455" s="43" t="n"/>
      <c r="M455" s="44" t="n"/>
      <c r="N455" s="44" t="inlineStr">
        <is>
          <t>UCor_9jRnNNZVzTuQ92PKsaQ</t>
        </is>
      </c>
      <c r="O455" s="45" t="n">
        <v>45675.44861111111</v>
      </c>
      <c r="P455" s="46" t="n">
        <v>45675</v>
      </c>
      <c r="Q455" s="44" t="n">
        <v>2817</v>
      </c>
      <c r="R455" s="44" t="inlineStr">
        <is>
          <t>No Video ID yet</t>
        </is>
      </c>
      <c r="S455" s="46" t="n"/>
      <c r="T455" s="46" t="n"/>
      <c r="U455" s="44" t="n"/>
      <c r="V455" s="44">
        <f>IF(AND(P455&gt;=Calendar!$K$2,P455&lt;EDATE(Calendar!$K$2,1),OR(Calendar!$K$4="*",N455=Calendar!$K$4)),P455*100+COUNTIFS($P$6:$P$3271,P455,$Q$6:$Q$3271,"&lt;="&amp;Q455,$N$6:$N$3271,Calendar!$K$4),"")</f>
        <v/>
      </c>
      <c r="W455" s="44">
        <f>IF(AND(B455=Queue!$C$4,OR(Queue!$K$4="*",N455=Queue!$K$4)),Q455,"")</f>
        <v/>
      </c>
    </row>
    <row r="456">
      <c r="A456" s="35">
        <f>IF(M456="","",HYPERLINK("https://www.youtube.com/watch?v="&amp;M456,"▶"))</f>
        <v/>
      </c>
      <c r="B456" s="36">
        <f>IF(C456&lt;&gt;"",C456,IF(P456&lt;=IFERROR(INDEX(tblChannels[Watched Through],MATCH(N456,tblChannels[Channel ID],0)),0),"Watched","Unwatched"))</f>
        <v/>
      </c>
      <c r="C456" s="37" t="n"/>
      <c r="D456" s="38" t="n"/>
      <c r="E456" s="39" t="n">
        <v>45674.72430555556</v>
      </c>
      <c r="F456" s="47" t="inlineStr">
        <is>
          <t>Super Carlin Brothers</t>
        </is>
      </c>
      <c r="G456" t="inlineStr">
        <is>
          <t>J vs Ben: HARDEST Harry Potter and the Sorcerer’s Stone MOVIE Trivia Quiz</t>
        </is>
      </c>
      <c r="H456" s="41" t="n">
        <v>0.02944444444444444</v>
      </c>
      <c r="I456" s="42" t="n">
        <v>158644</v>
      </c>
      <c r="J456" s="42" t="n">
        <v>5193</v>
      </c>
      <c r="K456" s="42" t="n">
        <v>723</v>
      </c>
      <c r="L456" s="43" t="n"/>
      <c r="M456" s="44" t="n"/>
      <c r="N456" s="44" t="inlineStr">
        <is>
          <t>UCKZo4N0lVPccBkSiuyVh4yg</t>
        </is>
      </c>
      <c r="O456" s="45" t="n">
        <v>45674.93263888889</v>
      </c>
      <c r="P456" s="46" t="n">
        <v>45674</v>
      </c>
      <c r="Q456" s="44" t="n">
        <v>2816</v>
      </c>
      <c r="R456" s="44" t="inlineStr">
        <is>
          <t>No Video ID yet</t>
        </is>
      </c>
      <c r="S456" s="46" t="n"/>
      <c r="T456" s="46" t="n"/>
      <c r="U456" s="44" t="n"/>
      <c r="V456" s="44">
        <f>IF(AND(P456&gt;=Calendar!$K$2,P456&lt;EDATE(Calendar!$K$2,1),OR(Calendar!$K$4="*",N456=Calendar!$K$4)),P456*100+COUNTIFS($P$6:$P$3271,P456,$Q$6:$Q$3271,"&lt;="&amp;Q456,$N$6:$N$3271,Calendar!$K$4),"")</f>
        <v/>
      </c>
      <c r="W456" s="44">
        <f>IF(AND(B456=Queue!$C$4,OR(Queue!$K$4="*",N456=Queue!$K$4)),Q456,"")</f>
        <v/>
      </c>
    </row>
    <row r="457">
      <c r="A457" s="35">
        <f>IF(M457="","",HYPERLINK("https://www.youtube.com/watch?v="&amp;M457,"▶"))</f>
        <v/>
      </c>
      <c r="B457" s="36">
        <f>IF(C457&lt;&gt;"",C457,IF(P457&lt;=IFERROR(INDEX(tblChannels[Watched Through],MATCH(N457,tblChannels[Channel ID],0)),0),"Watched","Unwatched"))</f>
        <v/>
      </c>
      <c r="C457" s="37" t="n"/>
      <c r="D457" s="38" t="n"/>
      <c r="E457" s="39" t="n">
        <v>45674.41666666666</v>
      </c>
      <c r="F457" s="40" t="inlineStr">
        <is>
          <t>Popcorn Culture</t>
        </is>
      </c>
      <c r="G457" t="inlineStr">
        <is>
          <t>The UNEXPECTED Mayonnaise | Popcorn Culture</t>
        </is>
      </c>
      <c r="H457" s="41" t="n">
        <v>0.04773148148148148</v>
      </c>
      <c r="I457" s="42" t="n">
        <v>3799</v>
      </c>
      <c r="J457" s="42" t="n">
        <v>180</v>
      </c>
      <c r="K457" s="42" t="n">
        <v>37</v>
      </c>
      <c r="L457" s="43" t="n"/>
      <c r="M457" s="44" t="n"/>
      <c r="N457" s="44" t="inlineStr">
        <is>
          <t>UCHfIbq9thHPC8yrKjAdJgDA</t>
        </is>
      </c>
      <c r="O457" s="45" t="n">
        <v>45674.625</v>
      </c>
      <c r="P457" s="46" t="n">
        <v>45674</v>
      </c>
      <c r="Q457" s="44" t="n">
        <v>2815</v>
      </c>
      <c r="R457" s="44" t="inlineStr">
        <is>
          <t>No Video ID yet</t>
        </is>
      </c>
      <c r="S457" s="46" t="n"/>
      <c r="T457" s="46" t="n"/>
      <c r="U457" s="44" t="n"/>
      <c r="V457" s="44">
        <f>IF(AND(P457&gt;=Calendar!$K$2,P457&lt;EDATE(Calendar!$K$2,1),OR(Calendar!$K$4="*",N457=Calendar!$K$4)),P457*100+COUNTIFS($P$6:$P$3271,P457,$Q$6:$Q$3271,"&lt;="&amp;Q457,$N$6:$N$3271,Calendar!$K$4),"")</f>
        <v/>
      </c>
      <c r="W457" s="44">
        <f>IF(AND(B457=Queue!$C$4,OR(Queue!$K$4="*",N457=Queue!$K$4)),Q457,"")</f>
        <v/>
      </c>
    </row>
    <row r="458">
      <c r="A458" s="35">
        <f>IF(M458="","",HYPERLINK("https://www.youtube.com/watch?v="&amp;M458,"▶"))</f>
        <v/>
      </c>
      <c r="B458" s="36">
        <f>IF(C458&lt;&gt;"",C458,IF(P458&lt;=IFERROR(INDEX(tblChannels[Watched Through],MATCH(N458,tblChannels[Channel ID],0)),0),"Watched","Unwatched"))</f>
        <v/>
      </c>
      <c r="C458" s="37" t="n"/>
      <c r="D458" s="38" t="n"/>
      <c r="E458" s="39" t="n">
        <v>45672.65763888889</v>
      </c>
      <c r="F458" s="47" t="inlineStr">
        <is>
          <t>Super Carlin Brothers</t>
        </is>
      </c>
      <c r="G458" t="inlineStr">
        <is>
          <t>The Gryffindor PARADOX Explained | Harry Potter Film Theory</t>
        </is>
      </c>
      <c r="H458" s="41" t="n">
        <v>0.01077546296296296</v>
      </c>
      <c r="I458" s="42" t="n">
        <v>178860</v>
      </c>
      <c r="J458" s="42" t="n">
        <v>7551</v>
      </c>
      <c r="K458" s="42" t="n">
        <v>1192</v>
      </c>
      <c r="L458" s="43" t="n"/>
      <c r="M458" s="44" t="n"/>
      <c r="N458" s="44" t="inlineStr">
        <is>
          <t>UCKZo4N0lVPccBkSiuyVh4yg</t>
        </is>
      </c>
      <c r="O458" s="45" t="n">
        <v>45672.86597222222</v>
      </c>
      <c r="P458" s="46" t="n">
        <v>45672</v>
      </c>
      <c r="Q458" s="44" t="n">
        <v>2814</v>
      </c>
      <c r="R458" s="44" t="inlineStr">
        <is>
          <t>No Video ID yet</t>
        </is>
      </c>
      <c r="S458" s="46" t="n"/>
      <c r="T458" s="46" t="n"/>
      <c r="U458" s="44" t="n"/>
      <c r="V458" s="44">
        <f>IF(AND(P458&gt;=Calendar!$K$2,P458&lt;EDATE(Calendar!$K$2,1),OR(Calendar!$K$4="*",N458=Calendar!$K$4)),P458*100+COUNTIFS($P$6:$P$3271,P458,$Q$6:$Q$3271,"&lt;="&amp;Q458,$N$6:$N$3271,Calendar!$K$4),"")</f>
        <v/>
      </c>
      <c r="W458" s="44">
        <f>IF(AND(B458=Queue!$C$4,OR(Queue!$K$4="*",N458=Queue!$K$4)),Q458,"")</f>
        <v/>
      </c>
    </row>
    <row r="459">
      <c r="A459" s="35">
        <f>IF(M459="","",HYPERLINK("https://www.youtube.com/watch?v="&amp;M459,"▶"))</f>
        <v/>
      </c>
      <c r="B459" s="36">
        <f>IF(C459&lt;&gt;"",C459,IF(P459&lt;=IFERROR(INDEX(tblChannels[Watched Through],MATCH(N459,tblChannels[Channel ID],0)),0),"Watched","Unwatched"))</f>
        <v/>
      </c>
      <c r="C459" s="37" t="n"/>
      <c r="D459" s="38" t="n"/>
      <c r="E459" s="39" t="n">
        <v>45669.41666666666</v>
      </c>
      <c r="F459" s="48" t="inlineStr">
        <is>
          <t>Through The Griffin Door</t>
        </is>
      </c>
      <c r="G459" t="inlineStr">
        <is>
          <t>Chapter 8: The Quidditch World Cup | Goblet of Fire</t>
        </is>
      </c>
      <c r="H459" s="41" t="n">
        <v>0.0730787037037037</v>
      </c>
      <c r="I459" s="42" t="n">
        <v>69375</v>
      </c>
      <c r="J459" s="42" t="n">
        <v>1759</v>
      </c>
      <c r="K459" s="42" t="n">
        <v>553</v>
      </c>
      <c r="L459" s="43" t="n"/>
      <c r="M459" s="44" t="n"/>
      <c r="N459" s="44" t="inlineStr">
        <is>
          <t>UCEscP6ETYXWSSvsNrDHekMQ</t>
        </is>
      </c>
      <c r="O459" s="45" t="n">
        <v>45669.625</v>
      </c>
      <c r="P459" s="46" t="n">
        <v>45669</v>
      </c>
      <c r="Q459" s="44" t="n">
        <v>2813</v>
      </c>
      <c r="R459" s="44" t="inlineStr">
        <is>
          <t>No Video ID yet</t>
        </is>
      </c>
      <c r="S459" s="46" t="n"/>
      <c r="T459" s="46" t="n"/>
      <c r="U459" s="44" t="n"/>
      <c r="V459" s="44">
        <f>IF(AND(P459&gt;=Calendar!$K$2,P459&lt;EDATE(Calendar!$K$2,1),OR(Calendar!$K$4="*",N459=Calendar!$K$4)),P459*100+COUNTIFS($P$6:$P$3271,P459,$Q$6:$Q$3271,"&lt;="&amp;Q459,$N$6:$N$3271,Calendar!$K$4),"")</f>
        <v/>
      </c>
      <c r="W459" s="44">
        <f>IF(AND(B459=Queue!$C$4,OR(Queue!$K$4="*",N459=Queue!$K$4)),Q459,"")</f>
        <v/>
      </c>
    </row>
    <row r="460">
      <c r="A460" s="35">
        <f>IF(M460="","",HYPERLINK("https://www.youtube.com/watch?v="&amp;M460,"▶"))</f>
        <v/>
      </c>
      <c r="B460" s="36">
        <f>IF(C460&lt;&gt;"",C460,IF(P460&lt;=IFERROR(INDEX(tblChannels[Watched Through],MATCH(N460,tblChannels[Channel ID],0)),0),"Watched","Unwatched"))</f>
        <v/>
      </c>
      <c r="C460" s="37" t="n"/>
      <c r="D460" s="38" t="n"/>
      <c r="E460" s="39" t="n">
        <v>45667.71597222222</v>
      </c>
      <c r="F460" s="47" t="inlineStr">
        <is>
          <t>Super Carlin Brothers</t>
        </is>
      </c>
      <c r="G460" t="inlineStr">
        <is>
          <t>How Harry Mirror’s Every DRAGON | Harry Potter Film Theory</t>
        </is>
      </c>
      <c r="H460" s="41" t="n">
        <v>0.008888888888888889</v>
      </c>
      <c r="I460" s="42" t="n">
        <v>81230</v>
      </c>
      <c r="J460" s="42" t="n">
        <v>3808</v>
      </c>
      <c r="K460" s="42" t="n">
        <v>280</v>
      </c>
      <c r="L460" s="43" t="n"/>
      <c r="M460" s="44" t="n"/>
      <c r="N460" s="44" t="inlineStr">
        <is>
          <t>UCKZo4N0lVPccBkSiuyVh4yg</t>
        </is>
      </c>
      <c r="O460" s="45" t="n">
        <v>45667.92430555556</v>
      </c>
      <c r="P460" s="46" t="n">
        <v>45667</v>
      </c>
      <c r="Q460" s="44" t="n">
        <v>2812</v>
      </c>
      <c r="R460" s="44" t="inlineStr">
        <is>
          <t>No Video ID yet</t>
        </is>
      </c>
      <c r="S460" s="46" t="n"/>
      <c r="T460" s="46" t="n"/>
      <c r="U460" s="44" t="n"/>
      <c r="V460" s="44">
        <f>IF(AND(P460&gt;=Calendar!$K$2,P460&lt;EDATE(Calendar!$K$2,1),OR(Calendar!$K$4="*",N460=Calendar!$K$4)),P460*100+COUNTIFS($P$6:$P$3271,P460,$Q$6:$Q$3271,"&lt;="&amp;Q460,$N$6:$N$3271,Calendar!$K$4),"")</f>
        <v/>
      </c>
      <c r="W460" s="44">
        <f>IF(AND(B460=Queue!$C$4,OR(Queue!$K$4="*",N460=Queue!$K$4)),Q460,"")</f>
        <v/>
      </c>
    </row>
    <row r="461">
      <c r="A461" s="35">
        <f>IF(M461="","",HYPERLINK("https://www.youtube.com/watch?v="&amp;M461,"▶"))</f>
        <v/>
      </c>
      <c r="B461" s="36">
        <f>IF(C461&lt;&gt;"",C461,IF(P461&lt;=IFERROR(INDEX(tblChannels[Watched Through],MATCH(N461,tblChannels[Channel ID],0)),0),"Watched","Unwatched"))</f>
        <v/>
      </c>
      <c r="C461" s="37" t="n"/>
      <c r="D461" s="38" t="n"/>
      <c r="E461" s="39" t="n">
        <v>45667.41666666666</v>
      </c>
      <c r="F461" s="40" t="inlineStr">
        <is>
          <t>Popcorn Culture</t>
        </is>
      </c>
      <c r="G461" t="inlineStr">
        <is>
          <t>Touching Sharks…? | Popcorn Culture</t>
        </is>
      </c>
      <c r="H461" s="41" t="n">
        <v>0.05217592592592592</v>
      </c>
      <c r="I461" s="42" t="n">
        <v>4092</v>
      </c>
      <c r="J461" s="42" t="n">
        <v>191</v>
      </c>
      <c r="K461" s="42" t="n">
        <v>48</v>
      </c>
      <c r="L461" s="43" t="n"/>
      <c r="M461" s="44" t="n"/>
      <c r="N461" s="44" t="inlineStr">
        <is>
          <t>UCHfIbq9thHPC8yrKjAdJgDA</t>
        </is>
      </c>
      <c r="O461" s="45" t="n">
        <v>45667.625</v>
      </c>
      <c r="P461" s="46" t="n">
        <v>45667</v>
      </c>
      <c r="Q461" s="44" t="n">
        <v>2811</v>
      </c>
      <c r="R461" s="44" t="inlineStr">
        <is>
          <t>No Video ID yet</t>
        </is>
      </c>
      <c r="S461" s="46" t="n"/>
      <c r="T461" s="46" t="n"/>
      <c r="U461" s="44" t="n"/>
      <c r="V461" s="44">
        <f>IF(AND(P461&gt;=Calendar!$K$2,P461&lt;EDATE(Calendar!$K$2,1),OR(Calendar!$K$4="*",N461=Calendar!$K$4)),P461*100+COUNTIFS($P$6:$P$3271,P461,$Q$6:$Q$3271,"&lt;="&amp;Q461,$N$6:$N$3271,Calendar!$K$4),"")</f>
        <v/>
      </c>
      <c r="W461" s="44">
        <f>IF(AND(B461=Queue!$C$4,OR(Queue!$K$4="*",N461=Queue!$K$4)),Q461,"")</f>
        <v/>
      </c>
    </row>
    <row r="462">
      <c r="A462" s="35">
        <f>IF(M462="","",HYPERLINK("https://www.youtube.com/watch?v="&amp;M462,"▶"))</f>
        <v/>
      </c>
      <c r="B462" s="36">
        <f>IF(C462&lt;&gt;"",C462,IF(P462&lt;=IFERROR(INDEX(tblChannels[Watched Through],MATCH(N462,tblChannels[Channel ID],0)),0),"Watched","Unwatched"))</f>
        <v/>
      </c>
      <c r="C462" s="37" t="n"/>
      <c r="D462" s="38" t="n"/>
      <c r="E462" s="39" t="n">
        <v>45665.67222222222</v>
      </c>
      <c r="F462" s="47" t="inlineStr">
        <is>
          <t>Super Carlin Brothers</t>
        </is>
      </c>
      <c r="G462" t="inlineStr">
        <is>
          <t>What If Harry Asked Cho To The Ball FIRST | Harry Potter Film Theory</t>
        </is>
      </c>
      <c r="H462" s="41" t="n">
        <v>0.01668981481481481</v>
      </c>
      <c r="I462" s="42" t="n">
        <v>229262</v>
      </c>
      <c r="J462" s="42" t="n">
        <v>9050</v>
      </c>
      <c r="K462" s="42" t="n">
        <v>982</v>
      </c>
      <c r="L462" s="43" t="n"/>
      <c r="M462" s="44" t="n"/>
      <c r="N462" s="44" t="inlineStr">
        <is>
          <t>UCKZo4N0lVPccBkSiuyVh4yg</t>
        </is>
      </c>
      <c r="O462" s="45" t="n">
        <v>45665.88055555556</v>
      </c>
      <c r="P462" s="46" t="n">
        <v>45665</v>
      </c>
      <c r="Q462" s="44" t="n">
        <v>2810</v>
      </c>
      <c r="R462" s="44" t="inlineStr">
        <is>
          <t>No Video ID yet</t>
        </is>
      </c>
      <c r="S462" s="46" t="n"/>
      <c r="T462" s="46" t="n"/>
      <c r="U462" s="44" t="n"/>
      <c r="V462" s="44">
        <f>IF(AND(P462&gt;=Calendar!$K$2,P462&lt;EDATE(Calendar!$K$2,1),OR(Calendar!$K$4="*",N462=Calendar!$K$4)),P462*100+COUNTIFS($P$6:$P$3271,P462,$Q$6:$Q$3271,"&lt;="&amp;Q462,$N$6:$N$3271,Calendar!$K$4),"")</f>
        <v/>
      </c>
      <c r="W462" s="44">
        <f>IF(AND(B462=Queue!$C$4,OR(Queue!$K$4="*",N462=Queue!$K$4)),Q462,"")</f>
        <v/>
      </c>
    </row>
    <row r="463">
      <c r="A463" s="35">
        <f>IF(M463="","",HYPERLINK("https://www.youtube.com/watch?v="&amp;M463,"▶"))</f>
        <v/>
      </c>
      <c r="B463" s="36">
        <f>IF(C463&lt;&gt;"",C463,IF(P463&lt;=IFERROR(INDEX(tblChannels[Watched Through],MATCH(N463,tblChannels[Channel ID],0)),0),"Watched","Unwatched"))</f>
        <v/>
      </c>
      <c r="C463" s="37" t="n"/>
      <c r="D463" s="38" t="n"/>
      <c r="E463" s="39" t="n">
        <v>45662.41666666666</v>
      </c>
      <c r="F463" s="48" t="inlineStr">
        <is>
          <t>Through The Griffin Door</t>
        </is>
      </c>
      <c r="G463" t="inlineStr">
        <is>
          <t>Chapter 7: Bagman and Crouch | Goblet of Fire</t>
        </is>
      </c>
      <c r="H463" s="41" t="n">
        <v>0.07841435185185185</v>
      </c>
      <c r="I463" s="42" t="n">
        <v>75682</v>
      </c>
      <c r="J463" s="42" t="n">
        <v>1851</v>
      </c>
      <c r="K463" s="42" t="n">
        <v>697</v>
      </c>
      <c r="L463" s="43" t="n"/>
      <c r="M463" s="44" t="n"/>
      <c r="N463" s="44" t="inlineStr">
        <is>
          <t>UCEscP6ETYXWSSvsNrDHekMQ</t>
        </is>
      </c>
      <c r="O463" s="45" t="n">
        <v>45662.625</v>
      </c>
      <c r="P463" s="46" t="n">
        <v>45662</v>
      </c>
      <c r="Q463" s="44" t="n">
        <v>2809</v>
      </c>
      <c r="R463" s="44" t="inlineStr">
        <is>
          <t>No Video ID yet</t>
        </is>
      </c>
      <c r="S463" s="46" t="n"/>
      <c r="T463" s="46" t="n"/>
      <c r="U463" s="44" t="n"/>
      <c r="V463" s="44">
        <f>IF(AND(P463&gt;=Calendar!$K$2,P463&lt;EDATE(Calendar!$K$2,1),OR(Calendar!$K$4="*",N463=Calendar!$K$4)),P463*100+COUNTIFS($P$6:$P$3271,P463,$Q$6:$Q$3271,"&lt;="&amp;Q463,$N$6:$N$3271,Calendar!$K$4),"")</f>
        <v/>
      </c>
      <c r="W463" s="44">
        <f>IF(AND(B463=Queue!$C$4,OR(Queue!$K$4="*",N463=Queue!$K$4)),Q463,"")</f>
        <v/>
      </c>
    </row>
    <row r="464">
      <c r="A464" s="35">
        <f>IF(M464="","",HYPERLINK("https://www.youtube.com/watch?v="&amp;M464,"▶"))</f>
        <v/>
      </c>
      <c r="B464" s="36">
        <f>IF(C464&lt;&gt;"",C464,IF(P464&lt;=IFERROR(INDEX(tblChannels[Watched Through],MATCH(N464,tblChannels[Channel ID],0)),0),"Watched","Unwatched"))</f>
        <v/>
      </c>
      <c r="C464" s="37" t="n"/>
      <c r="D464" s="38" t="n"/>
      <c r="E464" s="39" t="n">
        <v>45660.71111111111</v>
      </c>
      <c r="F464" s="47" t="inlineStr">
        <is>
          <t>Super Carlin Brothers</t>
        </is>
      </c>
      <c r="G464" t="inlineStr">
        <is>
          <t>J vs Ben: ULTIMATE Hogwarts Castle Harry Potter TRIVIA Battle</t>
        </is>
      </c>
      <c r="H464" s="41" t="n">
        <v>0.02732638888888889</v>
      </c>
      <c r="I464" s="42" t="n">
        <v>122935</v>
      </c>
      <c r="J464" s="42" t="n">
        <v>4605</v>
      </c>
      <c r="K464" s="42" t="n">
        <v>978</v>
      </c>
      <c r="L464" s="43" t="n"/>
      <c r="M464" s="44" t="n"/>
      <c r="N464" s="44" t="inlineStr">
        <is>
          <t>UCKZo4N0lVPccBkSiuyVh4yg</t>
        </is>
      </c>
      <c r="O464" s="45" t="n">
        <v>45660.91944444444</v>
      </c>
      <c r="P464" s="46" t="n">
        <v>45660</v>
      </c>
      <c r="Q464" s="44" t="n">
        <v>2808</v>
      </c>
      <c r="R464" s="44" t="inlineStr">
        <is>
          <t>No Video ID yet</t>
        </is>
      </c>
      <c r="S464" s="46" t="n"/>
      <c r="T464" s="46" t="n"/>
      <c r="U464" s="44" t="n"/>
      <c r="V464" s="44">
        <f>IF(AND(P464&gt;=Calendar!$K$2,P464&lt;EDATE(Calendar!$K$2,1),OR(Calendar!$K$4="*",N464=Calendar!$K$4)),P464*100+COUNTIFS($P$6:$P$3271,P464,$Q$6:$Q$3271,"&lt;="&amp;Q464,$N$6:$N$3271,Calendar!$K$4),"")</f>
        <v/>
      </c>
      <c r="W464" s="44">
        <f>IF(AND(B464=Queue!$C$4,OR(Queue!$K$4="*",N464=Queue!$K$4)),Q464,"")</f>
        <v/>
      </c>
    </row>
    <row r="465">
      <c r="A465" s="35">
        <f>IF(M465="","",HYPERLINK("https://www.youtube.com/watch?v="&amp;M465,"▶"))</f>
        <v/>
      </c>
      <c r="B465" s="36">
        <f>IF(C465&lt;&gt;"",C465,IF(P465&lt;=IFERROR(INDEX(tblChannels[Watched Through],MATCH(N465,tblChannels[Channel ID],0)),0),"Watched","Unwatched"))</f>
        <v/>
      </c>
      <c r="C465" s="37" t="n"/>
      <c r="D465" s="38" t="n"/>
      <c r="E465" s="39" t="n">
        <v>45660.5</v>
      </c>
      <c r="F465" s="40" t="inlineStr">
        <is>
          <t>Popcorn Culture</t>
        </is>
      </c>
      <c r="G465" t="inlineStr">
        <is>
          <t>Rezzies! | Popcorn Culture</t>
        </is>
      </c>
      <c r="H465" s="41" t="n">
        <v>0.05434027777777778</v>
      </c>
      <c r="I465" s="42" t="n">
        <v>4193</v>
      </c>
      <c r="J465" s="42" t="n">
        <v>193</v>
      </c>
      <c r="K465" s="42" t="n">
        <v>34</v>
      </c>
      <c r="L465" s="43" t="n"/>
      <c r="M465" s="44" t="n"/>
      <c r="N465" s="44" t="inlineStr">
        <is>
          <t>UCHfIbq9thHPC8yrKjAdJgDA</t>
        </is>
      </c>
      <c r="O465" s="45" t="n">
        <v>45660.70833333334</v>
      </c>
      <c r="P465" s="46" t="n">
        <v>45660</v>
      </c>
      <c r="Q465" s="44" t="n">
        <v>2807</v>
      </c>
      <c r="R465" s="44" t="inlineStr">
        <is>
          <t>No Video ID yet</t>
        </is>
      </c>
      <c r="S465" s="46" t="n"/>
      <c r="T465" s="46" t="n"/>
      <c r="U465" s="44" t="n"/>
      <c r="V465" s="44">
        <f>IF(AND(P465&gt;=Calendar!$K$2,P465&lt;EDATE(Calendar!$K$2,1),OR(Calendar!$K$4="*",N465=Calendar!$K$4)),P465*100+COUNTIFS($P$6:$P$3271,P465,$Q$6:$Q$3271,"&lt;="&amp;Q465,$N$6:$N$3271,Calendar!$K$4),"")</f>
        <v/>
      </c>
      <c r="W465" s="44">
        <f>IF(AND(B465=Queue!$C$4,OR(Queue!$K$4="*",N465=Queue!$K$4)),Q465,"")</f>
        <v/>
      </c>
    </row>
    <row r="466">
      <c r="A466" s="35">
        <f>IF(M466="","",HYPERLINK("https://www.youtube.com/watch?v="&amp;M466,"▶"))</f>
        <v/>
      </c>
      <c r="B466" s="36">
        <f>IF(C466&lt;&gt;"",C466,IF(P466&lt;=IFERROR(INDEX(tblChannels[Watched Through],MATCH(N466,tblChannels[Channel ID],0)),0),"Watched","Unwatched"))</f>
        <v/>
      </c>
      <c r="C466" s="37" t="n"/>
      <c r="D466" s="38" t="n"/>
      <c r="E466" s="39" t="n">
        <v>45658.41666666666</v>
      </c>
      <c r="F466" s="47" t="inlineStr">
        <is>
          <t>Super Carlin Brothers</t>
        </is>
      </c>
      <c r="G466" t="inlineStr">
        <is>
          <t>The Insane Adventures Of 2024! Check Out Everything We Got Up To</t>
        </is>
      </c>
      <c r="H466" s="41" t="n">
        <v>0.05688657407407408</v>
      </c>
      <c r="I466" s="42" t="n">
        <v>12556</v>
      </c>
      <c r="J466" s="42" t="n">
        <v>526</v>
      </c>
      <c r="K466" s="42" t="n">
        <v>75</v>
      </c>
      <c r="L466" s="43" t="n"/>
      <c r="M466" s="44" t="n"/>
      <c r="N466" s="44" t="inlineStr">
        <is>
          <t>UCKZo4N0lVPccBkSiuyVh4yg</t>
        </is>
      </c>
      <c r="O466" s="45" t="n">
        <v>45658.625</v>
      </c>
      <c r="P466" s="46" t="n">
        <v>45658</v>
      </c>
      <c r="Q466" s="44" t="n">
        <v>2806</v>
      </c>
      <c r="R466" s="44" t="inlineStr">
        <is>
          <t>No Video ID yet</t>
        </is>
      </c>
      <c r="S466" s="46" t="n"/>
      <c r="T466" s="46" t="n"/>
      <c r="U466" s="44" t="n"/>
      <c r="V466" s="44">
        <f>IF(AND(P466&gt;=Calendar!$K$2,P466&lt;EDATE(Calendar!$K$2,1),OR(Calendar!$K$4="*",N466=Calendar!$K$4)),P466*100+COUNTIFS($P$6:$P$3271,P466,$Q$6:$Q$3271,"&lt;="&amp;Q466,$N$6:$N$3271,Calendar!$K$4),"")</f>
        <v/>
      </c>
      <c r="W466" s="44">
        <f>IF(AND(B466=Queue!$C$4,OR(Queue!$K$4="*",N466=Queue!$K$4)),Q466,"")</f>
        <v/>
      </c>
    </row>
    <row r="467">
      <c r="A467" s="35">
        <f>IF(M467="","",HYPERLINK("https://www.youtube.com/watch?v="&amp;M467,"▶"))</f>
        <v/>
      </c>
      <c r="B467" s="36">
        <f>IF(C467&lt;&gt;"",C467,IF(P467&lt;=IFERROR(INDEX(tblChannels[Watched Through],MATCH(N467,tblChannels[Channel ID],0)),0),"Watched","Unwatched"))</f>
        <v/>
      </c>
      <c r="C467" s="37" t="n"/>
      <c r="D467" s="38" t="n"/>
      <c r="E467" s="39" t="n">
        <v>45655.41666666666</v>
      </c>
      <c r="F467" s="48" t="inlineStr">
        <is>
          <t>Through The Griffin Door</t>
        </is>
      </c>
      <c r="G467" t="inlineStr">
        <is>
          <t>Special Owlery Episode!!</t>
        </is>
      </c>
      <c r="H467" s="41" t="n">
        <v>0.03866898148148148</v>
      </c>
      <c r="I467" s="42" t="n">
        <v>30917</v>
      </c>
      <c r="J467" s="42" t="n">
        <v>1181</v>
      </c>
      <c r="K467" s="42" t="n">
        <v>325</v>
      </c>
      <c r="L467" s="43" t="n"/>
      <c r="M467" s="44" t="n"/>
      <c r="N467" s="44" t="inlineStr">
        <is>
          <t>UCEscP6ETYXWSSvsNrDHekMQ</t>
        </is>
      </c>
      <c r="O467" s="45" t="n">
        <v>45655.625</v>
      </c>
      <c r="P467" s="46" t="n">
        <v>45655</v>
      </c>
      <c r="Q467" s="44" t="n">
        <v>2805</v>
      </c>
      <c r="R467" s="44" t="inlineStr">
        <is>
          <t>No Video ID yet</t>
        </is>
      </c>
      <c r="S467" s="46" t="n"/>
      <c r="T467" s="46" t="n"/>
      <c r="U467" s="44" t="n"/>
      <c r="V467" s="44">
        <f>IF(AND(P467&gt;=Calendar!$K$2,P467&lt;EDATE(Calendar!$K$2,1),OR(Calendar!$K$4="*",N467=Calendar!$K$4)),P467*100+COUNTIFS($P$6:$P$3271,P467,$Q$6:$Q$3271,"&lt;="&amp;Q467,$N$6:$N$3271,Calendar!$K$4),"")</f>
        <v/>
      </c>
      <c r="W467" s="44">
        <f>IF(AND(B467=Queue!$C$4,OR(Queue!$K$4="*",N467=Queue!$K$4)),Q467,"")</f>
        <v/>
      </c>
    </row>
    <row r="468">
      <c r="A468" s="35">
        <f>IF(M468="","",HYPERLINK("https://www.youtube.com/watch?v="&amp;M468,"▶"))</f>
        <v/>
      </c>
      <c r="B468" s="36">
        <f>IF(C468&lt;&gt;"",C468,IF(P468&lt;=IFERROR(INDEX(tblChannels[Watched Through],MATCH(N468,tblChannels[Channel ID],0)),0),"Watched","Unwatched"))</f>
        <v/>
      </c>
      <c r="C468" s="37" t="n"/>
      <c r="D468" s="38" t="n"/>
      <c r="E468" s="39" t="n">
        <v>45654.41666666666</v>
      </c>
      <c r="F468" s="47" t="inlineStr">
        <is>
          <t>Super Carlin Brothers</t>
        </is>
      </c>
      <c r="G468" t="inlineStr">
        <is>
          <t>Through the Griffin Door Supercut: Goblet of Fire Chapters 4-6</t>
        </is>
      </c>
      <c r="H468" s="41" t="n">
        <v>0.1814583333333333</v>
      </c>
      <c r="I468" s="42" t="n">
        <v>22517</v>
      </c>
      <c r="J468" s="42" t="n">
        <v>365</v>
      </c>
      <c r="K468" s="42" t="n">
        <v>81</v>
      </c>
      <c r="L468" s="43" t="n"/>
      <c r="M468" s="44" t="n"/>
      <c r="N468" s="44" t="inlineStr">
        <is>
          <t>UCKZo4N0lVPccBkSiuyVh4yg</t>
        </is>
      </c>
      <c r="O468" s="45" t="n">
        <v>45654.625</v>
      </c>
      <c r="P468" s="46" t="n">
        <v>45654</v>
      </c>
      <c r="Q468" s="44" t="n">
        <v>2804</v>
      </c>
      <c r="R468" s="44" t="inlineStr">
        <is>
          <t>No Video ID yet</t>
        </is>
      </c>
      <c r="S468" s="46" t="n"/>
      <c r="T468" s="46" t="n"/>
      <c r="U468" s="44" t="n"/>
      <c r="V468" s="44">
        <f>IF(AND(P468&gt;=Calendar!$K$2,P468&lt;EDATE(Calendar!$K$2,1),OR(Calendar!$K$4="*",N468=Calendar!$K$4)),P468*100+COUNTIFS($P$6:$P$3271,P468,$Q$6:$Q$3271,"&lt;="&amp;Q468,$N$6:$N$3271,Calendar!$K$4),"")</f>
        <v/>
      </c>
      <c r="W468" s="44">
        <f>IF(AND(B468=Queue!$C$4,OR(Queue!$K$4="*",N468=Queue!$K$4)),Q468,"")</f>
        <v/>
      </c>
    </row>
    <row r="469">
      <c r="A469" s="35">
        <f>IF(M469="","",HYPERLINK("https://www.youtube.com/watch?v="&amp;M469,"▶"))</f>
        <v/>
      </c>
      <c r="B469" s="36">
        <f>IF(C469&lt;&gt;"",C469,IF(P469&lt;=IFERROR(INDEX(tblChannels[Watched Through],MATCH(N469,tblChannels[Channel ID],0)),0),"Watched","Unwatched"))</f>
        <v/>
      </c>
      <c r="C469" s="37" t="n"/>
      <c r="D469" s="38" t="n"/>
      <c r="E469" s="39" t="n">
        <v>45653.41736111111</v>
      </c>
      <c r="F469" s="47" t="inlineStr">
        <is>
          <t>Super Carlin Brothers</t>
        </is>
      </c>
      <c r="G469" t="inlineStr">
        <is>
          <t>What If Ron Was In Hufflepuff - FULL STORY</t>
        </is>
      </c>
      <c r="H469" s="41" t="n">
        <v>0.1284490740740741</v>
      </c>
      <c r="I469" s="42" t="n">
        <v>688453</v>
      </c>
      <c r="J469" s="42" t="n">
        <v>7720</v>
      </c>
      <c r="K469" s="42" t="n">
        <v>1036</v>
      </c>
      <c r="L469" s="43" t="n"/>
      <c r="M469" s="44" t="n"/>
      <c r="N469" s="44" t="inlineStr">
        <is>
          <t>UCKZo4N0lVPccBkSiuyVh4yg</t>
        </is>
      </c>
      <c r="O469" s="45" t="n">
        <v>45653.62569444445</v>
      </c>
      <c r="P469" s="46" t="n">
        <v>45653</v>
      </c>
      <c r="Q469" s="44" t="n">
        <v>2803</v>
      </c>
      <c r="R469" s="44" t="inlineStr">
        <is>
          <t>No Video ID yet</t>
        </is>
      </c>
      <c r="S469" s="46" t="n"/>
      <c r="T469" s="46" t="n"/>
      <c r="U469" s="44" t="n"/>
      <c r="V469" s="44">
        <f>IF(AND(P469&gt;=Calendar!$K$2,P469&lt;EDATE(Calendar!$K$2,1),OR(Calendar!$K$4="*",N469=Calendar!$K$4)),P469*100+COUNTIFS($P$6:$P$3271,P469,$Q$6:$Q$3271,"&lt;="&amp;Q469,$N$6:$N$3271,Calendar!$K$4),"")</f>
        <v/>
      </c>
      <c r="W469" s="44">
        <f>IF(AND(B469=Queue!$C$4,OR(Queue!$K$4="*",N469=Queue!$K$4)),Q469,"")</f>
        <v/>
      </c>
    </row>
    <row r="470">
      <c r="A470" s="35">
        <f>IF(M470="","",HYPERLINK("https://www.youtube.com/watch?v="&amp;M470,"▶"))</f>
        <v/>
      </c>
      <c r="B470" s="36">
        <f>IF(C470&lt;&gt;"",C470,IF(P470&lt;=IFERROR(INDEX(tblChannels[Watched Through],MATCH(N470,tblChannels[Channel ID],0)),0),"Watched","Unwatched"))</f>
        <v/>
      </c>
      <c r="C470" s="37" t="n"/>
      <c r="D470" s="38" t="n"/>
      <c r="E470" s="39" t="n">
        <v>45653.41666666666</v>
      </c>
      <c r="F470" s="40" t="inlineStr">
        <is>
          <t>Popcorn Culture</t>
        </is>
      </c>
      <c r="G470" t="inlineStr">
        <is>
          <t>Year in Review | Popcorn Culture</t>
        </is>
      </c>
      <c r="H470" s="41" t="n">
        <v>0.05688657407407408</v>
      </c>
      <c r="I470" s="42" t="n">
        <v>3793</v>
      </c>
      <c r="J470" s="42" t="n">
        <v>196</v>
      </c>
      <c r="K470" s="42" t="n">
        <v>19</v>
      </c>
      <c r="L470" s="43" t="n"/>
      <c r="M470" s="44" t="n"/>
      <c r="N470" s="44" t="inlineStr">
        <is>
          <t>UCHfIbq9thHPC8yrKjAdJgDA</t>
        </is>
      </c>
      <c r="O470" s="45" t="n">
        <v>45653.625</v>
      </c>
      <c r="P470" s="46" t="n">
        <v>45653</v>
      </c>
      <c r="Q470" s="44" t="n">
        <v>2802</v>
      </c>
      <c r="R470" s="44" t="inlineStr">
        <is>
          <t>No Video ID yet</t>
        </is>
      </c>
      <c r="S470" s="46" t="n"/>
      <c r="T470" s="46" t="n"/>
      <c r="U470" s="44" t="n"/>
      <c r="V470" s="44">
        <f>IF(AND(P470&gt;=Calendar!$K$2,P470&lt;EDATE(Calendar!$K$2,1),OR(Calendar!$K$4="*",N470=Calendar!$K$4)),P470*100+COUNTIFS($P$6:$P$3271,P470,$Q$6:$Q$3271,"&lt;="&amp;Q470,$N$6:$N$3271,Calendar!$K$4),"")</f>
        <v/>
      </c>
      <c r="W470" s="44">
        <f>IF(AND(B470=Queue!$C$4,OR(Queue!$K$4="*",N470=Queue!$K$4)),Q470,"")</f>
        <v/>
      </c>
    </row>
    <row r="471">
      <c r="A471" s="35">
        <f>IF(M471="","",HYPERLINK("https://www.youtube.com/watch?v="&amp;M471,"▶"))</f>
        <v/>
      </c>
      <c r="B471" s="36">
        <f>IF(C471&lt;&gt;"",C471,IF(P471&lt;=IFERROR(INDEX(tblChannels[Watched Through],MATCH(N471,tblChannels[Channel ID],0)),0),"Watched","Unwatched"))</f>
        <v/>
      </c>
      <c r="C471" s="37" t="n"/>
      <c r="D471" s="38" t="n"/>
      <c r="E471" s="39" t="n">
        <v>45651.41666666666</v>
      </c>
      <c r="F471" s="47" t="inlineStr">
        <is>
          <t>Super Carlin Brothers</t>
        </is>
      </c>
      <c r="G471" t="inlineStr">
        <is>
          <t>J vs Ben: FULL YEAR SHOWDOWN - Who is the Ultimate Champion of 2024?</t>
        </is>
      </c>
      <c r="H471" s="41" t="n">
        <v>0.4802662037037037</v>
      </c>
      <c r="I471" s="42" t="n">
        <v>173543</v>
      </c>
      <c r="J471" s="42" t="n">
        <v>2972</v>
      </c>
      <c r="K471" s="42" t="n">
        <v>716</v>
      </c>
      <c r="L471" s="43" t="n"/>
      <c r="M471" s="44" t="n"/>
      <c r="N471" s="44" t="inlineStr">
        <is>
          <t>UCKZo4N0lVPccBkSiuyVh4yg</t>
        </is>
      </c>
      <c r="O471" s="45" t="n">
        <v>45651.625</v>
      </c>
      <c r="P471" s="46" t="n">
        <v>45651</v>
      </c>
      <c r="Q471" s="44" t="n">
        <v>2801</v>
      </c>
      <c r="R471" s="44" t="inlineStr">
        <is>
          <t>No Video ID yet</t>
        </is>
      </c>
      <c r="S471" s="46" t="n"/>
      <c r="T471" s="46" t="n"/>
      <c r="U471" s="44" t="n"/>
      <c r="V471" s="44">
        <f>IF(AND(P471&gt;=Calendar!$K$2,P471&lt;EDATE(Calendar!$K$2,1),OR(Calendar!$K$4="*",N471=Calendar!$K$4)),P471*100+COUNTIFS($P$6:$P$3271,P471,$Q$6:$Q$3271,"&lt;="&amp;Q471,$N$6:$N$3271,Calendar!$K$4),"")</f>
        <v/>
      </c>
      <c r="W471" s="44">
        <f>IF(AND(B471=Queue!$C$4,OR(Queue!$K$4="*",N471=Queue!$K$4)),Q471,"")</f>
        <v/>
      </c>
    </row>
    <row r="472">
      <c r="A472" s="35">
        <f>IF(M472="","",HYPERLINK("https://www.youtube.com/watch?v="&amp;M472,"▶"))</f>
        <v/>
      </c>
      <c r="B472" s="36">
        <f>IF(C472&lt;&gt;"",C472,IF(P472&lt;=IFERROR(INDEX(tblChannels[Watched Through],MATCH(N472,tblChannels[Channel ID],0)),0),"Watched","Unwatched"))</f>
        <v/>
      </c>
      <c r="C472" s="37" t="n"/>
      <c r="D472" s="38" t="n"/>
      <c r="E472" s="39" t="n">
        <v>45648.41666666666</v>
      </c>
      <c r="F472" s="48" t="inlineStr">
        <is>
          <t>Through The Griffin Door</t>
        </is>
      </c>
      <c r="G472" t="inlineStr">
        <is>
          <t>Chapter 6: The Portkey | Goblet of Fire</t>
        </is>
      </c>
      <c r="H472" s="41" t="n">
        <v>0.05778935185185185</v>
      </c>
      <c r="I472" s="42" t="n">
        <v>60117</v>
      </c>
      <c r="J472" s="42" t="n">
        <v>1633</v>
      </c>
      <c r="K472" s="42" t="n">
        <v>481</v>
      </c>
      <c r="L472" s="43" t="n"/>
      <c r="M472" s="44" t="n"/>
      <c r="N472" s="44" t="inlineStr">
        <is>
          <t>UCEscP6ETYXWSSvsNrDHekMQ</t>
        </is>
      </c>
      <c r="O472" s="45" t="n">
        <v>45648.625</v>
      </c>
      <c r="P472" s="46" t="n">
        <v>45648</v>
      </c>
      <c r="Q472" s="44" t="n">
        <v>2800</v>
      </c>
      <c r="R472" s="44" t="inlineStr">
        <is>
          <t>No Video ID yet</t>
        </is>
      </c>
      <c r="S472" s="46" t="n"/>
      <c r="T472" s="46" t="n"/>
      <c r="U472" s="44" t="n"/>
      <c r="V472" s="44">
        <f>IF(AND(P472&gt;=Calendar!$K$2,P472&lt;EDATE(Calendar!$K$2,1),OR(Calendar!$K$4="*",N472=Calendar!$K$4)),P472*100+COUNTIFS($P$6:$P$3271,P472,$Q$6:$Q$3271,"&lt;="&amp;Q472,$N$6:$N$3271,Calendar!$K$4),"")</f>
        <v/>
      </c>
      <c r="W472" s="44">
        <f>IF(AND(B472=Queue!$C$4,OR(Queue!$K$4="*",N472=Queue!$K$4)),Q472,"")</f>
        <v/>
      </c>
    </row>
    <row r="473">
      <c r="A473" s="35">
        <f>IF(M473="","",HYPERLINK("https://www.youtube.com/watch?v="&amp;M473,"▶"))</f>
        <v/>
      </c>
      <c r="B473" s="36">
        <f>IF(C473&lt;&gt;"",C473,IF(P473&lt;=IFERROR(INDEX(tblChannels[Watched Through],MATCH(N473,tblChannels[Channel ID],0)),0),"Watched","Unwatched"))</f>
        <v/>
      </c>
      <c r="C473" s="37" t="n"/>
      <c r="D473" s="38" t="n"/>
      <c r="E473" s="39" t="n">
        <v>45647.27013888889</v>
      </c>
      <c r="F473" s="49" t="inlineStr">
        <is>
          <t>Super Carlin Gaming</t>
        </is>
      </c>
      <c r="G473" t="inlineStr">
        <is>
          <t>Pokemon Box Breakers SEASON 13 Episode 2 - 12/20/2024</t>
        </is>
      </c>
      <c r="H473" s="41" t="n">
        <v>0.1220601851851852</v>
      </c>
      <c r="I473" s="42" t="n">
        <v>1169</v>
      </c>
      <c r="J473" s="42" t="n">
        <v>42</v>
      </c>
      <c r="K473" s="42" t="n">
        <v>2</v>
      </c>
      <c r="L473" s="43" t="n"/>
      <c r="M473" s="44" t="n"/>
      <c r="N473" s="44" t="inlineStr">
        <is>
          <t>UCor_9jRnNNZVzTuQ92PKsaQ</t>
        </is>
      </c>
      <c r="O473" s="45" t="n">
        <v>45647.47847222222</v>
      </c>
      <c r="P473" s="46" t="n">
        <v>45647</v>
      </c>
      <c r="Q473" s="44" t="n">
        <v>2799</v>
      </c>
      <c r="R473" s="44" t="inlineStr">
        <is>
          <t>No Video ID yet</t>
        </is>
      </c>
      <c r="S473" s="46" t="n"/>
      <c r="T473" s="46" t="n"/>
      <c r="U473" s="44" t="n"/>
      <c r="V473" s="44">
        <f>IF(AND(P473&gt;=Calendar!$K$2,P473&lt;EDATE(Calendar!$K$2,1),OR(Calendar!$K$4="*",N473=Calendar!$K$4)),P473*100+COUNTIFS($P$6:$P$3271,P473,$Q$6:$Q$3271,"&lt;="&amp;Q473,$N$6:$N$3271,Calendar!$K$4),"")</f>
        <v/>
      </c>
      <c r="W473" s="44">
        <f>IF(AND(B473=Queue!$C$4,OR(Queue!$K$4="*",N473=Queue!$K$4)),Q473,"")</f>
        <v/>
      </c>
    </row>
    <row r="474">
      <c r="A474" s="35">
        <f>IF(M474="","",HYPERLINK("https://www.youtube.com/watch?v="&amp;M474,"▶"))</f>
        <v/>
      </c>
      <c r="B474" s="36">
        <f>IF(C474&lt;&gt;"",C474,IF(P474&lt;=IFERROR(INDEX(tblChannels[Watched Through],MATCH(N474,tblChannels[Channel ID],0)),0),"Watched","Unwatched"))</f>
        <v/>
      </c>
      <c r="C474" s="37" t="n"/>
      <c r="D474" s="38" t="n"/>
      <c r="E474" s="39" t="n">
        <v>45646.73055555556</v>
      </c>
      <c r="F474" s="47" t="inlineStr">
        <is>
          <t>Super Carlin Brothers</t>
        </is>
      </c>
      <c r="G474" t="inlineStr">
        <is>
          <t>What If Ron Was In Hufflepuff - THE END | Harry Potter Film Theory</t>
        </is>
      </c>
      <c r="H474" s="41" t="n">
        <v>0.01886574074074074</v>
      </c>
      <c r="I474" s="42" t="n">
        <v>76596</v>
      </c>
      <c r="J474" s="42" t="n">
        <v>3863</v>
      </c>
      <c r="K474" s="42" t="n">
        <v>452</v>
      </c>
      <c r="L474" s="43" t="n"/>
      <c r="M474" s="44" t="n"/>
      <c r="N474" s="44" t="inlineStr">
        <is>
          <t>UCKZo4N0lVPccBkSiuyVh4yg</t>
        </is>
      </c>
      <c r="O474" s="45" t="n">
        <v>45646.93888888889</v>
      </c>
      <c r="P474" s="46" t="n">
        <v>45646</v>
      </c>
      <c r="Q474" s="44" t="n">
        <v>2798</v>
      </c>
      <c r="R474" s="44" t="inlineStr">
        <is>
          <t>No Video ID yet</t>
        </is>
      </c>
      <c r="S474" s="46" t="n"/>
      <c r="T474" s="46" t="n"/>
      <c r="U474" s="44" t="n"/>
      <c r="V474" s="44">
        <f>IF(AND(P474&gt;=Calendar!$K$2,P474&lt;EDATE(Calendar!$K$2,1),OR(Calendar!$K$4="*",N474=Calendar!$K$4)),P474*100+COUNTIFS($P$6:$P$3271,P474,$Q$6:$Q$3271,"&lt;="&amp;Q474,$N$6:$N$3271,Calendar!$K$4),"")</f>
        <v/>
      </c>
      <c r="W474" s="44">
        <f>IF(AND(B474=Queue!$C$4,OR(Queue!$K$4="*",N474=Queue!$K$4)),Q474,"")</f>
        <v/>
      </c>
    </row>
    <row r="475">
      <c r="A475" s="35">
        <f>IF(M475="","",HYPERLINK("https://www.youtube.com/watch?v="&amp;M475,"▶"))</f>
        <v/>
      </c>
      <c r="B475" s="36">
        <f>IF(C475&lt;&gt;"",C475,IF(P475&lt;=IFERROR(INDEX(tblChannels[Watched Through],MATCH(N475,tblChannels[Channel ID],0)),0),"Watched","Unwatched"))</f>
        <v/>
      </c>
      <c r="C475" s="37" t="n"/>
      <c r="D475" s="38" t="n"/>
      <c r="E475" s="39" t="n">
        <v>45646.41666666666</v>
      </c>
      <c r="F475" s="40" t="inlineStr">
        <is>
          <t>Popcorn Culture</t>
        </is>
      </c>
      <c r="G475" t="inlineStr">
        <is>
          <t>The Unusual Circumstances Episode | Popcorn Culture</t>
        </is>
      </c>
      <c r="H475" s="41" t="n">
        <v>0.04934027777777777</v>
      </c>
      <c r="I475" s="42" t="n">
        <v>3831</v>
      </c>
      <c r="J475" s="42" t="n">
        <v>193</v>
      </c>
      <c r="K475" s="42" t="n">
        <v>59</v>
      </c>
      <c r="L475" s="43" t="n"/>
      <c r="M475" s="44" t="n"/>
      <c r="N475" s="44" t="inlineStr">
        <is>
          <t>UCHfIbq9thHPC8yrKjAdJgDA</t>
        </is>
      </c>
      <c r="O475" s="45" t="n">
        <v>45646.625</v>
      </c>
      <c r="P475" s="46" t="n">
        <v>45646</v>
      </c>
      <c r="Q475" s="44" t="n">
        <v>2797</v>
      </c>
      <c r="R475" s="44" t="inlineStr">
        <is>
          <t>No Video ID yet</t>
        </is>
      </c>
      <c r="S475" s="46" t="n"/>
      <c r="T475" s="46" t="n"/>
      <c r="U475" s="44" t="n"/>
      <c r="V475" s="44">
        <f>IF(AND(P475&gt;=Calendar!$K$2,P475&lt;EDATE(Calendar!$K$2,1),OR(Calendar!$K$4="*",N475=Calendar!$K$4)),P475*100+COUNTIFS($P$6:$P$3271,P475,$Q$6:$Q$3271,"&lt;="&amp;Q475,$N$6:$N$3271,Calendar!$K$4),"")</f>
        <v/>
      </c>
      <c r="W475" s="44">
        <f>IF(AND(B475=Queue!$C$4,OR(Queue!$K$4="*",N475=Queue!$K$4)),Q475,"")</f>
        <v/>
      </c>
    </row>
    <row r="476">
      <c r="A476" s="35">
        <f>IF(M476="","",HYPERLINK("https://www.youtube.com/watch?v="&amp;M476,"▶"))</f>
        <v/>
      </c>
      <c r="B476" s="36">
        <f>IF(C476&lt;&gt;"",C476,IF(P476&lt;=IFERROR(INDEX(tblChannels[Watched Through],MATCH(N476,tblChannels[Channel ID],0)),0),"Watched","Unwatched"))</f>
        <v/>
      </c>
      <c r="C476" s="37" t="n"/>
      <c r="D476" s="38" t="n"/>
      <c r="E476" s="39" t="n">
        <v>45644.72013888889</v>
      </c>
      <c r="F476" s="47" t="inlineStr">
        <is>
          <t>Super Carlin Brothers</t>
        </is>
      </c>
      <c r="G476" t="inlineStr">
        <is>
          <t>J vs Ben: FINAL Harry Potter Trivia Battle of the YEAR!</t>
        </is>
      </c>
      <c r="H476" s="41" t="n">
        <v>0.02606481481481481</v>
      </c>
      <c r="I476" s="42" t="n">
        <v>95037</v>
      </c>
      <c r="J476" s="42" t="n">
        <v>3988</v>
      </c>
      <c r="K476" s="42" t="n">
        <v>409</v>
      </c>
      <c r="L476" s="43" t="n"/>
      <c r="M476" s="44" t="n"/>
      <c r="N476" s="44" t="inlineStr">
        <is>
          <t>UCKZo4N0lVPccBkSiuyVh4yg</t>
        </is>
      </c>
      <c r="O476" s="45" t="n">
        <v>45644.92847222222</v>
      </c>
      <c r="P476" s="46" t="n">
        <v>45644</v>
      </c>
      <c r="Q476" s="44" t="n">
        <v>2796</v>
      </c>
      <c r="R476" s="44" t="inlineStr">
        <is>
          <t>No Video ID yet</t>
        </is>
      </c>
      <c r="S476" s="46" t="n"/>
      <c r="T476" s="46" t="n"/>
      <c r="U476" s="44" t="n"/>
      <c r="V476" s="44">
        <f>IF(AND(P476&gt;=Calendar!$K$2,P476&lt;EDATE(Calendar!$K$2,1),OR(Calendar!$K$4="*",N476=Calendar!$K$4)),P476*100+COUNTIFS($P$6:$P$3271,P476,$Q$6:$Q$3271,"&lt;="&amp;Q476,$N$6:$N$3271,Calendar!$K$4),"")</f>
        <v/>
      </c>
      <c r="W476" s="44">
        <f>IF(AND(B476=Queue!$C$4,OR(Queue!$K$4="*",N476=Queue!$K$4)),Q476,"")</f>
        <v/>
      </c>
    </row>
    <row r="477">
      <c r="A477" s="35">
        <f>IF(M477="","",HYPERLINK("https://www.youtube.com/watch?v="&amp;M477,"▶"))</f>
        <v/>
      </c>
      <c r="B477" s="36">
        <f>IF(C477&lt;&gt;"",C477,IF(P477&lt;=IFERROR(INDEX(tblChannels[Watched Through],MATCH(N477,tblChannels[Channel ID],0)),0),"Watched","Unwatched"))</f>
        <v/>
      </c>
      <c r="C477" s="37" t="n"/>
      <c r="D477" s="38" t="n"/>
      <c r="E477" s="39" t="n">
        <v>45641.41666666666</v>
      </c>
      <c r="F477" s="48" t="inlineStr">
        <is>
          <t>Through The Griffin Door</t>
        </is>
      </c>
      <c r="G477" t="inlineStr">
        <is>
          <t>Chapter 5: Weasley’s Wizard Wheezes | Goblet of Fire</t>
        </is>
      </c>
      <c r="H477" s="41" t="n">
        <v>0.06412037037037037</v>
      </c>
      <c r="I477" s="42" t="n">
        <v>67861</v>
      </c>
      <c r="J477" s="42" t="n">
        <v>1788</v>
      </c>
      <c r="K477" s="42" t="n">
        <v>512</v>
      </c>
      <c r="L477" s="43" t="n"/>
      <c r="M477" s="44" t="n"/>
      <c r="N477" s="44" t="inlineStr">
        <is>
          <t>UCEscP6ETYXWSSvsNrDHekMQ</t>
        </is>
      </c>
      <c r="O477" s="45" t="n">
        <v>45641.625</v>
      </c>
      <c r="P477" s="46" t="n">
        <v>45641</v>
      </c>
      <c r="Q477" s="44" t="n">
        <v>2795</v>
      </c>
      <c r="R477" s="44" t="inlineStr">
        <is>
          <t>No Video ID yet</t>
        </is>
      </c>
      <c r="S477" s="46" t="n"/>
      <c r="T477" s="46" t="n"/>
      <c r="U477" s="44" t="n"/>
      <c r="V477" s="44">
        <f>IF(AND(P477&gt;=Calendar!$K$2,P477&lt;EDATE(Calendar!$K$2,1),OR(Calendar!$K$4="*",N477=Calendar!$K$4)),P477*100+COUNTIFS($P$6:$P$3271,P477,$Q$6:$Q$3271,"&lt;="&amp;Q477,$N$6:$N$3271,Calendar!$K$4),"")</f>
        <v/>
      </c>
      <c r="W477" s="44">
        <f>IF(AND(B477=Queue!$C$4,OR(Queue!$K$4="*",N477=Queue!$K$4)),Q477,"")</f>
        <v/>
      </c>
    </row>
    <row r="478">
      <c r="A478" s="35">
        <f>IF(M478="","",HYPERLINK("https://www.youtube.com/watch?v="&amp;M478,"▶"))</f>
        <v/>
      </c>
      <c r="B478" s="36">
        <f>IF(C478&lt;&gt;"",C478,IF(P478&lt;=IFERROR(INDEX(tblChannels[Watched Through],MATCH(N478,tblChannels[Channel ID],0)),0),"Watched","Unwatched"))</f>
        <v/>
      </c>
      <c r="C478" s="37" t="n"/>
      <c r="D478" s="38" t="n"/>
      <c r="E478" s="39" t="n">
        <v>45640.41666666666</v>
      </c>
      <c r="F478" s="47" t="inlineStr">
        <is>
          <t>Super Carlin Brothers</t>
        </is>
      </c>
      <c r="G478" t="inlineStr">
        <is>
          <t>Through the Griffin Door Supercut: Goblet of Fire Chapters 1-3</t>
        </is>
      </c>
      <c r="H478" s="41" t="n">
        <v>0.1837962962962963</v>
      </c>
      <c r="I478" s="42" t="n">
        <v>24583</v>
      </c>
      <c r="J478" s="42" t="n">
        <v>439</v>
      </c>
      <c r="K478" s="42" t="n">
        <v>99</v>
      </c>
      <c r="L478" s="43" t="n"/>
      <c r="M478" s="44" t="n"/>
      <c r="N478" s="44" t="inlineStr">
        <is>
          <t>UCKZo4N0lVPccBkSiuyVh4yg</t>
        </is>
      </c>
      <c r="O478" s="45" t="n">
        <v>45640.625</v>
      </c>
      <c r="P478" s="46" t="n">
        <v>45640</v>
      </c>
      <c r="Q478" s="44" t="n">
        <v>2794</v>
      </c>
      <c r="R478" s="44" t="inlineStr">
        <is>
          <t>No Video ID yet</t>
        </is>
      </c>
      <c r="S478" s="46" t="n"/>
      <c r="T478" s="46" t="n"/>
      <c r="U478" s="44" t="n"/>
      <c r="V478" s="44">
        <f>IF(AND(P478&gt;=Calendar!$K$2,P478&lt;EDATE(Calendar!$K$2,1),OR(Calendar!$K$4="*",N478=Calendar!$K$4)),P478*100+COUNTIFS($P$6:$P$3271,P478,$Q$6:$Q$3271,"&lt;="&amp;Q478,$N$6:$N$3271,Calendar!$K$4),"")</f>
        <v/>
      </c>
      <c r="W478" s="44">
        <f>IF(AND(B478=Queue!$C$4,OR(Queue!$K$4="*",N478=Queue!$K$4)),Q478,"")</f>
        <v/>
      </c>
    </row>
    <row r="479">
      <c r="A479" s="35">
        <f>IF(M479="","",HYPERLINK("https://www.youtube.com/watch?v="&amp;M479,"▶"))</f>
        <v/>
      </c>
      <c r="B479" s="36">
        <f>IF(C479&lt;&gt;"",C479,IF(P479&lt;=IFERROR(INDEX(tblChannels[Watched Through],MATCH(N479,tblChannels[Channel ID],0)),0),"Watched","Unwatched"))</f>
        <v/>
      </c>
      <c r="C479" s="37" t="n"/>
      <c r="D479" s="38" t="n"/>
      <c r="E479" s="39" t="n">
        <v>45639.68125</v>
      </c>
      <c r="F479" s="47" t="inlineStr">
        <is>
          <t>Super Carlin Brothers</t>
        </is>
      </c>
      <c r="G479" t="inlineStr">
        <is>
          <t>A Siriusly SCATHING Review of Sirius Black | Harry Potter Film Theory</t>
        </is>
      </c>
      <c r="H479" s="41" t="n">
        <v>0.01142361111111111</v>
      </c>
      <c r="I479" s="42" t="n">
        <v>106419</v>
      </c>
      <c r="J479" s="42" t="n">
        <v>4507</v>
      </c>
      <c r="K479" s="42" t="n">
        <v>478</v>
      </c>
      <c r="L479" s="43" t="n"/>
      <c r="M479" s="44" t="n"/>
      <c r="N479" s="44" t="inlineStr">
        <is>
          <t>UCKZo4N0lVPccBkSiuyVh4yg</t>
        </is>
      </c>
      <c r="O479" s="45" t="n">
        <v>45639.88958333333</v>
      </c>
      <c r="P479" s="46" t="n">
        <v>45639</v>
      </c>
      <c r="Q479" s="44" t="n">
        <v>2793</v>
      </c>
      <c r="R479" s="44" t="inlineStr">
        <is>
          <t>No Video ID yet</t>
        </is>
      </c>
      <c r="S479" s="46" t="n"/>
      <c r="T479" s="46" t="n"/>
      <c r="U479" s="44" t="n"/>
      <c r="V479" s="44">
        <f>IF(AND(P479&gt;=Calendar!$K$2,P479&lt;EDATE(Calendar!$K$2,1),OR(Calendar!$K$4="*",N479=Calendar!$K$4)),P479*100+COUNTIFS($P$6:$P$3271,P479,$Q$6:$Q$3271,"&lt;="&amp;Q479,$N$6:$N$3271,Calendar!$K$4),"")</f>
        <v/>
      </c>
      <c r="W479" s="44">
        <f>IF(AND(B479=Queue!$C$4,OR(Queue!$K$4="*",N479=Queue!$K$4)),Q479,"")</f>
        <v/>
      </c>
    </row>
    <row r="480">
      <c r="A480" s="35">
        <f>IF(M480="","",HYPERLINK("https://www.youtube.com/watch?v="&amp;M480,"▶"))</f>
        <v/>
      </c>
      <c r="B480" s="36">
        <f>IF(C480&lt;&gt;"",C480,IF(P480&lt;=IFERROR(INDEX(tblChannels[Watched Through],MATCH(N480,tblChannels[Channel ID],0)),0),"Watched","Unwatched"))</f>
        <v/>
      </c>
      <c r="C480" s="37" t="n"/>
      <c r="D480" s="38" t="n"/>
      <c r="E480" s="39" t="n">
        <v>45639.41666666666</v>
      </c>
      <c r="F480" s="40" t="inlineStr">
        <is>
          <t>Popcorn Culture</t>
        </is>
      </c>
      <c r="G480" t="inlineStr">
        <is>
          <t>MOM ALMOST SCAMMED ME | Popcorn Culture</t>
        </is>
      </c>
      <c r="H480" s="41" t="n">
        <v>0.04651620370370371</v>
      </c>
      <c r="I480" s="42" t="n">
        <v>3741</v>
      </c>
      <c r="J480" s="42" t="n">
        <v>172</v>
      </c>
      <c r="K480" s="42" t="n">
        <v>25</v>
      </c>
      <c r="L480" s="43" t="n"/>
      <c r="M480" s="44" t="n"/>
      <c r="N480" s="44" t="inlineStr">
        <is>
          <t>UCHfIbq9thHPC8yrKjAdJgDA</t>
        </is>
      </c>
      <c r="O480" s="45" t="n">
        <v>45639.625</v>
      </c>
      <c r="P480" s="46" t="n">
        <v>45639</v>
      </c>
      <c r="Q480" s="44" t="n">
        <v>2792</v>
      </c>
      <c r="R480" s="44" t="inlineStr">
        <is>
          <t>No Video ID yet</t>
        </is>
      </c>
      <c r="S480" s="46" t="n"/>
      <c r="T480" s="46" t="n"/>
      <c r="U480" s="44" t="n"/>
      <c r="V480" s="44">
        <f>IF(AND(P480&gt;=Calendar!$K$2,P480&lt;EDATE(Calendar!$K$2,1),OR(Calendar!$K$4="*",N480=Calendar!$K$4)),P480*100+COUNTIFS($P$6:$P$3271,P480,$Q$6:$Q$3271,"&lt;="&amp;Q480,$N$6:$N$3271,Calendar!$K$4),"")</f>
        <v/>
      </c>
      <c r="W480" s="44">
        <f>IF(AND(B480=Queue!$C$4,OR(Queue!$K$4="*",N480=Queue!$K$4)),Q480,"")</f>
        <v/>
      </c>
    </row>
    <row r="481">
      <c r="A481" s="35">
        <f>IF(M481="","",HYPERLINK("https://www.youtube.com/watch?v="&amp;M481,"▶"))</f>
        <v/>
      </c>
      <c r="B481" s="36">
        <f>IF(C481&lt;&gt;"",C481,IF(P481&lt;=IFERROR(INDEX(tblChannels[Watched Through],MATCH(N481,tblChannels[Channel ID],0)),0),"Watched","Unwatched"))</f>
        <v/>
      </c>
      <c r="C481" s="37" t="n"/>
      <c r="D481" s="38" t="n"/>
      <c r="E481" s="39" t="n">
        <v>45637.74861111111</v>
      </c>
      <c r="F481" s="47" t="inlineStr">
        <is>
          <t>Super Carlin Brothers</t>
        </is>
      </c>
      <c r="G481" t="inlineStr">
        <is>
          <t>WICKED Theories From People Who Don’t Know the Ending | Wicked Film Theory</t>
        </is>
      </c>
      <c r="H481" s="41" t="n">
        <v>0.01354166666666667</v>
      </c>
      <c r="I481" s="42" t="n">
        <v>123074</v>
      </c>
      <c r="J481" s="42" t="n">
        <v>6107</v>
      </c>
      <c r="K481" s="42" t="n">
        <v>1125</v>
      </c>
      <c r="L481" s="43" t="n"/>
      <c r="M481" s="44" t="n"/>
      <c r="N481" s="44" t="inlineStr">
        <is>
          <t>UCKZo4N0lVPccBkSiuyVh4yg</t>
        </is>
      </c>
      <c r="O481" s="45" t="n">
        <v>45637.95694444444</v>
      </c>
      <c r="P481" s="46" t="n">
        <v>45637</v>
      </c>
      <c r="Q481" s="44" t="n">
        <v>2791</v>
      </c>
      <c r="R481" s="44" t="inlineStr">
        <is>
          <t>No Video ID yet</t>
        </is>
      </c>
      <c r="S481" s="46" t="n"/>
      <c r="T481" s="46" t="n"/>
      <c r="U481" s="44" t="n"/>
      <c r="V481" s="44">
        <f>IF(AND(P481&gt;=Calendar!$K$2,P481&lt;EDATE(Calendar!$K$2,1),OR(Calendar!$K$4="*",N481=Calendar!$K$4)),P481*100+COUNTIFS($P$6:$P$3271,P481,$Q$6:$Q$3271,"&lt;="&amp;Q481,$N$6:$N$3271,Calendar!$K$4),"")</f>
        <v/>
      </c>
      <c r="W481" s="44">
        <f>IF(AND(B481=Queue!$C$4,OR(Queue!$K$4="*",N481=Queue!$K$4)),Q481,"")</f>
        <v/>
      </c>
    </row>
    <row r="482">
      <c r="A482" s="35">
        <f>IF(M482="","",HYPERLINK("https://www.youtube.com/watch?v="&amp;M482,"▶"))</f>
        <v/>
      </c>
      <c r="B482" s="36">
        <f>IF(C482&lt;&gt;"",C482,IF(P482&lt;=IFERROR(INDEX(tblChannels[Watched Through],MATCH(N482,tblChannels[Channel ID],0)),0),"Watched","Unwatched"))</f>
        <v/>
      </c>
      <c r="C482" s="37" t="n"/>
      <c r="D482" s="38" t="n"/>
      <c r="E482" s="39" t="n">
        <v>45634.41666666666</v>
      </c>
      <c r="F482" s="48" t="inlineStr">
        <is>
          <t>Through The Griffin Door</t>
        </is>
      </c>
      <c r="G482" t="inlineStr">
        <is>
          <t>Chapter 4: Back to the Burrow | Goblet of Fire</t>
        </is>
      </c>
      <c r="H482" s="41" t="n">
        <v>0.06060185185185185</v>
      </c>
      <c r="I482" s="42" t="n">
        <v>66151</v>
      </c>
      <c r="J482" s="42" t="n">
        <v>1815</v>
      </c>
      <c r="K482" s="42" t="n">
        <v>615</v>
      </c>
      <c r="L482" s="43" t="n"/>
      <c r="M482" s="44" t="n"/>
      <c r="N482" s="44" t="inlineStr">
        <is>
          <t>UCEscP6ETYXWSSvsNrDHekMQ</t>
        </is>
      </c>
      <c r="O482" s="45" t="n">
        <v>45634.625</v>
      </c>
      <c r="P482" s="46" t="n">
        <v>45634</v>
      </c>
      <c r="Q482" s="44" t="n">
        <v>2790</v>
      </c>
      <c r="R482" s="44" t="inlineStr">
        <is>
          <t>No Video ID yet</t>
        </is>
      </c>
      <c r="S482" s="46" t="n"/>
      <c r="T482" s="46" t="n"/>
      <c r="U482" s="44" t="n"/>
      <c r="V482" s="44">
        <f>IF(AND(P482&gt;=Calendar!$K$2,P482&lt;EDATE(Calendar!$K$2,1),OR(Calendar!$K$4="*",N482=Calendar!$K$4)),P482*100+COUNTIFS($P$6:$P$3271,P482,$Q$6:$Q$3271,"&lt;="&amp;Q482,$N$6:$N$3271,Calendar!$K$4),"")</f>
        <v/>
      </c>
      <c r="W482" s="44">
        <f>IF(AND(B482=Queue!$C$4,OR(Queue!$K$4="*",N482=Queue!$K$4)),Q482,"")</f>
        <v/>
      </c>
    </row>
    <row r="483">
      <c r="A483" s="35">
        <f>IF(M483="","",HYPERLINK("https://www.youtube.com/watch?v="&amp;M483,"▶"))</f>
        <v/>
      </c>
      <c r="B483" s="36">
        <f>IF(C483&lt;&gt;"",C483,IF(P483&lt;=IFERROR(INDEX(tblChannels[Watched Through],MATCH(N483,tblChannels[Channel ID],0)),0),"Watched","Unwatched"))</f>
        <v/>
      </c>
      <c r="C483" s="37" t="n"/>
      <c r="D483" s="38" t="n"/>
      <c r="E483" s="39" t="n">
        <v>45632.58125</v>
      </c>
      <c r="F483" s="47" t="inlineStr">
        <is>
          <t>Super Carlin Brothers</t>
        </is>
      </c>
      <c r="G483" t="inlineStr">
        <is>
          <t>What If Ron Was In Hufflepuff - THE CAVE | Harry Potter Film Theory</t>
        </is>
      </c>
      <c r="H483" s="41" t="n">
        <v>0.01240740740740741</v>
      </c>
      <c r="I483" s="42" t="n">
        <v>61930</v>
      </c>
      <c r="J483" s="42" t="n">
        <v>3575</v>
      </c>
      <c r="K483" s="42" t="n">
        <v>328</v>
      </c>
      <c r="L483" s="43" t="n"/>
      <c r="M483" s="44" t="n"/>
      <c r="N483" s="44" t="inlineStr">
        <is>
          <t>UCKZo4N0lVPccBkSiuyVh4yg</t>
        </is>
      </c>
      <c r="O483" s="45" t="n">
        <v>45632.78958333333</v>
      </c>
      <c r="P483" s="46" t="n">
        <v>45632</v>
      </c>
      <c r="Q483" s="44" t="n">
        <v>2789</v>
      </c>
      <c r="R483" s="44" t="inlineStr">
        <is>
          <t>No Video ID yet</t>
        </is>
      </c>
      <c r="S483" s="46" t="n"/>
      <c r="T483" s="46" t="n"/>
      <c r="U483" s="44" t="n"/>
      <c r="V483" s="44">
        <f>IF(AND(P483&gt;=Calendar!$K$2,P483&lt;EDATE(Calendar!$K$2,1),OR(Calendar!$K$4="*",N483=Calendar!$K$4)),P483*100+COUNTIFS($P$6:$P$3271,P483,$Q$6:$Q$3271,"&lt;="&amp;Q483,$N$6:$N$3271,Calendar!$K$4),"")</f>
        <v/>
      </c>
      <c r="W483" s="44">
        <f>IF(AND(B483=Queue!$C$4,OR(Queue!$K$4="*",N483=Queue!$K$4)),Q483,"")</f>
        <v/>
      </c>
    </row>
    <row r="484">
      <c r="A484" s="35">
        <f>IF(M484="","",HYPERLINK("https://www.youtube.com/watch?v="&amp;M484,"▶"))</f>
        <v/>
      </c>
      <c r="B484" s="36">
        <f>IF(C484&lt;&gt;"",C484,IF(P484&lt;=IFERROR(INDEX(tblChannels[Watched Through],MATCH(N484,tblChannels[Channel ID],0)),0),"Watched","Unwatched"))</f>
        <v/>
      </c>
      <c r="C484" s="37" t="n"/>
      <c r="D484" s="38" t="n"/>
      <c r="E484" s="39" t="n">
        <v>45632.41666666666</v>
      </c>
      <c r="F484" s="40" t="inlineStr">
        <is>
          <t>Popcorn Culture</t>
        </is>
      </c>
      <c r="G484" t="inlineStr">
        <is>
          <t>Good Popcorn Genes | Popcorn Culture</t>
        </is>
      </c>
      <c r="H484" s="41" t="n">
        <v>0.05891203703703703</v>
      </c>
      <c r="I484" s="42" t="n">
        <v>3821</v>
      </c>
      <c r="J484" s="42" t="n">
        <v>174</v>
      </c>
      <c r="K484" s="42" t="n">
        <v>30</v>
      </c>
      <c r="L484" s="43" t="n"/>
      <c r="M484" s="44" t="n"/>
      <c r="N484" s="44" t="inlineStr">
        <is>
          <t>UCHfIbq9thHPC8yrKjAdJgDA</t>
        </is>
      </c>
      <c r="O484" s="45" t="n">
        <v>45632.625</v>
      </c>
      <c r="P484" s="46" t="n">
        <v>45632</v>
      </c>
      <c r="Q484" s="44" t="n">
        <v>2788</v>
      </c>
      <c r="R484" s="44" t="inlineStr">
        <is>
          <t>No Video ID yet</t>
        </is>
      </c>
      <c r="S484" s="46" t="n"/>
      <c r="T484" s="46" t="n"/>
      <c r="U484" s="44" t="n"/>
      <c r="V484" s="44">
        <f>IF(AND(P484&gt;=Calendar!$K$2,P484&lt;EDATE(Calendar!$K$2,1),OR(Calendar!$K$4="*",N484=Calendar!$K$4)),P484*100+COUNTIFS($P$6:$P$3271,P484,$Q$6:$Q$3271,"&lt;="&amp;Q484,$N$6:$N$3271,Calendar!$K$4),"")</f>
        <v/>
      </c>
      <c r="W484" s="44">
        <f>IF(AND(B484=Queue!$C$4,OR(Queue!$K$4="*",N484=Queue!$K$4)),Q484,"")</f>
        <v/>
      </c>
    </row>
    <row r="485">
      <c r="A485" s="35">
        <f>IF(M485="","",HYPERLINK("https://www.youtube.com/watch?v="&amp;M485,"▶"))</f>
        <v/>
      </c>
      <c r="B485" s="36">
        <f>IF(C485&lt;&gt;"",C485,IF(P485&lt;=IFERROR(INDEX(tblChannels[Watched Through],MATCH(N485,tblChannels[Channel ID],0)),0),"Watched","Unwatched"))</f>
        <v/>
      </c>
      <c r="C485" s="37" t="n"/>
      <c r="D485" s="38" t="n"/>
      <c r="E485" s="39" t="n">
        <v>45630.75833333333</v>
      </c>
      <c r="F485" s="47" t="inlineStr">
        <is>
          <t>Super Carlin Brothers</t>
        </is>
      </c>
      <c r="G485" t="inlineStr">
        <is>
          <t>J vs Ben: Our LARGEST Harry Potter Christmas Trivia Battle EVER</t>
        </is>
      </c>
      <c r="H485" s="41" t="n">
        <v>0.02928240740740741</v>
      </c>
      <c r="I485" s="42" t="n">
        <v>117604</v>
      </c>
      <c r="J485" s="42" t="n">
        <v>4644</v>
      </c>
      <c r="K485" s="42" t="n">
        <v>460</v>
      </c>
      <c r="L485" s="43" t="n"/>
      <c r="M485" s="44" t="n"/>
      <c r="N485" s="44" t="inlineStr">
        <is>
          <t>UCKZo4N0lVPccBkSiuyVh4yg</t>
        </is>
      </c>
      <c r="O485" s="45" t="n">
        <v>45630.96666666667</v>
      </c>
      <c r="P485" s="46" t="n">
        <v>45630</v>
      </c>
      <c r="Q485" s="44" t="n">
        <v>2787</v>
      </c>
      <c r="R485" s="44" t="inlineStr">
        <is>
          <t>No Video ID yet</t>
        </is>
      </c>
      <c r="S485" s="46" t="n"/>
      <c r="T485" s="46" t="n"/>
      <c r="U485" s="44" t="n"/>
      <c r="V485" s="44">
        <f>IF(AND(P485&gt;=Calendar!$K$2,P485&lt;EDATE(Calendar!$K$2,1),OR(Calendar!$K$4="*",N485=Calendar!$K$4)),P485*100+COUNTIFS($P$6:$P$3271,P485,$Q$6:$Q$3271,"&lt;="&amp;Q485,$N$6:$N$3271,Calendar!$K$4),"")</f>
        <v/>
      </c>
      <c r="W485" s="44">
        <f>IF(AND(B485=Queue!$C$4,OR(Queue!$K$4="*",N485=Queue!$K$4)),Q485,"")</f>
        <v/>
      </c>
    </row>
    <row r="486">
      <c r="A486" s="35">
        <f>IF(M486="","",HYPERLINK("https://www.youtube.com/watch?v="&amp;M486,"▶"))</f>
        <v/>
      </c>
      <c r="B486" s="36">
        <f>IF(C486&lt;&gt;"",C486,IF(P486&lt;=IFERROR(INDEX(tblChannels[Watched Through],MATCH(N486,tblChannels[Channel ID],0)),0),"Watched","Unwatched"))</f>
        <v/>
      </c>
      <c r="C486" s="37" t="n"/>
      <c r="D486" s="38" t="n"/>
      <c r="E486" s="39" t="n">
        <v>45627.41666666666</v>
      </c>
      <c r="F486" s="48" t="inlineStr">
        <is>
          <t>Through The Griffin Door</t>
        </is>
      </c>
      <c r="G486" t="inlineStr">
        <is>
          <t>Chapter 3: The Invitation | Goblet Of Fire</t>
        </is>
      </c>
      <c r="H486" s="41" t="n">
        <v>0.05628472222222222</v>
      </c>
      <c r="I486" s="42" t="n">
        <v>64290</v>
      </c>
      <c r="J486" s="42" t="n">
        <v>1819</v>
      </c>
      <c r="K486" s="42" t="n">
        <v>459</v>
      </c>
      <c r="L486" s="43" t="n"/>
      <c r="M486" s="44" t="n"/>
      <c r="N486" s="44" t="inlineStr">
        <is>
          <t>UCEscP6ETYXWSSvsNrDHekMQ</t>
        </is>
      </c>
      <c r="O486" s="45" t="n">
        <v>45627.625</v>
      </c>
      <c r="P486" s="46" t="n">
        <v>45627</v>
      </c>
      <c r="Q486" s="44" t="n">
        <v>2786</v>
      </c>
      <c r="R486" s="44" t="inlineStr">
        <is>
          <t>No Video ID yet</t>
        </is>
      </c>
      <c r="S486" s="46" t="n"/>
      <c r="T486" s="46" t="n"/>
      <c r="U486" s="44" t="n"/>
      <c r="V486" s="44">
        <f>IF(AND(P486&gt;=Calendar!$K$2,P486&lt;EDATE(Calendar!$K$2,1),OR(Calendar!$K$4="*",N486=Calendar!$K$4)),P486*100+COUNTIFS($P$6:$P$3271,P486,$Q$6:$Q$3271,"&lt;="&amp;Q486,$N$6:$N$3271,Calendar!$K$4),"")</f>
        <v/>
      </c>
      <c r="W486" s="44">
        <f>IF(AND(B486=Queue!$C$4,OR(Queue!$K$4="*",N486=Queue!$K$4)),Q486,"")</f>
        <v/>
      </c>
    </row>
    <row r="487">
      <c r="A487" s="35">
        <f>IF(M487="","",HYPERLINK("https://www.youtube.com/watch?v="&amp;M487,"▶"))</f>
        <v/>
      </c>
      <c r="B487" s="36">
        <f>IF(C487&lt;&gt;"",C487,IF(P487&lt;=IFERROR(INDEX(tblChannels[Watched Through],MATCH(N487,tblChannels[Channel ID],0)),0),"Watched","Unwatched"))</f>
        <v/>
      </c>
      <c r="C487" s="37" t="n"/>
      <c r="D487" s="38" t="n"/>
      <c r="E487" s="39" t="n">
        <v>45624.70833333334</v>
      </c>
      <c r="F487" s="48" t="inlineStr">
        <is>
          <t>Through The Griffin Door</t>
        </is>
      </c>
      <c r="G487" t="inlineStr">
        <is>
          <t>Live in Los Angeles - Chapter 2: The Scar | Goblet of Fire</t>
        </is>
      </c>
      <c r="H487" s="41" t="n">
        <v>0.03912037037037037</v>
      </c>
      <c r="I487" s="42" t="n">
        <v>10880</v>
      </c>
      <c r="J487" s="42" t="n">
        <v>498</v>
      </c>
      <c r="K487" s="42" t="n">
        <v>70</v>
      </c>
      <c r="L487" s="43" t="n"/>
      <c r="M487" s="44" t="n"/>
      <c r="N487" s="44" t="inlineStr">
        <is>
          <t>UCEscP6ETYXWSSvsNrDHekMQ</t>
        </is>
      </c>
      <c r="O487" s="45" t="n">
        <v>45624.91666666666</v>
      </c>
      <c r="P487" s="46" t="n">
        <v>45624</v>
      </c>
      <c r="Q487" s="44" t="n">
        <v>2785</v>
      </c>
      <c r="R487" s="44" t="inlineStr">
        <is>
          <t>No Video ID yet</t>
        </is>
      </c>
      <c r="S487" s="46" t="n"/>
      <c r="T487" s="46" t="n"/>
      <c r="U487" s="44" t="n"/>
      <c r="V487" s="44">
        <f>IF(AND(P487&gt;=Calendar!$K$2,P487&lt;EDATE(Calendar!$K$2,1),OR(Calendar!$K$4="*",N487=Calendar!$K$4)),P487*100+COUNTIFS($P$6:$P$3271,P487,$Q$6:$Q$3271,"&lt;="&amp;Q487,$N$6:$N$3271,Calendar!$K$4),"")</f>
        <v/>
      </c>
      <c r="W487" s="44">
        <f>IF(AND(B487=Queue!$C$4,OR(Queue!$K$4="*",N487=Queue!$K$4)),Q487,"")</f>
        <v/>
      </c>
    </row>
    <row r="488">
      <c r="A488" s="35">
        <f>IF(M488="","",HYPERLINK("https://www.youtube.com/watch?v="&amp;M488,"▶"))</f>
        <v/>
      </c>
      <c r="B488" s="36">
        <f>IF(C488&lt;&gt;"",C488,IF(P488&lt;=IFERROR(INDEX(tblChannels[Watched Through],MATCH(N488,tblChannels[Channel ID],0)),0),"Watched","Unwatched"))</f>
        <v/>
      </c>
      <c r="C488" s="37" t="n"/>
      <c r="D488" s="38" t="n"/>
      <c r="E488" s="39" t="n">
        <v>45624.45833333334</v>
      </c>
      <c r="F488" s="40" t="inlineStr">
        <is>
          <t>Popcorn Culture</t>
        </is>
      </c>
      <c r="G488" t="inlineStr">
        <is>
          <t>The Would You Rather Thanksgiving EXTRAVAGANZA | Popcorn Culture</t>
        </is>
      </c>
      <c r="H488" s="41" t="n">
        <v>0.05543981481481482</v>
      </c>
      <c r="I488" s="42" t="n">
        <v>3977</v>
      </c>
      <c r="J488" s="42" t="n">
        <v>200</v>
      </c>
      <c r="K488" s="42" t="n">
        <v>34</v>
      </c>
      <c r="L488" s="43" t="n"/>
      <c r="M488" s="44" t="n"/>
      <c r="N488" s="44" t="inlineStr">
        <is>
          <t>UCHfIbq9thHPC8yrKjAdJgDA</t>
        </is>
      </c>
      <c r="O488" s="45" t="n">
        <v>45624.66666666666</v>
      </c>
      <c r="P488" s="46" t="n">
        <v>45624</v>
      </c>
      <c r="Q488" s="44" t="n">
        <v>2784</v>
      </c>
      <c r="R488" s="44" t="inlineStr">
        <is>
          <t>No Video ID yet</t>
        </is>
      </c>
      <c r="S488" s="46" t="n"/>
      <c r="T488" s="46" t="n"/>
      <c r="U488" s="44" t="n"/>
      <c r="V488" s="44">
        <f>IF(AND(P488&gt;=Calendar!$K$2,P488&lt;EDATE(Calendar!$K$2,1),OR(Calendar!$K$4="*",N488=Calendar!$K$4)),P488*100+COUNTIFS($P$6:$P$3271,P488,$Q$6:$Q$3271,"&lt;="&amp;Q488,$N$6:$N$3271,Calendar!$K$4),"")</f>
        <v/>
      </c>
      <c r="W488" s="44">
        <f>IF(AND(B488=Queue!$C$4,OR(Queue!$K$4="*",N488=Queue!$K$4)),Q488,"")</f>
        <v/>
      </c>
    </row>
    <row r="489">
      <c r="A489" s="35">
        <f>IF(M489="","",HYPERLINK("https://www.youtube.com/watch?v="&amp;M489,"▶"))</f>
        <v/>
      </c>
      <c r="B489" s="36">
        <f>IF(C489&lt;&gt;"",C489,IF(P489&lt;=IFERROR(INDEX(tblChannels[Watched Through],MATCH(N489,tblChannels[Channel ID],0)),0),"Watched","Unwatched"))</f>
        <v/>
      </c>
      <c r="C489" s="37" t="n"/>
      <c r="D489" s="38" t="n"/>
      <c r="E489" s="39" t="n">
        <v>45624.41666666666</v>
      </c>
      <c r="F489" s="47" t="inlineStr">
        <is>
          <t>Super Carlin Brothers</t>
        </is>
      </c>
      <c r="G489" t="inlineStr">
        <is>
          <t>J vs Ben: LAST DAB Goblet of Fire Harry Potter TRIVIA Quiz</t>
        </is>
      </c>
      <c r="H489" s="41" t="n">
        <v>0.03703703703703703</v>
      </c>
      <c r="I489" s="42" t="n">
        <v>150609</v>
      </c>
      <c r="J489" s="42" t="n">
        <v>5700</v>
      </c>
      <c r="K489" s="42" t="n">
        <v>779</v>
      </c>
      <c r="L489" s="43" t="n"/>
      <c r="M489" s="44" t="n"/>
      <c r="N489" s="44" t="inlineStr">
        <is>
          <t>UCKZo4N0lVPccBkSiuyVh4yg</t>
        </is>
      </c>
      <c r="O489" s="45" t="n">
        <v>45624.625</v>
      </c>
      <c r="P489" s="46" t="n">
        <v>45624</v>
      </c>
      <c r="Q489" s="44" t="n">
        <v>2783</v>
      </c>
      <c r="R489" s="44" t="inlineStr">
        <is>
          <t>No Video ID yet</t>
        </is>
      </c>
      <c r="S489" s="46" t="n"/>
      <c r="T489" s="46" t="n"/>
      <c r="U489" s="44" t="n"/>
      <c r="V489" s="44">
        <f>IF(AND(P489&gt;=Calendar!$K$2,P489&lt;EDATE(Calendar!$K$2,1),OR(Calendar!$K$4="*",N489=Calendar!$K$4)),P489*100+COUNTIFS($P$6:$P$3271,P489,$Q$6:$Q$3271,"&lt;="&amp;Q489,$N$6:$N$3271,Calendar!$K$4),"")</f>
        <v/>
      </c>
      <c r="W489" s="44">
        <f>IF(AND(B489=Queue!$C$4,OR(Queue!$K$4="*",N489=Queue!$K$4)),Q489,"")</f>
        <v/>
      </c>
    </row>
    <row r="490">
      <c r="A490" s="35">
        <f>IF(M490="","",HYPERLINK("https://www.youtube.com/watch?v="&amp;M490,"▶"))</f>
        <v/>
      </c>
      <c r="B490" s="36">
        <f>IF(C490&lt;&gt;"",C490,IF(P490&lt;=IFERROR(INDEX(tblChannels[Watched Through],MATCH(N490,tblChannels[Channel ID],0)),0),"Watched","Unwatched"))</f>
        <v/>
      </c>
      <c r="C490" s="37" t="n"/>
      <c r="D490" s="38" t="n"/>
      <c r="E490" s="39" t="n">
        <v>45623.68055555555</v>
      </c>
      <c r="F490" s="47" t="inlineStr">
        <is>
          <t>Super Carlin Brothers</t>
        </is>
      </c>
      <c r="G490" t="inlineStr">
        <is>
          <t>The SECRET Meaning In How Far I’ll Go | Moana Disney Music Theory</t>
        </is>
      </c>
      <c r="H490" s="41" t="n">
        <v>0.01203703703703704</v>
      </c>
      <c r="I490" s="42" t="n">
        <v>30769</v>
      </c>
      <c r="J490" s="42" t="n">
        <v>1852</v>
      </c>
      <c r="K490" s="42" t="n">
        <v>215</v>
      </c>
      <c r="L490" s="43" t="n"/>
      <c r="M490" s="44" t="n"/>
      <c r="N490" s="44" t="inlineStr">
        <is>
          <t>UCKZo4N0lVPccBkSiuyVh4yg</t>
        </is>
      </c>
      <c r="O490" s="45" t="n">
        <v>45623.88888888889</v>
      </c>
      <c r="P490" s="46" t="n">
        <v>45623</v>
      </c>
      <c r="Q490" s="44" t="n">
        <v>2782</v>
      </c>
      <c r="R490" s="44" t="inlineStr">
        <is>
          <t>No Video ID yet</t>
        </is>
      </c>
      <c r="S490" s="46" t="n"/>
      <c r="T490" s="46" t="n"/>
      <c r="U490" s="44" t="n"/>
      <c r="V490" s="44">
        <f>IF(AND(P490&gt;=Calendar!$K$2,P490&lt;EDATE(Calendar!$K$2,1),OR(Calendar!$K$4="*",N490=Calendar!$K$4)),P490*100+COUNTIFS($P$6:$P$3271,P490,$Q$6:$Q$3271,"&lt;="&amp;Q490,$N$6:$N$3271,Calendar!$K$4),"")</f>
        <v/>
      </c>
      <c r="W490" s="44">
        <f>IF(AND(B490=Queue!$C$4,OR(Queue!$K$4="*",N490=Queue!$K$4)),Q490,"")</f>
        <v/>
      </c>
    </row>
    <row r="491">
      <c r="A491" s="35">
        <f>IF(M491="","",HYPERLINK("https://www.youtube.com/watch?v="&amp;M491,"▶"))</f>
        <v/>
      </c>
      <c r="B491" s="36">
        <f>IF(C491&lt;&gt;"",C491,IF(P491&lt;=IFERROR(INDEX(tblChannels[Watched Through],MATCH(N491,tblChannels[Channel ID],0)),0),"Watched","Unwatched"))</f>
        <v/>
      </c>
      <c r="C491" s="37" t="n"/>
      <c r="D491" s="38" t="n"/>
      <c r="E491" s="39" t="n">
        <v>45620.41666666666</v>
      </c>
      <c r="F491" s="48" t="inlineStr">
        <is>
          <t>Through The Griffin Door</t>
        </is>
      </c>
      <c r="G491" t="inlineStr">
        <is>
          <t>Chapter 2: The Scar | Goblet of Fire</t>
        </is>
      </c>
      <c r="H491" s="41" t="n">
        <v>0.06160879629629629</v>
      </c>
      <c r="I491" s="42" t="n">
        <v>68727</v>
      </c>
      <c r="J491" s="42" t="n">
        <v>1837</v>
      </c>
      <c r="K491" s="42" t="n">
        <v>484</v>
      </c>
      <c r="L491" s="43" t="n"/>
      <c r="M491" s="44" t="n"/>
      <c r="N491" s="44" t="inlineStr">
        <is>
          <t>UCEscP6ETYXWSSvsNrDHekMQ</t>
        </is>
      </c>
      <c r="O491" s="45" t="n">
        <v>45620.625</v>
      </c>
      <c r="P491" s="46" t="n">
        <v>45620</v>
      </c>
      <c r="Q491" s="44" t="n">
        <v>2781</v>
      </c>
      <c r="R491" s="44" t="inlineStr">
        <is>
          <t>No Video ID yet</t>
        </is>
      </c>
      <c r="S491" s="46" t="n"/>
      <c r="T491" s="46" t="n"/>
      <c r="U491" s="44" t="n"/>
      <c r="V491" s="44">
        <f>IF(AND(P491&gt;=Calendar!$K$2,P491&lt;EDATE(Calendar!$K$2,1),OR(Calendar!$K$4="*",N491=Calendar!$K$4)),P491*100+COUNTIFS($P$6:$P$3271,P491,$Q$6:$Q$3271,"&lt;="&amp;Q491,$N$6:$N$3271,Calendar!$K$4),"")</f>
        <v/>
      </c>
      <c r="W491" s="44">
        <f>IF(AND(B491=Queue!$C$4,OR(Queue!$K$4="*",N491=Queue!$K$4)),Q491,"")</f>
        <v/>
      </c>
    </row>
    <row r="492">
      <c r="A492" s="35">
        <f>IF(M492="","",HYPERLINK("https://www.youtube.com/watch?v="&amp;M492,"▶"))</f>
        <v/>
      </c>
      <c r="B492" s="36">
        <f>IF(C492&lt;&gt;"",C492,IF(P492&lt;=IFERROR(INDEX(tblChannels[Watched Through],MATCH(N492,tblChannels[Channel ID],0)),0),"Watched","Unwatched"))</f>
        <v/>
      </c>
      <c r="C492" s="37" t="n"/>
      <c r="D492" s="38" t="n"/>
      <c r="E492" s="39" t="n">
        <v>45619.41666666666</v>
      </c>
      <c r="F492" s="47" t="inlineStr">
        <is>
          <t>Super Carlin Brothers</t>
        </is>
      </c>
      <c r="G492" t="inlineStr">
        <is>
          <t>Why You NEED To See WICKED | MOVIE REVIEW</t>
        </is>
      </c>
      <c r="H492" s="41" t="n">
        <v>0.03671296296296296</v>
      </c>
      <c r="I492" s="42" t="n">
        <v>102210</v>
      </c>
      <c r="J492" s="42" t="n">
        <v>4225</v>
      </c>
      <c r="K492" s="42" t="n">
        <v>854</v>
      </c>
      <c r="L492" s="43" t="n"/>
      <c r="M492" s="44" t="n"/>
      <c r="N492" s="44" t="inlineStr">
        <is>
          <t>UCKZo4N0lVPccBkSiuyVh4yg</t>
        </is>
      </c>
      <c r="O492" s="45" t="n">
        <v>45619.625</v>
      </c>
      <c r="P492" s="46" t="n">
        <v>45619</v>
      </c>
      <c r="Q492" s="44" t="n">
        <v>2780</v>
      </c>
      <c r="R492" s="44" t="inlineStr">
        <is>
          <t>No Video ID yet</t>
        </is>
      </c>
      <c r="S492" s="46" t="n"/>
      <c r="T492" s="46" t="n"/>
      <c r="U492" s="44" t="n"/>
      <c r="V492" s="44">
        <f>IF(AND(P492&gt;=Calendar!$K$2,P492&lt;EDATE(Calendar!$K$2,1),OR(Calendar!$K$4="*",N492=Calendar!$K$4)),P492*100+COUNTIFS($P$6:$P$3271,P492,$Q$6:$Q$3271,"&lt;="&amp;Q492,$N$6:$N$3271,Calendar!$K$4),"")</f>
        <v/>
      </c>
      <c r="W492" s="44">
        <f>IF(AND(B492=Queue!$C$4,OR(Queue!$K$4="*",N492=Queue!$K$4)),Q492,"")</f>
        <v/>
      </c>
    </row>
    <row r="493">
      <c r="A493" s="35">
        <f>IF(M493="","",HYPERLINK("https://www.youtube.com/watch?v="&amp;M493,"▶"))</f>
        <v/>
      </c>
      <c r="B493" s="36">
        <f>IF(C493&lt;&gt;"",C493,IF(P493&lt;=IFERROR(INDEX(tblChannels[Watched Through],MATCH(N493,tblChannels[Channel ID],0)),0),"Watched","Unwatched"))</f>
        <v/>
      </c>
      <c r="C493" s="37" t="n"/>
      <c r="D493" s="38" t="n"/>
      <c r="E493" s="39" t="n">
        <v>45619.23125</v>
      </c>
      <c r="F493" s="49" t="inlineStr">
        <is>
          <t>Super Carlin Gaming</t>
        </is>
      </c>
      <c r="G493" t="inlineStr">
        <is>
          <t>Pokemon Box Breakers SEASON 13 Episode 1 - 11/22/2024</t>
        </is>
      </c>
      <c r="H493" s="41" t="n">
        <v>0.1271990740740741</v>
      </c>
      <c r="I493" s="42" t="n">
        <v>1330</v>
      </c>
      <c r="J493" s="42" t="n">
        <v>45</v>
      </c>
      <c r="K493" s="42" t="n">
        <v>7</v>
      </c>
      <c r="L493" s="43" t="n"/>
      <c r="M493" s="44" t="n"/>
      <c r="N493" s="44" t="inlineStr">
        <is>
          <t>UCor_9jRnNNZVzTuQ92PKsaQ</t>
        </is>
      </c>
      <c r="O493" s="45" t="n">
        <v>45619.43958333333</v>
      </c>
      <c r="P493" s="46" t="n">
        <v>45619</v>
      </c>
      <c r="Q493" s="44" t="n">
        <v>2779</v>
      </c>
      <c r="R493" s="44" t="inlineStr">
        <is>
          <t>No Video ID yet</t>
        </is>
      </c>
      <c r="S493" s="46" t="n"/>
      <c r="T493" s="46" t="n"/>
      <c r="U493" s="44" t="n"/>
      <c r="V493" s="44">
        <f>IF(AND(P493&gt;=Calendar!$K$2,P493&lt;EDATE(Calendar!$K$2,1),OR(Calendar!$K$4="*",N493=Calendar!$K$4)),P493*100+COUNTIFS($P$6:$P$3271,P493,$Q$6:$Q$3271,"&lt;="&amp;Q493,$N$6:$N$3271,Calendar!$K$4),"")</f>
        <v/>
      </c>
      <c r="W493" s="44">
        <f>IF(AND(B493=Queue!$C$4,OR(Queue!$K$4="*",N493=Queue!$K$4)),Q493,"")</f>
        <v/>
      </c>
    </row>
    <row r="494">
      <c r="A494" s="35">
        <f>IF(M494="","",HYPERLINK("https://www.youtube.com/watch?v="&amp;M494,"▶"))</f>
        <v/>
      </c>
      <c r="B494" s="36">
        <f>IF(C494&lt;&gt;"",C494,IF(P494&lt;=IFERROR(INDEX(tblChannels[Watched Through],MATCH(N494,tblChannels[Channel ID],0)),0),"Watched","Unwatched"))</f>
        <v/>
      </c>
      <c r="C494" s="37" t="n"/>
      <c r="D494" s="38" t="n"/>
      <c r="E494" s="39" t="n">
        <v>45618.72361111111</v>
      </c>
      <c r="F494" s="47" t="inlineStr">
        <is>
          <t>Super Carlin Brothers</t>
        </is>
      </c>
      <c r="G494" t="inlineStr">
        <is>
          <t>Did Moana DIE?!| Disney Film Theory</t>
        </is>
      </c>
      <c r="H494" s="41" t="n">
        <v>0.01165509259259259</v>
      </c>
      <c r="I494" s="42" t="n">
        <v>52060</v>
      </c>
      <c r="J494" s="42" t="n">
        <v>2741</v>
      </c>
      <c r="K494" s="42" t="n">
        <v>265</v>
      </c>
      <c r="L494" s="43" t="n"/>
      <c r="M494" s="44" t="n"/>
      <c r="N494" s="44" t="inlineStr">
        <is>
          <t>UCKZo4N0lVPccBkSiuyVh4yg</t>
        </is>
      </c>
      <c r="O494" s="45" t="n">
        <v>45618.93194444444</v>
      </c>
      <c r="P494" s="46" t="n">
        <v>45618</v>
      </c>
      <c r="Q494" s="44" t="n">
        <v>2778</v>
      </c>
      <c r="R494" s="44" t="inlineStr">
        <is>
          <t>No Video ID yet</t>
        </is>
      </c>
      <c r="S494" s="46" t="n"/>
      <c r="T494" s="46" t="n"/>
      <c r="U494" s="44" t="n"/>
      <c r="V494" s="44">
        <f>IF(AND(P494&gt;=Calendar!$K$2,P494&lt;EDATE(Calendar!$K$2,1),OR(Calendar!$K$4="*",N494=Calendar!$K$4)),P494*100+COUNTIFS($P$6:$P$3271,P494,$Q$6:$Q$3271,"&lt;="&amp;Q494,$N$6:$N$3271,Calendar!$K$4),"")</f>
        <v/>
      </c>
      <c r="W494" s="44">
        <f>IF(AND(B494=Queue!$C$4,OR(Queue!$K$4="*",N494=Queue!$K$4)),Q494,"")</f>
        <v/>
      </c>
    </row>
    <row r="495">
      <c r="A495" s="35">
        <f>IF(M495="","",HYPERLINK("https://www.youtube.com/watch?v="&amp;M495,"▶"))</f>
        <v/>
      </c>
      <c r="B495" s="36">
        <f>IF(C495&lt;&gt;"",C495,IF(P495&lt;=IFERROR(INDEX(tblChannels[Watched Through],MATCH(N495,tblChannels[Channel ID],0)),0),"Watched","Unwatched"))</f>
        <v/>
      </c>
      <c r="C495" s="37" t="n"/>
      <c r="D495" s="38" t="n"/>
      <c r="E495" s="39" t="n">
        <v>45618.41666666666</v>
      </c>
      <c r="F495" s="40" t="inlineStr">
        <is>
          <t>Popcorn Culture</t>
        </is>
      </c>
      <c r="G495" t="inlineStr">
        <is>
          <t>Charles Entertainment Cheese | Popcorn Culture</t>
        </is>
      </c>
      <c r="H495" s="41" t="n">
        <v>0.05497685185185185</v>
      </c>
      <c r="I495" s="42" t="n">
        <v>3670</v>
      </c>
      <c r="J495" s="42" t="n">
        <v>187</v>
      </c>
      <c r="K495" s="42" t="n">
        <v>21</v>
      </c>
      <c r="L495" s="43" t="n"/>
      <c r="M495" s="44" t="n"/>
      <c r="N495" s="44" t="inlineStr">
        <is>
          <t>UCHfIbq9thHPC8yrKjAdJgDA</t>
        </is>
      </c>
      <c r="O495" s="45" t="n">
        <v>45618.625</v>
      </c>
      <c r="P495" s="46" t="n">
        <v>45618</v>
      </c>
      <c r="Q495" s="44" t="n">
        <v>2777</v>
      </c>
      <c r="R495" s="44" t="inlineStr">
        <is>
          <t>No Video ID yet</t>
        </is>
      </c>
      <c r="S495" s="46" t="n"/>
      <c r="T495" s="46" t="n"/>
      <c r="U495" s="44" t="n"/>
      <c r="V495" s="44">
        <f>IF(AND(P495&gt;=Calendar!$K$2,P495&lt;EDATE(Calendar!$K$2,1),OR(Calendar!$K$4="*",N495=Calendar!$K$4)),P495*100+COUNTIFS($P$6:$P$3271,P495,$Q$6:$Q$3271,"&lt;="&amp;Q495,$N$6:$N$3271,Calendar!$K$4),"")</f>
        <v/>
      </c>
      <c r="W495" s="44">
        <f>IF(AND(B495=Queue!$C$4,OR(Queue!$K$4="*",N495=Queue!$K$4)),Q495,"")</f>
        <v/>
      </c>
    </row>
    <row r="496">
      <c r="A496" s="35">
        <f>IF(M496="","",HYPERLINK("https://www.youtube.com/watch?v="&amp;M496,"▶"))</f>
        <v/>
      </c>
      <c r="B496" s="36">
        <f>IF(C496&lt;&gt;"",C496,IF(P496&lt;=IFERROR(INDEX(tblChannels[Watched Through],MATCH(N496,tblChannels[Channel ID],0)),0),"Watched","Unwatched"))</f>
        <v/>
      </c>
      <c r="C496" s="37" t="n"/>
      <c r="D496" s="38" t="n"/>
      <c r="E496" s="39" t="n">
        <v>45617.70833333334</v>
      </c>
      <c r="F496" s="48" t="inlineStr">
        <is>
          <t>Through The Griffin Door</t>
        </is>
      </c>
      <c r="G496" t="inlineStr">
        <is>
          <t>Live in San Diego - Chapter 1: The Riddle House | Goblet of Fire</t>
        </is>
      </c>
      <c r="H496" s="41" t="n">
        <v>0.04664351851851852</v>
      </c>
      <c r="I496" s="42" t="n">
        <v>13373</v>
      </c>
      <c r="J496" s="42" t="n">
        <v>564</v>
      </c>
      <c r="K496" s="42" t="n">
        <v>111</v>
      </c>
      <c r="L496" s="43" t="n"/>
      <c r="M496" s="44" t="n"/>
      <c r="N496" s="44" t="inlineStr">
        <is>
          <t>UCEscP6ETYXWSSvsNrDHekMQ</t>
        </is>
      </c>
      <c r="O496" s="45" t="n">
        <v>45617.91666666666</v>
      </c>
      <c r="P496" s="46" t="n">
        <v>45617</v>
      </c>
      <c r="Q496" s="44" t="n">
        <v>2776</v>
      </c>
      <c r="R496" s="44" t="inlineStr">
        <is>
          <t>No Video ID yet</t>
        </is>
      </c>
      <c r="S496" s="46" t="n"/>
      <c r="T496" s="46" t="n"/>
      <c r="U496" s="44" t="n"/>
      <c r="V496" s="44">
        <f>IF(AND(P496&gt;=Calendar!$K$2,P496&lt;EDATE(Calendar!$K$2,1),OR(Calendar!$K$4="*",N496=Calendar!$K$4)),P496*100+COUNTIFS($P$6:$P$3271,P496,$Q$6:$Q$3271,"&lt;="&amp;Q496,$N$6:$N$3271,Calendar!$K$4),"")</f>
        <v/>
      </c>
      <c r="W496" s="44">
        <f>IF(AND(B496=Queue!$C$4,OR(Queue!$K$4="*",N496=Queue!$K$4)),Q496,"")</f>
        <v/>
      </c>
    </row>
    <row r="497">
      <c r="A497" s="35">
        <f>IF(M497="","",HYPERLINK("https://www.youtube.com/watch?v="&amp;M497,"▶"))</f>
        <v/>
      </c>
      <c r="B497" s="36">
        <f>IF(C497&lt;&gt;"",C497,IF(P497&lt;=IFERROR(INDEX(tblChannels[Watched Through],MATCH(N497,tblChannels[Channel ID],0)),0),"Watched","Unwatched"))</f>
        <v/>
      </c>
      <c r="C497" s="37" t="n"/>
      <c r="D497" s="38" t="n"/>
      <c r="E497" s="39" t="n">
        <v>45616.74652777778</v>
      </c>
      <c r="F497" s="47" t="inlineStr">
        <is>
          <t>Super Carlin Brothers</t>
        </is>
      </c>
      <c r="G497" t="inlineStr">
        <is>
          <t>J vs Ben: EXPERT MODE Prisoner of Azkaban Harry Potter Trivia Battle</t>
        </is>
      </c>
      <c r="H497" s="41" t="n">
        <v>0.03114583333333333</v>
      </c>
      <c r="I497" s="42" t="n">
        <v>124720</v>
      </c>
      <c r="J497" s="42" t="n">
        <v>4479</v>
      </c>
      <c r="K497" s="42" t="n">
        <v>610</v>
      </c>
      <c r="L497" s="43" t="n"/>
      <c r="M497" s="44" t="n"/>
      <c r="N497" s="44" t="inlineStr">
        <is>
          <t>UCKZo4N0lVPccBkSiuyVh4yg</t>
        </is>
      </c>
      <c r="O497" s="45" t="n">
        <v>45616.95486111111</v>
      </c>
      <c r="P497" s="46" t="n">
        <v>45616</v>
      </c>
      <c r="Q497" s="44" t="n">
        <v>2775</v>
      </c>
      <c r="R497" s="44" t="inlineStr">
        <is>
          <t>No Video ID yet</t>
        </is>
      </c>
      <c r="S497" s="46" t="n"/>
      <c r="T497" s="46" t="n"/>
      <c r="U497" s="44" t="n"/>
      <c r="V497" s="44">
        <f>IF(AND(P497&gt;=Calendar!$K$2,P497&lt;EDATE(Calendar!$K$2,1),OR(Calendar!$K$4="*",N497=Calendar!$K$4)),P497*100+COUNTIFS($P$6:$P$3271,P497,$Q$6:$Q$3271,"&lt;="&amp;Q497,$N$6:$N$3271,Calendar!$K$4),"")</f>
        <v/>
      </c>
      <c r="W497" s="44">
        <f>IF(AND(B497=Queue!$C$4,OR(Queue!$K$4="*",N497=Queue!$K$4)),Q497,"")</f>
        <v/>
      </c>
    </row>
    <row r="498">
      <c r="A498" s="35">
        <f>IF(M498="","",HYPERLINK("https://www.youtube.com/watch?v="&amp;M498,"▶"))</f>
        <v/>
      </c>
      <c r="B498" s="36">
        <f>IF(C498&lt;&gt;"",C498,IF(P498&lt;=IFERROR(INDEX(tblChannels[Watched Through],MATCH(N498,tblChannels[Channel ID],0)),0),"Watched","Unwatched"))</f>
        <v/>
      </c>
      <c r="C498" s="37" t="n"/>
      <c r="D498" s="38" t="n"/>
      <c r="E498" s="39" t="n">
        <v>45613.41666666666</v>
      </c>
      <c r="F498" s="48" t="inlineStr">
        <is>
          <t>Through The Griffin Door</t>
        </is>
      </c>
      <c r="G498" t="inlineStr">
        <is>
          <t>Chapter 1: The Riddle House | Goblet of Fire</t>
        </is>
      </c>
      <c r="H498" s="41" t="n">
        <v>0.06591435185185185</v>
      </c>
      <c r="I498" s="42" t="n">
        <v>80868</v>
      </c>
      <c r="J498" s="42" t="n">
        <v>2240</v>
      </c>
      <c r="K498" s="42" t="n">
        <v>739</v>
      </c>
      <c r="L498" s="43" t="n"/>
      <c r="M498" s="44" t="n"/>
      <c r="N498" s="44" t="inlineStr">
        <is>
          <t>UCEscP6ETYXWSSvsNrDHekMQ</t>
        </is>
      </c>
      <c r="O498" s="45" t="n">
        <v>45613.625</v>
      </c>
      <c r="P498" s="46" t="n">
        <v>45613</v>
      </c>
      <c r="Q498" s="44" t="n">
        <v>2774</v>
      </c>
      <c r="R498" s="44" t="inlineStr">
        <is>
          <t>No Video ID yet</t>
        </is>
      </c>
      <c r="S498" s="46" t="n"/>
      <c r="T498" s="46" t="n"/>
      <c r="U498" s="44" t="n"/>
      <c r="V498" s="44">
        <f>IF(AND(P498&gt;=Calendar!$K$2,P498&lt;EDATE(Calendar!$K$2,1),OR(Calendar!$K$4="*",N498=Calendar!$K$4)),P498*100+COUNTIFS($P$6:$P$3271,P498,$Q$6:$Q$3271,"&lt;="&amp;Q498,$N$6:$N$3271,Calendar!$K$4),"")</f>
        <v/>
      </c>
      <c r="W498" s="44">
        <f>IF(AND(B498=Queue!$C$4,OR(Queue!$K$4="*",N498=Queue!$K$4)),Q498,"")</f>
        <v/>
      </c>
    </row>
    <row r="499">
      <c r="A499" s="35">
        <f>IF(M499="","",HYPERLINK("https://www.youtube.com/watch?v="&amp;M499,"▶"))</f>
        <v/>
      </c>
      <c r="B499" s="36">
        <f>IF(C499&lt;&gt;"",C499,IF(P499&lt;=IFERROR(INDEX(tblChannels[Watched Through],MATCH(N499,tblChannels[Channel ID],0)),0),"Watched","Unwatched"))</f>
        <v/>
      </c>
      <c r="C499" s="37" t="n"/>
      <c r="D499" s="38" t="n"/>
      <c r="E499" s="39" t="n">
        <v>45611.62569444445</v>
      </c>
      <c r="F499" s="47" t="inlineStr">
        <is>
          <t>Super Carlin Brothers</t>
        </is>
      </c>
      <c r="G499" t="inlineStr">
        <is>
          <t>The SECRET To Creating Harry Potter Characters | Harry Potter Film Theory</t>
        </is>
      </c>
      <c r="H499" s="41" t="n">
        <v>0.01024305555555556</v>
      </c>
      <c r="I499" s="42" t="n">
        <v>57761</v>
      </c>
      <c r="J499" s="42" t="n">
        <v>2886</v>
      </c>
      <c r="K499" s="42" t="n">
        <v>225</v>
      </c>
      <c r="L499" s="43" t="n"/>
      <c r="M499" s="44" t="n"/>
      <c r="N499" s="44" t="inlineStr">
        <is>
          <t>UCKZo4N0lVPccBkSiuyVh4yg</t>
        </is>
      </c>
      <c r="O499" s="45" t="n">
        <v>45611.83402777778</v>
      </c>
      <c r="P499" s="46" t="n">
        <v>45611</v>
      </c>
      <c r="Q499" s="44" t="n">
        <v>2773</v>
      </c>
      <c r="R499" s="44" t="inlineStr">
        <is>
          <t>No Video ID yet</t>
        </is>
      </c>
      <c r="S499" s="46" t="n"/>
      <c r="T499" s="46" t="n"/>
      <c r="U499" s="44" t="n"/>
      <c r="V499" s="44">
        <f>IF(AND(P499&gt;=Calendar!$K$2,P499&lt;EDATE(Calendar!$K$2,1),OR(Calendar!$K$4="*",N499=Calendar!$K$4)),P499*100+COUNTIFS($P$6:$P$3271,P499,$Q$6:$Q$3271,"&lt;="&amp;Q499,$N$6:$N$3271,Calendar!$K$4),"")</f>
        <v/>
      </c>
      <c r="W499" s="44">
        <f>IF(AND(B499=Queue!$C$4,OR(Queue!$K$4="*",N499=Queue!$K$4)),Q499,"")</f>
        <v/>
      </c>
    </row>
    <row r="500">
      <c r="A500" s="35">
        <f>IF(M500="","",HYPERLINK("https://www.youtube.com/watch?v="&amp;M500,"▶"))</f>
        <v/>
      </c>
      <c r="B500" s="36">
        <f>IF(C500&lt;&gt;"",C500,IF(P500&lt;=IFERROR(INDEX(tblChannels[Watched Through],MATCH(N500,tblChannels[Channel ID],0)),0),"Watched","Unwatched"))</f>
        <v/>
      </c>
      <c r="C500" s="37" t="n"/>
      <c r="D500" s="38" t="n"/>
      <c r="E500" s="39" t="n">
        <v>45611.41666666666</v>
      </c>
      <c r="F500" s="40" t="inlineStr">
        <is>
          <t>Popcorn Culture</t>
        </is>
      </c>
      <c r="G500" t="inlineStr">
        <is>
          <t>The Way in Which You Hobby | Popcorn Culture</t>
        </is>
      </c>
      <c r="H500" s="41" t="n">
        <v>0.04256944444444444</v>
      </c>
      <c r="I500" s="42" t="n">
        <v>3723</v>
      </c>
      <c r="J500" s="42" t="n">
        <v>189</v>
      </c>
      <c r="K500" s="42" t="n">
        <v>20</v>
      </c>
      <c r="L500" s="43" t="n"/>
      <c r="M500" s="44" t="n"/>
      <c r="N500" s="44" t="inlineStr">
        <is>
          <t>UCHfIbq9thHPC8yrKjAdJgDA</t>
        </is>
      </c>
      <c r="O500" s="45" t="n">
        <v>45611.625</v>
      </c>
      <c r="P500" s="46" t="n">
        <v>45611</v>
      </c>
      <c r="Q500" s="44" t="n">
        <v>2772</v>
      </c>
      <c r="R500" s="44" t="inlineStr">
        <is>
          <t>No Video ID yet</t>
        </is>
      </c>
      <c r="S500" s="46" t="n"/>
      <c r="T500" s="46" t="n"/>
      <c r="U500" s="44" t="n"/>
      <c r="V500" s="44">
        <f>IF(AND(P500&gt;=Calendar!$K$2,P500&lt;EDATE(Calendar!$K$2,1),OR(Calendar!$K$4="*",N500=Calendar!$K$4)),P500*100+COUNTIFS($P$6:$P$3271,P500,$Q$6:$Q$3271,"&lt;="&amp;Q500,$N$6:$N$3271,Calendar!$K$4),"")</f>
        <v/>
      </c>
      <c r="W500" s="44">
        <f>IF(AND(B500=Queue!$C$4,OR(Queue!$K$4="*",N500=Queue!$K$4)),Q500,"")</f>
        <v/>
      </c>
    </row>
    <row r="501">
      <c r="A501" s="35">
        <f>IF(M501="","",HYPERLINK("https://www.youtube.com/watch?v="&amp;M501,"▶"))</f>
        <v/>
      </c>
      <c r="B501" s="36">
        <f>IF(C501&lt;&gt;"",C501,IF(P501&lt;=IFERROR(INDEX(tblChannels[Watched Through],MATCH(N501,tblChannels[Channel ID],0)),0),"Watched","Unwatched"))</f>
        <v/>
      </c>
      <c r="C501" s="37" t="n"/>
      <c r="D501" s="38" t="n"/>
      <c r="E501" s="39" t="n">
        <v>45609.67361111111</v>
      </c>
      <c r="F501" s="47" t="inlineStr">
        <is>
          <t>Super Carlin Brothers</t>
        </is>
      </c>
      <c r="G501" t="inlineStr">
        <is>
          <t>A SCATHING REVIEW of Hagrid | Harry Potter Film Theory</t>
        </is>
      </c>
      <c r="H501" s="41" t="n">
        <v>0.0105787037037037</v>
      </c>
      <c r="I501" s="42" t="n">
        <v>107633</v>
      </c>
      <c r="J501" s="42" t="n">
        <v>4963</v>
      </c>
      <c r="K501" s="42" t="n">
        <v>727</v>
      </c>
      <c r="L501" s="43" t="n"/>
      <c r="M501" s="44" t="n"/>
      <c r="N501" s="44" t="inlineStr">
        <is>
          <t>UCKZo4N0lVPccBkSiuyVh4yg</t>
        </is>
      </c>
      <c r="O501" s="45" t="n">
        <v>45609.88194444445</v>
      </c>
      <c r="P501" s="46" t="n">
        <v>45609</v>
      </c>
      <c r="Q501" s="44" t="n">
        <v>2771</v>
      </c>
      <c r="R501" s="44" t="inlineStr">
        <is>
          <t>No Video ID yet</t>
        </is>
      </c>
      <c r="S501" s="46" t="n"/>
      <c r="T501" s="46" t="n"/>
      <c r="U501" s="44" t="n"/>
      <c r="V501" s="44">
        <f>IF(AND(P501&gt;=Calendar!$K$2,P501&lt;EDATE(Calendar!$K$2,1),OR(Calendar!$K$4="*",N501=Calendar!$K$4)),P501*100+COUNTIFS($P$6:$P$3271,P501,$Q$6:$Q$3271,"&lt;="&amp;Q501,$N$6:$N$3271,Calendar!$K$4),"")</f>
        <v/>
      </c>
      <c r="W501" s="44">
        <f>IF(AND(B501=Queue!$C$4,OR(Queue!$K$4="*",N501=Queue!$K$4)),Q501,"")</f>
        <v/>
      </c>
    </row>
    <row r="502">
      <c r="A502" s="35">
        <f>IF(M502="","",HYPERLINK("https://www.youtube.com/watch?v="&amp;M502,"▶"))</f>
        <v/>
      </c>
      <c r="B502" s="36">
        <f>IF(C502&lt;&gt;"",C502,IF(P502&lt;=IFERROR(INDEX(tblChannels[Watched Through],MATCH(N502,tblChannels[Channel ID],0)),0),"Watched","Unwatched"))</f>
        <v/>
      </c>
      <c r="C502" s="37" t="n"/>
      <c r="D502" s="38" t="n"/>
      <c r="E502" s="39" t="n">
        <v>45606.41666666666</v>
      </c>
      <c r="F502" s="48" t="inlineStr">
        <is>
          <t>Through The Griffin Door</t>
        </is>
      </c>
      <c r="G502" t="inlineStr">
        <is>
          <t>Dumbeldore’s Big Plan: Prisoner of Azkaban Edition</t>
        </is>
      </c>
      <c r="H502" s="41" t="n">
        <v>0.04856481481481482</v>
      </c>
      <c r="I502" s="42" t="n">
        <v>44804</v>
      </c>
      <c r="J502" s="42" t="n">
        <v>1361</v>
      </c>
      <c r="K502" s="42" t="n">
        <v>305</v>
      </c>
      <c r="L502" s="43" t="n"/>
      <c r="M502" s="44" t="n"/>
      <c r="N502" s="44" t="inlineStr">
        <is>
          <t>UCEscP6ETYXWSSvsNrDHekMQ</t>
        </is>
      </c>
      <c r="O502" s="45" t="n">
        <v>45606.625</v>
      </c>
      <c r="P502" s="46" t="n">
        <v>45606</v>
      </c>
      <c r="Q502" s="44" t="n">
        <v>2770</v>
      </c>
      <c r="R502" s="44" t="inlineStr">
        <is>
          <t>No Video ID yet</t>
        </is>
      </c>
      <c r="S502" s="46" t="n"/>
      <c r="T502" s="46" t="n"/>
      <c r="U502" s="44" t="n"/>
      <c r="V502" s="44">
        <f>IF(AND(P502&gt;=Calendar!$K$2,P502&lt;EDATE(Calendar!$K$2,1),OR(Calendar!$K$4="*",N502=Calendar!$K$4)),P502*100+COUNTIFS($P$6:$P$3271,P502,$Q$6:$Q$3271,"&lt;="&amp;Q502,$N$6:$N$3271,Calendar!$K$4),"")</f>
        <v/>
      </c>
      <c r="W502" s="44">
        <f>IF(AND(B502=Queue!$C$4,OR(Queue!$K$4="*",N502=Queue!$K$4)),Q502,"")</f>
        <v/>
      </c>
    </row>
    <row r="503">
      <c r="A503" s="35">
        <f>IF(M503="","",HYPERLINK("https://www.youtube.com/watch?v="&amp;M503,"▶"))</f>
        <v/>
      </c>
      <c r="B503" s="36">
        <f>IF(C503&lt;&gt;"",C503,IF(P503&lt;=IFERROR(INDEX(tblChannels[Watched Through],MATCH(N503,tblChannels[Channel ID],0)),0),"Watched","Unwatched"))</f>
        <v/>
      </c>
      <c r="C503" s="37" t="n"/>
      <c r="D503" s="38" t="n"/>
      <c r="E503" s="39" t="n">
        <v>45605.41666666666</v>
      </c>
      <c r="F503" s="47" t="inlineStr">
        <is>
          <t>Super Carlin Brothers</t>
        </is>
      </c>
      <c r="G503" t="inlineStr">
        <is>
          <t>Through the Griffin Door Supercut: Prisoner of Azkaban Chapters 20-22</t>
        </is>
      </c>
      <c r="H503" s="41" t="n">
        <v>0.208587962962963</v>
      </c>
      <c r="I503" s="42" t="n">
        <v>23416</v>
      </c>
      <c r="J503" s="42" t="n">
        <v>362</v>
      </c>
      <c r="K503" s="42" t="n">
        <v>93</v>
      </c>
      <c r="L503" s="43" t="n"/>
      <c r="M503" s="44" t="n"/>
      <c r="N503" s="44" t="inlineStr">
        <is>
          <t>UCKZo4N0lVPccBkSiuyVh4yg</t>
        </is>
      </c>
      <c r="O503" s="45" t="n">
        <v>45605.625</v>
      </c>
      <c r="P503" s="46" t="n">
        <v>45605</v>
      </c>
      <c r="Q503" s="44" t="n">
        <v>2769</v>
      </c>
      <c r="R503" s="44" t="inlineStr">
        <is>
          <t>No Video ID yet</t>
        </is>
      </c>
      <c r="S503" s="46" t="n"/>
      <c r="T503" s="46" t="n"/>
      <c r="U503" s="44" t="n"/>
      <c r="V503" s="44">
        <f>IF(AND(P503&gt;=Calendar!$K$2,P503&lt;EDATE(Calendar!$K$2,1),OR(Calendar!$K$4="*",N503=Calendar!$K$4)),P503*100+COUNTIFS($P$6:$P$3271,P503,$Q$6:$Q$3271,"&lt;="&amp;Q503,$N$6:$N$3271,Calendar!$K$4),"")</f>
        <v/>
      </c>
      <c r="W503" s="44">
        <f>IF(AND(B503=Queue!$C$4,OR(Queue!$K$4="*",N503=Queue!$K$4)),Q503,"")</f>
        <v/>
      </c>
    </row>
    <row r="504">
      <c r="A504" s="35">
        <f>IF(M504="","",HYPERLINK("https://www.youtube.com/watch?v="&amp;M504,"▶"))</f>
        <v/>
      </c>
      <c r="B504" s="36">
        <f>IF(C504&lt;&gt;"",C504,IF(P504&lt;=IFERROR(INDEX(tblChannels[Watched Through],MATCH(N504,tblChannels[Channel ID],0)),0),"Watched","Unwatched"))</f>
        <v/>
      </c>
      <c r="C504" s="37" t="n"/>
      <c r="D504" s="38" t="n"/>
      <c r="E504" s="39" t="n">
        <v>45604.85069444445</v>
      </c>
      <c r="F504" s="47" t="inlineStr">
        <is>
          <t>Super Carlin Brothers</t>
        </is>
      </c>
      <c r="G504" t="inlineStr">
        <is>
          <t>HARRY POTTER TRIVIA NIGHT! - Nov. 8, 2024</t>
        </is>
      </c>
      <c r="H504" s="41" t="n">
        <v>0.08980324074074074</v>
      </c>
      <c r="I504" s="42" t="n">
        <v>34387</v>
      </c>
      <c r="J504" s="42" t="n">
        <v>1051</v>
      </c>
      <c r="K504" s="42" t="n">
        <v>60</v>
      </c>
      <c r="L504" s="43" t="n"/>
      <c r="M504" s="44" t="n"/>
      <c r="N504" s="44" t="inlineStr">
        <is>
          <t>UCKZo4N0lVPccBkSiuyVh4yg</t>
        </is>
      </c>
      <c r="O504" s="45" t="n">
        <v>45605.05902777778</v>
      </c>
      <c r="P504" s="46" t="n">
        <v>45604</v>
      </c>
      <c r="Q504" s="44" t="n">
        <v>2768</v>
      </c>
      <c r="R504" s="44" t="inlineStr">
        <is>
          <t>No Video ID yet</t>
        </is>
      </c>
      <c r="S504" s="46" t="n"/>
      <c r="T504" s="46" t="n"/>
      <c r="U504" s="44" t="n"/>
      <c r="V504" s="44">
        <f>IF(AND(P504&gt;=Calendar!$K$2,P504&lt;EDATE(Calendar!$K$2,1),OR(Calendar!$K$4="*",N504=Calendar!$K$4)),P504*100+COUNTIFS($P$6:$P$3271,P504,$Q$6:$Q$3271,"&lt;="&amp;Q504,$N$6:$N$3271,Calendar!$K$4),"")</f>
        <v/>
      </c>
      <c r="W504" s="44">
        <f>IF(AND(B504=Queue!$C$4,OR(Queue!$K$4="*",N504=Queue!$K$4)),Q504,"")</f>
        <v/>
      </c>
    </row>
    <row r="505">
      <c r="A505" s="35">
        <f>IF(M505="","",HYPERLINK("https://www.youtube.com/watch?v="&amp;M505,"▶"))</f>
        <v/>
      </c>
      <c r="B505" s="36">
        <f>IF(C505&lt;&gt;"",C505,IF(P505&lt;=IFERROR(INDEX(tblChannels[Watched Through],MATCH(N505,tblChannels[Channel ID],0)),0),"Watched","Unwatched"))</f>
        <v/>
      </c>
      <c r="C505" s="37" t="n"/>
      <c r="D505" s="38" t="n"/>
      <c r="E505" s="39" t="n">
        <v>45604.72708333333</v>
      </c>
      <c r="F505" s="47" t="inlineStr">
        <is>
          <t>Super Carlin Brothers</t>
        </is>
      </c>
      <c r="G505" t="inlineStr">
        <is>
          <t>The Slytherin PARADOX Explained | Harry Potter Film Theory</t>
        </is>
      </c>
      <c r="H505" s="41" t="n">
        <v>0.01217592592592593</v>
      </c>
      <c r="I505" s="42" t="n">
        <v>440168</v>
      </c>
      <c r="J505" s="42" t="n">
        <v>14334</v>
      </c>
      <c r="K505" s="42" t="n">
        <v>2108</v>
      </c>
      <c r="L505" s="43" t="n"/>
      <c r="M505" s="44" t="n"/>
      <c r="N505" s="44" t="inlineStr">
        <is>
          <t>UCKZo4N0lVPccBkSiuyVh4yg</t>
        </is>
      </c>
      <c r="O505" s="45" t="n">
        <v>45604.93541666667</v>
      </c>
      <c r="P505" s="46" t="n">
        <v>45604</v>
      </c>
      <c r="Q505" s="44" t="n">
        <v>2767</v>
      </c>
      <c r="R505" s="44" t="inlineStr">
        <is>
          <t>No Video ID yet</t>
        </is>
      </c>
      <c r="S505" s="46" t="n"/>
      <c r="T505" s="46" t="n"/>
      <c r="U505" s="44" t="n"/>
      <c r="V505" s="44">
        <f>IF(AND(P505&gt;=Calendar!$K$2,P505&lt;EDATE(Calendar!$K$2,1),OR(Calendar!$K$4="*",N505=Calendar!$K$4)),P505*100+COUNTIFS($P$6:$P$3271,P505,$Q$6:$Q$3271,"&lt;="&amp;Q505,$N$6:$N$3271,Calendar!$K$4),"")</f>
        <v/>
      </c>
      <c r="W505" s="44">
        <f>IF(AND(B505=Queue!$C$4,OR(Queue!$K$4="*",N505=Queue!$K$4)),Q505,"")</f>
        <v/>
      </c>
    </row>
    <row r="506">
      <c r="A506" s="35">
        <f>IF(M506="","",HYPERLINK("https://www.youtube.com/watch?v="&amp;M506,"▶"))</f>
        <v/>
      </c>
      <c r="B506" s="36">
        <f>IF(C506&lt;&gt;"",C506,IF(P506&lt;=IFERROR(INDEX(tblChannels[Watched Through],MATCH(N506,tblChannels[Channel ID],0)),0),"Watched","Unwatched"))</f>
        <v/>
      </c>
      <c r="C506" s="37" t="n"/>
      <c r="D506" s="38" t="n"/>
      <c r="E506" s="39" t="n">
        <v>45604.41666666666</v>
      </c>
      <c r="F506" s="40" t="inlineStr">
        <is>
          <t>Popcorn Culture</t>
        </is>
      </c>
      <c r="G506" t="inlineStr">
        <is>
          <t>The Banana King of Reddit | Popcorn Culture</t>
        </is>
      </c>
      <c r="H506" s="41" t="n">
        <v>0.05616898148148148</v>
      </c>
      <c r="I506" s="42" t="n">
        <v>3856</v>
      </c>
      <c r="J506" s="42" t="n">
        <v>172</v>
      </c>
      <c r="K506" s="42" t="n">
        <v>41</v>
      </c>
      <c r="L506" s="43" t="n"/>
      <c r="M506" s="44" t="n"/>
      <c r="N506" s="44" t="inlineStr">
        <is>
          <t>UCHfIbq9thHPC8yrKjAdJgDA</t>
        </is>
      </c>
      <c r="O506" s="45" t="n">
        <v>45604.625</v>
      </c>
      <c r="P506" s="46" t="n">
        <v>45604</v>
      </c>
      <c r="Q506" s="44" t="n">
        <v>2766</v>
      </c>
      <c r="R506" s="44" t="inlineStr">
        <is>
          <t>No Video ID yet</t>
        </is>
      </c>
      <c r="S506" s="46" t="n"/>
      <c r="T506" s="46" t="n"/>
      <c r="U506" s="44" t="n"/>
      <c r="V506" s="44">
        <f>IF(AND(P506&gt;=Calendar!$K$2,P506&lt;EDATE(Calendar!$K$2,1),OR(Calendar!$K$4="*",N506=Calendar!$K$4)),P506*100+COUNTIFS($P$6:$P$3271,P506,$Q$6:$Q$3271,"&lt;="&amp;Q506,$N$6:$N$3271,Calendar!$K$4),"")</f>
        <v/>
      </c>
      <c r="W506" s="44">
        <f>IF(AND(B506=Queue!$C$4,OR(Queue!$K$4="*",N506=Queue!$K$4)),Q506,"")</f>
        <v/>
      </c>
    </row>
    <row r="507">
      <c r="A507" s="35">
        <f>IF(M507="","",HYPERLINK("https://www.youtube.com/watch?v="&amp;M507,"▶"))</f>
        <v/>
      </c>
      <c r="B507" s="36">
        <f>IF(C507&lt;&gt;"",C507,IF(P507&lt;=IFERROR(INDEX(tblChannels[Watched Through],MATCH(N507,tblChannels[Channel ID],0)),0),"Watched","Unwatched"))</f>
        <v/>
      </c>
      <c r="C507" s="37" t="n"/>
      <c r="D507" s="38" t="n"/>
      <c r="E507" s="39" t="n">
        <v>45602.74097222222</v>
      </c>
      <c r="F507" s="47" t="inlineStr">
        <is>
          <t>Super Carlin Brothers</t>
        </is>
      </c>
      <c r="G507" t="inlineStr">
        <is>
          <t>J Vs Ben: HARDEST Ginny Weasley Harry Potter Trivia BATTLE</t>
        </is>
      </c>
      <c r="H507" s="41" t="n">
        <v>0.02853009259259259</v>
      </c>
      <c r="I507" s="42" t="n">
        <v>91714</v>
      </c>
      <c r="J507" s="42" t="n">
        <v>3815</v>
      </c>
      <c r="K507" s="42" t="n">
        <v>501</v>
      </c>
      <c r="L507" s="43" t="n"/>
      <c r="M507" s="44" t="n"/>
      <c r="N507" s="44" t="inlineStr">
        <is>
          <t>UCKZo4N0lVPccBkSiuyVh4yg</t>
        </is>
      </c>
      <c r="O507" s="45" t="n">
        <v>45602.94930555556</v>
      </c>
      <c r="P507" s="46" t="n">
        <v>45602</v>
      </c>
      <c r="Q507" s="44" t="n">
        <v>2765</v>
      </c>
      <c r="R507" s="44" t="inlineStr">
        <is>
          <t>No Video ID yet</t>
        </is>
      </c>
      <c r="S507" s="46" t="n"/>
      <c r="T507" s="46" t="n"/>
      <c r="U507" s="44" t="n"/>
      <c r="V507" s="44">
        <f>IF(AND(P507&gt;=Calendar!$K$2,P507&lt;EDATE(Calendar!$K$2,1),OR(Calendar!$K$4="*",N507=Calendar!$K$4)),P507*100+COUNTIFS($P$6:$P$3271,P507,$Q$6:$Q$3271,"&lt;="&amp;Q507,$N$6:$N$3271,Calendar!$K$4),"")</f>
        <v/>
      </c>
      <c r="W507" s="44">
        <f>IF(AND(B507=Queue!$C$4,OR(Queue!$K$4="*",N507=Queue!$K$4)),Q507,"")</f>
        <v/>
      </c>
    </row>
    <row r="508">
      <c r="A508" s="35">
        <f>IF(M508="","",HYPERLINK("https://www.youtube.com/watch?v="&amp;M508,"▶"))</f>
        <v/>
      </c>
      <c r="B508" s="36">
        <f>IF(C508&lt;&gt;"",C508,IF(P508&lt;=IFERROR(INDEX(tblChannels[Watched Through],MATCH(N508,tblChannels[Channel ID],0)),0),"Watched","Unwatched"))</f>
        <v/>
      </c>
      <c r="C508" s="37" t="n"/>
      <c r="D508" s="38" t="n"/>
      <c r="E508" s="39" t="n">
        <v>45599.41666666666</v>
      </c>
      <c r="F508" s="48" t="inlineStr">
        <is>
          <t>Through The Griffin Door</t>
        </is>
      </c>
      <c r="G508" t="inlineStr">
        <is>
          <t>Chapter 22: Owl Post Again | Prisoner of Azkaban</t>
        </is>
      </c>
      <c r="H508" s="41" t="n">
        <v>0.08111111111111111</v>
      </c>
      <c r="I508" s="42" t="n">
        <v>76753</v>
      </c>
      <c r="J508" s="42" t="n">
        <v>1999</v>
      </c>
      <c r="K508" s="42" t="n">
        <v>699</v>
      </c>
      <c r="L508" s="43" t="n"/>
      <c r="M508" s="44" t="n"/>
      <c r="N508" s="44" t="inlineStr">
        <is>
          <t>UCEscP6ETYXWSSvsNrDHekMQ</t>
        </is>
      </c>
      <c r="O508" s="45" t="n">
        <v>45599.625</v>
      </c>
      <c r="P508" s="46" t="n">
        <v>45599</v>
      </c>
      <c r="Q508" s="44" t="n">
        <v>2764</v>
      </c>
      <c r="R508" s="44" t="inlineStr">
        <is>
          <t>No Video ID yet</t>
        </is>
      </c>
      <c r="S508" s="46" t="n"/>
      <c r="T508" s="46" t="n"/>
      <c r="U508" s="44" t="n"/>
      <c r="V508" s="44">
        <f>IF(AND(P508&gt;=Calendar!$K$2,P508&lt;EDATE(Calendar!$K$2,1),OR(Calendar!$K$4="*",N508=Calendar!$K$4)),P508*100+COUNTIFS($P$6:$P$3271,P508,$Q$6:$Q$3271,"&lt;="&amp;Q508,$N$6:$N$3271,Calendar!$K$4),"")</f>
        <v/>
      </c>
      <c r="W508" s="44">
        <f>IF(AND(B508=Queue!$C$4,OR(Queue!$K$4="*",N508=Queue!$K$4)),Q508,"")</f>
        <v/>
      </c>
    </row>
    <row r="509">
      <c r="A509" s="35">
        <f>IF(M509="","",HYPERLINK("https://www.youtube.com/watch?v="&amp;M509,"▶"))</f>
        <v/>
      </c>
      <c r="B509" s="36">
        <f>IF(C509&lt;&gt;"",C509,IF(P509&lt;=IFERROR(INDEX(tblChannels[Watched Through],MATCH(N509,tblChannels[Channel ID],0)),0),"Watched","Unwatched"))</f>
        <v/>
      </c>
      <c r="C509" s="37" t="n"/>
      <c r="D509" s="38" t="n"/>
      <c r="E509" s="39" t="n">
        <v>45597.67430555556</v>
      </c>
      <c r="F509" s="47" t="inlineStr">
        <is>
          <t>Super Carlin Brothers</t>
        </is>
      </c>
      <c r="G509" t="inlineStr">
        <is>
          <t>What If Ron Was In Hufflepuff - The Ring and The Cup | Harry Potter Film Theory</t>
        </is>
      </c>
      <c r="H509" s="41" t="n">
        <v>0.01434027777777778</v>
      </c>
      <c r="I509" s="42" t="n">
        <v>91545</v>
      </c>
      <c r="J509" s="42" t="n">
        <v>4647</v>
      </c>
      <c r="K509" s="42" t="n">
        <v>526</v>
      </c>
      <c r="L509" s="43" t="n"/>
      <c r="M509" s="44" t="n"/>
      <c r="N509" s="44" t="inlineStr">
        <is>
          <t>UCKZo4N0lVPccBkSiuyVh4yg</t>
        </is>
      </c>
      <c r="O509" s="45" t="n">
        <v>45597.84097222222</v>
      </c>
      <c r="P509" s="46" t="n">
        <v>45597</v>
      </c>
      <c r="Q509" s="44" t="n">
        <v>2763</v>
      </c>
      <c r="R509" s="44" t="inlineStr">
        <is>
          <t>No Video ID yet</t>
        </is>
      </c>
      <c r="S509" s="46" t="n"/>
      <c r="T509" s="46" t="n"/>
      <c r="U509" s="44" t="n"/>
      <c r="V509" s="44">
        <f>IF(AND(P509&gt;=Calendar!$K$2,P509&lt;EDATE(Calendar!$K$2,1),OR(Calendar!$K$4="*",N509=Calendar!$K$4)),P509*100+COUNTIFS($P$6:$P$3271,P509,$Q$6:$Q$3271,"&lt;="&amp;Q509,$N$6:$N$3271,Calendar!$K$4),"")</f>
        <v/>
      </c>
      <c r="W509" s="44">
        <f>IF(AND(B509=Queue!$C$4,OR(Queue!$K$4="*",N509=Queue!$K$4)),Q509,"")</f>
        <v/>
      </c>
    </row>
    <row r="510">
      <c r="A510" s="35">
        <f>IF(M510="","",HYPERLINK("https://www.youtube.com/watch?v="&amp;M510,"▶"))</f>
        <v/>
      </c>
      <c r="B510" s="36">
        <f>IF(C510&lt;&gt;"",C510,IF(P510&lt;=IFERROR(INDEX(tblChannels[Watched Through],MATCH(N510,tblChannels[Channel ID],0)),0),"Watched","Unwatched"))</f>
        <v/>
      </c>
      <c r="C510" s="37" t="n"/>
      <c r="D510" s="38" t="n"/>
      <c r="E510" s="39" t="n">
        <v>45597.41666666666</v>
      </c>
      <c r="F510" s="40" t="inlineStr">
        <is>
          <t>Popcorn Culture</t>
        </is>
      </c>
      <c r="G510" t="inlineStr">
        <is>
          <t>Post-Spoop Week | Popcorn Culture</t>
        </is>
      </c>
      <c r="H510" s="41" t="n">
        <v>0.04510416666666667</v>
      </c>
      <c r="I510" s="42" t="n">
        <v>3266</v>
      </c>
      <c r="J510" s="42" t="n">
        <v>176</v>
      </c>
      <c r="K510" s="42" t="n">
        <v>19</v>
      </c>
      <c r="L510" s="43" t="n"/>
      <c r="M510" s="44" t="n"/>
      <c r="N510" s="44" t="inlineStr">
        <is>
          <t>UCHfIbq9thHPC8yrKjAdJgDA</t>
        </is>
      </c>
      <c r="O510" s="45" t="n">
        <v>45597.58333333334</v>
      </c>
      <c r="P510" s="46" t="n">
        <v>45597</v>
      </c>
      <c r="Q510" s="44" t="n">
        <v>2762</v>
      </c>
      <c r="R510" s="44" t="inlineStr">
        <is>
          <t>No Video ID yet</t>
        </is>
      </c>
      <c r="S510" s="46" t="n"/>
      <c r="T510" s="46" t="n"/>
      <c r="U510" s="44" t="n"/>
      <c r="V510" s="44">
        <f>IF(AND(P510&gt;=Calendar!$K$2,P510&lt;EDATE(Calendar!$K$2,1),OR(Calendar!$K$4="*",N510=Calendar!$K$4)),P510*100+COUNTIFS($P$6:$P$3271,P510,$Q$6:$Q$3271,"&lt;="&amp;Q510,$N$6:$N$3271,Calendar!$K$4),"")</f>
        <v/>
      </c>
      <c r="W510" s="44">
        <f>IF(AND(B510=Queue!$C$4,OR(Queue!$K$4="*",N510=Queue!$K$4)),Q510,"")</f>
        <v/>
      </c>
    </row>
    <row r="511">
      <c r="A511" s="35">
        <f>IF(M511="","",HYPERLINK("https://www.youtube.com/watch?v="&amp;M511,"▶"))</f>
        <v/>
      </c>
      <c r="B511" s="36">
        <f>IF(C511&lt;&gt;"",C511,IF(P511&lt;=IFERROR(INDEX(tblChannels[Watched Through],MATCH(N511,tblChannels[Channel ID],0)),0),"Watched","Unwatched"))</f>
        <v/>
      </c>
      <c r="C511" s="37" t="n"/>
      <c r="D511" s="38" t="n"/>
      <c r="E511" s="39" t="n">
        <v>45596.70833333334</v>
      </c>
      <c r="F511" s="48" t="inlineStr">
        <is>
          <t>Through The Griffin Door</t>
        </is>
      </c>
      <c r="G511" t="inlineStr">
        <is>
          <t>Live In Berkeley - Chapter 21: Hermione's Secret | Prisoner of Azkaban</t>
        </is>
      </c>
      <c r="H511" s="41" t="n">
        <v>0.06121527777777778</v>
      </c>
      <c r="I511" s="42" t="n">
        <v>13647</v>
      </c>
      <c r="J511" s="42" t="n">
        <v>536</v>
      </c>
      <c r="K511" s="42" t="n">
        <v>92</v>
      </c>
      <c r="L511" s="43" t="n"/>
      <c r="M511" s="44" t="n"/>
      <c r="N511" s="44" t="inlineStr">
        <is>
          <t>UCEscP6ETYXWSSvsNrDHekMQ</t>
        </is>
      </c>
      <c r="O511" s="45" t="n">
        <v>45596.875</v>
      </c>
      <c r="P511" s="46" t="n">
        <v>45596</v>
      </c>
      <c r="Q511" s="44" t="n">
        <v>2761</v>
      </c>
      <c r="R511" s="44" t="inlineStr">
        <is>
          <t>No Video ID yet</t>
        </is>
      </c>
      <c r="S511" s="46" t="n"/>
      <c r="T511" s="46" t="n"/>
      <c r="U511" s="44" t="n"/>
      <c r="V511" s="44">
        <f>IF(AND(P511&gt;=Calendar!$K$2,P511&lt;EDATE(Calendar!$K$2,1),OR(Calendar!$K$4="*",N511=Calendar!$K$4)),P511*100+COUNTIFS($P$6:$P$3271,P511,$Q$6:$Q$3271,"&lt;="&amp;Q511,$N$6:$N$3271,Calendar!$K$4),"")</f>
        <v/>
      </c>
      <c r="W511" s="44">
        <f>IF(AND(B511=Queue!$C$4,OR(Queue!$K$4="*",N511=Queue!$K$4)),Q511,"")</f>
        <v/>
      </c>
    </row>
    <row r="512">
      <c r="A512" s="35">
        <f>IF(M512="","",HYPERLINK("https://www.youtube.com/watch?v="&amp;M512,"▶"))</f>
        <v/>
      </c>
      <c r="B512" s="36">
        <f>IF(C512&lt;&gt;"",C512,IF(P512&lt;=IFERROR(INDEX(tblChannels[Watched Through],MATCH(N512,tblChannels[Channel ID],0)),0),"Watched","Unwatched"))</f>
        <v/>
      </c>
      <c r="C512" s="37" t="n"/>
      <c r="D512" s="38" t="n"/>
      <c r="E512" s="39" t="n">
        <v>45595.74236111111</v>
      </c>
      <c r="F512" s="47" t="inlineStr">
        <is>
          <t>Super Carlin Brothers</t>
        </is>
      </c>
      <c r="G512" t="inlineStr">
        <is>
          <t>How Time Travel ACTUALLY Works in Harry Potter</t>
        </is>
      </c>
      <c r="H512" s="41" t="n">
        <v>0.01216435185185185</v>
      </c>
      <c r="I512" s="42" t="n">
        <v>110165</v>
      </c>
      <c r="J512" s="42" t="n">
        <v>5334</v>
      </c>
      <c r="K512" s="42" t="n">
        <v>799</v>
      </c>
      <c r="L512" s="43" t="n"/>
      <c r="M512" s="44" t="n"/>
      <c r="N512" s="44" t="inlineStr">
        <is>
          <t>UCKZo4N0lVPccBkSiuyVh4yg</t>
        </is>
      </c>
      <c r="O512" s="45" t="n">
        <v>45595.90902777778</v>
      </c>
      <c r="P512" s="46" t="n">
        <v>45595</v>
      </c>
      <c r="Q512" s="44" t="n">
        <v>2760</v>
      </c>
      <c r="R512" s="44" t="inlineStr">
        <is>
          <t>No Video ID yet</t>
        </is>
      </c>
      <c r="S512" s="46" t="n"/>
      <c r="T512" s="46" t="n"/>
      <c r="U512" s="44" t="n"/>
      <c r="V512" s="44">
        <f>IF(AND(P512&gt;=Calendar!$K$2,P512&lt;EDATE(Calendar!$K$2,1),OR(Calendar!$K$4="*",N512=Calendar!$K$4)),P512*100+COUNTIFS($P$6:$P$3271,P512,$Q$6:$Q$3271,"&lt;="&amp;Q512,$N$6:$N$3271,Calendar!$K$4),"")</f>
        <v/>
      </c>
      <c r="W512" s="44">
        <f>IF(AND(B512=Queue!$C$4,OR(Queue!$K$4="*",N512=Queue!$K$4)),Q512,"")</f>
        <v/>
      </c>
    </row>
    <row r="513">
      <c r="A513" s="35">
        <f>IF(M513="","",HYPERLINK("https://www.youtube.com/watch?v="&amp;M513,"▶"))</f>
        <v/>
      </c>
      <c r="B513" s="36">
        <f>IF(C513&lt;&gt;"",C513,IF(P513&lt;=IFERROR(INDEX(tblChannels[Watched Through],MATCH(N513,tblChannels[Channel ID],0)),0),"Watched","Unwatched"))</f>
        <v/>
      </c>
      <c r="C513" s="37" t="n"/>
      <c r="D513" s="38" t="n"/>
      <c r="E513" s="39" t="n">
        <v>45592.41666666666</v>
      </c>
      <c r="F513" s="48" t="inlineStr">
        <is>
          <t>Through The Griffin Door</t>
        </is>
      </c>
      <c r="G513" t="inlineStr">
        <is>
          <t>Chapter 21: Hermione’s Secret | Prisoner of Azkaban</t>
        </is>
      </c>
      <c r="H513" s="41" t="n">
        <v>0.07684027777777777</v>
      </c>
      <c r="I513" s="42" t="n">
        <v>68319</v>
      </c>
      <c r="J513" s="42" t="n">
        <v>1753</v>
      </c>
      <c r="K513" s="42" t="n">
        <v>625</v>
      </c>
      <c r="L513" s="43" t="n"/>
      <c r="M513" s="44" t="n"/>
      <c r="N513" s="44" t="inlineStr">
        <is>
          <t>UCEscP6ETYXWSSvsNrDHekMQ</t>
        </is>
      </c>
      <c r="O513" s="45" t="n">
        <v>45592.58333333334</v>
      </c>
      <c r="P513" s="46" t="n">
        <v>45592</v>
      </c>
      <c r="Q513" s="44" t="n">
        <v>2759</v>
      </c>
      <c r="R513" s="44" t="inlineStr">
        <is>
          <t>No Video ID yet</t>
        </is>
      </c>
      <c r="S513" s="46" t="n"/>
      <c r="T513" s="46" t="n"/>
      <c r="U513" s="44" t="n"/>
      <c r="V513" s="44">
        <f>IF(AND(P513&gt;=Calendar!$K$2,P513&lt;EDATE(Calendar!$K$2,1),OR(Calendar!$K$4="*",N513=Calendar!$K$4)),P513*100+COUNTIFS($P$6:$P$3271,P513,$Q$6:$Q$3271,"&lt;="&amp;Q513,$N$6:$N$3271,Calendar!$K$4),"")</f>
        <v/>
      </c>
      <c r="W513" s="44">
        <f>IF(AND(B513=Queue!$C$4,OR(Queue!$K$4="*",N513=Queue!$K$4)),Q513,"")</f>
        <v/>
      </c>
    </row>
    <row r="514">
      <c r="A514" s="35">
        <f>IF(M514="","",HYPERLINK("https://www.youtube.com/watch?v="&amp;M514,"▶"))</f>
        <v/>
      </c>
      <c r="B514" s="36">
        <f>IF(C514&lt;&gt;"",C514,IF(P514&lt;=IFERROR(INDEX(tblChannels[Watched Through],MATCH(N514,tblChannels[Channel ID],0)),0),"Watched","Unwatched"))</f>
        <v/>
      </c>
      <c r="C514" s="37" t="n"/>
      <c r="D514" s="38" t="n"/>
      <c r="E514" s="39" t="n">
        <v>45590.70069444444</v>
      </c>
      <c r="F514" s="47" t="inlineStr">
        <is>
          <t>Super Carlin Brothers</t>
        </is>
      </c>
      <c r="G514" t="inlineStr">
        <is>
          <t>What If Ron Was In Hufflepuff - The Graveyard | Harry Potter Film Theory</t>
        </is>
      </c>
      <c r="H514" s="41" t="n">
        <v>0.01033564814814815</v>
      </c>
      <c r="I514" s="42" t="n">
        <v>82201</v>
      </c>
      <c r="J514" s="42" t="n">
        <v>4430</v>
      </c>
      <c r="K514" s="42" t="n">
        <v>432</v>
      </c>
      <c r="L514" s="43" t="n"/>
      <c r="M514" s="44" t="n"/>
      <c r="N514" s="44" t="inlineStr">
        <is>
          <t>UCKZo4N0lVPccBkSiuyVh4yg</t>
        </is>
      </c>
      <c r="O514" s="45" t="n">
        <v>45590.86736111111</v>
      </c>
      <c r="P514" s="46" t="n">
        <v>45590</v>
      </c>
      <c r="Q514" s="44" t="n">
        <v>2758</v>
      </c>
      <c r="R514" s="44" t="inlineStr">
        <is>
          <t>No Video ID yet</t>
        </is>
      </c>
      <c r="S514" s="46" t="n"/>
      <c r="T514" s="46" t="n"/>
      <c r="U514" s="44" t="n"/>
      <c r="V514" s="44">
        <f>IF(AND(P514&gt;=Calendar!$K$2,P514&lt;EDATE(Calendar!$K$2,1),OR(Calendar!$K$4="*",N514=Calendar!$K$4)),P514*100+COUNTIFS($P$6:$P$3271,P514,$Q$6:$Q$3271,"&lt;="&amp;Q514,$N$6:$N$3271,Calendar!$K$4),"")</f>
        <v/>
      </c>
      <c r="W514" s="44">
        <f>IF(AND(B514=Queue!$C$4,OR(Queue!$K$4="*",N514=Queue!$K$4)),Q514,"")</f>
        <v/>
      </c>
    </row>
    <row r="515">
      <c r="A515" s="35">
        <f>IF(M515="","",HYPERLINK("https://www.youtube.com/watch?v="&amp;M515,"▶"))</f>
        <v/>
      </c>
      <c r="B515" s="36">
        <f>IF(C515&lt;&gt;"",C515,IF(P515&lt;=IFERROR(INDEX(tblChannels[Watched Through],MATCH(N515,tblChannels[Channel ID],0)),0),"Watched","Unwatched"))</f>
        <v/>
      </c>
      <c r="C515" s="37" t="n"/>
      <c r="D515" s="38" t="n"/>
      <c r="E515" s="39" t="n">
        <v>45590.41666666666</v>
      </c>
      <c r="F515" s="40" t="inlineStr">
        <is>
          <t>Popcorn Culture</t>
        </is>
      </c>
      <c r="G515" t="inlineStr">
        <is>
          <t>Should I Get a Flamethrower?| Popcorn Culture</t>
        </is>
      </c>
      <c r="H515" s="41" t="n">
        <v>0.04679398148148148</v>
      </c>
      <c r="I515" s="42" t="n">
        <v>3674</v>
      </c>
      <c r="J515" s="42" t="n">
        <v>199</v>
      </c>
      <c r="K515" s="42" t="n">
        <v>16</v>
      </c>
      <c r="L515" s="43" t="n"/>
      <c r="M515" s="44" t="n"/>
      <c r="N515" s="44" t="inlineStr">
        <is>
          <t>UCHfIbq9thHPC8yrKjAdJgDA</t>
        </is>
      </c>
      <c r="O515" s="45" t="n">
        <v>45590.58333333334</v>
      </c>
      <c r="P515" s="46" t="n">
        <v>45590</v>
      </c>
      <c r="Q515" s="44" t="n">
        <v>2757</v>
      </c>
      <c r="R515" s="44" t="inlineStr">
        <is>
          <t>No Video ID yet</t>
        </is>
      </c>
      <c r="S515" s="46" t="n"/>
      <c r="T515" s="46" t="n"/>
      <c r="U515" s="44" t="n"/>
      <c r="V515" s="44">
        <f>IF(AND(P515&gt;=Calendar!$K$2,P515&lt;EDATE(Calendar!$K$2,1),OR(Calendar!$K$4="*",N515=Calendar!$K$4)),P515*100+COUNTIFS($P$6:$P$3271,P515,$Q$6:$Q$3271,"&lt;="&amp;Q515,$N$6:$N$3271,Calendar!$K$4),"")</f>
        <v/>
      </c>
      <c r="W515" s="44">
        <f>IF(AND(B515=Queue!$C$4,OR(Queue!$K$4="*",N515=Queue!$K$4)),Q515,"")</f>
        <v/>
      </c>
    </row>
    <row r="516">
      <c r="A516" s="35">
        <f>IF(M516="","",HYPERLINK("https://www.youtube.com/watch?v="&amp;M516,"▶"))</f>
        <v/>
      </c>
      <c r="B516" s="36">
        <f>IF(C516&lt;&gt;"",C516,IF(P516&lt;=IFERROR(INDEX(tblChannels[Watched Through],MATCH(N516,tblChannels[Channel ID],0)),0),"Watched","Unwatched"))</f>
        <v/>
      </c>
      <c r="C516" s="37" t="n"/>
      <c r="D516" s="38" t="n"/>
      <c r="E516" s="39" t="n">
        <v>45589.70833333334</v>
      </c>
      <c r="F516" s="48" t="inlineStr">
        <is>
          <t>Through The Griffin Door</t>
        </is>
      </c>
      <c r="G516" t="inlineStr">
        <is>
          <t>Live In Sacramento - Chapter 20: The Dementor's Kiss | Prisoner of Azkaban</t>
        </is>
      </c>
      <c r="H516" s="41" t="n">
        <v>0.04363425925925926</v>
      </c>
      <c r="I516" s="42" t="n">
        <v>12304</v>
      </c>
      <c r="J516" s="42" t="n">
        <v>560</v>
      </c>
      <c r="K516" s="42" t="n">
        <v>146</v>
      </c>
      <c r="L516" s="43" t="n"/>
      <c r="M516" s="44" t="n"/>
      <c r="N516" s="44" t="inlineStr">
        <is>
          <t>UCEscP6ETYXWSSvsNrDHekMQ</t>
        </is>
      </c>
      <c r="O516" s="45" t="n">
        <v>45589.875</v>
      </c>
      <c r="P516" s="46" t="n">
        <v>45589</v>
      </c>
      <c r="Q516" s="44" t="n">
        <v>2756</v>
      </c>
      <c r="R516" s="44" t="inlineStr">
        <is>
          <t>No Video ID yet</t>
        </is>
      </c>
      <c r="S516" s="46" t="n"/>
      <c r="T516" s="46" t="n"/>
      <c r="U516" s="44" t="n"/>
      <c r="V516" s="44">
        <f>IF(AND(P516&gt;=Calendar!$K$2,P516&lt;EDATE(Calendar!$K$2,1),OR(Calendar!$K$4="*",N516=Calendar!$K$4)),P516*100+COUNTIFS($P$6:$P$3271,P516,$Q$6:$Q$3271,"&lt;="&amp;Q516,$N$6:$N$3271,Calendar!$K$4),"")</f>
        <v/>
      </c>
      <c r="W516" s="44">
        <f>IF(AND(B516=Queue!$C$4,OR(Queue!$K$4="*",N516=Queue!$K$4)),Q516,"")</f>
        <v/>
      </c>
    </row>
    <row r="517">
      <c r="A517" s="35">
        <f>IF(M517="","",HYPERLINK("https://www.youtube.com/watch?v="&amp;M517,"▶"))</f>
        <v/>
      </c>
      <c r="B517" s="36">
        <f>IF(C517&lt;&gt;"",C517,IF(P517&lt;=IFERROR(INDEX(tblChannels[Watched Through],MATCH(N517,tblChannels[Channel ID],0)),0),"Watched","Unwatched"))</f>
        <v/>
      </c>
      <c r="C517" s="37" t="n"/>
      <c r="D517" s="38" t="n"/>
      <c r="E517" s="39" t="n">
        <v>45588.69583333333</v>
      </c>
      <c r="F517" s="47" t="inlineStr">
        <is>
          <t>Super Carlin Brothers</t>
        </is>
      </c>
      <c r="G517" t="inlineStr">
        <is>
          <t>Worst Harry Potter Candy EVER?!</t>
        </is>
      </c>
      <c r="H517" s="41" t="n">
        <v>0.02387731481481482</v>
      </c>
      <c r="I517" s="42" t="n">
        <v>131909</v>
      </c>
      <c r="J517" s="42" t="n">
        <v>5030</v>
      </c>
      <c r="K517" s="42" t="n">
        <v>547</v>
      </c>
      <c r="L517" s="43" t="n"/>
      <c r="M517" s="44" t="n"/>
      <c r="N517" s="44" t="inlineStr">
        <is>
          <t>UCKZo4N0lVPccBkSiuyVh4yg</t>
        </is>
      </c>
      <c r="O517" s="45" t="n">
        <v>45588.8625</v>
      </c>
      <c r="P517" s="46" t="n">
        <v>45588</v>
      </c>
      <c r="Q517" s="44" t="n">
        <v>2755</v>
      </c>
      <c r="R517" s="44" t="inlineStr">
        <is>
          <t>No Video ID yet</t>
        </is>
      </c>
      <c r="S517" s="46" t="n"/>
      <c r="T517" s="46" t="n"/>
      <c r="U517" s="44" t="n"/>
      <c r="V517" s="44">
        <f>IF(AND(P517&gt;=Calendar!$K$2,P517&lt;EDATE(Calendar!$K$2,1),OR(Calendar!$K$4="*",N517=Calendar!$K$4)),P517*100+COUNTIFS($P$6:$P$3271,P517,$Q$6:$Q$3271,"&lt;="&amp;Q517,$N$6:$N$3271,Calendar!$K$4),"")</f>
        <v/>
      </c>
      <c r="W517" s="44">
        <f>IF(AND(B517=Queue!$C$4,OR(Queue!$K$4="*",N517=Queue!$K$4)),Q517,"")</f>
        <v/>
      </c>
    </row>
    <row r="518">
      <c r="A518" s="35">
        <f>IF(M518="","",HYPERLINK("https://www.youtube.com/watch?v="&amp;M518,"▶"))</f>
        <v/>
      </c>
      <c r="B518" s="36">
        <f>IF(C518&lt;&gt;"",C518,IF(P518&lt;=IFERROR(INDEX(tblChannels[Watched Through],MATCH(N518,tblChannels[Channel ID],0)),0),"Watched","Unwatched"))</f>
        <v/>
      </c>
      <c r="C518" s="37" t="n"/>
      <c r="D518" s="38" t="n"/>
      <c r="E518" s="39" t="n">
        <v>45587.5</v>
      </c>
      <c r="F518" s="40" t="inlineStr">
        <is>
          <t>Popcorn Culture</t>
        </is>
      </c>
      <c r="G518" t="inlineStr">
        <is>
          <t>THROUGH THE GRIFFIN TOUR - SOUTHEAST!</t>
        </is>
      </c>
      <c r="H518" s="41" t="n">
        <v>0.0007407407407407407</v>
      </c>
      <c r="I518" s="42" t="n">
        <v>496</v>
      </c>
      <c r="J518" s="42" t="n">
        <v>40</v>
      </c>
      <c r="K518" s="42" t="n">
        <v>6</v>
      </c>
      <c r="L518" s="43" t="n"/>
      <c r="M518" s="44" t="n"/>
      <c r="N518" s="44" t="inlineStr">
        <is>
          <t>UCHfIbq9thHPC8yrKjAdJgDA</t>
        </is>
      </c>
      <c r="O518" s="45" t="n">
        <v>45587.66666666666</v>
      </c>
      <c r="P518" s="46" t="n">
        <v>45587</v>
      </c>
      <c r="Q518" s="44" t="n">
        <v>2754</v>
      </c>
      <c r="R518" s="44" t="inlineStr">
        <is>
          <t>No Video ID yet</t>
        </is>
      </c>
      <c r="S518" s="46" t="n"/>
      <c r="T518" s="46" t="n"/>
      <c r="U518" s="44" t="n"/>
      <c r="V518" s="44">
        <f>IF(AND(P518&gt;=Calendar!$K$2,P518&lt;EDATE(Calendar!$K$2,1),OR(Calendar!$K$4="*",N518=Calendar!$K$4)),P518*100+COUNTIFS($P$6:$P$3271,P518,$Q$6:$Q$3271,"&lt;="&amp;Q518,$N$6:$N$3271,Calendar!$K$4),"")</f>
        <v/>
      </c>
      <c r="W518" s="44">
        <f>IF(AND(B518=Queue!$C$4,OR(Queue!$K$4="*",N518=Queue!$K$4)),Q518,"")</f>
        <v/>
      </c>
    </row>
    <row r="519">
      <c r="A519" s="35">
        <f>IF(M519="","",HYPERLINK("https://www.youtube.com/watch?v="&amp;M519,"▶"))</f>
        <v/>
      </c>
      <c r="B519" s="36">
        <f>IF(C519&lt;&gt;"",C519,IF(P519&lt;=IFERROR(INDEX(tblChannels[Watched Through],MATCH(N519,tblChannels[Channel ID],0)),0),"Watched","Unwatched"))</f>
        <v/>
      </c>
      <c r="C519" s="37" t="n"/>
      <c r="D519" s="38" t="n"/>
      <c r="E519" s="39" t="n">
        <v>45587.5</v>
      </c>
      <c r="F519" s="48" t="inlineStr">
        <is>
          <t>Through The Griffin Door</t>
        </is>
      </c>
      <c r="G519" t="inlineStr">
        <is>
          <t>THROUGH THE GRIFFIN TOUR - SOUTHEAST!</t>
        </is>
      </c>
      <c r="H519" s="41" t="n">
        <v>0.001597222222222222</v>
      </c>
      <c r="I519" s="42" t="n">
        <v>3445</v>
      </c>
      <c r="J519" s="42" t="n">
        <v>232</v>
      </c>
      <c r="K519" s="42" t="n">
        <v>85</v>
      </c>
      <c r="L519" s="43" t="n"/>
      <c r="M519" s="44" t="n"/>
      <c r="N519" s="44" t="inlineStr">
        <is>
          <t>UCEscP6ETYXWSSvsNrDHekMQ</t>
        </is>
      </c>
      <c r="O519" s="45" t="n">
        <v>45587.66666666666</v>
      </c>
      <c r="P519" s="46" t="n">
        <v>45587</v>
      </c>
      <c r="Q519" s="44" t="n">
        <v>2753</v>
      </c>
      <c r="R519" s="44" t="inlineStr">
        <is>
          <t>No Video ID yet</t>
        </is>
      </c>
      <c r="S519" s="46" t="n"/>
      <c r="T519" s="46" t="n"/>
      <c r="U519" s="44" t="n"/>
      <c r="V519" s="44">
        <f>IF(AND(P519&gt;=Calendar!$K$2,P519&lt;EDATE(Calendar!$K$2,1),OR(Calendar!$K$4="*",N519=Calendar!$K$4)),P519*100+COUNTIFS($P$6:$P$3271,P519,$Q$6:$Q$3271,"&lt;="&amp;Q519,$N$6:$N$3271,Calendar!$K$4),"")</f>
        <v/>
      </c>
      <c r="W519" s="44">
        <f>IF(AND(B519=Queue!$C$4,OR(Queue!$K$4="*",N519=Queue!$K$4)),Q519,"")</f>
        <v/>
      </c>
    </row>
    <row r="520">
      <c r="A520" s="35">
        <f>IF(M520="","",HYPERLINK("https://www.youtube.com/watch?v="&amp;M520,"▶"))</f>
        <v/>
      </c>
      <c r="B520" s="36">
        <f>IF(C520&lt;&gt;"",C520,IF(P520&lt;=IFERROR(INDEX(tblChannels[Watched Through],MATCH(N520,tblChannels[Channel ID],0)),0),"Watched","Unwatched"))</f>
        <v/>
      </c>
      <c r="C520" s="37" t="n"/>
      <c r="D520" s="38" t="n"/>
      <c r="E520" s="39" t="n">
        <v>45587.5</v>
      </c>
      <c r="F520" s="47" t="inlineStr">
        <is>
          <t>Super Carlin Brothers</t>
        </is>
      </c>
      <c r="G520" t="inlineStr">
        <is>
          <t>THROUGH THE GRIFFIN TOUR - SOUTHEAST!</t>
        </is>
      </c>
      <c r="H520" s="41" t="n">
        <v>0.001539351851851852</v>
      </c>
      <c r="I520" s="42" t="n">
        <v>7607</v>
      </c>
      <c r="J520" s="42" t="n">
        <v>394</v>
      </c>
      <c r="K520" s="42" t="n">
        <v>97</v>
      </c>
      <c r="L520" s="43" t="n"/>
      <c r="M520" s="44" t="n"/>
      <c r="N520" s="44" t="inlineStr">
        <is>
          <t>UCKZo4N0lVPccBkSiuyVh4yg</t>
        </is>
      </c>
      <c r="O520" s="45" t="n">
        <v>45587.66666666666</v>
      </c>
      <c r="P520" s="46" t="n">
        <v>45587</v>
      </c>
      <c r="Q520" s="44" t="n">
        <v>2752</v>
      </c>
      <c r="R520" s="44" t="inlineStr">
        <is>
          <t>No Video ID yet</t>
        </is>
      </c>
      <c r="S520" s="46" t="n"/>
      <c r="T520" s="46" t="n"/>
      <c r="U520" s="44" t="n"/>
      <c r="V520" s="44">
        <f>IF(AND(P520&gt;=Calendar!$K$2,P520&lt;EDATE(Calendar!$K$2,1),OR(Calendar!$K$4="*",N520=Calendar!$K$4)),P520*100+COUNTIFS($P$6:$P$3271,P520,$Q$6:$Q$3271,"&lt;="&amp;Q520,$N$6:$N$3271,Calendar!$K$4),"")</f>
        <v/>
      </c>
      <c r="W520" s="44">
        <f>IF(AND(B520=Queue!$C$4,OR(Queue!$K$4="*",N520=Queue!$K$4)),Q520,"")</f>
        <v/>
      </c>
    </row>
    <row r="521">
      <c r="A521" s="35">
        <f>IF(M521="","",HYPERLINK("https://www.youtube.com/watch?v="&amp;M521,"▶"))</f>
        <v/>
      </c>
      <c r="B521" s="36">
        <f>IF(C521&lt;&gt;"",C521,IF(P521&lt;=IFERROR(INDEX(tblChannels[Watched Through],MATCH(N521,tblChannels[Channel ID],0)),0),"Watched","Unwatched"))</f>
        <v/>
      </c>
      <c r="C521" s="37" t="n"/>
      <c r="D521" s="38" t="n"/>
      <c r="E521" s="39" t="n">
        <v>45585.41666666666</v>
      </c>
      <c r="F521" s="48" t="inlineStr">
        <is>
          <t>Through The Griffin Door</t>
        </is>
      </c>
      <c r="G521" t="inlineStr">
        <is>
          <t>Chapter 20: The Dementor’s Kiss | Prisoner of Azkaban</t>
        </is>
      </c>
      <c r="H521" s="41" t="n">
        <v>0.05365740740740741</v>
      </c>
      <c r="I521" s="42" t="n">
        <v>52622</v>
      </c>
      <c r="J521" s="42" t="n">
        <v>1664</v>
      </c>
      <c r="K521" s="42" t="n">
        <v>502</v>
      </c>
      <c r="L521" s="43" t="n"/>
      <c r="M521" s="44" t="n"/>
      <c r="N521" s="44" t="inlineStr">
        <is>
          <t>UCEscP6ETYXWSSvsNrDHekMQ</t>
        </is>
      </c>
      <c r="O521" s="45" t="n">
        <v>45585.58333333334</v>
      </c>
      <c r="P521" s="46" t="n">
        <v>45585</v>
      </c>
      <c r="Q521" s="44" t="n">
        <v>2751</v>
      </c>
      <c r="R521" s="44" t="inlineStr">
        <is>
          <t>No Video ID yet</t>
        </is>
      </c>
      <c r="S521" s="46" t="n"/>
      <c r="T521" s="46" t="n"/>
      <c r="U521" s="44" t="n"/>
      <c r="V521" s="44">
        <f>IF(AND(P521&gt;=Calendar!$K$2,P521&lt;EDATE(Calendar!$K$2,1),OR(Calendar!$K$4="*",N521=Calendar!$K$4)),P521*100+COUNTIFS($P$6:$P$3271,P521,$Q$6:$Q$3271,"&lt;="&amp;Q521,$N$6:$N$3271,Calendar!$K$4),"")</f>
        <v/>
      </c>
      <c r="W521" s="44">
        <f>IF(AND(B521=Queue!$C$4,OR(Queue!$K$4="*",N521=Queue!$K$4)),Q521,"")</f>
        <v/>
      </c>
    </row>
    <row r="522">
      <c r="A522" s="35">
        <f>IF(M522="","",HYPERLINK("https://www.youtube.com/watch?v="&amp;M522,"▶"))</f>
        <v/>
      </c>
      <c r="B522" s="36">
        <f>IF(C522&lt;&gt;"",C522,IF(P522&lt;=IFERROR(INDEX(tblChannels[Watched Through],MATCH(N522,tblChannels[Channel ID],0)),0),"Watched","Unwatched"))</f>
        <v/>
      </c>
      <c r="C522" s="37" t="n"/>
      <c r="D522" s="38" t="n"/>
      <c r="E522" s="39" t="n">
        <v>45584.41666666666</v>
      </c>
      <c r="F522" s="47" t="inlineStr">
        <is>
          <t>Super Carlin Brothers</t>
        </is>
      </c>
      <c r="G522" t="inlineStr">
        <is>
          <t>Through the Griffin Door Supercut: Prisoner of Azkaban Chapters 16-18</t>
        </is>
      </c>
      <c r="H522" s="41" t="n">
        <v>0.1883564814814815</v>
      </c>
      <c r="I522" s="42" t="n">
        <v>23996</v>
      </c>
      <c r="J522" s="42" t="n">
        <v>416</v>
      </c>
      <c r="K522" s="42" t="n">
        <v>70</v>
      </c>
      <c r="L522" s="43" t="n"/>
      <c r="M522" s="44" t="n"/>
      <c r="N522" s="44" t="inlineStr">
        <is>
          <t>UCKZo4N0lVPccBkSiuyVh4yg</t>
        </is>
      </c>
      <c r="O522" s="45" t="n">
        <v>45584.58333333334</v>
      </c>
      <c r="P522" s="46" t="n">
        <v>45584</v>
      </c>
      <c r="Q522" s="44" t="n">
        <v>2750</v>
      </c>
      <c r="R522" s="44" t="inlineStr">
        <is>
          <t>No Video ID yet</t>
        </is>
      </c>
      <c r="S522" s="46" t="n"/>
      <c r="T522" s="46" t="n"/>
      <c r="U522" s="44" t="n"/>
      <c r="V522" s="44">
        <f>IF(AND(P522&gt;=Calendar!$K$2,P522&lt;EDATE(Calendar!$K$2,1),OR(Calendar!$K$4="*",N522=Calendar!$K$4)),P522*100+COUNTIFS($P$6:$P$3271,P522,$Q$6:$Q$3271,"&lt;="&amp;Q522,$N$6:$N$3271,Calendar!$K$4),"")</f>
        <v/>
      </c>
      <c r="W522" s="44">
        <f>IF(AND(B522=Queue!$C$4,OR(Queue!$K$4="*",N522=Queue!$K$4)),Q522,"")</f>
        <v/>
      </c>
    </row>
    <row r="523">
      <c r="A523" s="35">
        <f>IF(M523="","",HYPERLINK("https://www.youtube.com/watch?v="&amp;M523,"▶"))</f>
        <v/>
      </c>
      <c r="B523" s="36">
        <f>IF(C523&lt;&gt;"",C523,IF(P523&lt;=IFERROR(INDEX(tblChannels[Watched Through],MATCH(N523,tblChannels[Channel ID],0)),0),"Watched","Unwatched"))</f>
        <v/>
      </c>
      <c r="C523" s="37" t="n"/>
      <c r="D523" s="38" t="n"/>
      <c r="E523" s="39" t="n">
        <v>45584.22222222222</v>
      </c>
      <c r="F523" s="49" t="inlineStr">
        <is>
          <t>Super Carlin Gaming</t>
        </is>
      </c>
      <c r="G523" t="inlineStr">
        <is>
          <t>Pokemon Box Breakers FINALE LIVE! OCTOBER 18, 2024</t>
        </is>
      </c>
      <c r="H523" s="41" t="n">
        <v>0.1255902777777778</v>
      </c>
      <c r="I523" s="42" t="n">
        <v>1196</v>
      </c>
      <c r="J523" s="42" t="n">
        <v>43</v>
      </c>
      <c r="K523" s="42" t="n">
        <v>3</v>
      </c>
      <c r="L523" s="43" t="n"/>
      <c r="M523" s="44" t="n"/>
      <c r="N523" s="44" t="inlineStr">
        <is>
          <t>UCor_9jRnNNZVzTuQ92PKsaQ</t>
        </is>
      </c>
      <c r="O523" s="45" t="n">
        <v>45584.38888888889</v>
      </c>
      <c r="P523" s="46" t="n">
        <v>45584</v>
      </c>
      <c r="Q523" s="44" t="n">
        <v>2749</v>
      </c>
      <c r="R523" s="44" t="inlineStr">
        <is>
          <t>No Video ID yet</t>
        </is>
      </c>
      <c r="S523" s="46" t="n"/>
      <c r="T523" s="46" t="n"/>
      <c r="U523" s="44" t="n"/>
      <c r="V523" s="44">
        <f>IF(AND(P523&gt;=Calendar!$K$2,P523&lt;EDATE(Calendar!$K$2,1),OR(Calendar!$K$4="*",N523=Calendar!$K$4)),P523*100+COUNTIFS($P$6:$P$3271,P523,$Q$6:$Q$3271,"&lt;="&amp;Q523,$N$6:$N$3271,Calendar!$K$4),"")</f>
        <v/>
      </c>
      <c r="W523" s="44">
        <f>IF(AND(B523=Queue!$C$4,OR(Queue!$K$4="*",N523=Queue!$K$4)),Q523,"")</f>
        <v/>
      </c>
    </row>
    <row r="524">
      <c r="A524" s="35">
        <f>IF(M524="","",HYPERLINK("https://www.youtube.com/watch?v="&amp;M524,"▶"))</f>
        <v/>
      </c>
      <c r="B524" s="36">
        <f>IF(C524&lt;&gt;"",C524,IF(P524&lt;=IFERROR(INDEX(tblChannels[Watched Through],MATCH(N524,tblChannels[Channel ID],0)),0),"Watched","Unwatched"))</f>
        <v/>
      </c>
      <c r="C524" s="37" t="n"/>
      <c r="D524" s="38" t="n"/>
      <c r="E524" s="39" t="n">
        <v>45583.67847222222</v>
      </c>
      <c r="F524" s="47" t="inlineStr">
        <is>
          <t>Super Carlin Brothers</t>
        </is>
      </c>
      <c r="G524" t="inlineStr">
        <is>
          <t>What If Ron Was In Hufflepuff - The Tri-Wizard Tournament | Harry Potter Film Theory</t>
        </is>
      </c>
      <c r="H524" s="41" t="n">
        <v>0.01313657407407407</v>
      </c>
      <c r="I524" s="42" t="n">
        <v>91769</v>
      </c>
      <c r="J524" s="42" t="n">
        <v>4492</v>
      </c>
      <c r="K524" s="42" t="n">
        <v>710</v>
      </c>
      <c r="L524" s="43" t="n"/>
      <c r="M524" s="44" t="n"/>
      <c r="N524" s="44" t="inlineStr">
        <is>
          <t>UCKZo4N0lVPccBkSiuyVh4yg</t>
        </is>
      </c>
      <c r="O524" s="45" t="n">
        <v>45583.84513888889</v>
      </c>
      <c r="P524" s="46" t="n">
        <v>45583</v>
      </c>
      <c r="Q524" s="44" t="n">
        <v>2748</v>
      </c>
      <c r="R524" s="44" t="inlineStr">
        <is>
          <t>No Video ID yet</t>
        </is>
      </c>
      <c r="S524" s="46" t="n"/>
      <c r="T524" s="46" t="n"/>
      <c r="U524" s="44" t="n"/>
      <c r="V524" s="44">
        <f>IF(AND(P524&gt;=Calendar!$K$2,P524&lt;EDATE(Calendar!$K$2,1),OR(Calendar!$K$4="*",N524=Calendar!$K$4)),P524*100+COUNTIFS($P$6:$P$3271,P524,$Q$6:$Q$3271,"&lt;="&amp;Q524,$N$6:$N$3271,Calendar!$K$4),"")</f>
        <v/>
      </c>
      <c r="W524" s="44">
        <f>IF(AND(B524=Queue!$C$4,OR(Queue!$K$4="*",N524=Queue!$K$4)),Q524,"")</f>
        <v/>
      </c>
    </row>
    <row r="525">
      <c r="A525" s="35">
        <f>IF(M525="","",HYPERLINK("https://www.youtube.com/watch?v="&amp;M525,"▶"))</f>
        <v/>
      </c>
      <c r="B525" s="36">
        <f>IF(C525&lt;&gt;"",C525,IF(P525&lt;=IFERROR(INDEX(tblChannels[Watched Through],MATCH(N525,tblChannels[Channel ID],0)),0),"Watched","Unwatched"))</f>
        <v/>
      </c>
      <c r="C525" s="37" t="n"/>
      <c r="D525" s="38" t="n"/>
      <c r="E525" s="39" t="n">
        <v>45583.41666666666</v>
      </c>
      <c r="F525" s="40" t="inlineStr">
        <is>
          <t>Popcorn Culture</t>
        </is>
      </c>
      <c r="G525" t="inlineStr">
        <is>
          <t>The Den of Evil | Popcorn Culture</t>
        </is>
      </c>
      <c r="H525" s="41" t="n">
        <v>0.04722222222222222</v>
      </c>
      <c r="I525" s="42" t="n">
        <v>3420</v>
      </c>
      <c r="J525" s="42" t="n">
        <v>176</v>
      </c>
      <c r="K525" s="42" t="n">
        <v>36</v>
      </c>
      <c r="L525" s="43" t="n"/>
      <c r="M525" s="44" t="n"/>
      <c r="N525" s="44" t="inlineStr">
        <is>
          <t>UCHfIbq9thHPC8yrKjAdJgDA</t>
        </is>
      </c>
      <c r="O525" s="45" t="n">
        <v>45583.58333333334</v>
      </c>
      <c r="P525" s="46" t="n">
        <v>45583</v>
      </c>
      <c r="Q525" s="44" t="n">
        <v>2747</v>
      </c>
      <c r="R525" s="44" t="inlineStr">
        <is>
          <t>No Video ID yet</t>
        </is>
      </c>
      <c r="S525" s="46" t="n"/>
      <c r="T525" s="46" t="n"/>
      <c r="U525" s="44" t="n"/>
      <c r="V525" s="44">
        <f>IF(AND(P525&gt;=Calendar!$K$2,P525&lt;EDATE(Calendar!$K$2,1),OR(Calendar!$K$4="*",N525=Calendar!$K$4)),P525*100+COUNTIFS($P$6:$P$3271,P525,$Q$6:$Q$3271,"&lt;="&amp;Q525,$N$6:$N$3271,Calendar!$K$4),"")</f>
        <v/>
      </c>
      <c r="W525" s="44">
        <f>IF(AND(B525=Queue!$C$4,OR(Queue!$K$4="*",N525=Queue!$K$4)),Q525,"")</f>
        <v/>
      </c>
    </row>
    <row r="526">
      <c r="A526" s="35">
        <f>IF(M526="","",HYPERLINK("https://www.youtube.com/watch?v="&amp;M526,"▶"))</f>
        <v/>
      </c>
      <c r="B526" s="36">
        <f>IF(C526&lt;&gt;"",C526,IF(P526&lt;=IFERROR(INDEX(tblChannels[Watched Through],MATCH(N526,tblChannels[Channel ID],0)),0),"Watched","Unwatched"))</f>
        <v/>
      </c>
      <c r="C526" s="37" t="n"/>
      <c r="D526" s="38" t="n"/>
      <c r="E526" s="39" t="n">
        <v>45582.70833333334</v>
      </c>
      <c r="F526" s="48" t="inlineStr">
        <is>
          <t>Through The Griffin Door</t>
        </is>
      </c>
      <c r="G526" t="inlineStr">
        <is>
          <t>Chapter 19: The Servant Of Lord Voldemort | Prisoner of Azkaban</t>
        </is>
      </c>
      <c r="H526" s="41" t="n">
        <v>0.04809027777777778</v>
      </c>
      <c r="I526" s="42" t="n">
        <v>14581</v>
      </c>
      <c r="J526" s="42" t="n">
        <v>623</v>
      </c>
      <c r="K526" s="42" t="n">
        <v>126</v>
      </c>
      <c r="L526" s="43" t="n"/>
      <c r="M526" s="44" t="n"/>
      <c r="N526" s="44" t="inlineStr">
        <is>
          <t>UCEscP6ETYXWSSvsNrDHekMQ</t>
        </is>
      </c>
      <c r="O526" s="45" t="n">
        <v>45582.875</v>
      </c>
      <c r="P526" s="46" t="n">
        <v>45582</v>
      </c>
      <c r="Q526" s="44" t="n">
        <v>2746</v>
      </c>
      <c r="R526" s="44" t="inlineStr">
        <is>
          <t>No Video ID yet</t>
        </is>
      </c>
      <c r="S526" s="46" t="n"/>
      <c r="T526" s="46" t="n"/>
      <c r="U526" s="44" t="n"/>
      <c r="V526" s="44">
        <f>IF(AND(P526&gt;=Calendar!$K$2,P526&lt;EDATE(Calendar!$K$2,1),OR(Calendar!$K$4="*",N526=Calendar!$K$4)),P526*100+COUNTIFS($P$6:$P$3271,P526,$Q$6:$Q$3271,"&lt;="&amp;Q526,$N$6:$N$3271,Calendar!$K$4),"")</f>
        <v/>
      </c>
      <c r="W526" s="44">
        <f>IF(AND(B526=Queue!$C$4,OR(Queue!$K$4="*",N526=Queue!$K$4)),Q526,"")</f>
        <v/>
      </c>
    </row>
    <row r="527">
      <c r="A527" s="35">
        <f>IF(M527="","",HYPERLINK("https://www.youtube.com/watch?v="&amp;M527,"▶"))</f>
        <v/>
      </c>
      <c r="B527" s="36">
        <f>IF(C527&lt;&gt;"",C527,IF(P527&lt;=IFERROR(INDEX(tblChannels[Watched Through],MATCH(N527,tblChannels[Channel ID],0)),0),"Watched","Unwatched"))</f>
        <v/>
      </c>
      <c r="C527" s="37" t="n"/>
      <c r="D527" s="38" t="n"/>
      <c r="E527" s="39" t="n">
        <v>45581.71875</v>
      </c>
      <c r="F527" s="47" t="inlineStr">
        <is>
          <t>Super Carlin Brothers</t>
        </is>
      </c>
      <c r="G527" t="inlineStr">
        <is>
          <t>Sirius' TRAGIC Mistake.. | Harry Potter Film Theory</t>
        </is>
      </c>
      <c r="H527" s="41" t="n">
        <v>0.01207175925925926</v>
      </c>
      <c r="I527" s="42" t="n">
        <v>121053</v>
      </c>
      <c r="J527" s="42" t="n">
        <v>5602</v>
      </c>
      <c r="K527" s="42" t="n">
        <v>616</v>
      </c>
      <c r="L527" s="43" t="n"/>
      <c r="M527" s="44" t="n"/>
      <c r="N527" s="44" t="inlineStr">
        <is>
          <t>UCKZo4N0lVPccBkSiuyVh4yg</t>
        </is>
      </c>
      <c r="O527" s="45" t="n">
        <v>45581.88541666666</v>
      </c>
      <c r="P527" s="46" t="n">
        <v>45581</v>
      </c>
      <c r="Q527" s="44" t="n">
        <v>2745</v>
      </c>
      <c r="R527" s="44" t="inlineStr">
        <is>
          <t>No Video ID yet</t>
        </is>
      </c>
      <c r="S527" s="46" t="n"/>
      <c r="T527" s="46" t="n"/>
      <c r="U527" s="44" t="n"/>
      <c r="V527" s="44">
        <f>IF(AND(P527&gt;=Calendar!$K$2,P527&lt;EDATE(Calendar!$K$2,1),OR(Calendar!$K$4="*",N527=Calendar!$K$4)),P527*100+COUNTIFS($P$6:$P$3271,P527,$Q$6:$Q$3271,"&lt;="&amp;Q527,$N$6:$N$3271,Calendar!$K$4),"")</f>
        <v/>
      </c>
      <c r="W527" s="44">
        <f>IF(AND(B527=Queue!$C$4,OR(Queue!$K$4="*",N527=Queue!$K$4)),Q527,"")</f>
        <v/>
      </c>
    </row>
    <row r="528">
      <c r="A528" s="35">
        <f>IF(M528="","",HYPERLINK("https://www.youtube.com/watch?v="&amp;M528,"▶"))</f>
        <v/>
      </c>
      <c r="B528" s="36">
        <f>IF(C528&lt;&gt;"",C528,IF(P528&lt;=IFERROR(INDEX(tblChannels[Watched Through],MATCH(N528,tblChannels[Channel ID],0)),0),"Watched","Unwatched"))</f>
        <v/>
      </c>
      <c r="C528" s="37" t="n"/>
      <c r="D528" s="38" t="n"/>
      <c r="E528" s="39" t="n">
        <v>45578.41666666666</v>
      </c>
      <c r="F528" s="48" t="inlineStr">
        <is>
          <t>Through The Griffin Door</t>
        </is>
      </c>
      <c r="G528" t="inlineStr">
        <is>
          <t>Chapter 19: The Servant of Lord Voldemort | Prisoner of Azkaban</t>
        </is>
      </c>
      <c r="H528" s="41" t="n">
        <v>0.07266203703703704</v>
      </c>
      <c r="I528" s="42" t="n">
        <v>70234</v>
      </c>
      <c r="J528" s="42" t="n">
        <v>1935</v>
      </c>
      <c r="K528" s="42" t="n">
        <v>669</v>
      </c>
      <c r="L528" s="43" t="n"/>
      <c r="M528" s="44" t="n"/>
      <c r="N528" s="44" t="inlineStr">
        <is>
          <t>UCEscP6ETYXWSSvsNrDHekMQ</t>
        </is>
      </c>
      <c r="O528" s="45" t="n">
        <v>45578.58333333334</v>
      </c>
      <c r="P528" s="46" t="n">
        <v>45578</v>
      </c>
      <c r="Q528" s="44" t="n">
        <v>2744</v>
      </c>
      <c r="R528" s="44" t="inlineStr">
        <is>
          <t>No Video ID yet</t>
        </is>
      </c>
      <c r="S528" s="46" t="n"/>
      <c r="T528" s="46" t="n"/>
      <c r="U528" s="44" t="n"/>
      <c r="V528" s="44">
        <f>IF(AND(P528&gt;=Calendar!$K$2,P528&lt;EDATE(Calendar!$K$2,1),OR(Calendar!$K$4="*",N528=Calendar!$K$4)),P528*100+COUNTIFS($P$6:$P$3271,P528,$Q$6:$Q$3271,"&lt;="&amp;Q528,$N$6:$N$3271,Calendar!$K$4),"")</f>
        <v/>
      </c>
      <c r="W528" s="44">
        <f>IF(AND(B528=Queue!$C$4,OR(Queue!$K$4="*",N528=Queue!$K$4)),Q528,"")</f>
        <v/>
      </c>
    </row>
    <row r="529">
      <c r="A529" s="35">
        <f>IF(M529="","",HYPERLINK("https://www.youtube.com/watch?v="&amp;M529,"▶"))</f>
        <v/>
      </c>
      <c r="B529" s="36">
        <f>IF(C529&lt;&gt;"",C529,IF(P529&lt;=IFERROR(INDEX(tblChannels[Watched Through],MATCH(N529,tblChannels[Channel ID],0)),0),"Watched","Unwatched"))</f>
        <v/>
      </c>
      <c r="C529" s="37" t="n"/>
      <c r="D529" s="38" t="n"/>
      <c r="E529" s="39" t="n">
        <v>45576.70208333333</v>
      </c>
      <c r="F529" s="47" t="inlineStr">
        <is>
          <t>Super Carlin Brothers</t>
        </is>
      </c>
      <c r="G529" t="inlineStr">
        <is>
          <t>What If Ron Was In Hufflepuff - Goblet of Fire | Harry Potter Film Theory</t>
        </is>
      </c>
      <c r="H529" s="41" t="n">
        <v>0.01690972222222222</v>
      </c>
      <c r="I529" s="42" t="n">
        <v>110400</v>
      </c>
      <c r="J529" s="42" t="n">
        <v>4934</v>
      </c>
      <c r="K529" s="42" t="n">
        <v>539</v>
      </c>
      <c r="L529" s="43" t="n"/>
      <c r="M529" s="44" t="n"/>
      <c r="N529" s="44" t="inlineStr">
        <is>
          <t>UCKZo4N0lVPccBkSiuyVh4yg</t>
        </is>
      </c>
      <c r="O529" s="45" t="n">
        <v>45576.86875</v>
      </c>
      <c r="P529" s="46" t="n">
        <v>45576</v>
      </c>
      <c r="Q529" s="44" t="n">
        <v>2743</v>
      </c>
      <c r="R529" s="44" t="inlineStr">
        <is>
          <t>No Video ID yet</t>
        </is>
      </c>
      <c r="S529" s="46" t="n"/>
      <c r="T529" s="46" t="n"/>
      <c r="U529" s="44" t="n"/>
      <c r="V529" s="44">
        <f>IF(AND(P529&gt;=Calendar!$K$2,P529&lt;EDATE(Calendar!$K$2,1),OR(Calendar!$K$4="*",N529=Calendar!$K$4)),P529*100+COUNTIFS($P$6:$P$3271,P529,$Q$6:$Q$3271,"&lt;="&amp;Q529,$N$6:$N$3271,Calendar!$K$4),"")</f>
        <v/>
      </c>
      <c r="W529" s="44">
        <f>IF(AND(B529=Queue!$C$4,OR(Queue!$K$4="*",N529=Queue!$K$4)),Q529,"")</f>
        <v/>
      </c>
    </row>
    <row r="530">
      <c r="A530" s="35">
        <f>IF(M530="","",HYPERLINK("https://www.youtube.com/watch?v="&amp;M530,"▶"))</f>
        <v/>
      </c>
      <c r="B530" s="36">
        <f>IF(C530&lt;&gt;"",C530,IF(P530&lt;=IFERROR(INDEX(tblChannels[Watched Through],MATCH(N530,tblChannels[Channel ID],0)),0),"Watched","Unwatched"))</f>
        <v/>
      </c>
      <c r="C530" s="37" t="n"/>
      <c r="D530" s="38" t="n"/>
      <c r="E530" s="39" t="n">
        <v>45576.41666666666</v>
      </c>
      <c r="F530" s="40" t="inlineStr">
        <is>
          <t>Popcorn Culture</t>
        </is>
      </c>
      <c r="G530" t="inlineStr">
        <is>
          <t>How to Argue Properly | Popcorn Culture</t>
        </is>
      </c>
      <c r="H530" s="41" t="n">
        <v>0.04783564814814815</v>
      </c>
      <c r="I530" s="42" t="n">
        <v>3683</v>
      </c>
      <c r="J530" s="42" t="n">
        <v>192</v>
      </c>
      <c r="K530" s="42" t="n">
        <v>27</v>
      </c>
      <c r="L530" s="43" t="n"/>
      <c r="M530" s="44" t="n"/>
      <c r="N530" s="44" t="inlineStr">
        <is>
          <t>UCHfIbq9thHPC8yrKjAdJgDA</t>
        </is>
      </c>
      <c r="O530" s="45" t="n">
        <v>45576.58333333334</v>
      </c>
      <c r="P530" s="46" t="n">
        <v>45576</v>
      </c>
      <c r="Q530" s="44" t="n">
        <v>2742</v>
      </c>
      <c r="R530" s="44" t="inlineStr">
        <is>
          <t>No Video ID yet</t>
        </is>
      </c>
      <c r="S530" s="46" t="n"/>
      <c r="T530" s="46" t="n"/>
      <c r="U530" s="44" t="n"/>
      <c r="V530" s="44">
        <f>IF(AND(P530&gt;=Calendar!$K$2,P530&lt;EDATE(Calendar!$K$2,1),OR(Calendar!$K$4="*",N530=Calendar!$K$4)),P530*100+COUNTIFS($P$6:$P$3271,P530,$Q$6:$Q$3271,"&lt;="&amp;Q530,$N$6:$N$3271,Calendar!$K$4),"")</f>
        <v/>
      </c>
      <c r="W530" s="44">
        <f>IF(AND(B530=Queue!$C$4,OR(Queue!$K$4="*",N530=Queue!$K$4)),Q530,"")</f>
        <v/>
      </c>
    </row>
    <row r="531">
      <c r="A531" s="35">
        <f>IF(M531="","",HYPERLINK("https://www.youtube.com/watch?v="&amp;M531,"▶"))</f>
        <v/>
      </c>
      <c r="B531" s="36">
        <f>IF(C531&lt;&gt;"",C531,IF(P531&lt;=IFERROR(INDEX(tblChannels[Watched Through],MATCH(N531,tblChannels[Channel ID],0)),0),"Watched","Unwatched"))</f>
        <v/>
      </c>
      <c r="C531" s="37" t="n"/>
      <c r="D531" s="38" t="n"/>
      <c r="E531" s="39" t="n">
        <v>45575.70833333334</v>
      </c>
      <c r="F531" s="48" t="inlineStr">
        <is>
          <t>Through The Griffin Door</t>
        </is>
      </c>
      <c r="G531" t="inlineStr">
        <is>
          <t>Live In Seattle - Chapter 18: Moony, Wormtail, Padfoot and Prongs | Prisoner of Azkaban</t>
        </is>
      </c>
      <c r="H531" s="41" t="n">
        <v>0.03482638888888889</v>
      </c>
      <c r="I531" s="42" t="n">
        <v>13812</v>
      </c>
      <c r="J531" s="42" t="n">
        <v>674</v>
      </c>
      <c r="K531" s="42" t="n">
        <v>117</v>
      </c>
      <c r="L531" s="43" t="n"/>
      <c r="M531" s="44" t="n"/>
      <c r="N531" s="44" t="inlineStr">
        <is>
          <t>UCEscP6ETYXWSSvsNrDHekMQ</t>
        </is>
      </c>
      <c r="O531" s="45" t="n">
        <v>45575.875</v>
      </c>
      <c r="P531" s="46" t="n">
        <v>45575</v>
      </c>
      <c r="Q531" s="44" t="n">
        <v>2741</v>
      </c>
      <c r="R531" s="44" t="inlineStr">
        <is>
          <t>No Video ID yet</t>
        </is>
      </c>
      <c r="S531" s="46" t="n"/>
      <c r="T531" s="46" t="n"/>
      <c r="U531" s="44" t="n"/>
      <c r="V531" s="44">
        <f>IF(AND(P531&gt;=Calendar!$K$2,P531&lt;EDATE(Calendar!$K$2,1),OR(Calendar!$K$4="*",N531=Calendar!$K$4)),P531*100+COUNTIFS($P$6:$P$3271,P531,$Q$6:$Q$3271,"&lt;="&amp;Q531,$N$6:$N$3271,Calendar!$K$4),"")</f>
        <v/>
      </c>
      <c r="W531" s="44">
        <f>IF(AND(B531=Queue!$C$4,OR(Queue!$K$4="*",N531=Queue!$K$4)),Q531,"")</f>
        <v/>
      </c>
    </row>
    <row r="532">
      <c r="A532" s="35">
        <f>IF(M532="","",HYPERLINK("https://www.youtube.com/watch?v="&amp;M532,"▶"))</f>
        <v/>
      </c>
      <c r="B532" s="36">
        <f>IF(C532&lt;&gt;"",C532,IF(P532&lt;=IFERROR(INDEX(tblChannels[Watched Through],MATCH(N532,tblChannels[Channel ID],0)),0),"Watched","Unwatched"))</f>
        <v/>
      </c>
      <c r="C532" s="37" t="n"/>
      <c r="D532" s="38" t="n"/>
      <c r="E532" s="39" t="n">
        <v>45574.71041666667</v>
      </c>
      <c r="F532" s="47" t="inlineStr">
        <is>
          <t>Super Carlin Brothers</t>
        </is>
      </c>
      <c r="G532" t="inlineStr">
        <is>
          <t>Hogwarts Brain Brawl: J vs Ben vs MagicByMikaila | Harry Potter Trivia</t>
        </is>
      </c>
      <c r="H532" s="41" t="n">
        <v>0.03280092592592593</v>
      </c>
      <c r="I532" s="42" t="n">
        <v>129371</v>
      </c>
      <c r="J532" s="42" t="n">
        <v>4871</v>
      </c>
      <c r="K532" s="42" t="n">
        <v>790</v>
      </c>
      <c r="L532" s="43" t="n"/>
      <c r="M532" s="44" t="n"/>
      <c r="N532" s="44" t="inlineStr">
        <is>
          <t>UCKZo4N0lVPccBkSiuyVh4yg</t>
        </is>
      </c>
      <c r="O532" s="45" t="n">
        <v>45574.87708333333</v>
      </c>
      <c r="P532" s="46" t="n">
        <v>45574</v>
      </c>
      <c r="Q532" s="44" t="n">
        <v>2740</v>
      </c>
      <c r="R532" s="44" t="inlineStr">
        <is>
          <t>No Video ID yet</t>
        </is>
      </c>
      <c r="S532" s="46" t="n"/>
      <c r="T532" s="46" t="n"/>
      <c r="U532" s="44" t="n"/>
      <c r="V532" s="44">
        <f>IF(AND(P532&gt;=Calendar!$K$2,P532&lt;EDATE(Calendar!$K$2,1),OR(Calendar!$K$4="*",N532=Calendar!$K$4)),P532*100+COUNTIFS($P$6:$P$3271,P532,$Q$6:$Q$3271,"&lt;="&amp;Q532,$N$6:$N$3271,Calendar!$K$4),"")</f>
        <v/>
      </c>
      <c r="W532" s="44">
        <f>IF(AND(B532=Queue!$C$4,OR(Queue!$K$4="*",N532=Queue!$K$4)),Q532,"")</f>
        <v/>
      </c>
    </row>
    <row r="533">
      <c r="A533" s="35">
        <f>IF(M533="","",HYPERLINK("https://www.youtube.com/watch?v="&amp;M533,"▶"))</f>
        <v/>
      </c>
      <c r="B533" s="36">
        <f>IF(C533&lt;&gt;"",C533,IF(P533&lt;=IFERROR(INDEX(tblChannels[Watched Through],MATCH(N533,tblChannels[Channel ID],0)),0),"Watched","Unwatched"))</f>
        <v/>
      </c>
      <c r="C533" s="37" t="n"/>
      <c r="D533" s="38" t="n"/>
      <c r="E533" s="39" t="n">
        <v>45571.41666666666</v>
      </c>
      <c r="F533" s="48" t="inlineStr">
        <is>
          <t>Through The Griffin Door</t>
        </is>
      </c>
      <c r="G533" t="inlineStr">
        <is>
          <t>Chapter 18: Moony, Wormtail, Padfoot and Prongs | Prisoner of Azkaban</t>
        </is>
      </c>
      <c r="H533" s="41" t="n">
        <v>0.05701388888888889</v>
      </c>
      <c r="I533" s="42" t="n">
        <v>56985</v>
      </c>
      <c r="J533" s="42" t="n">
        <v>1869</v>
      </c>
      <c r="K533" s="42" t="n">
        <v>540</v>
      </c>
      <c r="L533" s="43" t="n"/>
      <c r="M533" s="44" t="n"/>
      <c r="N533" s="44" t="inlineStr">
        <is>
          <t>UCEscP6ETYXWSSvsNrDHekMQ</t>
        </is>
      </c>
      <c r="O533" s="45" t="n">
        <v>45571.58333333334</v>
      </c>
      <c r="P533" s="46" t="n">
        <v>45571</v>
      </c>
      <c r="Q533" s="44" t="n">
        <v>2739</v>
      </c>
      <c r="R533" s="44" t="inlineStr">
        <is>
          <t>No Video ID yet</t>
        </is>
      </c>
      <c r="S533" s="46" t="n"/>
      <c r="T533" s="46" t="n"/>
      <c r="U533" s="44" t="n"/>
      <c r="V533" s="44">
        <f>IF(AND(P533&gt;=Calendar!$K$2,P533&lt;EDATE(Calendar!$K$2,1),OR(Calendar!$K$4="*",N533=Calendar!$K$4)),P533*100+COUNTIFS($P$6:$P$3271,P533,$Q$6:$Q$3271,"&lt;="&amp;Q533,$N$6:$N$3271,Calendar!$K$4),"")</f>
        <v/>
      </c>
      <c r="W533" s="44">
        <f>IF(AND(B533=Queue!$C$4,OR(Queue!$K$4="*",N533=Queue!$K$4)),Q533,"")</f>
        <v/>
      </c>
    </row>
    <row r="534">
      <c r="A534" s="35">
        <f>IF(M534="","",HYPERLINK("https://www.youtube.com/watch?v="&amp;M534,"▶"))</f>
        <v/>
      </c>
      <c r="B534" s="36">
        <f>IF(C534&lt;&gt;"",C534,IF(P534&lt;=IFERROR(INDEX(tblChannels[Watched Through],MATCH(N534,tblChannels[Channel ID],0)),0),"Watched","Unwatched"))</f>
        <v/>
      </c>
      <c r="C534" s="37" t="n"/>
      <c r="D534" s="38" t="n"/>
      <c r="E534" s="39" t="n">
        <v>45570.41666666666</v>
      </c>
      <c r="F534" s="40" t="inlineStr">
        <is>
          <t>Popcorn Culture</t>
        </is>
      </c>
      <c r="G534" t="inlineStr">
        <is>
          <t>Griffin Tour in a Nutshell | Popcorn Culture</t>
        </is>
      </c>
      <c r="H534" s="41" t="n">
        <v>0.05318287037037037</v>
      </c>
      <c r="I534" s="42" t="n">
        <v>3891</v>
      </c>
      <c r="J534" s="42" t="n">
        <v>220</v>
      </c>
      <c r="K534" s="42" t="n">
        <v>31</v>
      </c>
      <c r="L534" s="43" t="n"/>
      <c r="M534" s="44" t="n"/>
      <c r="N534" s="44" t="inlineStr">
        <is>
          <t>UCHfIbq9thHPC8yrKjAdJgDA</t>
        </is>
      </c>
      <c r="O534" s="45" t="n">
        <v>45570.58333333334</v>
      </c>
      <c r="P534" s="46" t="n">
        <v>45570</v>
      </c>
      <c r="Q534" s="44" t="n">
        <v>2738</v>
      </c>
      <c r="R534" s="44" t="inlineStr">
        <is>
          <t>No Video ID yet</t>
        </is>
      </c>
      <c r="S534" s="46" t="n"/>
      <c r="T534" s="46" t="n"/>
      <c r="U534" s="44" t="n"/>
      <c r="V534" s="44">
        <f>IF(AND(P534&gt;=Calendar!$K$2,P534&lt;EDATE(Calendar!$K$2,1),OR(Calendar!$K$4="*",N534=Calendar!$K$4)),P534*100+COUNTIFS($P$6:$P$3271,P534,$Q$6:$Q$3271,"&lt;="&amp;Q534,$N$6:$N$3271,Calendar!$K$4),"")</f>
        <v/>
      </c>
      <c r="W534" s="44">
        <f>IF(AND(B534=Queue!$C$4,OR(Queue!$K$4="*",N534=Queue!$K$4)),Q534,"")</f>
        <v/>
      </c>
    </row>
    <row r="535">
      <c r="A535" s="35">
        <f>IF(M535="","",HYPERLINK("https://www.youtube.com/watch?v="&amp;M535,"▶"))</f>
        <v/>
      </c>
      <c r="B535" s="36">
        <f>IF(C535&lt;&gt;"",C535,IF(P535&lt;=IFERROR(INDEX(tblChannels[Watched Through],MATCH(N535,tblChannels[Channel ID],0)),0),"Watched","Unwatched"))</f>
        <v/>
      </c>
      <c r="C535" s="37" t="n"/>
      <c r="D535" s="38" t="n"/>
      <c r="E535" s="39" t="n">
        <v>45569.68819444445</v>
      </c>
      <c r="F535" s="47" t="inlineStr">
        <is>
          <t>Super Carlin Brothers</t>
        </is>
      </c>
      <c r="G535" t="inlineStr">
        <is>
          <t>Death Is A DEMENTOR | Harry Potter Film Theory</t>
        </is>
      </c>
      <c r="H535" s="41" t="n">
        <v>0.01138888888888889</v>
      </c>
      <c r="I535" s="42" t="n">
        <v>182659</v>
      </c>
      <c r="J535" s="42" t="n">
        <v>7868</v>
      </c>
      <c r="K535" s="42" t="n">
        <v>849</v>
      </c>
      <c r="L535" s="43" t="n"/>
      <c r="M535" s="44" t="n"/>
      <c r="N535" s="44" t="inlineStr">
        <is>
          <t>UCKZo4N0lVPccBkSiuyVh4yg</t>
        </is>
      </c>
      <c r="O535" s="45" t="n">
        <v>45569.85486111111</v>
      </c>
      <c r="P535" s="46" t="n">
        <v>45569</v>
      </c>
      <c r="Q535" s="44" t="n">
        <v>2737</v>
      </c>
      <c r="R535" s="44" t="inlineStr">
        <is>
          <t>No Video ID yet</t>
        </is>
      </c>
      <c r="S535" s="46" t="n"/>
      <c r="T535" s="46" t="n"/>
      <c r="U535" s="44" t="n"/>
      <c r="V535" s="44">
        <f>IF(AND(P535&gt;=Calendar!$K$2,P535&lt;EDATE(Calendar!$K$2,1),OR(Calendar!$K$4="*",N535=Calendar!$K$4)),P535*100+COUNTIFS($P$6:$P$3271,P535,$Q$6:$Q$3271,"&lt;="&amp;Q535,$N$6:$N$3271,Calendar!$K$4),"")</f>
        <v/>
      </c>
      <c r="W535" s="44">
        <f>IF(AND(B535=Queue!$C$4,OR(Queue!$K$4="*",N535=Queue!$K$4)),Q535,"")</f>
        <v/>
      </c>
    </row>
    <row r="536">
      <c r="A536" s="35">
        <f>IF(M536="","",HYPERLINK("https://www.youtube.com/watch?v="&amp;M536,"▶"))</f>
        <v/>
      </c>
      <c r="B536" s="36">
        <f>IF(C536&lt;&gt;"",C536,IF(P536&lt;=IFERROR(INDEX(tblChannels[Watched Through],MATCH(N536,tblChannels[Channel ID],0)),0),"Watched","Unwatched"))</f>
        <v/>
      </c>
      <c r="C536" s="37" t="n"/>
      <c r="D536" s="38" t="n"/>
      <c r="E536" s="39" t="n">
        <v>45568.775</v>
      </c>
      <c r="F536" s="47" t="inlineStr">
        <is>
          <t>Super Carlin Brothers</t>
        </is>
      </c>
      <c r="G536" t="inlineStr">
        <is>
          <t>We Rank EVERY Harry Potter Hero | Harry Potter Film Theory</t>
        </is>
      </c>
      <c r="H536" s="41" t="n">
        <v>0.0574537037037037</v>
      </c>
      <c r="I536" s="42" t="n">
        <v>232404</v>
      </c>
      <c r="J536" s="42" t="n">
        <v>5137</v>
      </c>
      <c r="K536" s="42" t="n">
        <v>1056</v>
      </c>
      <c r="L536" s="43" t="n"/>
      <c r="M536" s="44" t="n"/>
      <c r="N536" s="44" t="inlineStr">
        <is>
          <t>UCKZo4N0lVPccBkSiuyVh4yg</t>
        </is>
      </c>
      <c r="O536" s="45" t="n">
        <v>45568.94166666667</v>
      </c>
      <c r="P536" s="46" t="n">
        <v>45568</v>
      </c>
      <c r="Q536" s="44" t="n">
        <v>2736</v>
      </c>
      <c r="R536" s="44" t="inlineStr">
        <is>
          <t>No Video ID yet</t>
        </is>
      </c>
      <c r="S536" s="46" t="n"/>
      <c r="T536" s="46" t="n"/>
      <c r="U536" s="44" t="n"/>
      <c r="V536" s="44">
        <f>IF(AND(P536&gt;=Calendar!$K$2,P536&lt;EDATE(Calendar!$K$2,1),OR(Calendar!$K$4="*",N536=Calendar!$K$4)),P536*100+COUNTIFS($P$6:$P$3271,P536,$Q$6:$Q$3271,"&lt;="&amp;Q536,$N$6:$N$3271,Calendar!$K$4),"")</f>
        <v/>
      </c>
      <c r="W536" s="44">
        <f>IF(AND(B536=Queue!$C$4,OR(Queue!$K$4="*",N536=Queue!$K$4)),Q536,"")</f>
        <v/>
      </c>
    </row>
    <row r="537">
      <c r="A537" s="35">
        <f>IF(M537="","",HYPERLINK("https://www.youtube.com/watch?v="&amp;M537,"▶"))</f>
        <v/>
      </c>
      <c r="B537" s="36">
        <f>IF(C537&lt;&gt;"",C537,IF(P537&lt;=IFERROR(INDEX(tblChannels[Watched Through],MATCH(N537,tblChannels[Channel ID],0)),0),"Watched","Unwatched"))</f>
        <v/>
      </c>
      <c r="C537" s="37" t="n"/>
      <c r="D537" s="38" t="n"/>
      <c r="E537" s="39" t="n">
        <v>45568.625</v>
      </c>
      <c r="F537" s="48" t="inlineStr">
        <is>
          <t>Through The Griffin Door</t>
        </is>
      </c>
      <c r="G537" t="inlineStr">
        <is>
          <t>LIVE IN SEATTLE - Chapter 17: Cat, Rat and Dog | Prisoner of Azkaban</t>
        </is>
      </c>
      <c r="H537" s="41" t="n">
        <v>0.04017361111111111</v>
      </c>
      <c r="I537" s="42" t="n">
        <v>21339</v>
      </c>
      <c r="J537" s="42" t="n">
        <v>1029</v>
      </c>
      <c r="K537" s="42" t="n">
        <v>186</v>
      </c>
      <c r="L537" s="43" t="n"/>
      <c r="M537" s="44" t="n"/>
      <c r="N537" s="44" t="inlineStr">
        <is>
          <t>UCEscP6ETYXWSSvsNrDHekMQ</t>
        </is>
      </c>
      <c r="O537" s="45" t="n">
        <v>45568.79166666666</v>
      </c>
      <c r="P537" s="46" t="n">
        <v>45568</v>
      </c>
      <c r="Q537" s="44" t="n">
        <v>2735</v>
      </c>
      <c r="R537" s="44" t="inlineStr">
        <is>
          <t>No Video ID yet</t>
        </is>
      </c>
      <c r="S537" s="46" t="n"/>
      <c r="T537" s="46" t="n"/>
      <c r="U537" s="44" t="n"/>
      <c r="V537" s="44">
        <f>IF(AND(P537&gt;=Calendar!$K$2,P537&lt;EDATE(Calendar!$K$2,1),OR(Calendar!$K$4="*",N537=Calendar!$K$4)),P537*100+COUNTIFS($P$6:$P$3271,P537,$Q$6:$Q$3271,"&lt;="&amp;Q537,$N$6:$N$3271,Calendar!$K$4),"")</f>
        <v/>
      </c>
      <c r="W537" s="44">
        <f>IF(AND(B537=Queue!$C$4,OR(Queue!$K$4="*",N537=Queue!$K$4)),Q537,"")</f>
        <v/>
      </c>
    </row>
    <row r="538">
      <c r="A538" s="35">
        <f>IF(M538="","",HYPERLINK("https://www.youtube.com/watch?v="&amp;M538,"▶"))</f>
        <v/>
      </c>
      <c r="B538" s="36">
        <f>IF(C538&lt;&gt;"",C538,IF(P538&lt;=IFERROR(INDEX(tblChannels[Watched Through],MATCH(N538,tblChannels[Channel ID],0)),0),"Watched","Unwatched"))</f>
        <v/>
      </c>
      <c r="C538" s="37" t="n"/>
      <c r="D538" s="38" t="n"/>
      <c r="E538" s="39" t="n">
        <v>45564.41666666666</v>
      </c>
      <c r="F538" s="48" t="inlineStr">
        <is>
          <t>Through The Griffin Door</t>
        </is>
      </c>
      <c r="G538" t="inlineStr">
        <is>
          <t>Chapter 17: Cat, Rat and Dog | Prisoner of Azkaban</t>
        </is>
      </c>
      <c r="H538" s="41" t="n">
        <v>0.05689814814814815</v>
      </c>
      <c r="I538" s="42" t="n">
        <v>58767</v>
      </c>
      <c r="J538" s="42" t="n">
        <v>1823</v>
      </c>
      <c r="K538" s="42" t="n">
        <v>558</v>
      </c>
      <c r="L538" s="43" t="n"/>
      <c r="M538" s="44" t="n"/>
      <c r="N538" s="44" t="inlineStr">
        <is>
          <t>UCEscP6ETYXWSSvsNrDHekMQ</t>
        </is>
      </c>
      <c r="O538" s="45" t="n">
        <v>45564.58333333334</v>
      </c>
      <c r="P538" s="46" t="n">
        <v>45564</v>
      </c>
      <c r="Q538" s="44" t="n">
        <v>2734</v>
      </c>
      <c r="R538" s="44" t="inlineStr">
        <is>
          <t>No Video ID yet</t>
        </is>
      </c>
      <c r="S538" s="46" t="n"/>
      <c r="T538" s="46" t="n"/>
      <c r="U538" s="44" t="n"/>
      <c r="V538" s="44">
        <f>IF(AND(P538&gt;=Calendar!$K$2,P538&lt;EDATE(Calendar!$K$2,1),OR(Calendar!$K$4="*",N538=Calendar!$K$4)),P538*100+COUNTIFS($P$6:$P$3271,P538,$Q$6:$Q$3271,"&lt;="&amp;Q538,$N$6:$N$3271,Calendar!$K$4),"")</f>
        <v/>
      </c>
      <c r="W538" s="44">
        <f>IF(AND(B538=Queue!$C$4,OR(Queue!$K$4="*",N538=Queue!$K$4)),Q538,"")</f>
        <v/>
      </c>
    </row>
    <row r="539">
      <c r="A539" s="35">
        <f>IF(M539="","",HYPERLINK("https://www.youtube.com/watch?v="&amp;M539,"▶"))</f>
        <v/>
      </c>
      <c r="B539" s="36">
        <f>IF(C539&lt;&gt;"",C539,IF(P539&lt;=IFERROR(INDEX(tblChannels[Watched Through],MATCH(N539,tblChannels[Channel ID],0)),0),"Watched","Unwatched"))</f>
        <v/>
      </c>
      <c r="C539" s="37" t="n"/>
      <c r="D539" s="38" t="n"/>
      <c r="E539" s="39" t="n">
        <v>45562.62569444445</v>
      </c>
      <c r="F539" s="47" t="inlineStr">
        <is>
          <t>Super Carlin Brothers</t>
        </is>
      </c>
      <c r="G539" t="inlineStr">
        <is>
          <t>The SECRET Origin Of The Diary | Harry Potter Film Theory</t>
        </is>
      </c>
      <c r="H539" s="41" t="n">
        <v>0.01033564814814815</v>
      </c>
      <c r="I539" s="42" t="n">
        <v>106791</v>
      </c>
      <c r="J539" s="42" t="n">
        <v>5457</v>
      </c>
      <c r="K539" s="42" t="n">
        <v>594</v>
      </c>
      <c r="L539" s="43" t="n"/>
      <c r="M539" s="44" t="n"/>
      <c r="N539" s="44" t="inlineStr">
        <is>
          <t>UCKZo4N0lVPccBkSiuyVh4yg</t>
        </is>
      </c>
      <c r="O539" s="45" t="n">
        <v>45562.79236111111</v>
      </c>
      <c r="P539" s="46" t="n">
        <v>45562</v>
      </c>
      <c r="Q539" s="44" t="n">
        <v>2733</v>
      </c>
      <c r="R539" s="44" t="inlineStr">
        <is>
          <t>No Video ID yet</t>
        </is>
      </c>
      <c r="S539" s="46" t="n"/>
      <c r="T539" s="46" t="n"/>
      <c r="U539" s="44" t="n"/>
      <c r="V539" s="44">
        <f>IF(AND(P539&gt;=Calendar!$K$2,P539&lt;EDATE(Calendar!$K$2,1),OR(Calendar!$K$4="*",N539=Calendar!$K$4)),P539*100+COUNTIFS($P$6:$P$3271,P539,$Q$6:$Q$3271,"&lt;="&amp;Q539,$N$6:$N$3271,Calendar!$K$4),"")</f>
        <v/>
      </c>
      <c r="W539" s="44">
        <f>IF(AND(B539=Queue!$C$4,OR(Queue!$K$4="*",N539=Queue!$K$4)),Q539,"")</f>
        <v/>
      </c>
    </row>
    <row r="540">
      <c r="A540" s="35">
        <f>IF(M540="","",HYPERLINK("https://www.youtube.com/watch?v="&amp;M540,"▶"))</f>
        <v/>
      </c>
      <c r="B540" s="36">
        <f>IF(C540&lt;&gt;"",C540,IF(P540&lt;=IFERROR(INDEX(tblChannels[Watched Through],MATCH(N540,tblChannels[Channel ID],0)),0),"Watched","Unwatched"))</f>
        <v/>
      </c>
      <c r="C540" s="37" t="n"/>
      <c r="D540" s="38" t="n"/>
      <c r="E540" s="39" t="n">
        <v>45562.41666666666</v>
      </c>
      <c r="F540" s="40" t="inlineStr">
        <is>
          <t>Popcorn Culture</t>
        </is>
      </c>
      <c r="G540" t="inlineStr">
        <is>
          <t>The Nuances of Air Quotes | Popcorn Culture</t>
        </is>
      </c>
      <c r="H540" s="41" t="n">
        <v>0.0502662037037037</v>
      </c>
      <c r="I540" s="42" t="n">
        <v>3633</v>
      </c>
      <c r="J540" s="42" t="n">
        <v>189</v>
      </c>
      <c r="K540" s="42" t="n">
        <v>28</v>
      </c>
      <c r="L540" s="43" t="n"/>
      <c r="M540" s="44" t="n"/>
      <c r="N540" s="44" t="inlineStr">
        <is>
          <t>UCHfIbq9thHPC8yrKjAdJgDA</t>
        </is>
      </c>
      <c r="O540" s="45" t="n">
        <v>45562.58333333334</v>
      </c>
      <c r="P540" s="46" t="n">
        <v>45562</v>
      </c>
      <c r="Q540" s="44" t="n">
        <v>2732</v>
      </c>
      <c r="R540" s="44" t="inlineStr">
        <is>
          <t>No Video ID yet</t>
        </is>
      </c>
      <c r="S540" s="46" t="n"/>
      <c r="T540" s="46" t="n"/>
      <c r="U540" s="44" t="n"/>
      <c r="V540" s="44">
        <f>IF(AND(P540&gt;=Calendar!$K$2,P540&lt;EDATE(Calendar!$K$2,1),OR(Calendar!$K$4="*",N540=Calendar!$K$4)),P540*100+COUNTIFS($P$6:$P$3271,P540,$Q$6:$Q$3271,"&lt;="&amp;Q540,$N$6:$N$3271,Calendar!$K$4),"")</f>
        <v/>
      </c>
      <c r="W540" s="44">
        <f>IF(AND(B540=Queue!$C$4,OR(Queue!$K$4="*",N540=Queue!$K$4)),Q540,"")</f>
        <v/>
      </c>
    </row>
    <row r="541">
      <c r="A541" s="35">
        <f>IF(M541="","",HYPERLINK("https://www.youtube.com/watch?v="&amp;M541,"▶"))</f>
        <v/>
      </c>
      <c r="B541" s="36">
        <f>IF(C541&lt;&gt;"",C541,IF(P541&lt;=IFERROR(INDEX(tblChannels[Watched Through],MATCH(N541,tblChannels[Channel ID],0)),0),"Watched","Unwatched"))</f>
        <v/>
      </c>
      <c r="C541" s="37" t="n"/>
      <c r="D541" s="38" t="n"/>
      <c r="E541" s="39" t="n">
        <v>45560.625</v>
      </c>
      <c r="F541" s="47" t="inlineStr">
        <is>
          <t>Super Carlin Brothers</t>
        </is>
      </c>
      <c r="G541" t="inlineStr">
        <is>
          <t>J vs Ben: We FACE OFF in the HARDEST Harry Potter Dobby TRIVIA Quiz</t>
        </is>
      </c>
      <c r="H541" s="41" t="n">
        <v>0.03009259259259259</v>
      </c>
      <c r="I541" s="42" t="n">
        <v>140326</v>
      </c>
      <c r="J541" s="42" t="n">
        <v>4652</v>
      </c>
      <c r="K541" s="42" t="n">
        <v>745</v>
      </c>
      <c r="L541" s="43" t="n"/>
      <c r="M541" s="44" t="n"/>
      <c r="N541" s="44" t="inlineStr">
        <is>
          <t>UCKZo4N0lVPccBkSiuyVh4yg</t>
        </is>
      </c>
      <c r="O541" s="45" t="n">
        <v>45560.79166666666</v>
      </c>
      <c r="P541" s="46" t="n">
        <v>45560</v>
      </c>
      <c r="Q541" s="44" t="n">
        <v>2731</v>
      </c>
      <c r="R541" s="44" t="inlineStr">
        <is>
          <t>No Video ID yet</t>
        </is>
      </c>
      <c r="S541" s="46" t="n"/>
      <c r="T541" s="46" t="n"/>
      <c r="U541" s="44" t="n"/>
      <c r="V541" s="44">
        <f>IF(AND(P541&gt;=Calendar!$K$2,P541&lt;EDATE(Calendar!$K$2,1),OR(Calendar!$K$4="*",N541=Calendar!$K$4)),P541*100+COUNTIFS($P$6:$P$3271,P541,$Q$6:$Q$3271,"&lt;="&amp;Q541,$N$6:$N$3271,Calendar!$K$4),"")</f>
        <v/>
      </c>
      <c r="W541" s="44">
        <f>IF(AND(B541=Queue!$C$4,OR(Queue!$K$4="*",N541=Queue!$K$4)),Q541,"")</f>
        <v/>
      </c>
    </row>
    <row r="542">
      <c r="A542" s="35">
        <f>IF(M542="","",HYPERLINK("https://www.youtube.com/watch?v="&amp;M542,"▶"))</f>
        <v/>
      </c>
      <c r="B542" s="36">
        <f>IF(C542&lt;&gt;"",C542,IF(P542&lt;=IFERROR(INDEX(tblChannels[Watched Through],MATCH(N542,tblChannels[Channel ID],0)),0),"Watched","Unwatched"))</f>
        <v/>
      </c>
      <c r="C542" s="37" t="n"/>
      <c r="D542" s="38" t="n"/>
      <c r="E542" s="39" t="n">
        <v>45557.41666666666</v>
      </c>
      <c r="F542" s="48" t="inlineStr">
        <is>
          <t>Through The Griffin Door</t>
        </is>
      </c>
      <c r="G542" t="inlineStr">
        <is>
          <t>Chapter 16: Professor Trelawney’s Prediction | Prisoner of Azkaban</t>
        </is>
      </c>
      <c r="H542" s="41" t="n">
        <v>0.07467592592592592</v>
      </c>
      <c r="I542" s="42" t="n">
        <v>68058</v>
      </c>
      <c r="J542" s="42" t="n">
        <v>1865</v>
      </c>
      <c r="K542" s="42" t="n">
        <v>670</v>
      </c>
      <c r="L542" s="43" t="n"/>
      <c r="M542" s="44" t="n"/>
      <c r="N542" s="44" t="inlineStr">
        <is>
          <t>UCEscP6ETYXWSSvsNrDHekMQ</t>
        </is>
      </c>
      <c r="O542" s="45" t="n">
        <v>45557.58333333334</v>
      </c>
      <c r="P542" s="46" t="n">
        <v>45557</v>
      </c>
      <c r="Q542" s="44" t="n">
        <v>2730</v>
      </c>
      <c r="R542" s="44" t="inlineStr">
        <is>
          <t>No Video ID yet</t>
        </is>
      </c>
      <c r="S542" s="46" t="n"/>
      <c r="T542" s="46" t="n"/>
      <c r="U542" s="44" t="n"/>
      <c r="V542" s="44">
        <f>IF(AND(P542&gt;=Calendar!$K$2,P542&lt;EDATE(Calendar!$K$2,1),OR(Calendar!$K$4="*",N542=Calendar!$K$4)),P542*100+COUNTIFS($P$6:$P$3271,P542,$Q$6:$Q$3271,"&lt;="&amp;Q542,$N$6:$N$3271,Calendar!$K$4),"")</f>
        <v/>
      </c>
      <c r="W542" s="44">
        <f>IF(AND(B542=Queue!$C$4,OR(Queue!$K$4="*",N542=Queue!$K$4)),Q542,"")</f>
        <v/>
      </c>
    </row>
    <row r="543">
      <c r="A543" s="35">
        <f>IF(M543="","",HYPERLINK("https://www.youtube.com/watch?v="&amp;M543,"▶"))</f>
        <v/>
      </c>
      <c r="B543" s="36">
        <f>IF(C543&lt;&gt;"",C543,IF(P543&lt;=IFERROR(INDEX(tblChannels[Watched Through],MATCH(N543,tblChannels[Channel ID],0)),0),"Watched","Unwatched"))</f>
        <v/>
      </c>
      <c r="C543" s="37" t="n"/>
      <c r="D543" s="38" t="n"/>
      <c r="E543" s="39" t="n">
        <v>45556.41666666666</v>
      </c>
      <c r="F543" s="47" t="inlineStr">
        <is>
          <t>Super Carlin Brothers</t>
        </is>
      </c>
      <c r="G543" t="inlineStr">
        <is>
          <t>Through the Griffin Door Supercut: Prisoner of Azkaban Chapters 13-15</t>
        </is>
      </c>
      <c r="H543" s="41" t="n">
        <v>0.2022106481481482</v>
      </c>
      <c r="I543" s="42" t="n">
        <v>27992</v>
      </c>
      <c r="J543" s="42" t="n">
        <v>470</v>
      </c>
      <c r="K543" s="42" t="n">
        <v>108</v>
      </c>
      <c r="L543" s="43" t="n"/>
      <c r="M543" s="44" t="n"/>
      <c r="N543" s="44" t="inlineStr">
        <is>
          <t>UCKZo4N0lVPccBkSiuyVh4yg</t>
        </is>
      </c>
      <c r="O543" s="45" t="n">
        <v>45556.58333333334</v>
      </c>
      <c r="P543" s="46" t="n">
        <v>45556</v>
      </c>
      <c r="Q543" s="44" t="n">
        <v>2729</v>
      </c>
      <c r="R543" s="44" t="inlineStr">
        <is>
          <t>No Video ID yet</t>
        </is>
      </c>
      <c r="S543" s="46" t="n"/>
      <c r="T543" s="46" t="n"/>
      <c r="U543" s="44" t="n"/>
      <c r="V543" s="44">
        <f>IF(AND(P543&gt;=Calendar!$K$2,P543&lt;EDATE(Calendar!$K$2,1),OR(Calendar!$K$4="*",N543=Calendar!$K$4)),P543*100+COUNTIFS($P$6:$P$3271,P543,$Q$6:$Q$3271,"&lt;="&amp;Q543,$N$6:$N$3271,Calendar!$K$4),"")</f>
        <v/>
      </c>
      <c r="W543" s="44">
        <f>IF(AND(B543=Queue!$C$4,OR(Queue!$K$4="*",N543=Queue!$K$4)),Q543,"")</f>
        <v/>
      </c>
    </row>
    <row r="544">
      <c r="A544" s="35">
        <f>IF(M544="","",HYPERLINK("https://www.youtube.com/watch?v="&amp;M544,"▶"))</f>
        <v/>
      </c>
      <c r="B544" s="36">
        <f>IF(C544&lt;&gt;"",C544,IF(P544&lt;=IFERROR(INDEX(tblChannels[Watched Through],MATCH(N544,tblChannels[Channel ID],0)),0),"Watched","Unwatched"))</f>
        <v/>
      </c>
      <c r="C544" s="37" t="n"/>
      <c r="D544" s="38" t="n"/>
      <c r="E544" s="39" t="n">
        <v>45555.625</v>
      </c>
      <c r="F544" s="47" t="inlineStr">
        <is>
          <t>Super Carlin Brothers</t>
        </is>
      </c>
      <c r="G544" t="inlineStr">
        <is>
          <t>What if Ron Was In Hufflepuff? - Prisoner of Azkaban Part 4 | Harry Potter Film Theory</t>
        </is>
      </c>
      <c r="H544" s="41" t="n">
        <v>0.01613425925925926</v>
      </c>
      <c r="I544" s="42" t="n">
        <v>110985</v>
      </c>
      <c r="J544" s="42" t="n">
        <v>5222</v>
      </c>
      <c r="K544" s="42" t="n">
        <v>424</v>
      </c>
      <c r="L544" s="43" t="n"/>
      <c r="M544" s="44" t="n"/>
      <c r="N544" s="44" t="inlineStr">
        <is>
          <t>UCKZo4N0lVPccBkSiuyVh4yg</t>
        </is>
      </c>
      <c r="O544" s="45" t="n">
        <v>45555.79166666666</v>
      </c>
      <c r="P544" s="46" t="n">
        <v>45555</v>
      </c>
      <c r="Q544" s="44" t="n">
        <v>2728</v>
      </c>
      <c r="R544" s="44" t="inlineStr">
        <is>
          <t>No Video ID yet</t>
        </is>
      </c>
      <c r="S544" s="46" t="n"/>
      <c r="T544" s="46" t="n"/>
      <c r="U544" s="44" t="n"/>
      <c r="V544" s="44">
        <f>IF(AND(P544&gt;=Calendar!$K$2,P544&lt;EDATE(Calendar!$K$2,1),OR(Calendar!$K$4="*",N544=Calendar!$K$4)),P544*100+COUNTIFS($P$6:$P$3271,P544,$Q$6:$Q$3271,"&lt;="&amp;Q544,$N$6:$N$3271,Calendar!$K$4),"")</f>
        <v/>
      </c>
      <c r="W544" s="44">
        <f>IF(AND(B544=Queue!$C$4,OR(Queue!$K$4="*",N544=Queue!$K$4)),Q544,"")</f>
        <v/>
      </c>
    </row>
    <row r="545">
      <c r="A545" s="35">
        <f>IF(M545="","",HYPERLINK("https://www.youtube.com/watch?v="&amp;M545,"▶"))</f>
        <v/>
      </c>
      <c r="B545" s="36">
        <f>IF(C545&lt;&gt;"",C545,IF(P545&lt;=IFERROR(INDEX(tblChannels[Watched Through],MATCH(N545,tblChannels[Channel ID],0)),0),"Watched","Unwatched"))</f>
        <v/>
      </c>
      <c r="C545" s="37" t="n"/>
      <c r="D545" s="38" t="n"/>
      <c r="E545" s="39" t="n">
        <v>45555.41666666666</v>
      </c>
      <c r="F545" s="40" t="inlineStr">
        <is>
          <t>Popcorn Culture</t>
        </is>
      </c>
      <c r="G545" t="inlineStr">
        <is>
          <t>Our Worst Argument Ever! | Popcorn Culture</t>
        </is>
      </c>
      <c r="H545" s="41" t="n">
        <v>0.046875</v>
      </c>
      <c r="I545" s="42" t="n">
        <v>3787</v>
      </c>
      <c r="J545" s="42" t="n">
        <v>225</v>
      </c>
      <c r="K545" s="42" t="n">
        <v>49</v>
      </c>
      <c r="L545" s="43" t="n"/>
      <c r="M545" s="44" t="n"/>
      <c r="N545" s="44" t="inlineStr">
        <is>
          <t>UCHfIbq9thHPC8yrKjAdJgDA</t>
        </is>
      </c>
      <c r="O545" s="45" t="n">
        <v>45555.58333333334</v>
      </c>
      <c r="P545" s="46" t="n">
        <v>45555</v>
      </c>
      <c r="Q545" s="44" t="n">
        <v>2727</v>
      </c>
      <c r="R545" s="44" t="inlineStr">
        <is>
          <t>No Video ID yet</t>
        </is>
      </c>
      <c r="S545" s="46" t="n"/>
      <c r="T545" s="46" t="n"/>
      <c r="U545" s="44" t="n"/>
      <c r="V545" s="44">
        <f>IF(AND(P545&gt;=Calendar!$K$2,P545&lt;EDATE(Calendar!$K$2,1),OR(Calendar!$K$4="*",N545=Calendar!$K$4)),P545*100+COUNTIFS($P$6:$P$3271,P545,$Q$6:$Q$3271,"&lt;="&amp;Q545,$N$6:$N$3271,Calendar!$K$4),"")</f>
        <v/>
      </c>
      <c r="W545" s="44">
        <f>IF(AND(B545=Queue!$C$4,OR(Queue!$K$4="*",N545=Queue!$K$4)),Q545,"")</f>
        <v/>
      </c>
    </row>
    <row r="546">
      <c r="A546" s="35">
        <f>IF(M546="","",HYPERLINK("https://www.youtube.com/watch?v="&amp;M546,"▶"))</f>
        <v/>
      </c>
      <c r="B546" s="36">
        <f>IF(C546&lt;&gt;"",C546,IF(P546&lt;=IFERROR(INDEX(tblChannels[Watched Through],MATCH(N546,tblChannels[Channel ID],0)),0),"Watched","Unwatched"))</f>
        <v/>
      </c>
      <c r="C546" s="37" t="n"/>
      <c r="D546" s="38" t="n"/>
      <c r="E546" s="39" t="n">
        <v>45553.76388888889</v>
      </c>
      <c r="F546" s="47" t="inlineStr">
        <is>
          <t>Super Carlin Brothers</t>
        </is>
      </c>
      <c r="G546" t="inlineStr">
        <is>
          <t>We Ranked ALL 7 Harry Potter Books Best to Worst | Harry Potter Film Theory</t>
        </is>
      </c>
      <c r="H546" s="41" t="n">
        <v>0.06098379629629629</v>
      </c>
      <c r="I546" s="42" t="n">
        <v>505578</v>
      </c>
      <c r="J546" s="42" t="n">
        <v>10040</v>
      </c>
      <c r="K546" s="42" t="n">
        <v>1790</v>
      </c>
      <c r="L546" s="43" t="n"/>
      <c r="M546" s="44" t="n"/>
      <c r="N546" s="44" t="inlineStr">
        <is>
          <t>UCKZo4N0lVPccBkSiuyVh4yg</t>
        </is>
      </c>
      <c r="O546" s="45" t="n">
        <v>45553.93055555555</v>
      </c>
      <c r="P546" s="46" t="n">
        <v>45553</v>
      </c>
      <c r="Q546" s="44" t="n">
        <v>2726</v>
      </c>
      <c r="R546" s="44" t="inlineStr">
        <is>
          <t>No Video ID yet</t>
        </is>
      </c>
      <c r="S546" s="46" t="n"/>
      <c r="T546" s="46" t="n"/>
      <c r="U546" s="44" t="n"/>
      <c r="V546" s="44">
        <f>IF(AND(P546&gt;=Calendar!$K$2,P546&lt;EDATE(Calendar!$K$2,1),OR(Calendar!$K$4="*",N546=Calendar!$K$4)),P546*100+COUNTIFS($P$6:$P$3271,P546,$Q$6:$Q$3271,"&lt;="&amp;Q546,$N$6:$N$3271,Calendar!$K$4),"")</f>
        <v/>
      </c>
      <c r="W546" s="44">
        <f>IF(AND(B546=Queue!$C$4,OR(Queue!$K$4="*",N546=Queue!$K$4)),Q546,"")</f>
        <v/>
      </c>
    </row>
    <row r="547">
      <c r="A547" s="35">
        <f>IF(M547="","",HYPERLINK("https://www.youtube.com/watch?v="&amp;M547,"▶"))</f>
        <v/>
      </c>
      <c r="B547" s="36">
        <f>IF(C547&lt;&gt;"",C547,IF(P547&lt;=IFERROR(INDEX(tblChannels[Watched Through],MATCH(N547,tblChannels[Channel ID],0)),0),"Watched","Unwatched"))</f>
        <v/>
      </c>
      <c r="C547" s="37" t="n"/>
      <c r="D547" s="38" t="n"/>
      <c r="E547" s="39" t="n">
        <v>45550.41666666666</v>
      </c>
      <c r="F547" s="48" t="inlineStr">
        <is>
          <t>Through The Griffin Door</t>
        </is>
      </c>
      <c r="G547" t="inlineStr">
        <is>
          <t>Chapter 15: The Quidditch Final | Prisoner of Azkaban</t>
        </is>
      </c>
      <c r="H547" s="41" t="n">
        <v>0.06370370370370371</v>
      </c>
      <c r="I547" s="42" t="n">
        <v>64820</v>
      </c>
      <c r="J547" s="42" t="n">
        <v>1874</v>
      </c>
      <c r="K547" s="42" t="n">
        <v>517</v>
      </c>
      <c r="L547" s="43" t="n"/>
      <c r="M547" s="44" t="n"/>
      <c r="N547" s="44" t="inlineStr">
        <is>
          <t>UCEscP6ETYXWSSvsNrDHekMQ</t>
        </is>
      </c>
      <c r="O547" s="45" t="n">
        <v>45550.58333333334</v>
      </c>
      <c r="P547" s="46" t="n">
        <v>45550</v>
      </c>
      <c r="Q547" s="44" t="n">
        <v>2725</v>
      </c>
      <c r="R547" s="44" t="inlineStr">
        <is>
          <t>No Video ID yet</t>
        </is>
      </c>
      <c r="S547" s="46" t="n"/>
      <c r="T547" s="46" t="n"/>
      <c r="U547" s="44" t="n"/>
      <c r="V547" s="44">
        <f>IF(AND(P547&gt;=Calendar!$K$2,P547&lt;EDATE(Calendar!$K$2,1),OR(Calendar!$K$4="*",N547=Calendar!$K$4)),P547*100+COUNTIFS($P$6:$P$3271,P547,$Q$6:$Q$3271,"&lt;="&amp;Q547,$N$6:$N$3271,Calendar!$K$4),"")</f>
        <v/>
      </c>
      <c r="W547" s="44">
        <f>IF(AND(B547=Queue!$C$4,OR(Queue!$K$4="*",N547=Queue!$K$4)),Q547,"")</f>
        <v/>
      </c>
    </row>
    <row r="548">
      <c r="A548" s="35">
        <f>IF(M548="","",HYPERLINK("https://www.youtube.com/watch?v="&amp;M548,"▶"))</f>
        <v/>
      </c>
      <c r="B548" s="36">
        <f>IF(C548&lt;&gt;"",C548,IF(P548&lt;=IFERROR(INDEX(tblChannels[Watched Through],MATCH(N548,tblChannels[Channel ID],0)),0),"Watched","Unwatched"))</f>
        <v/>
      </c>
      <c r="C548" s="37" t="n"/>
      <c r="D548" s="38" t="n"/>
      <c r="E548" s="39" t="n">
        <v>45549.24097222222</v>
      </c>
      <c r="F548" s="49" t="inlineStr">
        <is>
          <t>Super Carlin Gaming</t>
        </is>
      </c>
      <c r="G548" t="inlineStr">
        <is>
          <t>Pokemon Box Breakers LIVE! SEPTEMBER 13, 2024</t>
        </is>
      </c>
      <c r="H548" s="41" t="n">
        <v>0.1275694444444445</v>
      </c>
      <c r="I548" s="42" t="n">
        <v>1378</v>
      </c>
      <c r="J548" s="42" t="n">
        <v>56</v>
      </c>
      <c r="K548" s="42" t="n">
        <v>10</v>
      </c>
      <c r="L548" s="43" t="n"/>
      <c r="M548" s="44" t="n"/>
      <c r="N548" s="44" t="inlineStr">
        <is>
          <t>UCor_9jRnNNZVzTuQ92PKsaQ</t>
        </is>
      </c>
      <c r="O548" s="45" t="n">
        <v>45549.40763888889</v>
      </c>
      <c r="P548" s="46" t="n">
        <v>45549</v>
      </c>
      <c r="Q548" s="44" t="n">
        <v>2724</v>
      </c>
      <c r="R548" s="44" t="inlineStr">
        <is>
          <t>No Video ID yet</t>
        </is>
      </c>
      <c r="S548" s="46" t="n"/>
      <c r="T548" s="46" t="n"/>
      <c r="U548" s="44" t="n"/>
      <c r="V548" s="44">
        <f>IF(AND(P548&gt;=Calendar!$K$2,P548&lt;EDATE(Calendar!$K$2,1),OR(Calendar!$K$4="*",N548=Calendar!$K$4)),P548*100+COUNTIFS($P$6:$P$3271,P548,$Q$6:$Q$3271,"&lt;="&amp;Q548,$N$6:$N$3271,Calendar!$K$4),"")</f>
        <v/>
      </c>
      <c r="W548" s="44">
        <f>IF(AND(B548=Queue!$C$4,OR(Queue!$K$4="*",N548=Queue!$K$4)),Q548,"")</f>
        <v/>
      </c>
    </row>
    <row r="549">
      <c r="A549" s="35">
        <f>IF(M549="","",HYPERLINK("https://www.youtube.com/watch?v="&amp;M549,"▶"))</f>
        <v/>
      </c>
      <c r="B549" s="36">
        <f>IF(C549&lt;&gt;"",C549,IF(P549&lt;=IFERROR(INDEX(tblChannels[Watched Through],MATCH(N549,tblChannels[Channel ID],0)),0),"Watched","Unwatched"))</f>
        <v/>
      </c>
      <c r="C549" s="37" t="n"/>
      <c r="D549" s="38" t="n"/>
      <c r="E549" s="39" t="n">
        <v>45548.71666666667</v>
      </c>
      <c r="F549" s="47" t="inlineStr">
        <is>
          <t>Super Carlin Brothers</t>
        </is>
      </c>
      <c r="G549" t="inlineStr">
        <is>
          <t>What If Ron Was In Hufflepuff - Prisoner of Azkaban | Harry Potter Film Theory</t>
        </is>
      </c>
      <c r="H549" s="41" t="n">
        <v>0.01616898148148148</v>
      </c>
      <c r="I549" s="42" t="n">
        <v>122377</v>
      </c>
      <c r="J549" s="42" t="n">
        <v>5023</v>
      </c>
      <c r="K549" s="42" t="n">
        <v>399</v>
      </c>
      <c r="L549" s="43" t="n"/>
      <c r="M549" s="44" t="n"/>
      <c r="N549" s="44" t="inlineStr">
        <is>
          <t>UCKZo4N0lVPccBkSiuyVh4yg</t>
        </is>
      </c>
      <c r="O549" s="45" t="n">
        <v>45548.88333333333</v>
      </c>
      <c r="P549" s="46" t="n">
        <v>45548</v>
      </c>
      <c r="Q549" s="44" t="n">
        <v>2723</v>
      </c>
      <c r="R549" s="44" t="inlineStr">
        <is>
          <t>No Video ID yet</t>
        </is>
      </c>
      <c r="S549" s="46" t="n"/>
      <c r="T549" s="46" t="n"/>
      <c r="U549" s="44" t="n"/>
      <c r="V549" s="44">
        <f>IF(AND(P549&gt;=Calendar!$K$2,P549&lt;EDATE(Calendar!$K$2,1),OR(Calendar!$K$4="*",N549=Calendar!$K$4)),P549*100+COUNTIFS($P$6:$P$3271,P549,$Q$6:$Q$3271,"&lt;="&amp;Q549,$N$6:$N$3271,Calendar!$K$4),"")</f>
        <v/>
      </c>
      <c r="W549" s="44">
        <f>IF(AND(B549=Queue!$C$4,OR(Queue!$K$4="*",N549=Queue!$K$4)),Q549,"")</f>
        <v/>
      </c>
    </row>
    <row r="550">
      <c r="A550" s="35">
        <f>IF(M550="","",HYPERLINK("https://www.youtube.com/watch?v="&amp;M550,"▶"))</f>
        <v/>
      </c>
      <c r="B550" s="36">
        <f>IF(C550&lt;&gt;"",C550,IF(P550&lt;=IFERROR(INDEX(tblChannels[Watched Through],MATCH(N550,tblChannels[Channel ID],0)),0),"Watched","Unwatched"))</f>
        <v/>
      </c>
      <c r="C550" s="37" t="n"/>
      <c r="D550" s="38" t="n"/>
      <c r="E550" s="39" t="n">
        <v>45548.41666666666</v>
      </c>
      <c r="F550" s="40" t="inlineStr">
        <is>
          <t>Popcorn Culture</t>
        </is>
      </c>
      <c r="G550" t="inlineStr">
        <is>
          <t>J’s Most Unhinged Episode | Popcorn Culture</t>
        </is>
      </c>
      <c r="H550" s="41" t="n">
        <v>0.0377662037037037</v>
      </c>
      <c r="I550" s="42" t="n">
        <v>3772</v>
      </c>
      <c r="J550" s="42" t="n">
        <v>207</v>
      </c>
      <c r="K550" s="42" t="n">
        <v>33</v>
      </c>
      <c r="L550" s="43" t="n"/>
      <c r="M550" s="44" t="n"/>
      <c r="N550" s="44" t="inlineStr">
        <is>
          <t>UCHfIbq9thHPC8yrKjAdJgDA</t>
        </is>
      </c>
      <c r="O550" s="45" t="n">
        <v>45548.58333333334</v>
      </c>
      <c r="P550" s="46" t="n">
        <v>45548</v>
      </c>
      <c r="Q550" s="44" t="n">
        <v>2722</v>
      </c>
      <c r="R550" s="44" t="inlineStr">
        <is>
          <t>No Video ID yet</t>
        </is>
      </c>
      <c r="S550" s="46" t="n"/>
      <c r="T550" s="46" t="n"/>
      <c r="U550" s="44" t="n"/>
      <c r="V550" s="44">
        <f>IF(AND(P550&gt;=Calendar!$K$2,P550&lt;EDATE(Calendar!$K$2,1),OR(Calendar!$K$4="*",N550=Calendar!$K$4)),P550*100+COUNTIFS($P$6:$P$3271,P550,$Q$6:$Q$3271,"&lt;="&amp;Q550,$N$6:$N$3271,Calendar!$K$4),"")</f>
        <v/>
      </c>
      <c r="W550" s="44">
        <f>IF(AND(B550=Queue!$C$4,OR(Queue!$K$4="*",N550=Queue!$K$4)),Q550,"")</f>
        <v/>
      </c>
    </row>
    <row r="551">
      <c r="A551" s="35">
        <f>IF(M551="","",HYPERLINK("https://www.youtube.com/watch?v="&amp;M551,"▶"))</f>
        <v/>
      </c>
      <c r="B551" s="36">
        <f>IF(C551&lt;&gt;"",C551,IF(P551&lt;=IFERROR(INDEX(tblChannels[Watched Through],MATCH(N551,tblChannels[Channel ID],0)),0),"Watched","Unwatched"))</f>
        <v/>
      </c>
      <c r="C551" s="37" t="n"/>
      <c r="D551" s="38" t="n"/>
      <c r="E551" s="39" t="n">
        <v>45546.71666666667</v>
      </c>
      <c r="F551" s="47" t="inlineStr">
        <is>
          <t>Super Carlin Brothers</t>
        </is>
      </c>
      <c r="G551" t="inlineStr">
        <is>
          <t>J vs Ben: VICIOUS Voldemort Harry Potter Trivia Quiz Feat. MovieFlame</t>
        </is>
      </c>
      <c r="H551" s="41" t="n">
        <v>0.03520833333333333</v>
      </c>
      <c r="I551" s="42" t="n">
        <v>227473</v>
      </c>
      <c r="J551" s="42" t="n">
        <v>7068</v>
      </c>
      <c r="K551" s="42" t="n">
        <v>931</v>
      </c>
      <c r="L551" s="43" t="n"/>
      <c r="M551" s="44" t="n"/>
      <c r="N551" s="44" t="inlineStr">
        <is>
          <t>UCKZo4N0lVPccBkSiuyVh4yg</t>
        </is>
      </c>
      <c r="O551" s="45" t="n">
        <v>45546.88333333333</v>
      </c>
      <c r="P551" s="46" t="n">
        <v>45546</v>
      </c>
      <c r="Q551" s="44" t="n">
        <v>2721</v>
      </c>
      <c r="R551" s="44" t="inlineStr">
        <is>
          <t>No Video ID yet</t>
        </is>
      </c>
      <c r="S551" s="46" t="n"/>
      <c r="T551" s="46" t="n"/>
      <c r="U551" s="44" t="n"/>
      <c r="V551" s="44">
        <f>IF(AND(P551&gt;=Calendar!$K$2,P551&lt;EDATE(Calendar!$K$2,1),OR(Calendar!$K$4="*",N551=Calendar!$K$4)),P551*100+COUNTIFS($P$6:$P$3271,P551,$Q$6:$Q$3271,"&lt;="&amp;Q551,$N$6:$N$3271,Calendar!$K$4),"")</f>
        <v/>
      </c>
      <c r="W551" s="44">
        <f>IF(AND(B551=Queue!$C$4,OR(Queue!$K$4="*",N551=Queue!$K$4)),Q551,"")</f>
        <v/>
      </c>
    </row>
    <row r="552">
      <c r="A552" s="35">
        <f>IF(M552="","",HYPERLINK("https://www.youtube.com/watch?v="&amp;M552,"▶"))</f>
        <v/>
      </c>
      <c r="B552" s="36">
        <f>IF(C552&lt;&gt;"",C552,IF(P552&lt;=IFERROR(INDEX(tblChannels[Watched Through],MATCH(N552,tblChannels[Channel ID],0)),0),"Watched","Unwatched"))</f>
        <v/>
      </c>
      <c r="C552" s="37" t="n"/>
      <c r="D552" s="38" t="n"/>
      <c r="E552" s="39" t="n">
        <v>45543.41666666666</v>
      </c>
      <c r="F552" s="48" t="inlineStr">
        <is>
          <t>Through The Griffin Door</t>
        </is>
      </c>
      <c r="G552" t="inlineStr">
        <is>
          <t>Chapter 14: Snape’s Grudge | Prisoner of Azkaban</t>
        </is>
      </c>
      <c r="H552" s="41" t="n">
        <v>0.06611111111111111</v>
      </c>
      <c r="I552" s="42" t="n">
        <v>57355</v>
      </c>
      <c r="J552" s="42" t="n">
        <v>1759</v>
      </c>
      <c r="K552" s="42" t="n">
        <v>532</v>
      </c>
      <c r="L552" s="43" t="n"/>
      <c r="M552" s="44" t="n"/>
      <c r="N552" s="44" t="inlineStr">
        <is>
          <t>UCEscP6ETYXWSSvsNrDHekMQ</t>
        </is>
      </c>
      <c r="O552" s="45" t="n">
        <v>45543.58333333334</v>
      </c>
      <c r="P552" s="46" t="n">
        <v>45543</v>
      </c>
      <c r="Q552" s="44" t="n">
        <v>2720</v>
      </c>
      <c r="R552" s="44" t="inlineStr">
        <is>
          <t>No Video ID yet</t>
        </is>
      </c>
      <c r="S552" s="46" t="n"/>
      <c r="T552" s="46" t="n"/>
      <c r="U552" s="44" t="n"/>
      <c r="V552" s="44">
        <f>IF(AND(P552&gt;=Calendar!$K$2,P552&lt;EDATE(Calendar!$K$2,1),OR(Calendar!$K$4="*",N552=Calendar!$K$4)),P552*100+COUNTIFS($P$6:$P$3271,P552,$Q$6:$Q$3271,"&lt;="&amp;Q552,$N$6:$N$3271,Calendar!$K$4),"")</f>
        <v/>
      </c>
      <c r="W552" s="44">
        <f>IF(AND(B552=Queue!$C$4,OR(Queue!$K$4="*",N552=Queue!$K$4)),Q552,"")</f>
        <v/>
      </c>
    </row>
    <row r="553">
      <c r="A553" s="35">
        <f>IF(M553="","",HYPERLINK("https://www.youtube.com/watch?v="&amp;M553,"▶"))</f>
        <v/>
      </c>
      <c r="B553" s="36">
        <f>IF(C553&lt;&gt;"",C553,IF(P553&lt;=IFERROR(INDEX(tblChannels[Watched Through],MATCH(N553,tblChannels[Channel ID],0)),0),"Watched","Unwatched"))</f>
        <v/>
      </c>
      <c r="C553" s="37" t="n"/>
      <c r="D553" s="38" t="n"/>
      <c r="E553" s="39" t="n">
        <v>45541.62291666667</v>
      </c>
      <c r="F553" s="47" t="inlineStr">
        <is>
          <t>Super Carlin Brothers</t>
        </is>
      </c>
      <c r="G553" t="inlineStr">
        <is>
          <t>The Weasley’s WEALTH Explained | Harry Potter Film Theory</t>
        </is>
      </c>
      <c r="H553" s="41" t="n">
        <v>0.01009259259259259</v>
      </c>
      <c r="I553" s="42" t="n">
        <v>137849</v>
      </c>
      <c r="J553" s="42" t="n">
        <v>6569</v>
      </c>
      <c r="K553" s="42" t="n">
        <v>441</v>
      </c>
      <c r="L553" s="43" t="n"/>
      <c r="M553" s="44" t="n"/>
      <c r="N553" s="44" t="inlineStr">
        <is>
          <t>UCKZo4N0lVPccBkSiuyVh4yg</t>
        </is>
      </c>
      <c r="O553" s="45" t="n">
        <v>45541.78958333333</v>
      </c>
      <c r="P553" s="46" t="n">
        <v>45541</v>
      </c>
      <c r="Q553" s="44" t="n">
        <v>2719</v>
      </c>
      <c r="R553" s="44" t="inlineStr">
        <is>
          <t>No Video ID yet</t>
        </is>
      </c>
      <c r="S553" s="46" t="n"/>
      <c r="T553" s="46" t="n"/>
      <c r="U553" s="44" t="n"/>
      <c r="V553" s="44">
        <f>IF(AND(P553&gt;=Calendar!$K$2,P553&lt;EDATE(Calendar!$K$2,1),OR(Calendar!$K$4="*",N553=Calendar!$K$4)),P553*100+COUNTIFS($P$6:$P$3271,P553,$Q$6:$Q$3271,"&lt;="&amp;Q553,$N$6:$N$3271,Calendar!$K$4),"")</f>
        <v/>
      </c>
      <c r="W553" s="44">
        <f>IF(AND(B553=Queue!$C$4,OR(Queue!$K$4="*",N553=Queue!$K$4)),Q553,"")</f>
        <v/>
      </c>
    </row>
    <row r="554">
      <c r="A554" s="35">
        <f>IF(M554="","",HYPERLINK("https://www.youtube.com/watch?v="&amp;M554,"▶"))</f>
        <v/>
      </c>
      <c r="B554" s="36">
        <f>IF(C554&lt;&gt;"",C554,IF(P554&lt;=IFERROR(INDEX(tblChannels[Watched Through],MATCH(N554,tblChannels[Channel ID],0)),0),"Watched","Unwatched"))</f>
        <v/>
      </c>
      <c r="C554" s="37" t="n"/>
      <c r="D554" s="38" t="n"/>
      <c r="E554" s="39" t="n">
        <v>45541.41666666666</v>
      </c>
      <c r="F554" s="40" t="inlineStr">
        <is>
          <t>Popcorn Culture</t>
        </is>
      </c>
      <c r="G554" t="inlineStr">
        <is>
          <t>The Beef with Gelato | Popcorn Culture</t>
        </is>
      </c>
      <c r="H554" s="41" t="n">
        <v>0.04944444444444444</v>
      </c>
      <c r="I554" s="42" t="n">
        <v>3318</v>
      </c>
      <c r="J554" s="42" t="n">
        <v>183</v>
      </c>
      <c r="K554" s="42" t="n">
        <v>28</v>
      </c>
      <c r="L554" s="43" t="n"/>
      <c r="M554" s="44" t="n"/>
      <c r="N554" s="44" t="inlineStr">
        <is>
          <t>UCHfIbq9thHPC8yrKjAdJgDA</t>
        </is>
      </c>
      <c r="O554" s="45" t="n">
        <v>45541.58333333334</v>
      </c>
      <c r="P554" s="46" t="n">
        <v>45541</v>
      </c>
      <c r="Q554" s="44" t="n">
        <v>2718</v>
      </c>
      <c r="R554" s="44" t="inlineStr">
        <is>
          <t>No Video ID yet</t>
        </is>
      </c>
      <c r="S554" s="46" t="n"/>
      <c r="T554" s="46" t="n"/>
      <c r="U554" s="44" t="n"/>
      <c r="V554" s="44">
        <f>IF(AND(P554&gt;=Calendar!$K$2,P554&lt;EDATE(Calendar!$K$2,1),OR(Calendar!$K$4="*",N554=Calendar!$K$4)),P554*100+COUNTIFS($P$6:$P$3271,P554,$Q$6:$Q$3271,"&lt;="&amp;Q554,$N$6:$N$3271,Calendar!$K$4),"")</f>
        <v/>
      </c>
      <c r="W554" s="44">
        <f>IF(AND(B554=Queue!$C$4,OR(Queue!$K$4="*",N554=Queue!$K$4)),Q554,"")</f>
        <v/>
      </c>
    </row>
    <row r="555">
      <c r="A555" s="35">
        <f>IF(M555="","",HYPERLINK("https://www.youtube.com/watch?v="&amp;M555,"▶"))</f>
        <v/>
      </c>
      <c r="B555" s="36">
        <f>IF(C555&lt;&gt;"",C555,IF(P555&lt;=IFERROR(INDEX(tblChannels[Watched Through],MATCH(N555,tblChannels[Channel ID],0)),0),"Watched","Unwatched"))</f>
        <v/>
      </c>
      <c r="C555" s="37" t="n"/>
      <c r="D555" s="38" t="n"/>
      <c r="E555" s="39" t="n">
        <v>45539.68888888889</v>
      </c>
      <c r="F555" s="47" t="inlineStr">
        <is>
          <t>Super Carlin Brothers</t>
        </is>
      </c>
      <c r="G555" t="inlineStr">
        <is>
          <t>What If Ron Was In Hufflepuff - Chamber of Secrets | Harry Potter Film Theory</t>
        </is>
      </c>
      <c r="H555" s="41" t="n">
        <v>0.01732638888888889</v>
      </c>
      <c r="I555" s="42" t="n">
        <v>141451</v>
      </c>
      <c r="J555" s="42" t="n">
        <v>6139</v>
      </c>
      <c r="K555" s="42" t="n">
        <v>562</v>
      </c>
      <c r="L555" s="43" t="n"/>
      <c r="M555" s="44" t="n"/>
      <c r="N555" s="44" t="inlineStr">
        <is>
          <t>UCKZo4N0lVPccBkSiuyVh4yg</t>
        </is>
      </c>
      <c r="O555" s="45" t="n">
        <v>45539.85555555556</v>
      </c>
      <c r="P555" s="46" t="n">
        <v>45539</v>
      </c>
      <c r="Q555" s="44" t="n">
        <v>2717</v>
      </c>
      <c r="R555" s="44" t="inlineStr">
        <is>
          <t>No Video ID yet</t>
        </is>
      </c>
      <c r="S555" s="46" t="n"/>
      <c r="T555" s="46" t="n"/>
      <c r="U555" s="44" t="n"/>
      <c r="V555" s="44">
        <f>IF(AND(P555&gt;=Calendar!$K$2,P555&lt;EDATE(Calendar!$K$2,1),OR(Calendar!$K$4="*",N555=Calendar!$K$4)),P555*100+COUNTIFS($P$6:$P$3271,P555,$Q$6:$Q$3271,"&lt;="&amp;Q555,$N$6:$N$3271,Calendar!$K$4),"")</f>
        <v/>
      </c>
      <c r="W555" s="44">
        <f>IF(AND(B555=Queue!$C$4,OR(Queue!$K$4="*",N555=Queue!$K$4)),Q555,"")</f>
        <v/>
      </c>
    </row>
    <row r="556">
      <c r="A556" s="35">
        <f>IF(M556="","",HYPERLINK("https://www.youtube.com/watch?v="&amp;M556,"▶"))</f>
        <v/>
      </c>
      <c r="B556" s="36">
        <f>IF(C556&lt;&gt;"",C556,IF(P556&lt;=IFERROR(INDEX(tblChannels[Watched Through],MATCH(N556,tblChannels[Channel ID],0)),0),"Watched","Unwatched"))</f>
        <v/>
      </c>
      <c r="C556" s="37" t="n"/>
      <c r="D556" s="38" t="n"/>
      <c r="E556" s="39" t="n">
        <v>45536.41666666666</v>
      </c>
      <c r="F556" s="48" t="inlineStr">
        <is>
          <t>Through The Griffin Door</t>
        </is>
      </c>
      <c r="G556" t="inlineStr">
        <is>
          <t>Chapter 13: Gryffindor Versus Ravenclaw | Prisoner of Azkaban</t>
        </is>
      </c>
      <c r="H556" s="41" t="n">
        <v>0.07377314814814814</v>
      </c>
      <c r="I556" s="42" t="n">
        <v>71101</v>
      </c>
      <c r="J556" s="42" t="n">
        <v>1873</v>
      </c>
      <c r="K556" s="42" t="n">
        <v>781</v>
      </c>
      <c r="L556" s="43" t="n"/>
      <c r="M556" s="44" t="n"/>
      <c r="N556" s="44" t="inlineStr">
        <is>
          <t>UCEscP6ETYXWSSvsNrDHekMQ</t>
        </is>
      </c>
      <c r="O556" s="45" t="n">
        <v>45536.58333333334</v>
      </c>
      <c r="P556" s="46" t="n">
        <v>45536</v>
      </c>
      <c r="Q556" s="44" t="n">
        <v>2716</v>
      </c>
      <c r="R556" s="44" t="inlineStr">
        <is>
          <t>No Video ID yet</t>
        </is>
      </c>
      <c r="S556" s="46" t="n"/>
      <c r="T556" s="46" t="n"/>
      <c r="U556" s="44" t="n"/>
      <c r="V556" s="44">
        <f>IF(AND(P556&gt;=Calendar!$K$2,P556&lt;EDATE(Calendar!$K$2,1),OR(Calendar!$K$4="*",N556=Calendar!$K$4)),P556*100+COUNTIFS($P$6:$P$3271,P556,$Q$6:$Q$3271,"&lt;="&amp;Q556,$N$6:$N$3271,Calendar!$K$4),"")</f>
        <v/>
      </c>
      <c r="W556" s="44">
        <f>IF(AND(B556=Queue!$C$4,OR(Queue!$K$4="*",N556=Queue!$K$4)),Q556,"")</f>
        <v/>
      </c>
    </row>
    <row r="557">
      <c r="A557" s="35">
        <f>IF(M557="","",HYPERLINK("https://www.youtube.com/watch?v="&amp;M557,"▶"))</f>
        <v/>
      </c>
      <c r="B557" s="36">
        <f>IF(C557&lt;&gt;"",C557,IF(P557&lt;=IFERROR(INDEX(tblChannels[Watched Through],MATCH(N557,tblChannels[Channel ID],0)),0),"Watched","Unwatched"))</f>
        <v/>
      </c>
      <c r="C557" s="37" t="n"/>
      <c r="D557" s="38" t="n"/>
      <c r="E557" s="39" t="n">
        <v>45535.41666666666</v>
      </c>
      <c r="F557" s="47" t="inlineStr">
        <is>
          <t>Super Carlin Brothers</t>
        </is>
      </c>
      <c r="G557" t="inlineStr">
        <is>
          <t>Through the Griffin Door Supercut: Prisoner of Azkaban Chapters 10-12</t>
        </is>
      </c>
      <c r="H557" s="41" t="n">
        <v>0.2281481481481482</v>
      </c>
      <c r="I557" s="42" t="n">
        <v>32599</v>
      </c>
      <c r="J557" s="42" t="n">
        <v>494</v>
      </c>
      <c r="K557" s="42" t="n">
        <v>134</v>
      </c>
      <c r="L557" s="43" t="n"/>
      <c r="M557" s="44" t="n"/>
      <c r="N557" s="44" t="inlineStr">
        <is>
          <t>UCKZo4N0lVPccBkSiuyVh4yg</t>
        </is>
      </c>
      <c r="O557" s="45" t="n">
        <v>45535.58333333334</v>
      </c>
      <c r="P557" s="46" t="n">
        <v>45535</v>
      </c>
      <c r="Q557" s="44" t="n">
        <v>2715</v>
      </c>
      <c r="R557" s="44" t="inlineStr">
        <is>
          <t>No Video ID yet</t>
        </is>
      </c>
      <c r="S557" s="46" t="n"/>
      <c r="T557" s="46" t="n"/>
      <c r="U557" s="44" t="n"/>
      <c r="V557" s="44">
        <f>IF(AND(P557&gt;=Calendar!$K$2,P557&lt;EDATE(Calendar!$K$2,1),OR(Calendar!$K$4="*",N557=Calendar!$K$4)),P557*100+COUNTIFS($P$6:$P$3271,P557,$Q$6:$Q$3271,"&lt;="&amp;Q557,$N$6:$N$3271,Calendar!$K$4),"")</f>
        <v/>
      </c>
      <c r="W557" s="44">
        <f>IF(AND(B557=Queue!$C$4,OR(Queue!$K$4="*",N557=Queue!$K$4)),Q557,"")</f>
        <v/>
      </c>
    </row>
    <row r="558">
      <c r="A558" s="35">
        <f>IF(M558="","",HYPERLINK("https://www.youtube.com/watch?v="&amp;M558,"▶"))</f>
        <v/>
      </c>
      <c r="B558" s="36">
        <f>IF(C558&lt;&gt;"",C558,IF(P558&lt;=IFERROR(INDEX(tblChannels[Watched Through],MATCH(N558,tblChannels[Channel ID],0)),0),"Watched","Unwatched"))</f>
        <v/>
      </c>
      <c r="C558" s="37" t="n"/>
      <c r="D558" s="38" t="n"/>
      <c r="E558" s="39" t="n">
        <v>45534.66666666666</v>
      </c>
      <c r="F558" s="47" t="inlineStr">
        <is>
          <t>Super Carlin Brothers</t>
        </is>
      </c>
      <c r="G558" t="inlineStr">
        <is>
          <t>What If Ron Was In Hufflepuff | Harry Potter Film Theory</t>
        </is>
      </c>
      <c r="H558" s="41" t="n">
        <v>0.01373842592592593</v>
      </c>
      <c r="I558" s="42" t="n">
        <v>183549</v>
      </c>
      <c r="J558" s="42" t="n">
        <v>8135</v>
      </c>
      <c r="K558" s="42" t="n">
        <v>867</v>
      </c>
      <c r="L558" s="43" t="n"/>
      <c r="M558" s="44" t="n"/>
      <c r="N558" s="44" t="inlineStr">
        <is>
          <t>UCKZo4N0lVPccBkSiuyVh4yg</t>
        </is>
      </c>
      <c r="O558" s="45" t="n">
        <v>45534.83333333334</v>
      </c>
      <c r="P558" s="46" t="n">
        <v>45534</v>
      </c>
      <c r="Q558" s="44" t="n">
        <v>2714</v>
      </c>
      <c r="R558" s="44" t="inlineStr">
        <is>
          <t>No Video ID yet</t>
        </is>
      </c>
      <c r="S558" s="46" t="n"/>
      <c r="T558" s="46" t="n"/>
      <c r="U558" s="44" t="n"/>
      <c r="V558" s="44">
        <f>IF(AND(P558&gt;=Calendar!$K$2,P558&lt;EDATE(Calendar!$K$2,1),OR(Calendar!$K$4="*",N558=Calendar!$K$4)),P558*100+COUNTIFS($P$6:$P$3271,P558,$Q$6:$Q$3271,"&lt;="&amp;Q558,$N$6:$N$3271,Calendar!$K$4),"")</f>
        <v/>
      </c>
      <c r="W558" s="44">
        <f>IF(AND(B558=Queue!$C$4,OR(Queue!$K$4="*",N558=Queue!$K$4)),Q558,"")</f>
        <v/>
      </c>
    </row>
    <row r="559">
      <c r="A559" s="35">
        <f>IF(M559="","",HYPERLINK("https://www.youtube.com/watch?v="&amp;M559,"▶"))</f>
        <v/>
      </c>
      <c r="B559" s="36">
        <f>IF(C559&lt;&gt;"",C559,IF(P559&lt;=IFERROR(INDEX(tblChannels[Watched Through],MATCH(N559,tblChannels[Channel ID],0)),0),"Watched","Unwatched"))</f>
        <v/>
      </c>
      <c r="C559" s="37" t="n"/>
      <c r="D559" s="38" t="n"/>
      <c r="E559" s="39" t="n">
        <v>45534.41666666666</v>
      </c>
      <c r="F559" s="40" t="inlineStr">
        <is>
          <t>Popcorn Culture</t>
        </is>
      </c>
      <c r="G559" t="inlineStr">
        <is>
          <t>Weird and Lumpy | Popcorn Culture</t>
        </is>
      </c>
      <c r="H559" s="41" t="n">
        <v>0.05474537037037037</v>
      </c>
      <c r="I559" s="42" t="n">
        <v>3895</v>
      </c>
      <c r="J559" s="42" t="n">
        <v>188</v>
      </c>
      <c r="K559" s="42" t="n">
        <v>54</v>
      </c>
      <c r="L559" s="43" t="n"/>
      <c r="M559" s="44" t="n"/>
      <c r="N559" s="44" t="inlineStr">
        <is>
          <t>UCHfIbq9thHPC8yrKjAdJgDA</t>
        </is>
      </c>
      <c r="O559" s="45" t="n">
        <v>45534.58333333334</v>
      </c>
      <c r="P559" s="46" t="n">
        <v>45534</v>
      </c>
      <c r="Q559" s="44" t="n">
        <v>2713</v>
      </c>
      <c r="R559" s="44" t="inlineStr">
        <is>
          <t>No Video ID yet</t>
        </is>
      </c>
      <c r="S559" s="46" t="n"/>
      <c r="T559" s="46" t="n"/>
      <c r="U559" s="44" t="n"/>
      <c r="V559" s="44">
        <f>IF(AND(P559&gt;=Calendar!$K$2,P559&lt;EDATE(Calendar!$K$2,1),OR(Calendar!$K$4="*",N559=Calendar!$K$4)),P559*100+COUNTIFS($P$6:$P$3271,P559,$Q$6:$Q$3271,"&lt;="&amp;Q559,$N$6:$N$3271,Calendar!$K$4),"")</f>
        <v/>
      </c>
      <c r="W559" s="44">
        <f>IF(AND(B559=Queue!$C$4,OR(Queue!$K$4="*",N559=Queue!$K$4)),Q559,"")</f>
        <v/>
      </c>
    </row>
    <row r="560">
      <c r="A560" s="35">
        <f>IF(M560="","",HYPERLINK("https://www.youtube.com/watch?v="&amp;M560,"▶"))</f>
        <v/>
      </c>
      <c r="B560" s="36">
        <f>IF(C560&lt;&gt;"",C560,IF(P560&lt;=IFERROR(INDEX(tblChannels[Watched Through],MATCH(N560,tblChannels[Channel ID],0)),0),"Watched","Unwatched"))</f>
        <v/>
      </c>
      <c r="C560" s="37" t="n"/>
      <c r="D560" s="38" t="n"/>
      <c r="E560" s="39" t="n">
        <v>45532.71805555555</v>
      </c>
      <c r="F560" s="47" t="inlineStr">
        <is>
          <t>Super Carlin Brothers</t>
        </is>
      </c>
      <c r="G560" t="inlineStr">
        <is>
          <t>J vs Ben: A SIRIUSLY Difficult Sirius Black Harry Potter TRIVIA Quiz</t>
        </is>
      </c>
      <c r="H560" s="41" t="n">
        <v>0.02350694444444444</v>
      </c>
      <c r="I560" s="42" t="n">
        <v>137206</v>
      </c>
      <c r="J560" s="42" t="n">
        <v>5157</v>
      </c>
      <c r="K560" s="42" t="n">
        <v>628</v>
      </c>
      <c r="L560" s="43" t="n"/>
      <c r="M560" s="44" t="n"/>
      <c r="N560" s="44" t="inlineStr">
        <is>
          <t>UCKZo4N0lVPccBkSiuyVh4yg</t>
        </is>
      </c>
      <c r="O560" s="45" t="n">
        <v>45532.88472222222</v>
      </c>
      <c r="P560" s="46" t="n">
        <v>45532</v>
      </c>
      <c r="Q560" s="44" t="n">
        <v>2712</v>
      </c>
      <c r="R560" s="44" t="inlineStr">
        <is>
          <t>No Video ID yet</t>
        </is>
      </c>
      <c r="S560" s="46" t="n"/>
      <c r="T560" s="46" t="n"/>
      <c r="U560" s="44" t="n"/>
      <c r="V560" s="44">
        <f>IF(AND(P560&gt;=Calendar!$K$2,P560&lt;EDATE(Calendar!$K$2,1),OR(Calendar!$K$4="*",N560=Calendar!$K$4)),P560*100+COUNTIFS($P$6:$P$3271,P560,$Q$6:$Q$3271,"&lt;="&amp;Q560,$N$6:$N$3271,Calendar!$K$4),"")</f>
        <v/>
      </c>
      <c r="W560" s="44">
        <f>IF(AND(B560=Queue!$C$4,OR(Queue!$K$4="*",N560=Queue!$K$4)),Q560,"")</f>
        <v/>
      </c>
    </row>
    <row r="561">
      <c r="A561" s="35">
        <f>IF(M561="","",HYPERLINK("https://www.youtube.com/watch?v="&amp;M561,"▶"))</f>
        <v/>
      </c>
      <c r="B561" s="36">
        <f>IF(C561&lt;&gt;"",C561,IF(P561&lt;=IFERROR(INDEX(tblChannels[Watched Through],MATCH(N561,tblChannels[Channel ID],0)),0),"Watched","Unwatched"))</f>
        <v/>
      </c>
      <c r="C561" s="37" t="n"/>
      <c r="D561" s="38" t="n"/>
      <c r="E561" s="39" t="n">
        <v>45531.65069444444</v>
      </c>
      <c r="F561" s="47" t="inlineStr">
        <is>
          <t>Super Carlin Brothers</t>
        </is>
      </c>
      <c r="G561" t="inlineStr">
        <is>
          <t>Lucius Tells Voldemort About the Diary #hogwarts #harrypotter #shorts #voldemort</t>
        </is>
      </c>
      <c r="H561" s="41" t="n">
        <v>0.0006944444444444445</v>
      </c>
      <c r="I561" s="42" t="n">
        <v>261890</v>
      </c>
      <c r="J561" s="42" t="n">
        <v>15505</v>
      </c>
      <c r="K561" s="42" t="n">
        <v>251</v>
      </c>
      <c r="L561" s="43" t="n"/>
      <c r="M561" s="44" t="n"/>
      <c r="N561" s="44" t="inlineStr">
        <is>
          <t>UCKZo4N0lVPccBkSiuyVh4yg</t>
        </is>
      </c>
      <c r="O561" s="45" t="n">
        <v>45531.81736111111</v>
      </c>
      <c r="P561" s="46" t="n">
        <v>45531</v>
      </c>
      <c r="Q561" s="44" t="n">
        <v>2711</v>
      </c>
      <c r="R561" s="44" t="inlineStr">
        <is>
          <t>No Video ID yet</t>
        </is>
      </c>
      <c r="S561" s="46" t="n"/>
      <c r="T561" s="46" t="n"/>
      <c r="U561" s="44" t="n"/>
      <c r="V561" s="44">
        <f>IF(AND(P561&gt;=Calendar!$K$2,P561&lt;EDATE(Calendar!$K$2,1),OR(Calendar!$K$4="*",N561=Calendar!$K$4)),P561*100+COUNTIFS($P$6:$P$3271,P561,$Q$6:$Q$3271,"&lt;="&amp;Q561,$N$6:$N$3271,Calendar!$K$4),"")</f>
        <v/>
      </c>
      <c r="W561" s="44">
        <f>IF(AND(B561=Queue!$C$4,OR(Queue!$K$4="*",N561=Queue!$K$4)),Q561,"")</f>
        <v/>
      </c>
    </row>
    <row r="562">
      <c r="A562" s="35">
        <f>IF(M562="","",HYPERLINK("https://www.youtube.com/watch?v="&amp;M562,"▶"))</f>
        <v/>
      </c>
      <c r="B562" s="36">
        <f>IF(C562&lt;&gt;"",C562,IF(P562&lt;=IFERROR(INDEX(tblChannels[Watched Through],MATCH(N562,tblChannels[Channel ID],0)),0),"Watched","Unwatched"))</f>
        <v/>
      </c>
      <c r="C562" s="37" t="n"/>
      <c r="D562" s="38" t="n"/>
      <c r="E562" s="39" t="n">
        <v>45529.41666666666</v>
      </c>
      <c r="F562" s="48" t="inlineStr">
        <is>
          <t>Through The Griffin Door</t>
        </is>
      </c>
      <c r="G562" t="inlineStr">
        <is>
          <t>Chapter 12: The Patronus | Prisoner of Azkaban</t>
        </is>
      </c>
      <c r="H562" s="41" t="n">
        <v>0.06568287037037036</v>
      </c>
      <c r="I562" s="42" t="n">
        <v>71736</v>
      </c>
      <c r="J562" s="42" t="n">
        <v>1840</v>
      </c>
      <c r="K562" s="42" t="n">
        <v>573</v>
      </c>
      <c r="L562" s="43" t="n"/>
      <c r="M562" s="44" t="n"/>
      <c r="N562" s="44" t="inlineStr">
        <is>
          <t>UCEscP6ETYXWSSvsNrDHekMQ</t>
        </is>
      </c>
      <c r="O562" s="45" t="n">
        <v>45529.58333333334</v>
      </c>
      <c r="P562" s="46" t="n">
        <v>45529</v>
      </c>
      <c r="Q562" s="44" t="n">
        <v>2710</v>
      </c>
      <c r="R562" s="44" t="inlineStr">
        <is>
          <t>No Video ID yet</t>
        </is>
      </c>
      <c r="S562" s="46" t="n"/>
      <c r="T562" s="46" t="n"/>
      <c r="U562" s="44" t="n"/>
      <c r="V562" s="44">
        <f>IF(AND(P562&gt;=Calendar!$K$2,P562&lt;EDATE(Calendar!$K$2,1),OR(Calendar!$K$4="*",N562=Calendar!$K$4)),P562*100+COUNTIFS($P$6:$P$3271,P562,$Q$6:$Q$3271,"&lt;="&amp;Q562,$N$6:$N$3271,Calendar!$K$4),"")</f>
        <v/>
      </c>
      <c r="W562" s="44">
        <f>IF(AND(B562=Queue!$C$4,OR(Queue!$K$4="*",N562=Queue!$K$4)),Q562,"")</f>
        <v/>
      </c>
    </row>
    <row r="563">
      <c r="A563" s="35">
        <f>IF(M563="","",HYPERLINK("https://www.youtube.com/watch?v="&amp;M563,"▶"))</f>
        <v/>
      </c>
      <c r="B563" s="36">
        <f>IF(C563&lt;&gt;"",C563,IF(P563&lt;=IFERROR(INDEX(tblChannels[Watched Through],MATCH(N563,tblChannels[Channel ID],0)),0),"Watched","Unwatched"))</f>
        <v/>
      </c>
      <c r="C563" s="37" t="n"/>
      <c r="D563" s="38" t="n"/>
      <c r="E563" s="39" t="n">
        <v>45527.69305555556</v>
      </c>
      <c r="F563" s="47" t="inlineStr">
        <is>
          <t>Super Carlin Brothers</t>
        </is>
      </c>
      <c r="G563" t="inlineStr">
        <is>
          <t>A SCATHING Review of Oliver Wood | Harry Potter Film Theory</t>
        </is>
      </c>
      <c r="H563" s="41" t="n">
        <v>0.01104166666666667</v>
      </c>
      <c r="I563" s="42" t="n">
        <v>141162</v>
      </c>
      <c r="J563" s="42" t="n">
        <v>6527</v>
      </c>
      <c r="K563" s="42" t="n">
        <v>710</v>
      </c>
      <c r="L563" s="43" t="n"/>
      <c r="M563" s="44" t="n"/>
      <c r="N563" s="44" t="inlineStr">
        <is>
          <t>UCKZo4N0lVPccBkSiuyVh4yg</t>
        </is>
      </c>
      <c r="O563" s="45" t="n">
        <v>45527.85972222222</v>
      </c>
      <c r="P563" s="46" t="n">
        <v>45527</v>
      </c>
      <c r="Q563" s="44" t="n">
        <v>2709</v>
      </c>
      <c r="R563" s="44" t="inlineStr">
        <is>
          <t>No Video ID yet</t>
        </is>
      </c>
      <c r="S563" s="46" t="n"/>
      <c r="T563" s="46" t="n"/>
      <c r="U563" s="44" t="n"/>
      <c r="V563" s="44">
        <f>IF(AND(P563&gt;=Calendar!$K$2,P563&lt;EDATE(Calendar!$K$2,1),OR(Calendar!$K$4="*",N563=Calendar!$K$4)),P563*100+COUNTIFS($P$6:$P$3271,P563,$Q$6:$Q$3271,"&lt;="&amp;Q563,$N$6:$N$3271,Calendar!$K$4),"")</f>
        <v/>
      </c>
      <c r="W563" s="44">
        <f>IF(AND(B563=Queue!$C$4,OR(Queue!$K$4="*",N563=Queue!$K$4)),Q563,"")</f>
        <v/>
      </c>
    </row>
    <row r="564">
      <c r="A564" s="35">
        <f>IF(M564="","",HYPERLINK("https://www.youtube.com/watch?v="&amp;M564,"▶"))</f>
        <v/>
      </c>
      <c r="B564" s="36">
        <f>IF(C564&lt;&gt;"",C564,IF(P564&lt;=IFERROR(INDEX(tblChannels[Watched Through],MATCH(N564,tblChannels[Channel ID],0)),0),"Watched","Unwatched"))</f>
        <v/>
      </c>
      <c r="C564" s="37" t="n"/>
      <c r="D564" s="38" t="n"/>
      <c r="E564" s="39" t="n">
        <v>45527.41666666666</v>
      </c>
      <c r="F564" s="40" t="inlineStr">
        <is>
          <t>Popcorn Culture</t>
        </is>
      </c>
      <c r="G564" t="inlineStr">
        <is>
          <t>Ben Joins a Cult | Popcorn Culture</t>
        </is>
      </c>
      <c r="H564" s="41" t="n">
        <v>0.04918981481481482</v>
      </c>
      <c r="I564" s="42" t="n">
        <v>4345</v>
      </c>
      <c r="J564" s="42" t="n">
        <v>208</v>
      </c>
      <c r="K564" s="42" t="n">
        <v>31</v>
      </c>
      <c r="L564" s="43" t="n"/>
      <c r="M564" s="44" t="n"/>
      <c r="N564" s="44" t="inlineStr">
        <is>
          <t>UCHfIbq9thHPC8yrKjAdJgDA</t>
        </is>
      </c>
      <c r="O564" s="45" t="n">
        <v>45527.58333333334</v>
      </c>
      <c r="P564" s="46" t="n">
        <v>45527</v>
      </c>
      <c r="Q564" s="44" t="n">
        <v>2708</v>
      </c>
      <c r="R564" s="44" t="inlineStr">
        <is>
          <t>No Video ID yet</t>
        </is>
      </c>
      <c r="S564" s="46" t="n"/>
      <c r="T564" s="46" t="n"/>
      <c r="U564" s="44" t="n"/>
      <c r="V564" s="44">
        <f>IF(AND(P564&gt;=Calendar!$K$2,P564&lt;EDATE(Calendar!$K$2,1),OR(Calendar!$K$4="*",N564=Calendar!$K$4)),P564*100+COUNTIFS($P$6:$P$3271,P564,$Q$6:$Q$3271,"&lt;="&amp;Q564,$N$6:$N$3271,Calendar!$K$4),"")</f>
        <v/>
      </c>
      <c r="W564" s="44">
        <f>IF(AND(B564=Queue!$C$4,OR(Queue!$K$4="*",N564=Queue!$K$4)),Q564,"")</f>
        <v/>
      </c>
    </row>
    <row r="565">
      <c r="A565" s="35">
        <f>IF(M565="","",HYPERLINK("https://www.youtube.com/watch?v="&amp;M565,"▶"))</f>
        <v/>
      </c>
      <c r="B565" s="36">
        <f>IF(C565&lt;&gt;"",C565,IF(P565&lt;=IFERROR(INDEX(tblChannels[Watched Through],MATCH(N565,tblChannels[Channel ID],0)),0),"Watched","Unwatched"))</f>
        <v/>
      </c>
      <c r="C565" s="37" t="n"/>
      <c r="D565" s="38" t="n"/>
      <c r="E565" s="39" t="n">
        <v>45526.39027777778</v>
      </c>
      <c r="F565" s="47" t="inlineStr">
        <is>
          <t>Super Carlin Brothers</t>
        </is>
      </c>
      <c r="G565" t="inlineStr">
        <is>
          <t>Voldemort’s SECRET Final Horcrux | Harry Potter Film Theory</t>
        </is>
      </c>
      <c r="H565" s="41" t="n">
        <v>0.01074074074074074</v>
      </c>
      <c r="I565" s="42" t="n">
        <v>162047</v>
      </c>
      <c r="J565" s="42" t="n">
        <v>7174</v>
      </c>
      <c r="K565" s="42" t="n">
        <v>755</v>
      </c>
      <c r="L565" s="43" t="n"/>
      <c r="M565" s="44" t="n"/>
      <c r="N565" s="44" t="inlineStr">
        <is>
          <t>UCKZo4N0lVPccBkSiuyVh4yg</t>
        </is>
      </c>
      <c r="O565" s="45" t="n">
        <v>45526.55694444444</v>
      </c>
      <c r="P565" s="46" t="n">
        <v>45526</v>
      </c>
      <c r="Q565" s="44" t="n">
        <v>2707</v>
      </c>
      <c r="R565" s="44" t="inlineStr">
        <is>
          <t>No Video ID yet</t>
        </is>
      </c>
      <c r="S565" s="46" t="n"/>
      <c r="T565" s="46" t="n"/>
      <c r="U565" s="44" t="n"/>
      <c r="V565" s="44">
        <f>IF(AND(P565&gt;=Calendar!$K$2,P565&lt;EDATE(Calendar!$K$2,1),OR(Calendar!$K$4="*",N565=Calendar!$K$4)),P565*100+COUNTIFS($P$6:$P$3271,P565,$Q$6:$Q$3271,"&lt;="&amp;Q565,$N$6:$N$3271,Calendar!$K$4),"")</f>
        <v/>
      </c>
      <c r="W565" s="44">
        <f>IF(AND(B565=Queue!$C$4,OR(Queue!$K$4="*",N565=Queue!$K$4)),Q565,"")</f>
        <v/>
      </c>
    </row>
    <row r="566">
      <c r="A566" s="35">
        <f>IF(M566="","",HYPERLINK("https://www.youtube.com/watch?v="&amp;M566,"▶"))</f>
        <v/>
      </c>
      <c r="B566" s="36">
        <f>IF(C566&lt;&gt;"",C566,IF(P566&lt;=IFERROR(INDEX(tblChannels[Watched Through],MATCH(N566,tblChannels[Channel ID],0)),0),"Watched","Unwatched"))</f>
        <v/>
      </c>
      <c r="C566" s="37" t="n"/>
      <c r="D566" s="38" t="n"/>
      <c r="E566" s="39" t="n">
        <v>45522.41666666666</v>
      </c>
      <c r="F566" s="48" t="inlineStr">
        <is>
          <t>Through The Griffin Door</t>
        </is>
      </c>
      <c r="G566" t="inlineStr">
        <is>
          <t>Chapter 11: The Firebolt | Prisoner of Azkaban</t>
        </is>
      </c>
      <c r="H566" s="41" t="n">
        <v>0.07744212962962962</v>
      </c>
      <c r="I566" s="42" t="n">
        <v>67112</v>
      </c>
      <c r="J566" s="42" t="n">
        <v>1949</v>
      </c>
      <c r="K566" s="42" t="n">
        <v>681</v>
      </c>
      <c r="L566" s="43" t="n"/>
      <c r="M566" s="44" t="n"/>
      <c r="N566" s="44" t="inlineStr">
        <is>
          <t>UCEscP6ETYXWSSvsNrDHekMQ</t>
        </is>
      </c>
      <c r="O566" s="45" t="n">
        <v>45522.58333333334</v>
      </c>
      <c r="P566" s="46" t="n">
        <v>45522</v>
      </c>
      <c r="Q566" s="44" t="n">
        <v>2706</v>
      </c>
      <c r="R566" s="44" t="inlineStr">
        <is>
          <t>No Video ID yet</t>
        </is>
      </c>
      <c r="S566" s="46" t="n"/>
      <c r="T566" s="46" t="n"/>
      <c r="U566" s="44" t="n"/>
      <c r="V566" s="44">
        <f>IF(AND(P566&gt;=Calendar!$K$2,P566&lt;EDATE(Calendar!$K$2,1),OR(Calendar!$K$4="*",N566=Calendar!$K$4)),P566*100+COUNTIFS($P$6:$P$3271,P566,$Q$6:$Q$3271,"&lt;="&amp;Q566,$N$6:$N$3271,Calendar!$K$4),"")</f>
        <v/>
      </c>
      <c r="W566" s="44">
        <f>IF(AND(B566=Queue!$C$4,OR(Queue!$K$4="*",N566=Queue!$K$4)),Q566,"")</f>
        <v/>
      </c>
    </row>
    <row r="567">
      <c r="A567" s="35">
        <f>IF(M567="","",HYPERLINK("https://www.youtube.com/watch?v="&amp;M567,"▶"))</f>
        <v/>
      </c>
      <c r="B567" s="36">
        <f>IF(C567&lt;&gt;"",C567,IF(P567&lt;=IFERROR(INDEX(tblChannels[Watched Through],MATCH(N567,tblChannels[Channel ID],0)),0),"Watched","Unwatched"))</f>
        <v/>
      </c>
      <c r="C567" s="37" t="n"/>
      <c r="D567" s="38" t="n"/>
      <c r="E567" s="39" t="n">
        <v>45521.21597222222</v>
      </c>
      <c r="F567" s="49" t="inlineStr">
        <is>
          <t>Super Carlin Gaming</t>
        </is>
      </c>
      <c r="G567" t="inlineStr">
        <is>
          <t>Pokemon Box Breakers LIVE! August 16, 2024</t>
        </is>
      </c>
      <c r="H567" s="41" t="n">
        <v>0.1219444444444444</v>
      </c>
      <c r="I567" s="42" t="n">
        <v>1770</v>
      </c>
      <c r="J567" s="42" t="n">
        <v>78</v>
      </c>
      <c r="K567" s="42" t="n">
        <v>0</v>
      </c>
      <c r="L567" s="43" t="n"/>
      <c r="M567" s="44" t="n"/>
      <c r="N567" s="44" t="inlineStr">
        <is>
          <t>UCor_9jRnNNZVzTuQ92PKsaQ</t>
        </is>
      </c>
      <c r="O567" s="45" t="n">
        <v>45521.38263888889</v>
      </c>
      <c r="P567" s="46" t="n">
        <v>45521</v>
      </c>
      <c r="Q567" s="44" t="n">
        <v>2705</v>
      </c>
      <c r="R567" s="44" t="inlineStr">
        <is>
          <t>No Video ID yet</t>
        </is>
      </c>
      <c r="S567" s="46" t="n"/>
      <c r="T567" s="46" t="n"/>
      <c r="U567" s="44" t="n"/>
      <c r="V567" s="44">
        <f>IF(AND(P567&gt;=Calendar!$K$2,P567&lt;EDATE(Calendar!$K$2,1),OR(Calendar!$K$4="*",N567=Calendar!$K$4)),P567*100+COUNTIFS($P$6:$P$3271,P567,$Q$6:$Q$3271,"&lt;="&amp;Q567,$N$6:$N$3271,Calendar!$K$4),"")</f>
        <v/>
      </c>
      <c r="W567" s="44">
        <f>IF(AND(B567=Queue!$C$4,OR(Queue!$K$4="*",N567=Queue!$K$4)),Q567,"")</f>
        <v/>
      </c>
    </row>
    <row r="568">
      <c r="A568" s="35">
        <f>IF(M568="","",HYPERLINK("https://www.youtube.com/watch?v="&amp;M568,"▶"))</f>
        <v/>
      </c>
      <c r="B568" s="36">
        <f>IF(C568&lt;&gt;"",C568,IF(P568&lt;=IFERROR(INDEX(tblChannels[Watched Through],MATCH(N568,tblChannels[Channel ID],0)),0),"Watched","Unwatched"))</f>
        <v/>
      </c>
      <c r="C568" s="37" t="n"/>
      <c r="D568" s="38" t="n"/>
      <c r="E568" s="39" t="n">
        <v>45520.7125</v>
      </c>
      <c r="F568" s="47" t="inlineStr">
        <is>
          <t>Super Carlin Brothers</t>
        </is>
      </c>
      <c r="G568" t="inlineStr">
        <is>
          <t>J vs Ben: IMPOSSIBLE McGonagall Harry Potter Trivia Quiz</t>
        </is>
      </c>
      <c r="H568" s="41" t="n">
        <v>0.02590277777777778</v>
      </c>
      <c r="I568" s="42" t="n">
        <v>139902</v>
      </c>
      <c r="J568" s="42" t="n">
        <v>4958</v>
      </c>
      <c r="K568" s="42" t="n">
        <v>465</v>
      </c>
      <c r="L568" s="43" t="n"/>
      <c r="M568" s="44" t="n"/>
      <c r="N568" s="44" t="inlineStr">
        <is>
          <t>UCKZo4N0lVPccBkSiuyVh4yg</t>
        </is>
      </c>
      <c r="O568" s="45" t="n">
        <v>45520.87916666667</v>
      </c>
      <c r="P568" s="46" t="n">
        <v>45520</v>
      </c>
      <c r="Q568" s="44" t="n">
        <v>2704</v>
      </c>
      <c r="R568" s="44" t="inlineStr">
        <is>
          <t>No Video ID yet</t>
        </is>
      </c>
      <c r="S568" s="46" t="n"/>
      <c r="T568" s="46" t="n"/>
      <c r="U568" s="44" t="n"/>
      <c r="V568" s="44">
        <f>IF(AND(P568&gt;=Calendar!$K$2,P568&lt;EDATE(Calendar!$K$2,1),OR(Calendar!$K$4="*",N568=Calendar!$K$4)),P568*100+COUNTIFS($P$6:$P$3271,P568,$Q$6:$Q$3271,"&lt;="&amp;Q568,$N$6:$N$3271,Calendar!$K$4),"")</f>
        <v/>
      </c>
      <c r="W568" s="44">
        <f>IF(AND(B568=Queue!$C$4,OR(Queue!$K$4="*",N568=Queue!$K$4)),Q568,"")</f>
        <v/>
      </c>
    </row>
    <row r="569">
      <c r="A569" s="35">
        <f>IF(M569="","",HYPERLINK("https://www.youtube.com/watch?v="&amp;M569,"▶"))</f>
        <v/>
      </c>
      <c r="B569" s="36">
        <f>IF(C569&lt;&gt;"",C569,IF(P569&lt;=IFERROR(INDEX(tblChannels[Watched Through],MATCH(N569,tblChannels[Channel ID],0)),0),"Watched","Unwatched"))</f>
        <v/>
      </c>
      <c r="C569" s="37" t="n"/>
      <c r="D569" s="38" t="n"/>
      <c r="E569" s="39" t="n">
        <v>45520.41666666666</v>
      </c>
      <c r="F569" s="40" t="inlineStr">
        <is>
          <t>Popcorn Culture</t>
        </is>
      </c>
      <c r="G569" t="inlineStr">
        <is>
          <t>ALL THE D23 REACTIONS | Popcorn Culture</t>
        </is>
      </c>
      <c r="H569" s="41" t="n">
        <v>0.04461805555555556</v>
      </c>
      <c r="I569" s="42" t="n">
        <v>4613</v>
      </c>
      <c r="J569" s="42" t="n">
        <v>219</v>
      </c>
      <c r="K569" s="42" t="n">
        <v>41</v>
      </c>
      <c r="L569" s="43" t="n"/>
      <c r="M569" s="44" t="n"/>
      <c r="N569" s="44" t="inlineStr">
        <is>
          <t>UCHfIbq9thHPC8yrKjAdJgDA</t>
        </is>
      </c>
      <c r="O569" s="45" t="n">
        <v>45520.58333333334</v>
      </c>
      <c r="P569" s="46" t="n">
        <v>45520</v>
      </c>
      <c r="Q569" s="44" t="n">
        <v>2703</v>
      </c>
      <c r="R569" s="44" t="inlineStr">
        <is>
          <t>No Video ID yet</t>
        </is>
      </c>
      <c r="S569" s="46" t="n"/>
      <c r="T569" s="46" t="n"/>
      <c r="U569" s="44" t="n"/>
      <c r="V569" s="44">
        <f>IF(AND(P569&gt;=Calendar!$K$2,P569&lt;EDATE(Calendar!$K$2,1),OR(Calendar!$K$4="*",N569=Calendar!$K$4)),P569*100+COUNTIFS($P$6:$P$3271,P569,$Q$6:$Q$3271,"&lt;="&amp;Q569,$N$6:$N$3271,Calendar!$K$4),"")</f>
        <v/>
      </c>
      <c r="W569" s="44">
        <f>IF(AND(B569=Queue!$C$4,OR(Queue!$K$4="*",N569=Queue!$K$4)),Q569,"")</f>
        <v/>
      </c>
    </row>
    <row r="570">
      <c r="A570" s="35">
        <f>IF(M570="","",HYPERLINK("https://www.youtube.com/watch?v="&amp;M570,"▶"))</f>
        <v/>
      </c>
      <c r="B570" s="36">
        <f>IF(C570&lt;&gt;"",C570,IF(P570&lt;=IFERROR(INDEX(tblChannels[Watched Through],MATCH(N570,tblChannels[Channel ID],0)),0),"Watched","Unwatched"))</f>
        <v/>
      </c>
      <c r="C570" s="37" t="n"/>
      <c r="D570" s="38" t="n"/>
      <c r="E570" s="39" t="n">
        <v>45519.75972222222</v>
      </c>
      <c r="F570" s="48" t="inlineStr">
        <is>
          <t>Through The Griffin Door</t>
        </is>
      </c>
      <c r="G570" t="inlineStr">
        <is>
          <t>LIVE: SIGNING BOOK PAGES AND HANGING OUT!</t>
        </is>
      </c>
      <c r="H570" s="41" t="n">
        <v>0.08368055555555555</v>
      </c>
      <c r="I570" s="42" t="n">
        <v>10315</v>
      </c>
      <c r="J570" s="42" t="n">
        <v>476</v>
      </c>
      <c r="K570" s="42" t="n">
        <v>62</v>
      </c>
      <c r="L570" s="43" t="n"/>
      <c r="M570" s="44" t="n"/>
      <c r="N570" s="44" t="inlineStr">
        <is>
          <t>UCEscP6ETYXWSSvsNrDHekMQ</t>
        </is>
      </c>
      <c r="O570" s="45" t="n">
        <v>45519.92638888889</v>
      </c>
      <c r="P570" s="46" t="n">
        <v>45519</v>
      </c>
      <c r="Q570" s="44" t="n">
        <v>2702</v>
      </c>
      <c r="R570" s="44" t="inlineStr">
        <is>
          <t>No Video ID yet</t>
        </is>
      </c>
      <c r="S570" s="46" t="n"/>
      <c r="T570" s="46" t="n"/>
      <c r="U570" s="44" t="n"/>
      <c r="V570" s="44">
        <f>IF(AND(P570&gt;=Calendar!$K$2,P570&lt;EDATE(Calendar!$K$2,1),OR(Calendar!$K$4="*",N570=Calendar!$K$4)),P570*100+COUNTIFS($P$6:$P$3271,P570,$Q$6:$Q$3271,"&lt;="&amp;Q570,$N$6:$N$3271,Calendar!$K$4),"")</f>
        <v/>
      </c>
      <c r="W570" s="44">
        <f>IF(AND(B570=Queue!$C$4,OR(Queue!$K$4="*",N570=Queue!$K$4)),Q570,"")</f>
        <v/>
      </c>
    </row>
    <row r="571">
      <c r="A571" s="35">
        <f>IF(M571="","",HYPERLINK("https://www.youtube.com/watch?v="&amp;M571,"▶"))</f>
        <v/>
      </c>
      <c r="B571" s="36">
        <f>IF(C571&lt;&gt;"",C571,IF(P571&lt;=IFERROR(INDEX(tblChannels[Watched Through],MATCH(N571,tblChannels[Channel ID],0)),0),"Watched","Unwatched"))</f>
        <v/>
      </c>
      <c r="C571" s="37" t="n"/>
      <c r="D571" s="38" t="n"/>
      <c r="E571" s="39" t="n">
        <v>45519.59861111111</v>
      </c>
      <c r="F571" s="48" t="inlineStr">
        <is>
          <t>Through The Griffin Door</t>
        </is>
      </c>
      <c r="G571" t="inlineStr">
        <is>
          <t>Chapter X: [Chapter Title] | {Book}</t>
        </is>
      </c>
      <c r="H571" s="41" t="n">
        <v>0</v>
      </c>
      <c r="I571" s="42" t="n">
        <v>0</v>
      </c>
      <c r="J571" s="42" t="n">
        <v>0</v>
      </c>
      <c r="K571" s="42" t="n">
        <v>0</v>
      </c>
      <c r="L571" s="43" t="n"/>
      <c r="M571" s="44" t="n"/>
      <c r="N571" s="44" t="inlineStr">
        <is>
          <t>UCEscP6ETYXWSSvsNrDHekMQ</t>
        </is>
      </c>
      <c r="O571" s="45" t="n">
        <v>45519.76527777778</v>
      </c>
      <c r="P571" s="46" t="n">
        <v>45519</v>
      </c>
      <c r="Q571" s="44" t="n">
        <v>2701</v>
      </c>
      <c r="R571" s="44" t="inlineStr">
        <is>
          <t>No Video ID yet</t>
        </is>
      </c>
      <c r="S571" s="46" t="n"/>
      <c r="T571" s="46" t="n"/>
      <c r="U571" s="44" t="n"/>
      <c r="V571" s="44">
        <f>IF(AND(P571&gt;=Calendar!$K$2,P571&lt;EDATE(Calendar!$K$2,1),OR(Calendar!$K$4="*",N571=Calendar!$K$4)),P571*100+COUNTIFS($P$6:$P$3271,P571,$Q$6:$Q$3271,"&lt;="&amp;Q571,$N$6:$N$3271,Calendar!$K$4),"")</f>
        <v/>
      </c>
      <c r="W571" s="44">
        <f>IF(AND(B571=Queue!$C$4,OR(Queue!$K$4="*",N571=Queue!$K$4)),Q571,"")</f>
        <v/>
      </c>
    </row>
    <row r="572">
      <c r="A572" s="35">
        <f>IF(M572="","",HYPERLINK("https://www.youtube.com/watch?v="&amp;M572,"▶"))</f>
        <v/>
      </c>
      <c r="B572" s="36">
        <f>IF(C572&lt;&gt;"",C572,IF(P572&lt;=IFERROR(INDEX(tblChannels[Watched Through],MATCH(N572,tblChannels[Channel ID],0)),0),"Watched","Unwatched"))</f>
        <v/>
      </c>
      <c r="C572" s="37" t="n"/>
      <c r="D572" s="38" t="n"/>
      <c r="E572" s="39" t="n">
        <v>45518.71666666667</v>
      </c>
      <c r="F572" s="47" t="inlineStr">
        <is>
          <t>Super Carlin Brothers</t>
        </is>
      </c>
      <c r="G572" t="inlineStr">
        <is>
          <t>Every Wizard Sport BESIDES Quidditch  | Harry Potter Film Theory</t>
        </is>
      </c>
      <c r="H572" s="41" t="n">
        <v>0.01106481481481482</v>
      </c>
      <c r="I572" s="42" t="n">
        <v>88162</v>
      </c>
      <c r="J572" s="42" t="n">
        <v>4736</v>
      </c>
      <c r="K572" s="42" t="n">
        <v>566</v>
      </c>
      <c r="L572" s="43" t="n"/>
      <c r="M572" s="44" t="n"/>
      <c r="N572" s="44" t="inlineStr">
        <is>
          <t>UCKZo4N0lVPccBkSiuyVh4yg</t>
        </is>
      </c>
      <c r="O572" s="45" t="n">
        <v>45518.88333333333</v>
      </c>
      <c r="P572" s="46" t="n">
        <v>45518</v>
      </c>
      <c r="Q572" s="44" t="n">
        <v>2700</v>
      </c>
      <c r="R572" s="44" t="inlineStr">
        <is>
          <t>No Video ID yet</t>
        </is>
      </c>
      <c r="S572" s="46" t="n"/>
      <c r="T572" s="46" t="n"/>
      <c r="U572" s="44" t="n"/>
      <c r="V572" s="44">
        <f>IF(AND(P572&gt;=Calendar!$K$2,P572&lt;EDATE(Calendar!$K$2,1),OR(Calendar!$K$4="*",N572=Calendar!$K$4)),P572*100+COUNTIFS($P$6:$P$3271,P572,$Q$6:$Q$3271,"&lt;="&amp;Q572,$N$6:$N$3271,Calendar!$K$4),"")</f>
        <v/>
      </c>
      <c r="W572" s="44">
        <f>IF(AND(B572=Queue!$C$4,OR(Queue!$K$4="*",N572=Queue!$K$4)),Q572,"")</f>
        <v/>
      </c>
    </row>
    <row r="573">
      <c r="A573" s="35">
        <f>IF(M573="","",HYPERLINK("https://www.youtube.com/watch?v="&amp;M573,"▶"))</f>
        <v/>
      </c>
      <c r="B573" s="36">
        <f>IF(C573&lt;&gt;"",C573,IF(P573&lt;=IFERROR(INDEX(tblChannels[Watched Through],MATCH(N573,tblChannels[Channel ID],0)),0),"Watched","Unwatched"))</f>
        <v/>
      </c>
      <c r="C573" s="37" t="n"/>
      <c r="D573" s="38" t="n"/>
      <c r="E573" s="39" t="n">
        <v>45517.77083333334</v>
      </c>
      <c r="F573" s="49" t="inlineStr">
        <is>
          <t>Super Carlin Gaming</t>
        </is>
      </c>
      <c r="G573" t="inlineStr">
        <is>
          <t>THE FINALE | Carlin Brothers Box Breakers S11E12</t>
        </is>
      </c>
      <c r="H573" s="41" t="n">
        <v>0.03613425925925926</v>
      </c>
      <c r="I573" s="42" t="n">
        <v>2124</v>
      </c>
      <c r="J573" s="42" t="n">
        <v>77</v>
      </c>
      <c r="K573" s="42" t="n">
        <v>17</v>
      </c>
      <c r="L573" s="43" t="n"/>
      <c r="M573" s="44" t="n"/>
      <c r="N573" s="44" t="inlineStr">
        <is>
          <t>UCor_9jRnNNZVzTuQ92PKsaQ</t>
        </is>
      </c>
      <c r="O573" s="45" t="n">
        <v>45517.9375</v>
      </c>
      <c r="P573" s="46" t="n">
        <v>45517</v>
      </c>
      <c r="Q573" s="44" t="n">
        <v>2699</v>
      </c>
      <c r="R573" s="44" t="inlineStr">
        <is>
          <t>No Video ID yet</t>
        </is>
      </c>
      <c r="S573" s="46" t="n"/>
      <c r="T573" s="46" t="n"/>
      <c r="U573" s="44" t="n"/>
      <c r="V573" s="44">
        <f>IF(AND(P573&gt;=Calendar!$K$2,P573&lt;EDATE(Calendar!$K$2,1),OR(Calendar!$K$4="*",N573=Calendar!$K$4)),P573*100+COUNTIFS($P$6:$P$3271,P573,$Q$6:$Q$3271,"&lt;="&amp;Q573,$N$6:$N$3271,Calendar!$K$4),"")</f>
        <v/>
      </c>
      <c r="W573" s="44">
        <f>IF(AND(B573=Queue!$C$4,OR(Queue!$K$4="*",N573=Queue!$K$4)),Q573,"")</f>
        <v/>
      </c>
    </row>
    <row r="574">
      <c r="A574" s="35">
        <f>IF(M574="","",HYPERLINK("https://www.youtube.com/watch?v="&amp;M574,"▶"))</f>
        <v/>
      </c>
      <c r="B574" s="36">
        <f>IF(C574&lt;&gt;"",C574,IF(P574&lt;=IFERROR(INDEX(tblChannels[Watched Through],MATCH(N574,tblChannels[Channel ID],0)),0),"Watched","Unwatched"))</f>
        <v/>
      </c>
      <c r="C574" s="37" t="n"/>
      <c r="D574" s="38" t="n"/>
      <c r="E574" s="39" t="n">
        <v>45515.41666666666</v>
      </c>
      <c r="F574" s="48" t="inlineStr">
        <is>
          <t>Through The Griffin Door</t>
        </is>
      </c>
      <c r="G574" t="inlineStr">
        <is>
          <t>Chapter 10: The Marauder’s Map | Prisoner of Azkaban</t>
        </is>
      </c>
      <c r="H574" s="41" t="n">
        <v>0.08523148148148148</v>
      </c>
      <c r="I574" s="42" t="n">
        <v>93217</v>
      </c>
      <c r="J574" s="42" t="n">
        <v>2196</v>
      </c>
      <c r="K574" s="42" t="n">
        <v>608</v>
      </c>
      <c r="L574" s="43" t="n"/>
      <c r="M574" s="44" t="n"/>
      <c r="N574" s="44" t="inlineStr">
        <is>
          <t>UCEscP6ETYXWSSvsNrDHekMQ</t>
        </is>
      </c>
      <c r="O574" s="45" t="n">
        <v>45515.58333333334</v>
      </c>
      <c r="P574" s="46" t="n">
        <v>45515</v>
      </c>
      <c r="Q574" s="44" t="n">
        <v>2698</v>
      </c>
      <c r="R574" s="44" t="inlineStr">
        <is>
          <t>No Video ID yet</t>
        </is>
      </c>
      <c r="S574" s="46" t="n"/>
      <c r="T574" s="46" t="n"/>
      <c r="U574" s="44" t="n"/>
      <c r="V574" s="44">
        <f>IF(AND(P574&gt;=Calendar!$K$2,P574&lt;EDATE(Calendar!$K$2,1),OR(Calendar!$K$4="*",N574=Calendar!$K$4)),P574*100+COUNTIFS($P$6:$P$3271,P574,$Q$6:$Q$3271,"&lt;="&amp;Q574,$N$6:$N$3271,Calendar!$K$4),"")</f>
        <v/>
      </c>
      <c r="W574" s="44">
        <f>IF(AND(B574=Queue!$C$4,OR(Queue!$K$4="*",N574=Queue!$K$4)),Q574,"")</f>
        <v/>
      </c>
    </row>
    <row r="575">
      <c r="A575" s="35">
        <f>IF(M575="","",HYPERLINK("https://www.youtube.com/watch?v="&amp;M575,"▶"))</f>
        <v/>
      </c>
      <c r="B575" s="36">
        <f>IF(C575&lt;&gt;"",C575,IF(P575&lt;=IFERROR(INDEX(tblChannels[Watched Through],MATCH(N575,tblChannels[Channel ID],0)),0),"Watched","Unwatched"))</f>
        <v/>
      </c>
      <c r="C575" s="37" t="n"/>
      <c r="D575" s="38" t="n"/>
      <c r="E575" s="39" t="n">
        <v>45514.41666666666</v>
      </c>
      <c r="F575" s="47" t="inlineStr">
        <is>
          <t>Super Carlin Brothers</t>
        </is>
      </c>
      <c r="G575" t="inlineStr">
        <is>
          <t>Through the Griffin Door Supercut: Prisoner of Azkaban Chapters 7-9</t>
        </is>
      </c>
      <c r="H575" s="41" t="n">
        <v>0.1859490740740741</v>
      </c>
      <c r="I575" s="42" t="n">
        <v>30553</v>
      </c>
      <c r="J575" s="42" t="n">
        <v>536</v>
      </c>
      <c r="K575" s="42" t="n">
        <v>109</v>
      </c>
      <c r="L575" s="43" t="n"/>
      <c r="M575" s="44" t="n"/>
      <c r="N575" s="44" t="inlineStr">
        <is>
          <t>UCKZo4N0lVPccBkSiuyVh4yg</t>
        </is>
      </c>
      <c r="O575" s="45" t="n">
        <v>45514.58333333334</v>
      </c>
      <c r="P575" s="46" t="n">
        <v>45514</v>
      </c>
      <c r="Q575" s="44" t="n">
        <v>2697</v>
      </c>
      <c r="R575" s="44" t="inlineStr">
        <is>
          <t>No Video ID yet</t>
        </is>
      </c>
      <c r="S575" s="46" t="n"/>
      <c r="T575" s="46" t="n"/>
      <c r="U575" s="44" t="n"/>
      <c r="V575" s="44">
        <f>IF(AND(P575&gt;=Calendar!$K$2,P575&lt;EDATE(Calendar!$K$2,1),OR(Calendar!$K$4="*",N575=Calendar!$K$4)),P575*100+COUNTIFS($P$6:$P$3271,P575,$Q$6:$Q$3271,"&lt;="&amp;Q575,$N$6:$N$3271,Calendar!$K$4),"")</f>
        <v/>
      </c>
      <c r="W575" s="44">
        <f>IF(AND(B575=Queue!$C$4,OR(Queue!$K$4="*",N575=Queue!$K$4)),Q575,"")</f>
        <v/>
      </c>
    </row>
    <row r="576">
      <c r="A576" s="35">
        <f>IF(M576="","",HYPERLINK("https://www.youtube.com/watch?v="&amp;M576,"▶"))</f>
        <v/>
      </c>
      <c r="B576" s="36">
        <f>IF(C576&lt;&gt;"",C576,IF(P576&lt;=IFERROR(INDEX(tblChannels[Watched Through],MATCH(N576,tblChannels[Channel ID],0)),0),"Watched","Unwatched"))</f>
        <v/>
      </c>
      <c r="C576" s="37" t="n"/>
      <c r="D576" s="38" t="n"/>
      <c r="E576" s="39" t="n">
        <v>45513.65416666667</v>
      </c>
      <c r="F576" s="47" t="inlineStr">
        <is>
          <t>Super Carlin Brothers</t>
        </is>
      </c>
      <c r="G576" t="inlineStr">
        <is>
          <t>How The Deathly Hallows Were Made | Harry Potter Film Theory</t>
        </is>
      </c>
      <c r="H576" s="41" t="n">
        <v>0.01377314814814815</v>
      </c>
      <c r="I576" s="42" t="n">
        <v>210897</v>
      </c>
      <c r="J576" s="42" t="n">
        <v>7849</v>
      </c>
      <c r="K576" s="42" t="n">
        <v>499</v>
      </c>
      <c r="L576" s="43" t="n"/>
      <c r="M576" s="44" t="n"/>
      <c r="N576" s="44" t="inlineStr">
        <is>
          <t>UCKZo4N0lVPccBkSiuyVh4yg</t>
        </is>
      </c>
      <c r="O576" s="45" t="n">
        <v>45513.82083333333</v>
      </c>
      <c r="P576" s="46" t="n">
        <v>45513</v>
      </c>
      <c r="Q576" s="44" t="n">
        <v>2696</v>
      </c>
      <c r="R576" s="44" t="inlineStr">
        <is>
          <t>No Video ID yet</t>
        </is>
      </c>
      <c r="S576" s="46" t="n"/>
      <c r="T576" s="46" t="n"/>
      <c r="U576" s="44" t="n"/>
      <c r="V576" s="44">
        <f>IF(AND(P576&gt;=Calendar!$K$2,P576&lt;EDATE(Calendar!$K$2,1),OR(Calendar!$K$4="*",N576=Calendar!$K$4)),P576*100+COUNTIFS($P$6:$P$3271,P576,$Q$6:$Q$3271,"&lt;="&amp;Q576,$N$6:$N$3271,Calendar!$K$4),"")</f>
        <v/>
      </c>
      <c r="W576" s="44">
        <f>IF(AND(B576=Queue!$C$4,OR(Queue!$K$4="*",N576=Queue!$K$4)),Q576,"")</f>
        <v/>
      </c>
    </row>
    <row r="577">
      <c r="A577" s="35">
        <f>IF(M577="","",HYPERLINK("https://www.youtube.com/watch?v="&amp;M577,"▶"))</f>
        <v/>
      </c>
      <c r="B577" s="36">
        <f>IF(C577&lt;&gt;"",C577,IF(P577&lt;=IFERROR(INDEX(tblChannels[Watched Through],MATCH(N577,tblChannels[Channel ID],0)),0),"Watched","Unwatched"))</f>
        <v/>
      </c>
      <c r="C577" s="37" t="n"/>
      <c r="D577" s="38" t="n"/>
      <c r="E577" s="39" t="n">
        <v>45513.41666666666</v>
      </c>
      <c r="F577" s="40" t="inlineStr">
        <is>
          <t>Popcorn Culture</t>
        </is>
      </c>
      <c r="G577" t="inlineStr">
        <is>
          <t>Plenty of Tomatoes on the Vine | Popcorn Culture</t>
        </is>
      </c>
      <c r="H577" s="41" t="n">
        <v>0.04834490740740741</v>
      </c>
      <c r="I577" s="42" t="n">
        <v>3442</v>
      </c>
      <c r="J577" s="42" t="n">
        <v>195</v>
      </c>
      <c r="K577" s="42" t="n">
        <v>42</v>
      </c>
      <c r="L577" s="43" t="n"/>
      <c r="M577" s="44" t="n"/>
      <c r="N577" s="44" t="inlineStr">
        <is>
          <t>UCHfIbq9thHPC8yrKjAdJgDA</t>
        </is>
      </c>
      <c r="O577" s="45" t="n">
        <v>45513.58333333334</v>
      </c>
      <c r="P577" s="46" t="n">
        <v>45513</v>
      </c>
      <c r="Q577" s="44" t="n">
        <v>2695</v>
      </c>
      <c r="R577" s="44" t="inlineStr">
        <is>
          <t>No Video ID yet</t>
        </is>
      </c>
      <c r="S577" s="46" t="n"/>
      <c r="T577" s="46" t="n"/>
      <c r="U577" s="44" t="n"/>
      <c r="V577" s="44">
        <f>IF(AND(P577&gt;=Calendar!$K$2,P577&lt;EDATE(Calendar!$K$2,1),OR(Calendar!$K$4="*",N577=Calendar!$K$4)),P577*100+COUNTIFS($P$6:$P$3271,P577,$Q$6:$Q$3271,"&lt;="&amp;Q577,$N$6:$N$3271,Calendar!$K$4),"")</f>
        <v/>
      </c>
      <c r="W577" s="44">
        <f>IF(AND(B577=Queue!$C$4,OR(Queue!$K$4="*",N577=Queue!$K$4)),Q577,"")</f>
        <v/>
      </c>
    </row>
    <row r="578">
      <c r="A578" s="35">
        <f>IF(M578="","",HYPERLINK("https://www.youtube.com/watch?v="&amp;M578,"▶"))</f>
        <v/>
      </c>
      <c r="B578" s="36">
        <f>IF(C578&lt;&gt;"",C578,IF(P578&lt;=IFERROR(INDEX(tblChannels[Watched Through],MATCH(N578,tblChannels[Channel ID],0)),0),"Watched","Unwatched"))</f>
        <v/>
      </c>
      <c r="C578" s="37" t="n"/>
      <c r="D578" s="38" t="n"/>
      <c r="E578" s="39" t="n">
        <v>45511.70694444444</v>
      </c>
      <c r="F578" s="47" t="inlineStr">
        <is>
          <t>Super Carlin Brothers</t>
        </is>
      </c>
      <c r="G578" t="inlineStr">
        <is>
          <t>What If Snape Made A HORCRUX | Harry Potter Film Theory</t>
        </is>
      </c>
      <c r="H578" s="41" t="n">
        <v>0.01158564814814815</v>
      </c>
      <c r="I578" s="42" t="n">
        <v>182811</v>
      </c>
      <c r="J578" s="42" t="n">
        <v>7131</v>
      </c>
      <c r="K578" s="42" t="n">
        <v>724</v>
      </c>
      <c r="L578" s="43" t="n"/>
      <c r="M578" s="44" t="n"/>
      <c r="N578" s="44" t="inlineStr">
        <is>
          <t>UCKZo4N0lVPccBkSiuyVh4yg</t>
        </is>
      </c>
      <c r="O578" s="45" t="n">
        <v>45511.87361111111</v>
      </c>
      <c r="P578" s="46" t="n">
        <v>45511</v>
      </c>
      <c r="Q578" s="44" t="n">
        <v>2694</v>
      </c>
      <c r="R578" s="44" t="inlineStr">
        <is>
          <t>No Video ID yet</t>
        </is>
      </c>
      <c r="S578" s="46" t="n"/>
      <c r="T578" s="46" t="n"/>
      <c r="U578" s="44" t="n"/>
      <c r="V578" s="44">
        <f>IF(AND(P578&gt;=Calendar!$K$2,P578&lt;EDATE(Calendar!$K$2,1),OR(Calendar!$K$4="*",N578=Calendar!$K$4)),P578*100+COUNTIFS($P$6:$P$3271,P578,$Q$6:$Q$3271,"&lt;="&amp;Q578,$N$6:$N$3271,Calendar!$K$4),"")</f>
        <v/>
      </c>
      <c r="W578" s="44">
        <f>IF(AND(B578=Queue!$C$4,OR(Queue!$K$4="*",N578=Queue!$K$4)),Q578,"")</f>
        <v/>
      </c>
    </row>
    <row r="579">
      <c r="A579" s="35">
        <f>IF(M579="","",HYPERLINK("https://www.youtube.com/watch?v="&amp;M579,"▶"))</f>
        <v/>
      </c>
      <c r="B579" s="36">
        <f>IF(C579&lt;&gt;"",C579,IF(P579&lt;=IFERROR(INDEX(tblChannels[Watched Through],MATCH(N579,tblChannels[Channel ID],0)),0),"Watched","Unwatched"))</f>
        <v/>
      </c>
      <c r="C579" s="37" t="n"/>
      <c r="D579" s="38" t="n"/>
      <c r="E579" s="39" t="n">
        <v>45508.41666666666</v>
      </c>
      <c r="F579" s="48" t="inlineStr">
        <is>
          <t>Through The Griffin Door</t>
        </is>
      </c>
      <c r="G579" t="inlineStr">
        <is>
          <t>Chapter 9: Grim Defeat | Prisoner of Azkaban (feat. Mike Schubert)</t>
        </is>
      </c>
      <c r="H579" s="41" t="n">
        <v>0.06648148148148147</v>
      </c>
      <c r="I579" s="42" t="n">
        <v>72236</v>
      </c>
      <c r="J579" s="42" t="n">
        <v>2222</v>
      </c>
      <c r="K579" s="42" t="n">
        <v>706</v>
      </c>
      <c r="L579" s="43" t="n"/>
      <c r="M579" s="44" t="n"/>
      <c r="N579" s="44" t="inlineStr">
        <is>
          <t>UCEscP6ETYXWSSvsNrDHekMQ</t>
        </is>
      </c>
      <c r="O579" s="45" t="n">
        <v>45508.58333333334</v>
      </c>
      <c r="P579" s="46" t="n">
        <v>45508</v>
      </c>
      <c r="Q579" s="44" t="n">
        <v>2693</v>
      </c>
      <c r="R579" s="44" t="inlineStr">
        <is>
          <t>No Video ID yet</t>
        </is>
      </c>
      <c r="S579" s="46" t="n"/>
      <c r="T579" s="46" t="n"/>
      <c r="U579" s="44" t="n"/>
      <c r="V579" s="44">
        <f>IF(AND(P579&gt;=Calendar!$K$2,P579&lt;EDATE(Calendar!$K$2,1),OR(Calendar!$K$4="*",N579=Calendar!$K$4)),P579*100+COUNTIFS($P$6:$P$3271,P579,$Q$6:$Q$3271,"&lt;="&amp;Q579,$N$6:$N$3271,Calendar!$K$4),"")</f>
        <v/>
      </c>
      <c r="W579" s="44">
        <f>IF(AND(B579=Queue!$C$4,OR(Queue!$K$4="*",N579=Queue!$K$4)),Q579,"")</f>
        <v/>
      </c>
    </row>
    <row r="580">
      <c r="A580" s="35">
        <f>IF(M580="","",HYPERLINK("https://www.youtube.com/watch?v="&amp;M580,"▶"))</f>
        <v/>
      </c>
      <c r="B580" s="36">
        <f>IF(C580&lt;&gt;"",C580,IF(P580&lt;=IFERROR(INDEX(tblChannels[Watched Through],MATCH(N580,tblChannels[Channel ID],0)),0),"Watched","Unwatched"))</f>
        <v/>
      </c>
      <c r="C580" s="37" t="n"/>
      <c r="D580" s="38" t="n"/>
      <c r="E580" s="39" t="n">
        <v>45506.70694444444</v>
      </c>
      <c r="F580" s="47" t="inlineStr">
        <is>
          <t>Super Carlin Brothers</t>
        </is>
      </c>
      <c r="G580" t="inlineStr">
        <is>
          <t>How Harry Potter SHOULD Have Ended | Harry Potter Film Theory</t>
        </is>
      </c>
      <c r="H580" s="41" t="n">
        <v>0.01125</v>
      </c>
      <c r="I580" s="42" t="n">
        <v>226126</v>
      </c>
      <c r="J580" s="42" t="n">
        <v>9306</v>
      </c>
      <c r="K580" s="42" t="n">
        <v>1205</v>
      </c>
      <c r="L580" s="43" t="n"/>
      <c r="M580" s="44" t="n"/>
      <c r="N580" s="44" t="inlineStr">
        <is>
          <t>UCKZo4N0lVPccBkSiuyVh4yg</t>
        </is>
      </c>
      <c r="O580" s="45" t="n">
        <v>45506.87361111111</v>
      </c>
      <c r="P580" s="46" t="n">
        <v>45506</v>
      </c>
      <c r="Q580" s="44" t="n">
        <v>2692</v>
      </c>
      <c r="R580" s="44" t="inlineStr">
        <is>
          <t>No Video ID yet</t>
        </is>
      </c>
      <c r="S580" s="46" t="n"/>
      <c r="T580" s="46" t="n"/>
      <c r="U580" s="44" t="n"/>
      <c r="V580" s="44">
        <f>IF(AND(P580&gt;=Calendar!$K$2,P580&lt;EDATE(Calendar!$K$2,1),OR(Calendar!$K$4="*",N580=Calendar!$K$4)),P580*100+COUNTIFS($P$6:$P$3271,P580,$Q$6:$Q$3271,"&lt;="&amp;Q580,$N$6:$N$3271,Calendar!$K$4),"")</f>
        <v/>
      </c>
      <c r="W580" s="44">
        <f>IF(AND(B580=Queue!$C$4,OR(Queue!$K$4="*",N580=Queue!$K$4)),Q580,"")</f>
        <v/>
      </c>
    </row>
    <row r="581">
      <c r="A581" s="35">
        <f>IF(M581="","",HYPERLINK("https://www.youtube.com/watch?v="&amp;M581,"▶"))</f>
        <v/>
      </c>
      <c r="B581" s="36">
        <f>IF(C581&lt;&gt;"",C581,IF(P581&lt;=IFERROR(INDEX(tblChannels[Watched Through],MATCH(N581,tblChannels[Channel ID],0)),0),"Watched","Unwatched"))</f>
        <v/>
      </c>
      <c r="C581" s="37" t="n"/>
      <c r="D581" s="38" t="n"/>
      <c r="E581" s="39" t="n">
        <v>45506.41666666666</v>
      </c>
      <c r="F581" s="40" t="inlineStr">
        <is>
          <t>Popcorn Culture</t>
        </is>
      </c>
      <c r="G581" t="inlineStr">
        <is>
          <t>Olympic Spoilers are THE WORST | Popcorn Culture</t>
        </is>
      </c>
      <c r="H581" s="41" t="n">
        <v>0.04685185185185185</v>
      </c>
      <c r="I581" s="42" t="n">
        <v>3688</v>
      </c>
      <c r="J581" s="42" t="n">
        <v>189</v>
      </c>
      <c r="K581" s="42" t="n">
        <v>23</v>
      </c>
      <c r="L581" s="43" t="n"/>
      <c r="M581" s="44" t="n"/>
      <c r="N581" s="44" t="inlineStr">
        <is>
          <t>UCHfIbq9thHPC8yrKjAdJgDA</t>
        </is>
      </c>
      <c r="O581" s="45" t="n">
        <v>45506.58333333334</v>
      </c>
      <c r="P581" s="46" t="n">
        <v>45506</v>
      </c>
      <c r="Q581" s="44" t="n">
        <v>2691</v>
      </c>
      <c r="R581" s="44" t="inlineStr">
        <is>
          <t>No Video ID yet</t>
        </is>
      </c>
      <c r="S581" s="46" t="n"/>
      <c r="T581" s="46" t="n"/>
      <c r="U581" s="44" t="n"/>
      <c r="V581" s="44">
        <f>IF(AND(P581&gt;=Calendar!$K$2,P581&lt;EDATE(Calendar!$K$2,1),OR(Calendar!$K$4="*",N581=Calendar!$K$4)),P581*100+COUNTIFS($P$6:$P$3271,P581,$Q$6:$Q$3271,"&lt;="&amp;Q581,$N$6:$N$3271,Calendar!$K$4),"")</f>
        <v/>
      </c>
      <c r="W581" s="44">
        <f>IF(AND(B581=Queue!$C$4,OR(Queue!$K$4="*",N581=Queue!$K$4)),Q581,"")</f>
        <v/>
      </c>
    </row>
    <row r="582">
      <c r="A582" s="35">
        <f>IF(M582="","",HYPERLINK("https://www.youtube.com/watch?v="&amp;M582,"▶"))</f>
        <v/>
      </c>
      <c r="B582" s="36">
        <f>IF(C582&lt;&gt;"",C582,IF(P582&lt;=IFERROR(INDEX(tblChannels[Watched Through],MATCH(N582,tblChannels[Channel ID],0)),0),"Watched","Unwatched"))</f>
        <v/>
      </c>
      <c r="C582" s="37" t="n"/>
      <c r="D582" s="38" t="n"/>
      <c r="E582" s="39" t="n">
        <v>45505.77083333334</v>
      </c>
      <c r="F582" s="49" t="inlineStr">
        <is>
          <t>Super Carlin Gaming</t>
        </is>
      </c>
      <c r="G582" t="inlineStr">
        <is>
          <t>A Legion Of Drampas | Carlin Brothers Box Breakers S11E11</t>
        </is>
      </c>
      <c r="H582" s="41" t="n">
        <v>0.03049768518518519</v>
      </c>
      <c r="I582" s="42" t="n">
        <v>1062</v>
      </c>
      <c r="J582" s="42" t="n">
        <v>52</v>
      </c>
      <c r="K582" s="42" t="n">
        <v>7</v>
      </c>
      <c r="L582" s="43" t="n"/>
      <c r="M582" s="44" t="n"/>
      <c r="N582" s="44" t="inlineStr">
        <is>
          <t>UCor_9jRnNNZVzTuQ92PKsaQ</t>
        </is>
      </c>
      <c r="O582" s="45" t="n">
        <v>45505.9375</v>
      </c>
      <c r="P582" s="46" t="n">
        <v>45505</v>
      </c>
      <c r="Q582" s="44" t="n">
        <v>2690</v>
      </c>
      <c r="R582" s="44" t="inlineStr">
        <is>
          <t>No Video ID yet</t>
        </is>
      </c>
      <c r="S582" s="46" t="n"/>
      <c r="T582" s="46" t="n"/>
      <c r="U582" s="44" t="n"/>
      <c r="V582" s="44">
        <f>IF(AND(P582&gt;=Calendar!$K$2,P582&lt;EDATE(Calendar!$K$2,1),OR(Calendar!$K$4="*",N582=Calendar!$K$4)),P582*100+COUNTIFS($P$6:$P$3271,P582,$Q$6:$Q$3271,"&lt;="&amp;Q582,$N$6:$N$3271,Calendar!$K$4),"")</f>
        <v/>
      </c>
      <c r="W582" s="44">
        <f>IF(AND(B582=Queue!$C$4,OR(Queue!$K$4="*",N582=Queue!$K$4)),Q582,"")</f>
        <v/>
      </c>
    </row>
    <row r="583">
      <c r="A583" s="35">
        <f>IF(M583="","",HYPERLINK("https://www.youtube.com/watch?v="&amp;M583,"▶"))</f>
        <v/>
      </c>
      <c r="B583" s="36">
        <f>IF(C583&lt;&gt;"",C583,IF(P583&lt;=IFERROR(INDEX(tblChannels[Watched Through],MATCH(N583,tblChannels[Channel ID],0)),0),"Watched","Unwatched"))</f>
        <v/>
      </c>
      <c r="C583" s="37" t="n"/>
      <c r="D583" s="38" t="n"/>
      <c r="E583" s="39" t="n">
        <v>45504.70138888889</v>
      </c>
      <c r="F583" s="47" t="inlineStr">
        <is>
          <t>Super Carlin Brothers</t>
        </is>
      </c>
      <c r="G583" t="inlineStr">
        <is>
          <t>J vs Ben: Who Wants To Be A Galleonaire | Harry Potter TRIVIA</t>
        </is>
      </c>
      <c r="H583" s="41" t="n">
        <v>0.02739583333333333</v>
      </c>
      <c r="I583" s="42" t="n">
        <v>225771</v>
      </c>
      <c r="J583" s="42" t="n">
        <v>8092</v>
      </c>
      <c r="K583" s="42" t="n">
        <v>707</v>
      </c>
      <c r="L583" s="43" t="n"/>
      <c r="M583" s="44" t="n"/>
      <c r="N583" s="44" t="inlineStr">
        <is>
          <t>UCKZo4N0lVPccBkSiuyVh4yg</t>
        </is>
      </c>
      <c r="O583" s="45" t="n">
        <v>45504.86805555555</v>
      </c>
      <c r="P583" s="46" t="n">
        <v>45504</v>
      </c>
      <c r="Q583" s="44" t="n">
        <v>2689</v>
      </c>
      <c r="R583" s="44" t="inlineStr">
        <is>
          <t>No Video ID yet</t>
        </is>
      </c>
      <c r="S583" s="46" t="n"/>
      <c r="T583" s="46" t="n"/>
      <c r="U583" s="44" t="n"/>
      <c r="V583" s="44">
        <f>IF(AND(P583&gt;=Calendar!$K$2,P583&lt;EDATE(Calendar!$K$2,1),OR(Calendar!$K$4="*",N583=Calendar!$K$4)),P583*100+COUNTIFS($P$6:$P$3271,P583,$Q$6:$Q$3271,"&lt;="&amp;Q583,$N$6:$N$3271,Calendar!$K$4),"")</f>
        <v/>
      </c>
      <c r="W583" s="44">
        <f>IF(AND(B583=Queue!$C$4,OR(Queue!$K$4="*",N583=Queue!$K$4)),Q583,"")</f>
        <v/>
      </c>
    </row>
    <row r="584">
      <c r="A584" s="35">
        <f>IF(M584="","",HYPERLINK("https://www.youtube.com/watch?v="&amp;M584,"▶"))</f>
        <v/>
      </c>
      <c r="B584" s="36">
        <f>IF(C584&lt;&gt;"",C584,IF(P584&lt;=IFERROR(INDEX(tblChannels[Watched Through],MATCH(N584,tblChannels[Channel ID],0)),0),"Watched","Unwatched"))</f>
        <v/>
      </c>
      <c r="C584" s="37" t="n"/>
      <c r="D584" s="38" t="n"/>
      <c r="E584" s="39" t="n">
        <v>45502.59513888889</v>
      </c>
      <c r="F584" s="48" t="inlineStr">
        <is>
          <t>Through The Griffin Door</t>
        </is>
      </c>
      <c r="G584" t="inlineStr">
        <is>
          <t>We added matinee shows to the Through the Griffin Tour!</t>
        </is>
      </c>
      <c r="H584" s="41" t="n">
        <v>0.000462962962962963</v>
      </c>
      <c r="I584" s="42" t="n">
        <v>10535</v>
      </c>
      <c r="J584" s="42" t="n">
        <v>518</v>
      </c>
      <c r="K584" s="42" t="n">
        <v>36</v>
      </c>
      <c r="L584" s="43" t="n"/>
      <c r="M584" s="44" t="n"/>
      <c r="N584" s="44" t="inlineStr">
        <is>
          <t>UCEscP6ETYXWSSvsNrDHekMQ</t>
        </is>
      </c>
      <c r="O584" s="45" t="n">
        <v>45502.76180555556</v>
      </c>
      <c r="P584" s="46" t="n">
        <v>45502</v>
      </c>
      <c r="Q584" s="44" t="n">
        <v>2688</v>
      </c>
      <c r="R584" s="44" t="inlineStr">
        <is>
          <t>No Video ID yet</t>
        </is>
      </c>
      <c r="S584" s="46" t="n"/>
      <c r="T584" s="46" t="n"/>
      <c r="U584" s="44" t="n"/>
      <c r="V584" s="44">
        <f>IF(AND(P584&gt;=Calendar!$K$2,P584&lt;EDATE(Calendar!$K$2,1),OR(Calendar!$K$4="*",N584=Calendar!$K$4)),P584*100+COUNTIFS($P$6:$P$3271,P584,$Q$6:$Q$3271,"&lt;="&amp;Q584,$N$6:$N$3271,Calendar!$K$4),"")</f>
        <v/>
      </c>
      <c r="W584" s="44">
        <f>IF(AND(B584=Queue!$C$4,OR(Queue!$K$4="*",N584=Queue!$K$4)),Q584,"")</f>
        <v/>
      </c>
    </row>
    <row r="585">
      <c r="A585" s="35">
        <f>IF(M585="","",HYPERLINK("https://www.youtube.com/watch?v="&amp;M585,"▶"))</f>
        <v/>
      </c>
      <c r="B585" s="36">
        <f>IF(C585&lt;&gt;"",C585,IF(P585&lt;=IFERROR(INDEX(tblChannels[Watched Through],MATCH(N585,tblChannels[Channel ID],0)),0),"Watched","Unwatched"))</f>
        <v/>
      </c>
      <c r="C585" s="37" t="n"/>
      <c r="D585" s="38" t="n"/>
      <c r="E585" s="39" t="n">
        <v>45501.41666666666</v>
      </c>
      <c r="F585" s="48" t="inlineStr">
        <is>
          <t>Through The Griffin Door</t>
        </is>
      </c>
      <c r="G585" t="inlineStr">
        <is>
          <t>Chapter 8: Flight of the Fat Lady | Prisoner of Azkaban</t>
        </is>
      </c>
      <c r="H585" s="41" t="n">
        <v>0.05997685185185185</v>
      </c>
      <c r="I585" s="42" t="n">
        <v>71074</v>
      </c>
      <c r="J585" s="42" t="n">
        <v>1918</v>
      </c>
      <c r="K585" s="42" t="n">
        <v>569</v>
      </c>
      <c r="L585" s="43" t="n"/>
      <c r="M585" s="44" t="n"/>
      <c r="N585" s="44" t="inlineStr">
        <is>
          <t>UCEscP6ETYXWSSvsNrDHekMQ</t>
        </is>
      </c>
      <c r="O585" s="45" t="n">
        <v>45501.58333333334</v>
      </c>
      <c r="P585" s="46" t="n">
        <v>45501</v>
      </c>
      <c r="Q585" s="44" t="n">
        <v>2687</v>
      </c>
      <c r="R585" s="44" t="inlineStr">
        <is>
          <t>No Video ID yet</t>
        </is>
      </c>
      <c r="S585" s="46" t="n"/>
      <c r="T585" s="46" t="n"/>
      <c r="U585" s="44" t="n"/>
      <c r="V585" s="44">
        <f>IF(AND(P585&gt;=Calendar!$K$2,P585&lt;EDATE(Calendar!$K$2,1),OR(Calendar!$K$4="*",N585=Calendar!$K$4)),P585*100+COUNTIFS($P$6:$P$3271,P585,$Q$6:$Q$3271,"&lt;="&amp;Q585,$N$6:$N$3271,Calendar!$K$4),"")</f>
        <v/>
      </c>
      <c r="W585" s="44">
        <f>IF(AND(B585=Queue!$C$4,OR(Queue!$K$4="*",N585=Queue!$K$4)),Q585,"")</f>
        <v/>
      </c>
    </row>
    <row r="586">
      <c r="A586" s="35">
        <f>IF(M586="","",HYPERLINK("https://www.youtube.com/watch?v="&amp;M586,"▶"))</f>
        <v/>
      </c>
      <c r="B586" s="36">
        <f>IF(C586&lt;&gt;"",C586,IF(P586&lt;=IFERROR(INDEX(tblChannels[Watched Through],MATCH(N586,tblChannels[Channel ID],0)),0),"Watched","Unwatched"))</f>
        <v/>
      </c>
      <c r="C586" s="37" t="n"/>
      <c r="D586" s="38" t="n"/>
      <c r="E586" s="39" t="n">
        <v>45500.41666666666</v>
      </c>
      <c r="F586" s="47" t="inlineStr">
        <is>
          <t>Super Carlin Brothers</t>
        </is>
      </c>
      <c r="G586" t="inlineStr">
        <is>
          <t>Did Deadpool And Wolverine SAVE the MCU?! | Marvel REVIEW</t>
        </is>
      </c>
      <c r="H586" s="41" t="n">
        <v>0.03395833333333333</v>
      </c>
      <c r="I586" s="42" t="n">
        <v>57194</v>
      </c>
      <c r="J586" s="42" t="n">
        <v>2841</v>
      </c>
      <c r="K586" s="42" t="n">
        <v>402</v>
      </c>
      <c r="L586" s="43" t="n"/>
      <c r="M586" s="44" t="n"/>
      <c r="N586" s="44" t="inlineStr">
        <is>
          <t>UCKZo4N0lVPccBkSiuyVh4yg</t>
        </is>
      </c>
      <c r="O586" s="45" t="n">
        <v>45500.58333333334</v>
      </c>
      <c r="P586" s="46" t="n">
        <v>45500</v>
      </c>
      <c r="Q586" s="44" t="n">
        <v>2686</v>
      </c>
      <c r="R586" s="44" t="inlineStr">
        <is>
          <t>No Video ID yet</t>
        </is>
      </c>
      <c r="S586" s="46" t="n"/>
      <c r="T586" s="46" t="n"/>
      <c r="U586" s="44" t="n"/>
      <c r="V586" s="44">
        <f>IF(AND(P586&gt;=Calendar!$K$2,P586&lt;EDATE(Calendar!$K$2,1),OR(Calendar!$K$4="*",N586=Calendar!$K$4)),P586*100+COUNTIFS($P$6:$P$3271,P586,$Q$6:$Q$3271,"&lt;="&amp;Q586,$N$6:$N$3271,Calendar!$K$4),"")</f>
        <v/>
      </c>
      <c r="W586" s="44">
        <f>IF(AND(B586=Queue!$C$4,OR(Queue!$K$4="*",N586=Queue!$K$4)),Q586,"")</f>
        <v/>
      </c>
    </row>
    <row r="587">
      <c r="A587" s="35">
        <f>IF(M587="","",HYPERLINK("https://www.youtube.com/watch?v="&amp;M587,"▶"))</f>
        <v/>
      </c>
      <c r="B587" s="36">
        <f>IF(C587&lt;&gt;"",C587,IF(P587&lt;=IFERROR(INDEX(tblChannels[Watched Through],MATCH(N587,tblChannels[Channel ID],0)),0),"Watched","Unwatched"))</f>
        <v/>
      </c>
      <c r="C587" s="37" t="n"/>
      <c r="D587" s="38" t="n"/>
      <c r="E587" s="39" t="n">
        <v>45500.25555555556</v>
      </c>
      <c r="F587" s="49" t="inlineStr">
        <is>
          <t>Super Carlin Gaming</t>
        </is>
      </c>
      <c r="G587" t="inlineStr">
        <is>
          <t>Pokemon Box Breakers LIVE!</t>
        </is>
      </c>
      <c r="H587" s="41" t="n">
        <v>0.1070138888888889</v>
      </c>
      <c r="I587" s="42" t="n">
        <v>1391</v>
      </c>
      <c r="J587" s="42" t="n">
        <v>65</v>
      </c>
      <c r="K587" s="42" t="n">
        <v>9</v>
      </c>
      <c r="L587" s="43" t="n"/>
      <c r="M587" s="44" t="n"/>
      <c r="N587" s="44" t="inlineStr">
        <is>
          <t>UCor_9jRnNNZVzTuQ92PKsaQ</t>
        </is>
      </c>
      <c r="O587" s="45" t="n">
        <v>45500.42222222222</v>
      </c>
      <c r="P587" s="46" t="n">
        <v>45500</v>
      </c>
      <c r="Q587" s="44" t="n">
        <v>2685</v>
      </c>
      <c r="R587" s="44" t="inlineStr">
        <is>
          <t>No Video ID yet</t>
        </is>
      </c>
      <c r="S587" s="46" t="n"/>
      <c r="T587" s="46" t="n"/>
      <c r="U587" s="44" t="n"/>
      <c r="V587" s="44">
        <f>IF(AND(P587&gt;=Calendar!$K$2,P587&lt;EDATE(Calendar!$K$2,1),OR(Calendar!$K$4="*",N587=Calendar!$K$4)),P587*100+COUNTIFS($P$6:$P$3271,P587,$Q$6:$Q$3271,"&lt;="&amp;Q587,$N$6:$N$3271,Calendar!$K$4),"")</f>
        <v/>
      </c>
      <c r="W587" s="44">
        <f>IF(AND(B587=Queue!$C$4,OR(Queue!$K$4="*",N587=Queue!$K$4)),Q587,"")</f>
        <v/>
      </c>
    </row>
    <row r="588">
      <c r="A588" s="35">
        <f>IF(M588="","",HYPERLINK("https://www.youtube.com/watch?v="&amp;M588,"▶"))</f>
        <v/>
      </c>
      <c r="B588" s="36">
        <f>IF(C588&lt;&gt;"",C588,IF(P588&lt;=IFERROR(INDEX(tblChannels[Watched Through],MATCH(N588,tblChannels[Channel ID],0)),0),"Watched","Unwatched"))</f>
        <v/>
      </c>
      <c r="C588" s="37" t="n"/>
      <c r="D588" s="38" t="n"/>
      <c r="E588" s="39" t="n">
        <v>45499.79166666666</v>
      </c>
      <c r="F588" s="49" t="inlineStr">
        <is>
          <t>Super Carlin Gaming</t>
        </is>
      </c>
      <c r="G588" t="inlineStr">
        <is>
          <t>Holy Feraligatr Batman!! | Carlin Brother Box Breakers S11E10</t>
        </is>
      </c>
      <c r="H588" s="41" t="n">
        <v>0.03482638888888889</v>
      </c>
      <c r="I588" s="42" t="n">
        <v>1010</v>
      </c>
      <c r="J588" s="42" t="n">
        <v>55</v>
      </c>
      <c r="K588" s="42" t="n">
        <v>8</v>
      </c>
      <c r="L588" s="43" t="n"/>
      <c r="M588" s="44" t="n"/>
      <c r="N588" s="44" t="inlineStr">
        <is>
          <t>UCor_9jRnNNZVzTuQ92PKsaQ</t>
        </is>
      </c>
      <c r="O588" s="45" t="n">
        <v>45499.95833333334</v>
      </c>
      <c r="P588" s="46" t="n">
        <v>45499</v>
      </c>
      <c r="Q588" s="44" t="n">
        <v>2684</v>
      </c>
      <c r="R588" s="44" t="inlineStr">
        <is>
          <t>No Video ID yet</t>
        </is>
      </c>
      <c r="S588" s="46" t="n"/>
      <c r="T588" s="46" t="n"/>
      <c r="U588" s="44" t="n"/>
      <c r="V588" s="44">
        <f>IF(AND(P588&gt;=Calendar!$K$2,P588&lt;EDATE(Calendar!$K$2,1),OR(Calendar!$K$4="*",N588=Calendar!$K$4)),P588*100+COUNTIFS($P$6:$P$3271,P588,$Q$6:$Q$3271,"&lt;="&amp;Q588,$N$6:$N$3271,Calendar!$K$4),"")</f>
        <v/>
      </c>
      <c r="W588" s="44">
        <f>IF(AND(B588=Queue!$C$4,OR(Queue!$K$4="*",N588=Queue!$K$4)),Q588,"")</f>
        <v/>
      </c>
    </row>
    <row r="589">
      <c r="A589" s="35">
        <f>IF(M589="","",HYPERLINK("https://www.youtube.com/watch?v="&amp;M589,"▶"))</f>
        <v/>
      </c>
      <c r="B589" s="36">
        <f>IF(C589&lt;&gt;"",C589,IF(P589&lt;=IFERROR(INDEX(tblChannels[Watched Through],MATCH(N589,tblChannels[Channel ID],0)),0),"Watched","Unwatched"))</f>
        <v/>
      </c>
      <c r="C589" s="37" t="n"/>
      <c r="D589" s="38" t="n"/>
      <c r="E589" s="39" t="n">
        <v>45499.69722222222</v>
      </c>
      <c r="F589" s="47" t="inlineStr">
        <is>
          <t>Super Carlin Brothers</t>
        </is>
      </c>
      <c r="G589" t="inlineStr">
        <is>
          <t>How Did Sirius Get His Wand Back | Harry Potter Film Theory</t>
        </is>
      </c>
      <c r="H589" s="41" t="n">
        <v>0.01081018518518518</v>
      </c>
      <c r="I589" s="42" t="n">
        <v>148341</v>
      </c>
      <c r="J589" s="42" t="n">
        <v>6555</v>
      </c>
      <c r="K589" s="42" t="n">
        <v>822</v>
      </c>
      <c r="L589" s="43" t="n"/>
      <c r="M589" s="44" t="n"/>
      <c r="N589" s="44" t="inlineStr">
        <is>
          <t>UCKZo4N0lVPccBkSiuyVh4yg</t>
        </is>
      </c>
      <c r="O589" s="45" t="n">
        <v>45499.86388888889</v>
      </c>
      <c r="P589" s="46" t="n">
        <v>45499</v>
      </c>
      <c r="Q589" s="44" t="n">
        <v>2683</v>
      </c>
      <c r="R589" s="44" t="inlineStr">
        <is>
          <t>No Video ID yet</t>
        </is>
      </c>
      <c r="S589" s="46" t="n"/>
      <c r="T589" s="46" t="n"/>
      <c r="U589" s="44" t="n"/>
      <c r="V589" s="44">
        <f>IF(AND(P589&gt;=Calendar!$K$2,P589&lt;EDATE(Calendar!$K$2,1),OR(Calendar!$K$4="*",N589=Calendar!$K$4)),P589*100+COUNTIFS($P$6:$P$3271,P589,$Q$6:$Q$3271,"&lt;="&amp;Q589,$N$6:$N$3271,Calendar!$K$4),"")</f>
        <v/>
      </c>
      <c r="W589" s="44">
        <f>IF(AND(B589=Queue!$C$4,OR(Queue!$K$4="*",N589=Queue!$K$4)),Q589,"")</f>
        <v/>
      </c>
    </row>
    <row r="590">
      <c r="A590" s="35">
        <f>IF(M590="","",HYPERLINK("https://www.youtube.com/watch?v="&amp;M590,"▶"))</f>
        <v/>
      </c>
      <c r="B590" s="36">
        <f>IF(C590&lt;&gt;"",C590,IF(P590&lt;=IFERROR(INDEX(tblChannels[Watched Through],MATCH(N590,tblChannels[Channel ID],0)),0),"Watched","Unwatched"))</f>
        <v/>
      </c>
      <c r="C590" s="37" t="n"/>
      <c r="D590" s="38" t="n"/>
      <c r="E590" s="39" t="n">
        <v>45499.41666666666</v>
      </c>
      <c r="F590" s="40" t="inlineStr">
        <is>
          <t>Popcorn Culture</t>
        </is>
      </c>
      <c r="G590" t="inlineStr">
        <is>
          <t>*insert laugh track*| Popcorn Culture</t>
        </is>
      </c>
      <c r="H590" s="41" t="n">
        <v>0.04859953703703704</v>
      </c>
      <c r="I590" s="42" t="n">
        <v>3680</v>
      </c>
      <c r="J590" s="42" t="n">
        <v>204</v>
      </c>
      <c r="K590" s="42" t="n">
        <v>22</v>
      </c>
      <c r="L590" s="43" t="n"/>
      <c r="M590" s="44" t="n"/>
      <c r="N590" s="44" t="inlineStr">
        <is>
          <t>UCHfIbq9thHPC8yrKjAdJgDA</t>
        </is>
      </c>
      <c r="O590" s="45" t="n">
        <v>45499.58333333334</v>
      </c>
      <c r="P590" s="46" t="n">
        <v>45499</v>
      </c>
      <c r="Q590" s="44" t="n">
        <v>2682</v>
      </c>
      <c r="R590" s="44" t="inlineStr">
        <is>
          <t>No Video ID yet</t>
        </is>
      </c>
      <c r="S590" s="46" t="n"/>
      <c r="T590" s="46" t="n"/>
      <c r="U590" s="44" t="n"/>
      <c r="V590" s="44">
        <f>IF(AND(P590&gt;=Calendar!$K$2,P590&lt;EDATE(Calendar!$K$2,1),OR(Calendar!$K$4="*",N590=Calendar!$K$4)),P590*100+COUNTIFS($P$6:$P$3271,P590,$Q$6:$Q$3271,"&lt;="&amp;Q590,$N$6:$N$3271,Calendar!$K$4),"")</f>
        <v/>
      </c>
      <c r="W590" s="44">
        <f>IF(AND(B590=Queue!$C$4,OR(Queue!$K$4="*",N590=Queue!$K$4)),Q590,"")</f>
        <v/>
      </c>
    </row>
    <row r="591">
      <c r="A591" s="35">
        <f>IF(M591="","",HYPERLINK("https://www.youtube.com/watch?v="&amp;M591,"▶"))</f>
        <v/>
      </c>
      <c r="B591" s="36">
        <f>IF(C591&lt;&gt;"",C591,IF(P591&lt;=IFERROR(INDEX(tblChannels[Watched Through],MATCH(N591,tblChannels[Channel ID],0)),0),"Watched","Unwatched"))</f>
        <v/>
      </c>
      <c r="C591" s="37" t="n"/>
      <c r="D591" s="38" t="n"/>
      <c r="E591" s="39" t="n">
        <v>45497.77291666667</v>
      </c>
      <c r="F591" s="47" t="inlineStr">
        <is>
          <t>Super Carlin Brothers</t>
        </is>
      </c>
      <c r="G591" t="inlineStr">
        <is>
          <t>Is Deadpool IMMORTAL Google Autofill | Marvel Film Theory</t>
        </is>
      </c>
      <c r="H591" s="41" t="n">
        <v>0.009050925925925926</v>
      </c>
      <c r="I591" s="42" t="n">
        <v>33414</v>
      </c>
      <c r="J591" s="42" t="n">
        <v>1982</v>
      </c>
      <c r="K591" s="42" t="n">
        <v>241</v>
      </c>
      <c r="L591" s="43" t="n"/>
      <c r="M591" s="44" t="n"/>
      <c r="N591" s="44" t="inlineStr">
        <is>
          <t>UCKZo4N0lVPccBkSiuyVh4yg</t>
        </is>
      </c>
      <c r="O591" s="45" t="n">
        <v>45497.93958333333</v>
      </c>
      <c r="P591" s="46" t="n">
        <v>45497</v>
      </c>
      <c r="Q591" s="44" t="n">
        <v>2681</v>
      </c>
      <c r="R591" s="44" t="inlineStr">
        <is>
          <t>No Video ID yet</t>
        </is>
      </c>
      <c r="S591" s="46" t="n"/>
      <c r="T591" s="46" t="n"/>
      <c r="U591" s="44" t="n"/>
      <c r="V591" s="44">
        <f>IF(AND(P591&gt;=Calendar!$K$2,P591&lt;EDATE(Calendar!$K$2,1),OR(Calendar!$K$4="*",N591=Calendar!$K$4)),P591*100+COUNTIFS($P$6:$P$3271,P591,$Q$6:$Q$3271,"&lt;="&amp;Q591,$N$6:$N$3271,Calendar!$K$4),"")</f>
        <v/>
      </c>
      <c r="W591" s="44">
        <f>IF(AND(B591=Queue!$C$4,OR(Queue!$K$4="*",N591=Queue!$K$4)),Q591,"")</f>
        <v/>
      </c>
    </row>
    <row r="592">
      <c r="A592" s="35">
        <f>IF(M592="","",HYPERLINK("https://www.youtube.com/watch?v="&amp;M592,"▶"))</f>
        <v/>
      </c>
      <c r="B592" s="36">
        <f>IF(C592&lt;&gt;"",C592,IF(P592&lt;=IFERROR(INDEX(tblChannels[Watched Through],MATCH(N592,tblChannels[Channel ID],0)),0),"Watched","Unwatched"))</f>
        <v/>
      </c>
      <c r="C592" s="37" t="n"/>
      <c r="D592" s="38" t="n"/>
      <c r="E592" s="39" t="n">
        <v>45494.41666666666</v>
      </c>
      <c r="F592" s="47" t="inlineStr">
        <is>
          <t>Super Carlin Brothers</t>
        </is>
      </c>
      <c r="G592" t="inlineStr">
        <is>
          <t>Through the Griffin Door Supercut: Prisoner of Azkaban Chapters 4-6</t>
        </is>
      </c>
      <c r="H592" s="41" t="n">
        <v>0.1754282407407407</v>
      </c>
      <c r="I592" s="42" t="n">
        <v>30083</v>
      </c>
      <c r="J592" s="42" t="n">
        <v>500</v>
      </c>
      <c r="K592" s="42" t="n">
        <v>123</v>
      </c>
      <c r="L592" s="43" t="n"/>
      <c r="M592" s="44" t="n"/>
      <c r="N592" s="44" t="inlineStr">
        <is>
          <t>UCKZo4N0lVPccBkSiuyVh4yg</t>
        </is>
      </c>
      <c r="O592" s="45" t="n">
        <v>45494.58333333334</v>
      </c>
      <c r="P592" s="46" t="n">
        <v>45494</v>
      </c>
      <c r="Q592" s="44" t="n">
        <v>2680</v>
      </c>
      <c r="R592" s="44" t="inlineStr">
        <is>
          <t>No Video ID yet</t>
        </is>
      </c>
      <c r="S592" s="46" t="n"/>
      <c r="T592" s="46" t="n"/>
      <c r="U592" s="44" t="n"/>
      <c r="V592" s="44">
        <f>IF(AND(P592&gt;=Calendar!$K$2,P592&lt;EDATE(Calendar!$K$2,1),OR(Calendar!$K$4="*",N592=Calendar!$K$4)),P592*100+COUNTIFS($P$6:$P$3271,P592,$Q$6:$Q$3271,"&lt;="&amp;Q592,$N$6:$N$3271,Calendar!$K$4),"")</f>
        <v/>
      </c>
      <c r="W592" s="44">
        <f>IF(AND(B592=Queue!$C$4,OR(Queue!$K$4="*",N592=Queue!$K$4)),Q592,"")</f>
        <v/>
      </c>
    </row>
    <row r="593">
      <c r="A593" s="35">
        <f>IF(M593="","",HYPERLINK("https://www.youtube.com/watch?v="&amp;M593,"▶"))</f>
        <v/>
      </c>
      <c r="B593" s="36">
        <f>IF(C593&lt;&gt;"",C593,IF(P593&lt;=IFERROR(INDEX(tblChannels[Watched Through],MATCH(N593,tblChannels[Channel ID],0)),0),"Watched","Unwatched"))</f>
        <v/>
      </c>
      <c r="C593" s="37" t="n"/>
      <c r="D593" s="38" t="n"/>
      <c r="E593" s="39" t="n">
        <v>45494.41666666666</v>
      </c>
      <c r="F593" s="48" t="inlineStr">
        <is>
          <t>Through The Griffin Door</t>
        </is>
      </c>
      <c r="G593" t="inlineStr">
        <is>
          <t>Chapter 7: The Boggart in the Wardrobe | Prisoner of Azkaban</t>
        </is>
      </c>
      <c r="H593" s="41" t="n">
        <v>0.06196759259259259</v>
      </c>
      <c r="I593" s="42" t="n">
        <v>73568</v>
      </c>
      <c r="J593" s="42" t="n">
        <v>2002</v>
      </c>
      <c r="K593" s="42" t="n">
        <v>551</v>
      </c>
      <c r="L593" s="43" t="n"/>
      <c r="M593" s="44" t="n"/>
      <c r="N593" s="44" t="inlineStr">
        <is>
          <t>UCEscP6ETYXWSSvsNrDHekMQ</t>
        </is>
      </c>
      <c r="O593" s="45" t="n">
        <v>45494.58333333334</v>
      </c>
      <c r="P593" s="46" t="n">
        <v>45494</v>
      </c>
      <c r="Q593" s="44" t="n">
        <v>2679</v>
      </c>
      <c r="R593" s="44" t="inlineStr">
        <is>
          <t>No Video ID yet</t>
        </is>
      </c>
      <c r="S593" s="46" t="n"/>
      <c r="T593" s="46" t="n"/>
      <c r="U593" s="44" t="n"/>
      <c r="V593" s="44">
        <f>IF(AND(P593&gt;=Calendar!$K$2,P593&lt;EDATE(Calendar!$K$2,1),OR(Calendar!$K$4="*",N593=Calendar!$K$4)),P593*100+COUNTIFS($P$6:$P$3271,P593,$Q$6:$Q$3271,"&lt;="&amp;Q593,$N$6:$N$3271,Calendar!$K$4),"")</f>
        <v/>
      </c>
      <c r="W593" s="44">
        <f>IF(AND(B593=Queue!$C$4,OR(Queue!$K$4="*",N593=Queue!$K$4)),Q593,"")</f>
        <v/>
      </c>
    </row>
    <row r="594">
      <c r="A594" s="35">
        <f>IF(M594="","",HYPERLINK("https://www.youtube.com/watch?v="&amp;M594,"▶"))</f>
        <v/>
      </c>
      <c r="B594" s="36">
        <f>IF(C594&lt;&gt;"",C594,IF(P594&lt;=IFERROR(INDEX(tblChannels[Watched Through],MATCH(N594,tblChannels[Channel ID],0)),0),"Watched","Unwatched"))</f>
        <v/>
      </c>
      <c r="C594" s="37" t="n"/>
      <c r="D594" s="38" t="n"/>
      <c r="E594" s="39" t="n">
        <v>45493.77083333334</v>
      </c>
      <c r="F594" s="49" t="inlineStr">
        <is>
          <t>Super Carlin Gaming</t>
        </is>
      </c>
      <c r="G594" t="inlineStr">
        <is>
          <t>A Truly Haunting Episode | Carlin Brothers Box Breakers S11E9</t>
        </is>
      </c>
      <c r="H594" s="41" t="n">
        <v>0.03394675925925926</v>
      </c>
      <c r="I594" s="42" t="n">
        <v>1274</v>
      </c>
      <c r="J594" s="42" t="n">
        <v>71</v>
      </c>
      <c r="K594" s="42" t="n">
        <v>11</v>
      </c>
      <c r="L594" s="43" t="n"/>
      <c r="M594" s="44" t="n"/>
      <c r="N594" s="44" t="inlineStr">
        <is>
          <t>UCor_9jRnNNZVzTuQ92PKsaQ</t>
        </is>
      </c>
      <c r="O594" s="45" t="n">
        <v>45493.9375</v>
      </c>
      <c r="P594" s="46" t="n">
        <v>45493</v>
      </c>
      <c r="Q594" s="44" t="n">
        <v>2678</v>
      </c>
      <c r="R594" s="44" t="inlineStr">
        <is>
          <t>No Video ID yet</t>
        </is>
      </c>
      <c r="S594" s="46" t="n"/>
      <c r="T594" s="46" t="n"/>
      <c r="U594" s="44" t="n"/>
      <c r="V594" s="44">
        <f>IF(AND(P594&gt;=Calendar!$K$2,P594&lt;EDATE(Calendar!$K$2,1),OR(Calendar!$K$4="*",N594=Calendar!$K$4)),P594*100+COUNTIFS($P$6:$P$3271,P594,$Q$6:$Q$3271,"&lt;="&amp;Q594,$N$6:$N$3271,Calendar!$K$4),"")</f>
        <v/>
      </c>
      <c r="W594" s="44">
        <f>IF(AND(B594=Queue!$C$4,OR(Queue!$K$4="*",N594=Queue!$K$4)),Q594,"")</f>
        <v/>
      </c>
    </row>
    <row r="595">
      <c r="A595" s="35">
        <f>IF(M595="","",HYPERLINK("https://www.youtube.com/watch?v="&amp;M595,"▶"))</f>
        <v/>
      </c>
      <c r="B595" s="36">
        <f>IF(C595&lt;&gt;"",C595,IF(P595&lt;=IFERROR(INDEX(tblChannels[Watched Through],MATCH(N595,tblChannels[Channel ID],0)),0),"Watched","Unwatched"))</f>
        <v/>
      </c>
      <c r="C595" s="37" t="n"/>
      <c r="D595" s="38" t="n"/>
      <c r="E595" s="39" t="n">
        <v>45492.68402777778</v>
      </c>
      <c r="F595" s="47" t="inlineStr">
        <is>
          <t>Super Carlin Brothers</t>
        </is>
      </c>
      <c r="G595" t="inlineStr">
        <is>
          <t>Hogwarts WEIRD Population EXPLAINED | Harry Potter Film Theory</t>
        </is>
      </c>
      <c r="H595" s="41" t="n">
        <v>0.0106712962962963</v>
      </c>
      <c r="I595" s="42" t="n">
        <v>192332</v>
      </c>
      <c r="J595" s="42" t="n">
        <v>8329</v>
      </c>
      <c r="K595" s="42" t="n">
        <v>929</v>
      </c>
      <c r="L595" s="43" t="n"/>
      <c r="M595" s="44" t="n"/>
      <c r="N595" s="44" t="inlineStr">
        <is>
          <t>UCKZo4N0lVPccBkSiuyVh4yg</t>
        </is>
      </c>
      <c r="O595" s="45" t="n">
        <v>45492.85069444445</v>
      </c>
      <c r="P595" s="46" t="n">
        <v>45492</v>
      </c>
      <c r="Q595" s="44" t="n">
        <v>2677</v>
      </c>
      <c r="R595" s="44" t="inlineStr">
        <is>
          <t>No Video ID yet</t>
        </is>
      </c>
      <c r="S595" s="46" t="n"/>
      <c r="T595" s="46" t="n"/>
      <c r="U595" s="44" t="n"/>
      <c r="V595" s="44">
        <f>IF(AND(P595&gt;=Calendar!$K$2,P595&lt;EDATE(Calendar!$K$2,1),OR(Calendar!$K$4="*",N595=Calendar!$K$4)),P595*100+COUNTIFS($P$6:$P$3271,P595,$Q$6:$Q$3271,"&lt;="&amp;Q595,$N$6:$N$3271,Calendar!$K$4),"")</f>
        <v/>
      </c>
      <c r="W595" s="44">
        <f>IF(AND(B595=Queue!$C$4,OR(Queue!$K$4="*",N595=Queue!$K$4)),Q595,"")</f>
        <v/>
      </c>
    </row>
    <row r="596">
      <c r="A596" s="35">
        <f>IF(M596="","",HYPERLINK("https://www.youtube.com/watch?v="&amp;M596,"▶"))</f>
        <v/>
      </c>
      <c r="B596" s="36">
        <f>IF(C596&lt;&gt;"",C596,IF(P596&lt;=IFERROR(INDEX(tblChannels[Watched Through],MATCH(N596,tblChannels[Channel ID],0)),0),"Watched","Unwatched"))</f>
        <v/>
      </c>
      <c r="C596" s="37" t="n"/>
      <c r="D596" s="38" t="n"/>
      <c r="E596" s="39" t="n">
        <v>45492.41666666666</v>
      </c>
      <c r="F596" s="40" t="inlineStr">
        <is>
          <t>Popcorn Culture</t>
        </is>
      </c>
      <c r="G596" t="inlineStr">
        <is>
          <t>673 Mustaches | Popcorn Culture</t>
        </is>
      </c>
      <c r="H596" s="41" t="n">
        <v>0.05694444444444444</v>
      </c>
      <c r="I596" s="42" t="n">
        <v>4043</v>
      </c>
      <c r="J596" s="42" t="n">
        <v>189</v>
      </c>
      <c r="K596" s="42" t="n">
        <v>40</v>
      </c>
      <c r="L596" s="43" t="n"/>
      <c r="M596" s="44" t="n"/>
      <c r="N596" s="44" t="inlineStr">
        <is>
          <t>UCHfIbq9thHPC8yrKjAdJgDA</t>
        </is>
      </c>
      <c r="O596" s="45" t="n">
        <v>45492.58333333334</v>
      </c>
      <c r="P596" s="46" t="n">
        <v>45492</v>
      </c>
      <c r="Q596" s="44" t="n">
        <v>2676</v>
      </c>
      <c r="R596" s="44" t="inlineStr">
        <is>
          <t>No Video ID yet</t>
        </is>
      </c>
      <c r="S596" s="46" t="n"/>
      <c r="T596" s="46" t="n"/>
      <c r="U596" s="44" t="n"/>
      <c r="V596" s="44">
        <f>IF(AND(P596&gt;=Calendar!$K$2,P596&lt;EDATE(Calendar!$K$2,1),OR(Calendar!$K$4="*",N596=Calendar!$K$4)),P596*100+COUNTIFS($P$6:$P$3271,P596,$Q$6:$Q$3271,"&lt;="&amp;Q596,$N$6:$N$3271,Calendar!$K$4),"")</f>
        <v/>
      </c>
      <c r="W596" s="44">
        <f>IF(AND(B596=Queue!$C$4,OR(Queue!$K$4="*",N596=Queue!$K$4)),Q596,"")</f>
        <v/>
      </c>
    </row>
    <row r="597">
      <c r="A597" s="35">
        <f>IF(M597="","",HYPERLINK("https://www.youtube.com/watch?v="&amp;M597,"▶"))</f>
        <v/>
      </c>
      <c r="B597" s="36">
        <f>IF(C597&lt;&gt;"",C597,IF(P597&lt;=IFERROR(INDEX(tblChannels[Watched Through],MATCH(N597,tblChannels[Channel ID],0)),0),"Watched","Unwatched"))</f>
        <v/>
      </c>
      <c r="C597" s="37" t="n"/>
      <c r="D597" s="38" t="n"/>
      <c r="E597" s="39" t="n">
        <v>45490.71944444445</v>
      </c>
      <c r="F597" s="47" t="inlineStr">
        <is>
          <t>Super Carlin Brothers</t>
        </is>
      </c>
      <c r="G597" t="inlineStr">
        <is>
          <t>J vs Ben: ULTIMATE Lucius Malfoy Harry Potter TRIVIA Quiz feat. BrettsThoughts</t>
        </is>
      </c>
      <c r="H597" s="41" t="n">
        <v>0.03070601851851852</v>
      </c>
      <c r="I597" s="42" t="n">
        <v>151063</v>
      </c>
      <c r="J597" s="42" t="n">
        <v>5097</v>
      </c>
      <c r="K597" s="42" t="n">
        <v>412</v>
      </c>
      <c r="L597" s="43" t="n"/>
      <c r="M597" s="44" t="n"/>
      <c r="N597" s="44" t="inlineStr">
        <is>
          <t>UCKZo4N0lVPccBkSiuyVh4yg</t>
        </is>
      </c>
      <c r="O597" s="45" t="n">
        <v>45490.88611111111</v>
      </c>
      <c r="P597" s="46" t="n">
        <v>45490</v>
      </c>
      <c r="Q597" s="44" t="n">
        <v>2675</v>
      </c>
      <c r="R597" s="44" t="inlineStr">
        <is>
          <t>No Video ID yet</t>
        </is>
      </c>
      <c r="S597" s="46" t="n"/>
      <c r="T597" s="46" t="n"/>
      <c r="U597" s="44" t="n"/>
      <c r="V597" s="44">
        <f>IF(AND(P597&gt;=Calendar!$K$2,P597&lt;EDATE(Calendar!$K$2,1),OR(Calendar!$K$4="*",N597=Calendar!$K$4)),P597*100+COUNTIFS($P$6:$P$3271,P597,$Q$6:$Q$3271,"&lt;="&amp;Q597,$N$6:$N$3271,Calendar!$K$4),"")</f>
        <v/>
      </c>
      <c r="W597" s="44">
        <f>IF(AND(B597=Queue!$C$4,OR(Queue!$K$4="*",N597=Queue!$K$4)),Q597,"")</f>
        <v/>
      </c>
    </row>
    <row r="598">
      <c r="A598" s="35">
        <f>IF(M598="","",HYPERLINK("https://www.youtube.com/watch?v="&amp;M598,"▶"))</f>
        <v/>
      </c>
      <c r="B598" s="36">
        <f>IF(C598&lt;&gt;"",C598,IF(P598&lt;=IFERROR(INDEX(tblChannels[Watched Through],MATCH(N598,tblChannels[Channel ID],0)),0),"Watched","Unwatched"))</f>
        <v/>
      </c>
      <c r="C598" s="37" t="n"/>
      <c r="D598" s="38" t="n"/>
      <c r="E598" s="39" t="n">
        <v>45487.41666666666</v>
      </c>
      <c r="F598" s="48" t="inlineStr">
        <is>
          <t>Through The Griffin Door</t>
        </is>
      </c>
      <c r="G598" t="inlineStr">
        <is>
          <t>Chapter 6: Talons and Tea Leaves | Prisoner of Azkaban</t>
        </is>
      </c>
      <c r="H598" s="41" t="n">
        <v>0.06679398148148148</v>
      </c>
      <c r="I598" s="42" t="n">
        <v>77907</v>
      </c>
      <c r="J598" s="42" t="n">
        <v>2114</v>
      </c>
      <c r="K598" s="42" t="n">
        <v>615</v>
      </c>
      <c r="L598" s="43" t="n"/>
      <c r="M598" s="44" t="n"/>
      <c r="N598" s="44" t="inlineStr">
        <is>
          <t>UCEscP6ETYXWSSvsNrDHekMQ</t>
        </is>
      </c>
      <c r="O598" s="45" t="n">
        <v>45487.58333333334</v>
      </c>
      <c r="P598" s="46" t="n">
        <v>45487</v>
      </c>
      <c r="Q598" s="44" t="n">
        <v>2674</v>
      </c>
      <c r="R598" s="44" t="inlineStr">
        <is>
          <t>No Video ID yet</t>
        </is>
      </c>
      <c r="S598" s="46" t="n"/>
      <c r="T598" s="46" t="n"/>
      <c r="U598" s="44" t="n"/>
      <c r="V598" s="44">
        <f>IF(AND(P598&gt;=Calendar!$K$2,P598&lt;EDATE(Calendar!$K$2,1),OR(Calendar!$K$4="*",N598=Calendar!$K$4)),P598*100+COUNTIFS($P$6:$P$3271,P598,$Q$6:$Q$3271,"&lt;="&amp;Q598,$N$6:$N$3271,Calendar!$K$4),"")</f>
        <v/>
      </c>
      <c r="W598" s="44">
        <f>IF(AND(B598=Queue!$C$4,OR(Queue!$K$4="*",N598=Queue!$K$4)),Q598,"")</f>
        <v/>
      </c>
    </row>
    <row r="599">
      <c r="A599" s="35">
        <f>IF(M599="","",HYPERLINK("https://www.youtube.com/watch?v="&amp;M599,"▶"))</f>
        <v/>
      </c>
      <c r="B599" s="36">
        <f>IF(C599&lt;&gt;"",C599,IF(P599&lt;=IFERROR(INDEX(tblChannels[Watched Through],MATCH(N599,tblChannels[Channel ID],0)),0),"Watched","Unwatched"))</f>
        <v/>
      </c>
      <c r="C599" s="37" t="n"/>
      <c r="D599" s="38" t="n"/>
      <c r="E599" s="39" t="n">
        <v>45485.70625</v>
      </c>
      <c r="F599" s="47" t="inlineStr">
        <is>
          <t>Super Carlin Brothers</t>
        </is>
      </c>
      <c r="G599" t="inlineStr">
        <is>
          <t>What If Voldemort SURVIVED | Harry Potter Film Theory</t>
        </is>
      </c>
      <c r="H599" s="41" t="n">
        <v>0.01047453703703704</v>
      </c>
      <c r="I599" s="42" t="n">
        <v>134906</v>
      </c>
      <c r="J599" s="42" t="n">
        <v>5870</v>
      </c>
      <c r="K599" s="42" t="n">
        <v>621</v>
      </c>
      <c r="L599" s="43" t="n"/>
      <c r="M599" s="44" t="n"/>
      <c r="N599" s="44" t="inlineStr">
        <is>
          <t>UCKZo4N0lVPccBkSiuyVh4yg</t>
        </is>
      </c>
      <c r="O599" s="45" t="n">
        <v>45485.87291666667</v>
      </c>
      <c r="P599" s="46" t="n">
        <v>45485</v>
      </c>
      <c r="Q599" s="44" t="n">
        <v>2673</v>
      </c>
      <c r="R599" s="44" t="inlineStr">
        <is>
          <t>No Video ID yet</t>
        </is>
      </c>
      <c r="S599" s="46" t="n"/>
      <c r="T599" s="46" t="n"/>
      <c r="U599" s="44" t="n"/>
      <c r="V599" s="44">
        <f>IF(AND(P599&gt;=Calendar!$K$2,P599&lt;EDATE(Calendar!$K$2,1),OR(Calendar!$K$4="*",N599=Calendar!$K$4)),P599*100+COUNTIFS($P$6:$P$3271,P599,$Q$6:$Q$3271,"&lt;="&amp;Q599,$N$6:$N$3271,Calendar!$K$4),"")</f>
        <v/>
      </c>
      <c r="W599" s="44">
        <f>IF(AND(B599=Queue!$C$4,OR(Queue!$K$4="*",N599=Queue!$K$4)),Q599,"")</f>
        <v/>
      </c>
    </row>
    <row r="600">
      <c r="A600" s="35">
        <f>IF(M600="","",HYPERLINK("https://www.youtube.com/watch?v="&amp;M600,"▶"))</f>
        <v/>
      </c>
      <c r="B600" s="36">
        <f>IF(C600&lt;&gt;"",C600,IF(P600&lt;=IFERROR(INDEX(tblChannels[Watched Through],MATCH(N600,tblChannels[Channel ID],0)),0),"Watched","Unwatched"))</f>
        <v/>
      </c>
      <c r="C600" s="37" t="n"/>
      <c r="D600" s="38" t="n"/>
      <c r="E600" s="39" t="n">
        <v>45485.41666666666</v>
      </c>
      <c r="F600" s="40" t="inlineStr">
        <is>
          <t>Popcorn Culture</t>
        </is>
      </c>
      <c r="G600" t="inlineStr">
        <is>
          <t>Lunch Date Wingman | Popcorn Culture</t>
        </is>
      </c>
      <c r="H600" s="41" t="n">
        <v>0.05</v>
      </c>
      <c r="I600" s="42" t="n">
        <v>3868</v>
      </c>
      <c r="J600" s="42" t="n">
        <v>199</v>
      </c>
      <c r="K600" s="42" t="n">
        <v>18</v>
      </c>
      <c r="L600" s="43" t="n"/>
      <c r="M600" s="44" t="n"/>
      <c r="N600" s="44" t="inlineStr">
        <is>
          <t>UCHfIbq9thHPC8yrKjAdJgDA</t>
        </is>
      </c>
      <c r="O600" s="45" t="n">
        <v>45485.58333333334</v>
      </c>
      <c r="P600" s="46" t="n">
        <v>45485</v>
      </c>
      <c r="Q600" s="44" t="n">
        <v>2672</v>
      </c>
      <c r="R600" s="44" t="inlineStr">
        <is>
          <t>No Video ID yet</t>
        </is>
      </c>
      <c r="S600" s="46" t="n"/>
      <c r="T600" s="46" t="n"/>
      <c r="U600" s="44" t="n"/>
      <c r="V600" s="44">
        <f>IF(AND(P600&gt;=Calendar!$K$2,P600&lt;EDATE(Calendar!$K$2,1),OR(Calendar!$K$4="*",N600=Calendar!$K$4)),P600*100+COUNTIFS($P$6:$P$3271,P600,$Q$6:$Q$3271,"&lt;="&amp;Q600,$N$6:$N$3271,Calendar!$K$4),"")</f>
        <v/>
      </c>
      <c r="W600" s="44">
        <f>IF(AND(B600=Queue!$C$4,OR(Queue!$K$4="*",N600=Queue!$K$4)),Q600,"")</f>
        <v/>
      </c>
    </row>
    <row r="601">
      <c r="A601" s="35">
        <f>IF(M601="","",HYPERLINK("https://www.youtube.com/watch?v="&amp;M601,"▶"))</f>
        <v/>
      </c>
      <c r="B601" s="36">
        <f>IF(C601&lt;&gt;"",C601,IF(P601&lt;=IFERROR(INDEX(tblChannels[Watched Through],MATCH(N601,tblChannels[Channel ID],0)),0),"Watched","Unwatched"))</f>
        <v/>
      </c>
      <c r="C601" s="37" t="n"/>
      <c r="D601" s="38" t="n"/>
      <c r="E601" s="39" t="n">
        <v>45483.70138888889</v>
      </c>
      <c r="F601" s="47" t="inlineStr">
        <is>
          <t>Super Carlin Brothers</t>
        </is>
      </c>
      <c r="G601" t="inlineStr">
        <is>
          <t>Ron Weasley Is A SEER | Harry Potter Film Theory</t>
        </is>
      </c>
      <c r="H601" s="41" t="n">
        <v>0.01164351851851852</v>
      </c>
      <c r="I601" s="42" t="n">
        <v>278460</v>
      </c>
      <c r="J601" s="42" t="n">
        <v>11551</v>
      </c>
      <c r="K601" s="42" t="n">
        <v>1097</v>
      </c>
      <c r="L601" s="43" t="n"/>
      <c r="M601" s="44" t="n"/>
      <c r="N601" s="44" t="inlineStr">
        <is>
          <t>UCKZo4N0lVPccBkSiuyVh4yg</t>
        </is>
      </c>
      <c r="O601" s="45" t="n">
        <v>45483.86805555555</v>
      </c>
      <c r="P601" s="46" t="n">
        <v>45483</v>
      </c>
      <c r="Q601" s="44" t="n">
        <v>2671</v>
      </c>
      <c r="R601" s="44" t="inlineStr">
        <is>
          <t>No Video ID yet</t>
        </is>
      </c>
      <c r="S601" s="46" t="n"/>
      <c r="T601" s="46" t="n"/>
      <c r="U601" s="44" t="n"/>
      <c r="V601" s="44">
        <f>IF(AND(P601&gt;=Calendar!$K$2,P601&lt;EDATE(Calendar!$K$2,1),OR(Calendar!$K$4="*",N601=Calendar!$K$4)),P601*100+COUNTIFS($P$6:$P$3271,P601,$Q$6:$Q$3271,"&lt;="&amp;Q601,$N$6:$N$3271,Calendar!$K$4),"")</f>
        <v/>
      </c>
      <c r="W601" s="44">
        <f>IF(AND(B601=Queue!$C$4,OR(Queue!$K$4="*",N601=Queue!$K$4)),Q601,"")</f>
        <v/>
      </c>
    </row>
    <row r="602">
      <c r="A602" s="35">
        <f>IF(M602="","",HYPERLINK("https://www.youtube.com/watch?v="&amp;M602,"▶"))</f>
        <v/>
      </c>
      <c r="B602" s="36">
        <f>IF(C602&lt;&gt;"",C602,IF(P602&lt;=IFERROR(INDEX(tblChannels[Watched Through],MATCH(N602,tblChannels[Channel ID],0)),0),"Watched","Unwatched"))</f>
        <v/>
      </c>
      <c r="C602" s="37" t="n"/>
      <c r="D602" s="38" t="n"/>
      <c r="E602" s="39" t="n">
        <v>45480.41666666666</v>
      </c>
      <c r="F602" s="48" t="inlineStr">
        <is>
          <t>Through The Griffin Door</t>
        </is>
      </c>
      <c r="G602" t="inlineStr">
        <is>
          <t>Chapter 5: The Dementor | Prisoner of Azkaban</t>
        </is>
      </c>
      <c r="H602" s="41" t="n">
        <v>0.06896990740740741</v>
      </c>
      <c r="I602" s="42" t="n">
        <v>82420</v>
      </c>
      <c r="J602" s="42" t="n">
        <v>2229</v>
      </c>
      <c r="K602" s="42" t="n">
        <v>756</v>
      </c>
      <c r="L602" s="43" t="n"/>
      <c r="M602" s="44" t="n"/>
      <c r="N602" s="44" t="inlineStr">
        <is>
          <t>UCEscP6ETYXWSSvsNrDHekMQ</t>
        </is>
      </c>
      <c r="O602" s="45" t="n">
        <v>45480.58333333334</v>
      </c>
      <c r="P602" s="46" t="n">
        <v>45480</v>
      </c>
      <c r="Q602" s="44" t="n">
        <v>2670</v>
      </c>
      <c r="R602" s="44" t="inlineStr">
        <is>
          <t>No Video ID yet</t>
        </is>
      </c>
      <c r="S602" s="46" t="n"/>
      <c r="T602" s="46" t="n"/>
      <c r="U602" s="44" t="n"/>
      <c r="V602" s="44">
        <f>IF(AND(P602&gt;=Calendar!$K$2,P602&lt;EDATE(Calendar!$K$2,1),OR(Calendar!$K$4="*",N602=Calendar!$K$4)),P602*100+COUNTIFS($P$6:$P$3271,P602,$Q$6:$Q$3271,"&lt;="&amp;Q602,$N$6:$N$3271,Calendar!$K$4),"")</f>
        <v/>
      </c>
      <c r="W602" s="44">
        <f>IF(AND(B602=Queue!$C$4,OR(Queue!$K$4="*",N602=Queue!$K$4)),Q602,"")</f>
        <v/>
      </c>
    </row>
    <row r="603">
      <c r="A603" s="35">
        <f>IF(M603="","",HYPERLINK("https://www.youtube.com/watch?v="&amp;M603,"▶"))</f>
        <v/>
      </c>
      <c r="B603" s="36">
        <f>IF(C603&lt;&gt;"",C603,IF(P603&lt;=IFERROR(INDEX(tblChannels[Watched Through],MATCH(N603,tblChannels[Channel ID],0)),0),"Watched","Unwatched"))</f>
        <v/>
      </c>
      <c r="C603" s="37" t="n"/>
      <c r="D603" s="38" t="n"/>
      <c r="E603" s="39" t="n">
        <v>45478.58333333334</v>
      </c>
      <c r="F603" s="47" t="inlineStr">
        <is>
          <t>Super Carlin Brothers</t>
        </is>
      </c>
      <c r="G603" t="inlineStr">
        <is>
          <t>J vs Ben: Brother Knows BEST</t>
        </is>
      </c>
      <c r="H603" s="41" t="n">
        <v>0.02212962962962963</v>
      </c>
      <c r="I603" s="42" t="n">
        <v>99163</v>
      </c>
      <c r="J603" s="42" t="n">
        <v>4883</v>
      </c>
      <c r="K603" s="42" t="n">
        <v>436</v>
      </c>
      <c r="L603" s="43" t="n"/>
      <c r="M603" s="44" t="n"/>
      <c r="N603" s="44" t="inlineStr">
        <is>
          <t>UCKZo4N0lVPccBkSiuyVh4yg</t>
        </is>
      </c>
      <c r="O603" s="45" t="n">
        <v>45478.75</v>
      </c>
      <c r="P603" s="46" t="n">
        <v>45478</v>
      </c>
      <c r="Q603" s="44" t="n">
        <v>2669</v>
      </c>
      <c r="R603" s="44" t="inlineStr">
        <is>
          <t>No Video ID yet</t>
        </is>
      </c>
      <c r="S603" s="46" t="n"/>
      <c r="T603" s="46" t="n"/>
      <c r="U603" s="44" t="n"/>
      <c r="V603" s="44">
        <f>IF(AND(P603&gt;=Calendar!$K$2,P603&lt;EDATE(Calendar!$K$2,1),OR(Calendar!$K$4="*",N603=Calendar!$K$4)),P603*100+COUNTIFS($P$6:$P$3271,P603,$Q$6:$Q$3271,"&lt;="&amp;Q603,$N$6:$N$3271,Calendar!$K$4),"")</f>
        <v/>
      </c>
      <c r="W603" s="44">
        <f>IF(AND(B603=Queue!$C$4,OR(Queue!$K$4="*",N603=Queue!$K$4)),Q603,"")</f>
        <v/>
      </c>
    </row>
    <row r="604">
      <c r="A604" s="35">
        <f>IF(M604="","",HYPERLINK("https://www.youtube.com/watch?v="&amp;M604,"▶"))</f>
        <v/>
      </c>
      <c r="B604" s="36">
        <f>IF(C604&lt;&gt;"",C604,IF(P604&lt;=IFERROR(INDEX(tblChannels[Watched Through],MATCH(N604,tblChannels[Channel ID],0)),0),"Watched","Unwatched"))</f>
        <v/>
      </c>
      <c r="C604" s="37" t="n"/>
      <c r="D604" s="38" t="n"/>
      <c r="E604" s="39" t="n">
        <v>45478.41666666666</v>
      </c>
      <c r="F604" s="40" t="inlineStr">
        <is>
          <t>Popcorn Culture</t>
        </is>
      </c>
      <c r="G604" t="inlineStr">
        <is>
          <t>The OutSTANDING Q+A | Popcorn Culture</t>
        </is>
      </c>
      <c r="H604" s="41" t="n">
        <v>0.04438657407407407</v>
      </c>
      <c r="I604" s="42" t="n">
        <v>4037</v>
      </c>
      <c r="J604" s="42" t="n">
        <v>238</v>
      </c>
      <c r="K604" s="42" t="n">
        <v>39</v>
      </c>
      <c r="L604" s="43" t="n"/>
      <c r="M604" s="44" t="n"/>
      <c r="N604" s="44" t="inlineStr">
        <is>
          <t>UCHfIbq9thHPC8yrKjAdJgDA</t>
        </is>
      </c>
      <c r="O604" s="45" t="n">
        <v>45478.58333333334</v>
      </c>
      <c r="P604" s="46" t="n">
        <v>45478</v>
      </c>
      <c r="Q604" s="44" t="n">
        <v>2668</v>
      </c>
      <c r="R604" s="44" t="inlineStr">
        <is>
          <t>No Video ID yet</t>
        </is>
      </c>
      <c r="S604" s="46" t="n"/>
      <c r="T604" s="46" t="n"/>
      <c r="U604" s="44" t="n"/>
      <c r="V604" s="44">
        <f>IF(AND(P604&gt;=Calendar!$K$2,P604&lt;EDATE(Calendar!$K$2,1),OR(Calendar!$K$4="*",N604=Calendar!$K$4)),P604*100+COUNTIFS($P$6:$P$3271,P604,$Q$6:$Q$3271,"&lt;="&amp;Q604,$N$6:$N$3271,Calendar!$K$4),"")</f>
        <v/>
      </c>
      <c r="W604" s="44">
        <f>IF(AND(B604=Queue!$C$4,OR(Queue!$K$4="*",N604=Queue!$K$4)),Q604,"")</f>
        <v/>
      </c>
    </row>
    <row r="605">
      <c r="A605" s="35">
        <f>IF(M605="","",HYPERLINK("https://www.youtube.com/watch?v="&amp;M605,"▶"))</f>
        <v/>
      </c>
      <c r="B605" s="36">
        <f>IF(C605&lt;&gt;"",C605,IF(P605&lt;=IFERROR(INDEX(tblChannels[Watched Through],MATCH(N605,tblChannels[Channel ID],0)),0),"Watched","Unwatched"))</f>
        <v/>
      </c>
      <c r="C605" s="37" t="n"/>
      <c r="D605" s="38" t="n"/>
      <c r="E605" s="39" t="n">
        <v>45476.58333333334</v>
      </c>
      <c r="F605" s="47" t="inlineStr">
        <is>
          <t>Super Carlin Brothers</t>
        </is>
      </c>
      <c r="G605" t="inlineStr">
        <is>
          <t>Inside Out 2 REVIEW | Disney Pixar</t>
        </is>
      </c>
      <c r="H605" s="41" t="n">
        <v>0.04342592592592592</v>
      </c>
      <c r="I605" s="42" t="n">
        <v>62222</v>
      </c>
      <c r="J605" s="42" t="n">
        <v>2488</v>
      </c>
      <c r="K605" s="42" t="n">
        <v>384</v>
      </c>
      <c r="L605" s="43" t="n"/>
      <c r="M605" s="44" t="n"/>
      <c r="N605" s="44" t="inlineStr">
        <is>
          <t>UCKZo4N0lVPccBkSiuyVh4yg</t>
        </is>
      </c>
      <c r="O605" s="45" t="n">
        <v>45476.75</v>
      </c>
      <c r="P605" s="46" t="n">
        <v>45476</v>
      </c>
      <c r="Q605" s="44" t="n">
        <v>2667</v>
      </c>
      <c r="R605" s="44" t="inlineStr">
        <is>
          <t>No Video ID yet</t>
        </is>
      </c>
      <c r="S605" s="46" t="n"/>
      <c r="T605" s="46" t="n"/>
      <c r="U605" s="44" t="n"/>
      <c r="V605" s="44">
        <f>IF(AND(P605&gt;=Calendar!$K$2,P605&lt;EDATE(Calendar!$K$2,1),OR(Calendar!$K$4="*",N605=Calendar!$K$4)),P605*100+COUNTIFS($P$6:$P$3271,P605,$Q$6:$Q$3271,"&lt;="&amp;Q605,$N$6:$N$3271,Calendar!$K$4),"")</f>
        <v/>
      </c>
      <c r="W605" s="44">
        <f>IF(AND(B605=Queue!$C$4,OR(Queue!$K$4="*",N605=Queue!$K$4)),Q605,"")</f>
        <v/>
      </c>
    </row>
    <row r="606">
      <c r="A606" s="35">
        <f>IF(M606="","",HYPERLINK("https://www.youtube.com/watch?v="&amp;M606,"▶"))</f>
        <v/>
      </c>
      <c r="B606" s="36">
        <f>IF(C606&lt;&gt;"",C606,IF(P606&lt;=IFERROR(INDEX(tblChannels[Watched Through],MATCH(N606,tblChannels[Channel ID],0)),0),"Watched","Unwatched"))</f>
        <v/>
      </c>
      <c r="C606" s="37" t="n"/>
      <c r="D606" s="38" t="n"/>
      <c r="E606" s="39" t="n">
        <v>45473.41666666666</v>
      </c>
      <c r="F606" s="48" t="inlineStr">
        <is>
          <t>Through The Griffin Door</t>
        </is>
      </c>
      <c r="G606" t="inlineStr">
        <is>
          <t>Chapter 4: The Leaky Cauldron | Prisoner of Azkaban</t>
        </is>
      </c>
      <c r="H606" s="41" t="n">
        <v>0.04565972222222222</v>
      </c>
      <c r="I606" s="42" t="n">
        <v>67105</v>
      </c>
      <c r="J606" s="42" t="n">
        <v>2091</v>
      </c>
      <c r="K606" s="42" t="n">
        <v>755</v>
      </c>
      <c r="L606" s="43" t="n"/>
      <c r="M606" s="44" t="n"/>
      <c r="N606" s="44" t="inlineStr">
        <is>
          <t>UCEscP6ETYXWSSvsNrDHekMQ</t>
        </is>
      </c>
      <c r="O606" s="45" t="n">
        <v>45473.58333333334</v>
      </c>
      <c r="P606" s="46" t="n">
        <v>45473</v>
      </c>
      <c r="Q606" s="44" t="n">
        <v>2666</v>
      </c>
      <c r="R606" s="44" t="inlineStr">
        <is>
          <t>No Video ID yet</t>
        </is>
      </c>
      <c r="S606" s="46" t="n"/>
      <c r="T606" s="46" t="n"/>
      <c r="U606" s="44" t="n"/>
      <c r="V606" s="44">
        <f>IF(AND(P606&gt;=Calendar!$K$2,P606&lt;EDATE(Calendar!$K$2,1),OR(Calendar!$K$4="*",N606=Calendar!$K$4)),P606*100+COUNTIFS($P$6:$P$3271,P606,$Q$6:$Q$3271,"&lt;="&amp;Q606,$N$6:$N$3271,Calendar!$K$4),"")</f>
        <v/>
      </c>
      <c r="W606" s="44">
        <f>IF(AND(B606=Queue!$C$4,OR(Queue!$K$4="*",N606=Queue!$K$4)),Q606,"")</f>
        <v/>
      </c>
    </row>
    <row r="607">
      <c r="A607" s="35">
        <f>IF(M607="","",HYPERLINK("https://www.youtube.com/watch?v="&amp;M607,"▶"))</f>
        <v/>
      </c>
      <c r="B607" s="36">
        <f>IF(C607&lt;&gt;"",C607,IF(P607&lt;=IFERROR(INDEX(tblChannels[Watched Through],MATCH(N607,tblChannels[Channel ID],0)),0),"Watched","Unwatched"))</f>
        <v/>
      </c>
      <c r="C607" s="37" t="n"/>
      <c r="D607" s="38" t="n"/>
      <c r="E607" s="39" t="n">
        <v>45472.41666666666</v>
      </c>
      <c r="F607" s="47" t="inlineStr">
        <is>
          <t>Super Carlin Brothers</t>
        </is>
      </c>
      <c r="G607" t="inlineStr">
        <is>
          <t>Through the Griffin Door Supercut: Prisoner of Azkaban Chapters 1-3</t>
        </is>
      </c>
      <c r="H607" s="41" t="n">
        <v>0.1247453703703704</v>
      </c>
      <c r="I607" s="42" t="n">
        <v>49889</v>
      </c>
      <c r="J607" s="42" t="n">
        <v>729</v>
      </c>
      <c r="K607" s="42" t="n">
        <v>118</v>
      </c>
      <c r="L607" s="43" t="n"/>
      <c r="M607" s="44" t="n"/>
      <c r="N607" s="44" t="inlineStr">
        <is>
          <t>UCKZo4N0lVPccBkSiuyVh4yg</t>
        </is>
      </c>
      <c r="O607" s="45" t="n">
        <v>45472.58333333334</v>
      </c>
      <c r="P607" s="46" t="n">
        <v>45472</v>
      </c>
      <c r="Q607" s="44" t="n">
        <v>2665</v>
      </c>
      <c r="R607" s="44" t="inlineStr">
        <is>
          <t>No Video ID yet</t>
        </is>
      </c>
      <c r="S607" s="46" t="n"/>
      <c r="T607" s="46" t="n"/>
      <c r="U607" s="44" t="n"/>
      <c r="V607" s="44">
        <f>IF(AND(P607&gt;=Calendar!$K$2,P607&lt;EDATE(Calendar!$K$2,1),OR(Calendar!$K$4="*",N607=Calendar!$K$4)),P607*100+COUNTIFS($P$6:$P$3271,P607,$Q$6:$Q$3271,"&lt;="&amp;Q607,$N$6:$N$3271,Calendar!$K$4),"")</f>
        <v/>
      </c>
      <c r="W607" s="44">
        <f>IF(AND(B607=Queue!$C$4,OR(Queue!$K$4="*",N607=Queue!$K$4)),Q607,"")</f>
        <v/>
      </c>
    </row>
    <row r="608">
      <c r="A608" s="35">
        <f>IF(M608="","",HYPERLINK("https://www.youtube.com/watch?v="&amp;M608,"▶"))</f>
        <v/>
      </c>
      <c r="B608" s="36">
        <f>IF(C608&lt;&gt;"",C608,IF(P608&lt;=IFERROR(INDEX(tblChannels[Watched Through],MATCH(N608,tblChannels[Channel ID],0)),0),"Watched","Unwatched"))</f>
        <v/>
      </c>
      <c r="C608" s="37" t="n"/>
      <c r="D608" s="38" t="n"/>
      <c r="E608" s="39" t="n">
        <v>45471.69097222222</v>
      </c>
      <c r="F608" s="47" t="inlineStr">
        <is>
          <t>Super Carlin Brothers</t>
        </is>
      </c>
      <c r="G608" t="inlineStr">
        <is>
          <t>What We NEED From A Harry Potter TV Show | Harry Potter Film Theory</t>
        </is>
      </c>
      <c r="H608" s="41" t="n">
        <v>0.009976851851851851</v>
      </c>
      <c r="I608" s="42" t="n">
        <v>93049</v>
      </c>
      <c r="J608" s="42" t="n">
        <v>5082</v>
      </c>
      <c r="K608" s="42" t="n">
        <v>811</v>
      </c>
      <c r="L608" s="43" t="n"/>
      <c r="M608" s="44" t="n"/>
      <c r="N608" s="44" t="inlineStr">
        <is>
          <t>UCKZo4N0lVPccBkSiuyVh4yg</t>
        </is>
      </c>
      <c r="O608" s="45" t="n">
        <v>45471.85763888889</v>
      </c>
      <c r="P608" s="46" t="n">
        <v>45471</v>
      </c>
      <c r="Q608" s="44" t="n">
        <v>2664</v>
      </c>
      <c r="R608" s="44" t="inlineStr">
        <is>
          <t>No Video ID yet</t>
        </is>
      </c>
      <c r="S608" s="46" t="n"/>
      <c r="T608" s="46" t="n"/>
      <c r="U608" s="44" t="n"/>
      <c r="V608" s="44">
        <f>IF(AND(P608&gt;=Calendar!$K$2,P608&lt;EDATE(Calendar!$K$2,1),OR(Calendar!$K$4="*",N608=Calendar!$K$4)),P608*100+COUNTIFS($P$6:$P$3271,P608,$Q$6:$Q$3271,"&lt;="&amp;Q608,$N$6:$N$3271,Calendar!$K$4),"")</f>
        <v/>
      </c>
      <c r="W608" s="44">
        <f>IF(AND(B608=Queue!$C$4,OR(Queue!$K$4="*",N608=Queue!$K$4)),Q608,"")</f>
        <v/>
      </c>
    </row>
    <row r="609">
      <c r="A609" s="35">
        <f>IF(M609="","",HYPERLINK("https://www.youtube.com/watch?v="&amp;M609,"▶"))</f>
        <v/>
      </c>
      <c r="B609" s="36">
        <f>IF(C609&lt;&gt;"",C609,IF(P609&lt;=IFERROR(INDEX(tblChannels[Watched Through],MATCH(N609,tblChannels[Channel ID],0)),0),"Watched","Unwatched"))</f>
        <v/>
      </c>
      <c r="C609" s="37" t="n"/>
      <c r="D609" s="38" t="n"/>
      <c r="E609" s="39" t="n">
        <v>45471.41666666666</v>
      </c>
      <c r="F609" s="40" t="inlineStr">
        <is>
          <t>Popcorn Culture</t>
        </is>
      </c>
      <c r="G609" t="inlineStr">
        <is>
          <t>Koozies vs. Huggers | Popcorn Culture</t>
        </is>
      </c>
      <c r="H609" s="41" t="n">
        <v>0.04920138888888889</v>
      </c>
      <c r="I609" s="42" t="n">
        <v>4149</v>
      </c>
      <c r="J609" s="42" t="n">
        <v>203</v>
      </c>
      <c r="K609" s="42" t="n">
        <v>27</v>
      </c>
      <c r="L609" s="43" t="n"/>
      <c r="M609" s="44" t="n"/>
      <c r="N609" s="44" t="inlineStr">
        <is>
          <t>UCHfIbq9thHPC8yrKjAdJgDA</t>
        </is>
      </c>
      <c r="O609" s="45" t="n">
        <v>45471.58333333334</v>
      </c>
      <c r="P609" s="46" t="n">
        <v>45471</v>
      </c>
      <c r="Q609" s="44" t="n">
        <v>2663</v>
      </c>
      <c r="R609" s="44" t="inlineStr">
        <is>
          <t>No Video ID yet</t>
        </is>
      </c>
      <c r="S609" s="46" t="n"/>
      <c r="T609" s="46" t="n"/>
      <c r="U609" s="44" t="n"/>
      <c r="V609" s="44">
        <f>IF(AND(P609&gt;=Calendar!$K$2,P609&lt;EDATE(Calendar!$K$2,1),OR(Calendar!$K$4="*",N609=Calendar!$K$4)),P609*100+COUNTIFS($P$6:$P$3271,P609,$Q$6:$Q$3271,"&lt;="&amp;Q609,$N$6:$N$3271,Calendar!$K$4),"")</f>
        <v/>
      </c>
      <c r="W609" s="44">
        <f>IF(AND(B609=Queue!$C$4,OR(Queue!$K$4="*",N609=Queue!$K$4)),Q609,"")</f>
        <v/>
      </c>
    </row>
    <row r="610">
      <c r="A610" s="35">
        <f>IF(M610="","",HYPERLINK("https://www.youtube.com/watch?v="&amp;M610,"▶"))</f>
        <v/>
      </c>
      <c r="B610" s="36">
        <f>IF(C610&lt;&gt;"",C610,IF(P610&lt;=IFERROR(INDEX(tblChannels[Watched Through],MATCH(N610,tblChannels[Channel ID],0)),0),"Watched","Unwatched"))</f>
        <v/>
      </c>
      <c r="C610" s="37" t="n"/>
      <c r="D610" s="38" t="n"/>
      <c r="E610" s="39" t="n">
        <v>45469.70347222222</v>
      </c>
      <c r="F610" s="47" t="inlineStr">
        <is>
          <t>Super Carlin Brothers</t>
        </is>
      </c>
      <c r="G610" t="inlineStr">
        <is>
          <t>Snape’s DARKEST Creation: The Drink of Despair | Harry Potter Film Theory</t>
        </is>
      </c>
      <c r="H610" s="41" t="n">
        <v>0.01238425925925926</v>
      </c>
      <c r="I610" s="42" t="n">
        <v>293838</v>
      </c>
      <c r="J610" s="42" t="n">
        <v>10361</v>
      </c>
      <c r="K610" s="42" t="n">
        <v>1054</v>
      </c>
      <c r="L610" s="43" t="n"/>
      <c r="M610" s="44" t="n"/>
      <c r="N610" s="44" t="inlineStr">
        <is>
          <t>UCKZo4N0lVPccBkSiuyVh4yg</t>
        </is>
      </c>
      <c r="O610" s="45" t="n">
        <v>45469.87013888889</v>
      </c>
      <c r="P610" s="46" t="n">
        <v>45469</v>
      </c>
      <c r="Q610" s="44" t="n">
        <v>2662</v>
      </c>
      <c r="R610" s="44" t="inlineStr">
        <is>
          <t>No Video ID yet</t>
        </is>
      </c>
      <c r="S610" s="46" t="n"/>
      <c r="T610" s="46" t="n"/>
      <c r="U610" s="44" t="n"/>
      <c r="V610" s="44">
        <f>IF(AND(P610&gt;=Calendar!$K$2,P610&lt;EDATE(Calendar!$K$2,1),OR(Calendar!$K$4="*",N610=Calendar!$K$4)),P610*100+COUNTIFS($P$6:$P$3271,P610,$Q$6:$Q$3271,"&lt;="&amp;Q610,$N$6:$N$3271,Calendar!$K$4),"")</f>
        <v/>
      </c>
      <c r="W610" s="44">
        <f>IF(AND(B610=Queue!$C$4,OR(Queue!$K$4="*",N610=Queue!$K$4)),Q610,"")</f>
        <v/>
      </c>
    </row>
    <row r="611">
      <c r="A611" s="35">
        <f>IF(M611="","",HYPERLINK("https://www.youtube.com/watch?v="&amp;M611,"▶"))</f>
        <v/>
      </c>
      <c r="B611" s="36">
        <f>IF(C611&lt;&gt;"",C611,IF(P611&lt;=IFERROR(INDEX(tblChannels[Watched Through],MATCH(N611,tblChannels[Channel ID],0)),0),"Watched","Unwatched"))</f>
        <v/>
      </c>
      <c r="C611" s="37" t="n"/>
      <c r="D611" s="38" t="n"/>
      <c r="E611" s="39" t="n">
        <v>45466.41666666666</v>
      </c>
      <c r="F611" s="48" t="inlineStr">
        <is>
          <t>Through The Griffin Door</t>
        </is>
      </c>
      <c r="G611" t="inlineStr">
        <is>
          <t>Chapter 3: The Knight Bus | Prisoner of Azkaban</t>
        </is>
      </c>
      <c r="H611" s="41" t="n">
        <v>0.03854166666666667</v>
      </c>
      <c r="I611" s="42" t="n">
        <v>64103</v>
      </c>
      <c r="J611" s="42" t="n">
        <v>2189</v>
      </c>
      <c r="K611" s="42" t="n">
        <v>434</v>
      </c>
      <c r="L611" s="43" t="n"/>
      <c r="M611" s="44" t="n"/>
      <c r="N611" s="44" t="inlineStr">
        <is>
          <t>UCEscP6ETYXWSSvsNrDHekMQ</t>
        </is>
      </c>
      <c r="O611" s="45" t="n">
        <v>45466.58333333334</v>
      </c>
      <c r="P611" s="46" t="n">
        <v>45466</v>
      </c>
      <c r="Q611" s="44" t="n">
        <v>2661</v>
      </c>
      <c r="R611" s="44" t="inlineStr">
        <is>
          <t>No Video ID yet</t>
        </is>
      </c>
      <c r="S611" s="46" t="n"/>
      <c r="T611" s="46" t="n"/>
      <c r="U611" s="44" t="n"/>
      <c r="V611" s="44">
        <f>IF(AND(P611&gt;=Calendar!$K$2,P611&lt;EDATE(Calendar!$K$2,1),OR(Calendar!$K$4="*",N611=Calendar!$K$4)),P611*100+COUNTIFS($P$6:$P$3271,P611,$Q$6:$Q$3271,"&lt;="&amp;Q611,$N$6:$N$3271,Calendar!$K$4),"")</f>
        <v/>
      </c>
      <c r="W611" s="44">
        <f>IF(AND(B611=Queue!$C$4,OR(Queue!$K$4="*",N611=Queue!$K$4)),Q611,"")</f>
        <v/>
      </c>
    </row>
    <row r="612">
      <c r="A612" s="35">
        <f>IF(M612="","",HYPERLINK("https://www.youtube.com/watch?v="&amp;M612,"▶"))</f>
        <v/>
      </c>
      <c r="B612" s="36">
        <f>IF(C612&lt;&gt;"",C612,IF(P612&lt;=IFERROR(INDEX(tblChannels[Watched Through],MATCH(N612,tblChannels[Channel ID],0)),0),"Watched","Unwatched"))</f>
        <v/>
      </c>
      <c r="C612" s="37" t="n"/>
      <c r="D612" s="38" t="n"/>
      <c r="E612" s="39" t="n">
        <v>45464.675</v>
      </c>
      <c r="F612" s="47" t="inlineStr">
        <is>
          <t>Super Carlin Brothers</t>
        </is>
      </c>
      <c r="G612" t="inlineStr">
        <is>
          <t>J vs Ben: IMPOSSIBLE Neville Longbottom Harry Potter TRIVIA Quiz</t>
        </is>
      </c>
      <c r="H612" s="41" t="n">
        <v>0.03221064814814815</v>
      </c>
      <c r="I612" s="42" t="n">
        <v>212582</v>
      </c>
      <c r="J612" s="42" t="n">
        <v>5422</v>
      </c>
      <c r="K612" s="42" t="n">
        <v>582</v>
      </c>
      <c r="L612" s="43" t="n"/>
      <c r="M612" s="44" t="n"/>
      <c r="N612" s="44" t="inlineStr">
        <is>
          <t>UCKZo4N0lVPccBkSiuyVh4yg</t>
        </is>
      </c>
      <c r="O612" s="45" t="n">
        <v>45464.84166666667</v>
      </c>
      <c r="P612" s="46" t="n">
        <v>45464</v>
      </c>
      <c r="Q612" s="44" t="n">
        <v>2660</v>
      </c>
      <c r="R612" s="44" t="inlineStr">
        <is>
          <t>No Video ID yet</t>
        </is>
      </c>
      <c r="S612" s="46" t="n"/>
      <c r="T612" s="46" t="n"/>
      <c r="U612" s="44" t="n"/>
      <c r="V612" s="44">
        <f>IF(AND(P612&gt;=Calendar!$K$2,P612&lt;EDATE(Calendar!$K$2,1),OR(Calendar!$K$4="*",N612=Calendar!$K$4)),P612*100+COUNTIFS($P$6:$P$3271,P612,$Q$6:$Q$3271,"&lt;="&amp;Q612,$N$6:$N$3271,Calendar!$K$4),"")</f>
        <v/>
      </c>
      <c r="W612" s="44">
        <f>IF(AND(B612=Queue!$C$4,OR(Queue!$K$4="*",N612=Queue!$K$4)),Q612,"")</f>
        <v/>
      </c>
    </row>
    <row r="613">
      <c r="A613" s="35">
        <f>IF(M613="","",HYPERLINK("https://www.youtube.com/watch?v="&amp;M613,"▶"))</f>
        <v/>
      </c>
      <c r="B613" s="36">
        <f>IF(C613&lt;&gt;"",C613,IF(P613&lt;=IFERROR(INDEX(tblChannels[Watched Through],MATCH(N613,tblChannels[Channel ID],0)),0),"Watched","Unwatched"))</f>
        <v/>
      </c>
      <c r="C613" s="37" t="n"/>
      <c r="D613" s="38" t="n"/>
      <c r="E613" s="39" t="n">
        <v>45464.41666666666</v>
      </c>
      <c r="F613" s="40" t="inlineStr">
        <is>
          <t>Popcorn Culture</t>
        </is>
      </c>
      <c r="G613" t="inlineStr">
        <is>
          <t>Ask Me About My Compost | Popcorn Culture</t>
        </is>
      </c>
      <c r="H613" s="41" t="n">
        <v>0.05119212962962963</v>
      </c>
      <c r="I613" s="42" t="n">
        <v>4413</v>
      </c>
      <c r="J613" s="42" t="n">
        <v>201</v>
      </c>
      <c r="K613" s="42" t="n">
        <v>25</v>
      </c>
      <c r="L613" s="43" t="n"/>
      <c r="M613" s="44" t="n"/>
      <c r="N613" s="44" t="inlineStr">
        <is>
          <t>UCHfIbq9thHPC8yrKjAdJgDA</t>
        </is>
      </c>
      <c r="O613" s="45" t="n">
        <v>45464.58333333334</v>
      </c>
      <c r="P613" s="46" t="n">
        <v>45464</v>
      </c>
      <c r="Q613" s="44" t="n">
        <v>2659</v>
      </c>
      <c r="R613" s="44" t="inlineStr">
        <is>
          <t>No Video ID yet</t>
        </is>
      </c>
      <c r="S613" s="46" t="n"/>
      <c r="T613" s="46" t="n"/>
      <c r="U613" s="44" t="n"/>
      <c r="V613" s="44">
        <f>IF(AND(P613&gt;=Calendar!$K$2,P613&lt;EDATE(Calendar!$K$2,1),OR(Calendar!$K$4="*",N613=Calendar!$K$4)),P613*100+COUNTIFS($P$6:$P$3271,P613,$Q$6:$Q$3271,"&lt;="&amp;Q613,$N$6:$N$3271,Calendar!$K$4),"")</f>
        <v/>
      </c>
      <c r="W613" s="44">
        <f>IF(AND(B613=Queue!$C$4,OR(Queue!$K$4="*",N613=Queue!$K$4)),Q613,"")</f>
        <v/>
      </c>
    </row>
    <row r="614">
      <c r="A614" s="35">
        <f>IF(M614="","",HYPERLINK("https://www.youtube.com/watch?v="&amp;M614,"▶"))</f>
        <v/>
      </c>
      <c r="B614" s="36">
        <f>IF(C614&lt;&gt;"",C614,IF(P614&lt;=IFERROR(INDEX(tblChannels[Watched Through],MATCH(N614,tblChannels[Channel ID],0)),0),"Watched","Unwatched"))</f>
        <v/>
      </c>
      <c r="C614" s="37" t="n"/>
      <c r="D614" s="38" t="n"/>
      <c r="E614" s="39" t="n">
        <v>45462.71597222222</v>
      </c>
      <c r="F614" s="47" t="inlineStr">
        <is>
          <t>Super Carlin Brothers</t>
        </is>
      </c>
      <c r="G614" t="inlineStr">
        <is>
          <t>How Inside Out 2 Fits Into The Pixar Theory</t>
        </is>
      </c>
      <c r="H614" s="41" t="n">
        <v>0.01163194444444444</v>
      </c>
      <c r="I614" s="42" t="n">
        <v>132947</v>
      </c>
      <c r="J614" s="42" t="n">
        <v>5795</v>
      </c>
      <c r="K614" s="42" t="n">
        <v>624</v>
      </c>
      <c r="L614" s="43" t="n"/>
      <c r="M614" s="44" t="n"/>
      <c r="N614" s="44" t="inlineStr">
        <is>
          <t>UCKZo4N0lVPccBkSiuyVh4yg</t>
        </is>
      </c>
      <c r="O614" s="45" t="n">
        <v>45462.88263888889</v>
      </c>
      <c r="P614" s="46" t="n">
        <v>45462</v>
      </c>
      <c r="Q614" s="44" t="n">
        <v>2658</v>
      </c>
      <c r="R614" s="44" t="inlineStr">
        <is>
          <t>No Video ID yet</t>
        </is>
      </c>
      <c r="S614" s="46" t="n"/>
      <c r="T614" s="46" t="n"/>
      <c r="U614" s="44" t="n"/>
      <c r="V614" s="44">
        <f>IF(AND(P614&gt;=Calendar!$K$2,P614&lt;EDATE(Calendar!$K$2,1),OR(Calendar!$K$4="*",N614=Calendar!$K$4)),P614*100+COUNTIFS($P$6:$P$3271,P614,$Q$6:$Q$3271,"&lt;="&amp;Q614,$N$6:$N$3271,Calendar!$K$4),"")</f>
        <v/>
      </c>
      <c r="W614" s="44">
        <f>IF(AND(B614=Queue!$C$4,OR(Queue!$K$4="*",N614=Queue!$K$4)),Q614,"")</f>
        <v/>
      </c>
    </row>
    <row r="615">
      <c r="A615" s="35">
        <f>IF(M615="","",HYPERLINK("https://www.youtube.com/watch?v="&amp;M615,"▶"))</f>
        <v/>
      </c>
      <c r="B615" s="36">
        <f>IF(C615&lt;&gt;"",C615,IF(P615&lt;=IFERROR(INDEX(tblChannels[Watched Through],MATCH(N615,tblChannels[Channel ID],0)),0),"Watched","Unwatched"))</f>
        <v/>
      </c>
      <c r="C615" s="37" t="n"/>
      <c r="D615" s="38" t="n"/>
      <c r="E615" s="39" t="n">
        <v>45461.54166666666</v>
      </c>
      <c r="F615" s="40" t="inlineStr">
        <is>
          <t>Popcorn Culture</t>
        </is>
      </c>
      <c r="G615" t="inlineStr">
        <is>
          <t>THROUGH THE GRIFFIN TOUR - WEST COAST!</t>
        </is>
      </c>
      <c r="H615" s="41" t="n">
        <v>0.003009259259259259</v>
      </c>
      <c r="I615" s="42" t="n">
        <v>816</v>
      </c>
      <c r="J615" s="42" t="n">
        <v>89</v>
      </c>
      <c r="K615" s="42" t="n">
        <v>27</v>
      </c>
      <c r="L615" s="43" t="n"/>
      <c r="M615" s="44" t="n"/>
      <c r="N615" s="44" t="inlineStr">
        <is>
          <t>UCHfIbq9thHPC8yrKjAdJgDA</t>
        </is>
      </c>
      <c r="O615" s="45" t="n">
        <v>45461.70833333334</v>
      </c>
      <c r="P615" s="46" t="n">
        <v>45461</v>
      </c>
      <c r="Q615" s="44" t="n">
        <v>2657</v>
      </c>
      <c r="R615" s="44" t="inlineStr">
        <is>
          <t>No Video ID yet</t>
        </is>
      </c>
      <c r="S615" s="46" t="n"/>
      <c r="T615" s="46" t="n"/>
      <c r="U615" s="44" t="n"/>
      <c r="V615" s="44">
        <f>IF(AND(P615&gt;=Calendar!$K$2,P615&lt;EDATE(Calendar!$K$2,1),OR(Calendar!$K$4="*",N615=Calendar!$K$4)),P615*100+COUNTIFS($P$6:$P$3271,P615,$Q$6:$Q$3271,"&lt;="&amp;Q615,$N$6:$N$3271,Calendar!$K$4),"")</f>
        <v/>
      </c>
      <c r="W615" s="44">
        <f>IF(AND(B615=Queue!$C$4,OR(Queue!$K$4="*",N615=Queue!$K$4)),Q615,"")</f>
        <v/>
      </c>
    </row>
    <row r="616">
      <c r="A616" s="35">
        <f>IF(M616="","",HYPERLINK("https://www.youtube.com/watch?v="&amp;M616,"▶"))</f>
        <v/>
      </c>
      <c r="B616" s="36">
        <f>IF(C616&lt;&gt;"",C616,IF(P616&lt;=IFERROR(INDEX(tblChannels[Watched Through],MATCH(N616,tblChannels[Channel ID],0)),0),"Watched","Unwatched"))</f>
        <v/>
      </c>
      <c r="C616" s="37" t="n"/>
      <c r="D616" s="38" t="n"/>
      <c r="E616" s="39" t="n">
        <v>45461.54166666666</v>
      </c>
      <c r="F616" s="48" t="inlineStr">
        <is>
          <t>Through The Griffin Door</t>
        </is>
      </c>
      <c r="G616" t="inlineStr">
        <is>
          <t>THROUGH THE GRIFFIN TOUR - WEST COAST!</t>
        </is>
      </c>
      <c r="H616" s="41" t="n">
        <v>0.003009259259259259</v>
      </c>
      <c r="I616" s="42" t="n">
        <v>8180</v>
      </c>
      <c r="J616" s="42" t="n">
        <v>526</v>
      </c>
      <c r="K616" s="42" t="n">
        <v>210</v>
      </c>
      <c r="L616" s="43" t="n"/>
      <c r="M616" s="44" t="n"/>
      <c r="N616" s="44" t="inlineStr">
        <is>
          <t>UCEscP6ETYXWSSvsNrDHekMQ</t>
        </is>
      </c>
      <c r="O616" s="45" t="n">
        <v>45461.70833333334</v>
      </c>
      <c r="P616" s="46" t="n">
        <v>45461</v>
      </c>
      <c r="Q616" s="44" t="n">
        <v>2656</v>
      </c>
      <c r="R616" s="44" t="inlineStr">
        <is>
          <t>No Video ID yet</t>
        </is>
      </c>
      <c r="S616" s="46" t="n"/>
      <c r="T616" s="46" t="n"/>
      <c r="U616" s="44" t="n"/>
      <c r="V616" s="44">
        <f>IF(AND(P616&gt;=Calendar!$K$2,P616&lt;EDATE(Calendar!$K$2,1),OR(Calendar!$K$4="*",N616=Calendar!$K$4)),P616*100+COUNTIFS($P$6:$P$3271,P616,$Q$6:$Q$3271,"&lt;="&amp;Q616,$N$6:$N$3271,Calendar!$K$4),"")</f>
        <v/>
      </c>
      <c r="W616" s="44">
        <f>IF(AND(B616=Queue!$C$4,OR(Queue!$K$4="*",N616=Queue!$K$4)),Q616,"")</f>
        <v/>
      </c>
    </row>
    <row r="617">
      <c r="A617" s="35">
        <f>IF(M617="","",HYPERLINK("https://www.youtube.com/watch?v="&amp;M617,"▶"))</f>
        <v/>
      </c>
      <c r="B617" s="36">
        <f>IF(C617&lt;&gt;"",C617,IF(P617&lt;=IFERROR(INDEX(tblChannels[Watched Through],MATCH(N617,tblChannels[Channel ID],0)),0),"Watched","Unwatched"))</f>
        <v/>
      </c>
      <c r="C617" s="37" t="n"/>
      <c r="D617" s="38" t="n"/>
      <c r="E617" s="39" t="n">
        <v>45461.54166666666</v>
      </c>
      <c r="F617" s="47" t="inlineStr">
        <is>
          <t>Super Carlin Brothers</t>
        </is>
      </c>
      <c r="G617" t="inlineStr">
        <is>
          <t>THROUGH THE GRIFFIN TOUR - WEST COAST!</t>
        </is>
      </c>
      <c r="H617" s="41" t="n">
        <v>0.001481481481481481</v>
      </c>
      <c r="I617" s="42" t="n">
        <v>11229</v>
      </c>
      <c r="J617" s="42" t="n">
        <v>494</v>
      </c>
      <c r="K617" s="42" t="n">
        <v>193</v>
      </c>
      <c r="L617" s="43" t="n"/>
      <c r="M617" s="44" t="n"/>
      <c r="N617" s="44" t="inlineStr">
        <is>
          <t>UCKZo4N0lVPccBkSiuyVh4yg</t>
        </is>
      </c>
      <c r="O617" s="45" t="n">
        <v>45461.70833333334</v>
      </c>
      <c r="P617" s="46" t="n">
        <v>45461</v>
      </c>
      <c r="Q617" s="44" t="n">
        <v>2655</v>
      </c>
      <c r="R617" s="44" t="inlineStr">
        <is>
          <t>No Video ID yet</t>
        </is>
      </c>
      <c r="S617" s="46" t="n"/>
      <c r="T617" s="46" t="n"/>
      <c r="U617" s="44" t="n"/>
      <c r="V617" s="44">
        <f>IF(AND(P617&gt;=Calendar!$K$2,P617&lt;EDATE(Calendar!$K$2,1),OR(Calendar!$K$4="*",N617=Calendar!$K$4)),P617*100+COUNTIFS($P$6:$P$3271,P617,$Q$6:$Q$3271,"&lt;="&amp;Q617,$N$6:$N$3271,Calendar!$K$4),"")</f>
        <v/>
      </c>
      <c r="W617" s="44">
        <f>IF(AND(B617=Queue!$C$4,OR(Queue!$K$4="*",N617=Queue!$K$4)),Q617,"")</f>
        <v/>
      </c>
    </row>
    <row r="618">
      <c r="A618" s="35">
        <f>IF(M618="","",HYPERLINK("https://www.youtube.com/watch?v="&amp;M618,"▶"))</f>
        <v/>
      </c>
      <c r="B618" s="36">
        <f>IF(C618&lt;&gt;"",C618,IF(P618&lt;=IFERROR(INDEX(tblChannels[Watched Through],MATCH(N618,tblChannels[Channel ID],0)),0),"Watched","Unwatched"))</f>
        <v/>
      </c>
      <c r="C618" s="37" t="n"/>
      <c r="D618" s="38" t="n"/>
      <c r="E618" s="39" t="n">
        <v>45459.41666666666</v>
      </c>
      <c r="F618" s="48" t="inlineStr">
        <is>
          <t>Through The Griffin Door</t>
        </is>
      </c>
      <c r="G618" t="inlineStr">
        <is>
          <t>Chapter 2: Aunt Marge’s Big Mistake | Prisoner of Azkaban</t>
        </is>
      </c>
      <c r="H618" s="41" t="n">
        <v>0.03207175925925926</v>
      </c>
      <c r="I618" s="42" t="n">
        <v>61918</v>
      </c>
      <c r="J618" s="42" t="n">
        <v>2340</v>
      </c>
      <c r="K618" s="42" t="n">
        <v>408</v>
      </c>
      <c r="L618" s="43" t="n"/>
      <c r="M618" s="44" t="n"/>
      <c r="N618" s="44" t="inlineStr">
        <is>
          <t>UCEscP6ETYXWSSvsNrDHekMQ</t>
        </is>
      </c>
      <c r="O618" s="45" t="n">
        <v>45459.58333333334</v>
      </c>
      <c r="P618" s="46" t="n">
        <v>45459</v>
      </c>
      <c r="Q618" s="44" t="n">
        <v>2654</v>
      </c>
      <c r="R618" s="44" t="inlineStr">
        <is>
          <t>No Video ID yet</t>
        </is>
      </c>
      <c r="S618" s="46" t="n"/>
      <c r="T618" s="46" t="n"/>
      <c r="U618" s="44" t="n"/>
      <c r="V618" s="44">
        <f>IF(AND(P618&gt;=Calendar!$K$2,P618&lt;EDATE(Calendar!$K$2,1),OR(Calendar!$K$4="*",N618=Calendar!$K$4)),P618*100+COUNTIFS($P$6:$P$3271,P618,$Q$6:$Q$3271,"&lt;="&amp;Q618,$N$6:$N$3271,Calendar!$K$4),"")</f>
        <v/>
      </c>
      <c r="W618" s="44">
        <f>IF(AND(B618=Queue!$C$4,OR(Queue!$K$4="*",N618=Queue!$K$4)),Q618,"")</f>
        <v/>
      </c>
    </row>
    <row r="619">
      <c r="A619" s="35">
        <f>IF(M619="","",HYPERLINK("https://www.youtube.com/watch?v="&amp;M619,"▶"))</f>
        <v/>
      </c>
      <c r="B619" s="36">
        <f>IF(C619&lt;&gt;"",C619,IF(P619&lt;=IFERROR(INDEX(tblChannels[Watched Through],MATCH(N619,tblChannels[Channel ID],0)),0),"Watched","Unwatched"))</f>
        <v/>
      </c>
      <c r="C619" s="37" t="n"/>
      <c r="D619" s="38" t="n"/>
      <c r="E619" s="39" t="n">
        <v>45457.58333333334</v>
      </c>
      <c r="F619" s="47" t="inlineStr">
        <is>
          <t>Super Carlin Brothers</t>
        </is>
      </c>
      <c r="G619" t="inlineStr">
        <is>
          <t>Lockhart’s STOLE Quirrell’s Memory | Harry Potter Film Theory</t>
        </is>
      </c>
      <c r="H619" s="41" t="n">
        <v>0.008969907407407407</v>
      </c>
      <c r="I619" s="42" t="n">
        <v>184096</v>
      </c>
      <c r="J619" s="42" t="n">
        <v>7810</v>
      </c>
      <c r="K619" s="42" t="n">
        <v>530</v>
      </c>
      <c r="L619" s="43" t="n"/>
      <c r="M619" s="44" t="n"/>
      <c r="N619" s="44" t="inlineStr">
        <is>
          <t>UCKZo4N0lVPccBkSiuyVh4yg</t>
        </is>
      </c>
      <c r="O619" s="45" t="n">
        <v>45457.75</v>
      </c>
      <c r="P619" s="46" t="n">
        <v>45457</v>
      </c>
      <c r="Q619" s="44" t="n">
        <v>2653</v>
      </c>
      <c r="R619" s="44" t="inlineStr">
        <is>
          <t>No Video ID yet</t>
        </is>
      </c>
      <c r="S619" s="46" t="n"/>
      <c r="T619" s="46" t="n"/>
      <c r="U619" s="44" t="n"/>
      <c r="V619" s="44">
        <f>IF(AND(P619&gt;=Calendar!$K$2,P619&lt;EDATE(Calendar!$K$2,1),OR(Calendar!$K$4="*",N619=Calendar!$K$4)),P619*100+COUNTIFS($P$6:$P$3271,P619,$Q$6:$Q$3271,"&lt;="&amp;Q619,$N$6:$N$3271,Calendar!$K$4),"")</f>
        <v/>
      </c>
      <c r="W619" s="44">
        <f>IF(AND(B619=Queue!$C$4,OR(Queue!$K$4="*",N619=Queue!$K$4)),Q619,"")</f>
        <v/>
      </c>
    </row>
    <row r="620">
      <c r="A620" s="35">
        <f>IF(M620="","",HYPERLINK("https://www.youtube.com/watch?v="&amp;M620,"▶"))</f>
        <v/>
      </c>
      <c r="B620" s="36">
        <f>IF(C620&lt;&gt;"",C620,IF(P620&lt;=IFERROR(INDEX(tblChannels[Watched Through],MATCH(N620,tblChannels[Channel ID],0)),0),"Watched","Unwatched"))</f>
        <v/>
      </c>
      <c r="C620" s="37" t="n"/>
      <c r="D620" s="38" t="n"/>
      <c r="E620" s="39" t="n">
        <v>45457.41666666666</v>
      </c>
      <c r="F620" s="40" t="inlineStr">
        <is>
          <t>Popcorn Culture</t>
        </is>
      </c>
      <c r="G620" t="inlineStr">
        <is>
          <t>WE WENT ON TOUR! | Popcorn Culture</t>
        </is>
      </c>
      <c r="H620" s="41" t="n">
        <v>0.04457175925925926</v>
      </c>
      <c r="I620" s="42" t="n">
        <v>4690</v>
      </c>
      <c r="J620" s="42" t="n">
        <v>239</v>
      </c>
      <c r="K620" s="42" t="n">
        <v>32</v>
      </c>
      <c r="L620" s="43" t="n"/>
      <c r="M620" s="44" t="n"/>
      <c r="N620" s="44" t="inlineStr">
        <is>
          <t>UCHfIbq9thHPC8yrKjAdJgDA</t>
        </is>
      </c>
      <c r="O620" s="45" t="n">
        <v>45457.58333333334</v>
      </c>
      <c r="P620" s="46" t="n">
        <v>45457</v>
      </c>
      <c r="Q620" s="44" t="n">
        <v>2652</v>
      </c>
      <c r="R620" s="44" t="inlineStr">
        <is>
          <t>No Video ID yet</t>
        </is>
      </c>
      <c r="S620" s="46" t="n"/>
      <c r="T620" s="46" t="n"/>
      <c r="U620" s="44" t="n"/>
      <c r="V620" s="44">
        <f>IF(AND(P620&gt;=Calendar!$K$2,P620&lt;EDATE(Calendar!$K$2,1),OR(Calendar!$K$4="*",N620=Calendar!$K$4)),P620*100+COUNTIFS($P$6:$P$3271,P620,$Q$6:$Q$3271,"&lt;="&amp;Q620,$N$6:$N$3271,Calendar!$K$4),"")</f>
        <v/>
      </c>
      <c r="W620" s="44">
        <f>IF(AND(B620=Queue!$C$4,OR(Queue!$K$4="*",N620=Queue!$K$4)),Q620,"")</f>
        <v/>
      </c>
    </row>
    <row r="621">
      <c r="A621" s="35">
        <f>IF(M621="","",HYPERLINK("https://www.youtube.com/watch?v="&amp;M621,"▶"))</f>
        <v/>
      </c>
      <c r="B621" s="36">
        <f>IF(C621&lt;&gt;"",C621,IF(P621&lt;=IFERROR(INDEX(tblChannels[Watched Through],MATCH(N621,tblChannels[Channel ID],0)),0),"Watched","Unwatched"))</f>
        <v/>
      </c>
      <c r="C621" s="37" t="n"/>
      <c r="D621" s="38" t="n"/>
      <c r="E621" s="39" t="n">
        <v>45455.55069444444</v>
      </c>
      <c r="F621" s="47" t="inlineStr">
        <is>
          <t>Super Carlin Brothers</t>
        </is>
      </c>
      <c r="G621" t="inlineStr">
        <is>
          <t>Slytherin’s Wife BECAME The Basilisk | Harry Potter Film Theory</t>
        </is>
      </c>
      <c r="H621" s="41" t="n">
        <v>0.01070601851851852</v>
      </c>
      <c r="I621" s="42" t="n">
        <v>166737</v>
      </c>
      <c r="J621" s="42" t="n">
        <v>7843</v>
      </c>
      <c r="K621" s="42" t="n">
        <v>1040</v>
      </c>
      <c r="L621" s="43" t="n"/>
      <c r="M621" s="44" t="n"/>
      <c r="N621" s="44" t="inlineStr">
        <is>
          <t>UCKZo4N0lVPccBkSiuyVh4yg</t>
        </is>
      </c>
      <c r="O621" s="45" t="n">
        <v>45455.71736111111</v>
      </c>
      <c r="P621" s="46" t="n">
        <v>45455</v>
      </c>
      <c r="Q621" s="44" t="n">
        <v>2651</v>
      </c>
      <c r="R621" s="44" t="inlineStr">
        <is>
          <t>No Video ID yet</t>
        </is>
      </c>
      <c r="S621" s="46" t="n"/>
      <c r="T621" s="46" t="n"/>
      <c r="U621" s="44" t="n"/>
      <c r="V621" s="44">
        <f>IF(AND(P621&gt;=Calendar!$K$2,P621&lt;EDATE(Calendar!$K$2,1),OR(Calendar!$K$4="*",N621=Calendar!$K$4)),P621*100+COUNTIFS($P$6:$P$3271,P621,$Q$6:$Q$3271,"&lt;="&amp;Q621,$N$6:$N$3271,Calendar!$K$4),"")</f>
        <v/>
      </c>
      <c r="W621" s="44">
        <f>IF(AND(B621=Queue!$C$4,OR(Queue!$K$4="*",N621=Queue!$K$4)),Q621,"")</f>
        <v/>
      </c>
    </row>
    <row r="622">
      <c r="A622" s="35">
        <f>IF(M622="","",HYPERLINK("https://www.youtube.com/watch?v="&amp;M622,"▶"))</f>
        <v/>
      </c>
      <c r="B622" s="36">
        <f>IF(C622&lt;&gt;"",C622,IF(P622&lt;=IFERROR(INDEX(tblChannels[Watched Through],MATCH(N622,tblChannels[Channel ID],0)),0),"Watched","Unwatched"))</f>
        <v/>
      </c>
      <c r="C622" s="37" t="n"/>
      <c r="D622" s="38" t="n"/>
      <c r="E622" s="39" t="n">
        <v>45453.70208333333</v>
      </c>
      <c r="F622" s="48" t="inlineStr">
        <is>
          <t>Through The Griffin Door</t>
        </is>
      </c>
      <c r="G622" t="inlineStr">
        <is>
          <t>Chapter 1: Owl Post | Prisoner of Azkaban</t>
        </is>
      </c>
      <c r="H622" s="41" t="n">
        <v>0.05408564814814815</v>
      </c>
      <c r="I622" s="42" t="n">
        <v>93440</v>
      </c>
      <c r="J622" s="42" t="n">
        <v>2670</v>
      </c>
      <c r="K622" s="42" t="n">
        <v>565</v>
      </c>
      <c r="L622" s="43" t="n"/>
      <c r="M622" s="44" t="n"/>
      <c r="N622" s="44" t="inlineStr">
        <is>
          <t>UCEscP6ETYXWSSvsNrDHekMQ</t>
        </is>
      </c>
      <c r="O622" s="45" t="n">
        <v>45453.86875</v>
      </c>
      <c r="P622" s="46" t="n">
        <v>45453</v>
      </c>
      <c r="Q622" s="44" t="n">
        <v>2650</v>
      </c>
      <c r="R622" s="44" t="inlineStr">
        <is>
          <t>No Video ID yet</t>
        </is>
      </c>
      <c r="S622" s="46" t="n"/>
      <c r="T622" s="46" t="n"/>
      <c r="U622" s="44" t="n"/>
      <c r="V622" s="44">
        <f>IF(AND(P622&gt;=Calendar!$K$2,P622&lt;EDATE(Calendar!$K$2,1),OR(Calendar!$K$4="*",N622=Calendar!$K$4)),P622*100+COUNTIFS($P$6:$P$3271,P622,$Q$6:$Q$3271,"&lt;="&amp;Q622,$N$6:$N$3271,Calendar!$K$4),"")</f>
        <v/>
      </c>
      <c r="W622" s="44">
        <f>IF(AND(B622=Queue!$C$4,OR(Queue!$K$4="*",N622=Queue!$K$4)),Q622,"")</f>
        <v/>
      </c>
    </row>
    <row r="623">
      <c r="A623" s="35">
        <f>IF(M623="","",HYPERLINK("https://www.youtube.com/watch?v="&amp;M623,"▶"))</f>
        <v/>
      </c>
      <c r="B623" s="36">
        <f>IF(C623&lt;&gt;"",C623,IF(P623&lt;=IFERROR(INDEX(tblChannels[Watched Through],MATCH(N623,tblChannels[Channel ID],0)),0),"Watched","Unwatched"))</f>
        <v/>
      </c>
      <c r="C623" s="37" t="n"/>
      <c r="D623" s="38" t="n"/>
      <c r="E623" s="39" t="n">
        <v>45451.41666666666</v>
      </c>
      <c r="F623" s="47" t="inlineStr">
        <is>
          <t>Super Carlin Brothers</t>
        </is>
      </c>
      <c r="G623" t="inlineStr">
        <is>
          <t>Through the Griffin Door Supercut: Chamber of Secrets BONUS EPISODES</t>
        </is>
      </c>
      <c r="H623" s="41" t="n">
        <v>0.09317129629629629</v>
      </c>
      <c r="I623" s="42" t="n">
        <v>48029</v>
      </c>
      <c r="J623" s="42" t="n">
        <v>1009</v>
      </c>
      <c r="K623" s="42" t="n">
        <v>201</v>
      </c>
      <c r="L623" s="43" t="n"/>
      <c r="M623" s="44" t="n"/>
      <c r="N623" s="44" t="inlineStr">
        <is>
          <t>UCKZo4N0lVPccBkSiuyVh4yg</t>
        </is>
      </c>
      <c r="O623" s="45" t="n">
        <v>45451.58333333334</v>
      </c>
      <c r="P623" s="46" t="n">
        <v>45451</v>
      </c>
      <c r="Q623" s="44" t="n">
        <v>2649</v>
      </c>
      <c r="R623" s="44" t="inlineStr">
        <is>
          <t>No Video ID yet</t>
        </is>
      </c>
      <c r="S623" s="46" t="n"/>
      <c r="T623" s="46" t="n"/>
      <c r="U623" s="44" t="n"/>
      <c r="V623" s="44">
        <f>IF(AND(P623&gt;=Calendar!$K$2,P623&lt;EDATE(Calendar!$K$2,1),OR(Calendar!$K$4="*",N623=Calendar!$K$4)),P623*100+COUNTIFS($P$6:$P$3271,P623,$Q$6:$Q$3271,"&lt;="&amp;Q623,$N$6:$N$3271,Calendar!$K$4),"")</f>
        <v/>
      </c>
      <c r="W623" s="44">
        <f>IF(AND(B623=Queue!$C$4,OR(Queue!$K$4="*",N623=Queue!$K$4)),Q623,"")</f>
        <v/>
      </c>
    </row>
    <row r="624">
      <c r="A624" s="35">
        <f>IF(M624="","",HYPERLINK("https://www.youtube.com/watch?v="&amp;M624,"▶"))</f>
        <v/>
      </c>
      <c r="B624" s="36">
        <f>IF(C624&lt;&gt;"",C624,IF(P624&lt;=IFERROR(INDEX(tblChannels[Watched Through],MATCH(N624,tblChannels[Channel ID],0)),0),"Watched","Unwatched"))</f>
        <v/>
      </c>
      <c r="C624" s="37" t="n"/>
      <c r="D624" s="38" t="n"/>
      <c r="E624" s="39" t="n">
        <v>45450.58333333334</v>
      </c>
      <c r="F624" s="47" t="inlineStr">
        <is>
          <t>Super Carlin Brothers</t>
        </is>
      </c>
      <c r="G624" t="inlineStr">
        <is>
          <t>Why Lupin NEEDED To Die | Harry Potter Film Theory</t>
        </is>
      </c>
      <c r="H624" s="41" t="n">
        <v>0.0103587962962963</v>
      </c>
      <c r="I624" s="42" t="n">
        <v>201637</v>
      </c>
      <c r="J624" s="42" t="n">
        <v>7840</v>
      </c>
      <c r="K624" s="42" t="n">
        <v>618</v>
      </c>
      <c r="L624" s="43" t="n"/>
      <c r="M624" s="44" t="n"/>
      <c r="N624" s="44" t="inlineStr">
        <is>
          <t>UCKZo4N0lVPccBkSiuyVh4yg</t>
        </is>
      </c>
      <c r="O624" s="45" t="n">
        <v>45450.75</v>
      </c>
      <c r="P624" s="46" t="n">
        <v>45450</v>
      </c>
      <c r="Q624" s="44" t="n">
        <v>2648</v>
      </c>
      <c r="R624" s="44" t="inlineStr">
        <is>
          <t>No Video ID yet</t>
        </is>
      </c>
      <c r="S624" s="46" t="n"/>
      <c r="T624" s="46" t="n"/>
      <c r="U624" s="44" t="n"/>
      <c r="V624" s="44">
        <f>IF(AND(P624&gt;=Calendar!$K$2,P624&lt;EDATE(Calendar!$K$2,1),OR(Calendar!$K$4="*",N624=Calendar!$K$4)),P624*100+COUNTIFS($P$6:$P$3271,P624,$Q$6:$Q$3271,"&lt;="&amp;Q624,$N$6:$N$3271,Calendar!$K$4),"")</f>
        <v/>
      </c>
      <c r="W624" s="44">
        <f>IF(AND(B624=Queue!$C$4,OR(Queue!$K$4="*",N624=Queue!$K$4)),Q624,"")</f>
        <v/>
      </c>
    </row>
    <row r="625">
      <c r="A625" s="35">
        <f>IF(M625="","",HYPERLINK("https://www.youtube.com/watch?v="&amp;M625,"▶"))</f>
        <v/>
      </c>
      <c r="B625" s="36">
        <f>IF(C625&lt;&gt;"",C625,IF(P625&lt;=IFERROR(INDEX(tblChannels[Watched Through],MATCH(N625,tblChannels[Channel ID],0)),0),"Watched","Unwatched"))</f>
        <v/>
      </c>
      <c r="C625" s="37" t="n"/>
      <c r="D625" s="38" t="n"/>
      <c r="E625" s="39" t="n">
        <v>45450.41666666666</v>
      </c>
      <c r="F625" s="40" t="inlineStr">
        <is>
          <t>Popcorn Culture</t>
        </is>
      </c>
      <c r="G625" t="inlineStr">
        <is>
          <t>FUN WITH CHEESE! | Popcorn Culture</t>
        </is>
      </c>
      <c r="H625" s="41" t="n">
        <v>0.04699074074074074</v>
      </c>
      <c r="I625" s="42" t="n">
        <v>4275</v>
      </c>
      <c r="J625" s="42" t="n">
        <v>190</v>
      </c>
      <c r="K625" s="42" t="n">
        <v>28</v>
      </c>
      <c r="L625" s="43" t="n"/>
      <c r="M625" s="44" t="n"/>
      <c r="N625" s="44" t="inlineStr">
        <is>
          <t>UCHfIbq9thHPC8yrKjAdJgDA</t>
        </is>
      </c>
      <c r="O625" s="45" t="n">
        <v>45450.58333333334</v>
      </c>
      <c r="P625" s="46" t="n">
        <v>45450</v>
      </c>
      <c r="Q625" s="44" t="n">
        <v>2647</v>
      </c>
      <c r="R625" s="44" t="inlineStr">
        <is>
          <t>No Video ID yet</t>
        </is>
      </c>
      <c r="S625" s="46" t="n"/>
      <c r="T625" s="46" t="n"/>
      <c r="U625" s="44" t="n"/>
      <c r="V625" s="44">
        <f>IF(AND(P625&gt;=Calendar!$K$2,P625&lt;EDATE(Calendar!$K$2,1),OR(Calendar!$K$4="*",N625=Calendar!$K$4)),P625*100+COUNTIFS($P$6:$P$3271,P625,$Q$6:$Q$3271,"&lt;="&amp;Q625,$N$6:$N$3271,Calendar!$K$4),"")</f>
        <v/>
      </c>
      <c r="W625" s="44">
        <f>IF(AND(B625=Queue!$C$4,OR(Queue!$K$4="*",N625=Queue!$K$4)),Q625,"")</f>
        <v/>
      </c>
    </row>
    <row r="626">
      <c r="A626" s="35">
        <f>IF(M626="","",HYPERLINK("https://www.youtube.com/watch?v="&amp;M626,"▶"))</f>
        <v/>
      </c>
      <c r="B626" s="36">
        <f>IF(C626&lt;&gt;"",C626,IF(P626&lt;=IFERROR(INDEX(tblChannels[Watched Through],MATCH(N626,tblChannels[Channel ID],0)),0),"Watched","Unwatched"))</f>
        <v/>
      </c>
      <c r="C626" s="37" t="n"/>
      <c r="D626" s="38" t="n"/>
      <c r="E626" s="39" t="n">
        <v>45448.58333333334</v>
      </c>
      <c r="F626" s="47" t="inlineStr">
        <is>
          <t>Super Carlin Brothers</t>
        </is>
      </c>
      <c r="G626" t="inlineStr">
        <is>
          <t>J vs Ben: HARDEST Severus Snape Harry Potter TRIVIA Quiz Ever</t>
        </is>
      </c>
      <c r="H626" s="41" t="n">
        <v>0.0258912037037037</v>
      </c>
      <c r="I626" s="42" t="n">
        <v>157704</v>
      </c>
      <c r="J626" s="42" t="n">
        <v>4960</v>
      </c>
      <c r="K626" s="42" t="n">
        <v>623</v>
      </c>
      <c r="L626" s="43" t="n"/>
      <c r="M626" s="44" t="n"/>
      <c r="N626" s="44" t="inlineStr">
        <is>
          <t>UCKZo4N0lVPccBkSiuyVh4yg</t>
        </is>
      </c>
      <c r="O626" s="45" t="n">
        <v>45448.75</v>
      </c>
      <c r="P626" s="46" t="n">
        <v>45448</v>
      </c>
      <c r="Q626" s="44" t="n">
        <v>2646</v>
      </c>
      <c r="R626" s="44" t="inlineStr">
        <is>
          <t>No Video ID yet</t>
        </is>
      </c>
      <c r="S626" s="46" t="n"/>
      <c r="T626" s="46" t="n"/>
      <c r="U626" s="44" t="n"/>
      <c r="V626" s="44">
        <f>IF(AND(P626&gt;=Calendar!$K$2,P626&lt;EDATE(Calendar!$K$2,1),OR(Calendar!$K$4="*",N626=Calendar!$K$4)),P626*100+COUNTIFS($P$6:$P$3271,P626,$Q$6:$Q$3271,"&lt;="&amp;Q626,$N$6:$N$3271,Calendar!$K$4),"")</f>
        <v/>
      </c>
      <c r="W626" s="44">
        <f>IF(AND(B626=Queue!$C$4,OR(Queue!$K$4="*",N626=Queue!$K$4)),Q626,"")</f>
        <v/>
      </c>
    </row>
    <row r="627">
      <c r="A627" s="35">
        <f>IF(M627="","",HYPERLINK("https://www.youtube.com/watch?v="&amp;M627,"▶"))</f>
        <v/>
      </c>
      <c r="B627" s="36">
        <f>IF(C627&lt;&gt;"",C627,IF(P627&lt;=IFERROR(INDEX(tblChannels[Watched Through],MATCH(N627,tblChannels[Channel ID],0)),0),"Watched","Unwatched"))</f>
        <v/>
      </c>
      <c r="C627" s="37" t="n"/>
      <c r="D627" s="38" t="n"/>
      <c r="E627" s="39" t="n">
        <v>45445.41666666666</v>
      </c>
      <c r="F627" s="48" t="inlineStr">
        <is>
          <t>Through The Griffin Door</t>
        </is>
      </c>
      <c r="G627" t="inlineStr">
        <is>
          <t>Can Squibs Perform ANY Magic? | Q&amp;A with Ben and J!</t>
        </is>
      </c>
      <c r="H627" s="41" t="n">
        <v>0.04981481481481481</v>
      </c>
      <c r="I627" s="42" t="n">
        <v>63808</v>
      </c>
      <c r="J627" s="42" t="n">
        <v>2028</v>
      </c>
      <c r="K627" s="42" t="n">
        <v>547</v>
      </c>
      <c r="L627" s="43" t="n"/>
      <c r="M627" s="44" t="n"/>
      <c r="N627" s="44" t="inlineStr">
        <is>
          <t>UCEscP6ETYXWSSvsNrDHekMQ</t>
        </is>
      </c>
      <c r="O627" s="45" t="n">
        <v>45445.58333333334</v>
      </c>
      <c r="P627" s="46" t="n">
        <v>45445</v>
      </c>
      <c r="Q627" s="44" t="n">
        <v>2645</v>
      </c>
      <c r="R627" s="44" t="inlineStr">
        <is>
          <t>No Video ID yet</t>
        </is>
      </c>
      <c r="S627" s="46" t="n"/>
      <c r="T627" s="46" t="n"/>
      <c r="U627" s="44" t="n"/>
      <c r="V627" s="44">
        <f>IF(AND(P627&gt;=Calendar!$K$2,P627&lt;EDATE(Calendar!$K$2,1),OR(Calendar!$K$4="*",N627=Calendar!$K$4)),P627*100+COUNTIFS($P$6:$P$3271,P627,$Q$6:$Q$3271,"&lt;="&amp;Q627,$N$6:$N$3271,Calendar!$K$4),"")</f>
        <v/>
      </c>
      <c r="W627" s="44">
        <f>IF(AND(B627=Queue!$C$4,OR(Queue!$K$4="*",N627=Queue!$K$4)),Q627,"")</f>
        <v/>
      </c>
    </row>
    <row r="628">
      <c r="A628" s="35">
        <f>IF(M628="","",HYPERLINK("https://www.youtube.com/watch?v="&amp;M628,"▶"))</f>
        <v/>
      </c>
      <c r="B628" s="36">
        <f>IF(C628&lt;&gt;"",C628,IF(P628&lt;=IFERROR(INDEX(tblChannels[Watched Through],MATCH(N628,tblChannels[Channel ID],0)),0),"Watched","Unwatched"))</f>
        <v/>
      </c>
      <c r="C628" s="37" t="n"/>
      <c r="D628" s="38" t="n"/>
      <c r="E628" s="39" t="n">
        <v>45443.64583333334</v>
      </c>
      <c r="F628" s="49" t="inlineStr">
        <is>
          <t>Super Carlin Gaming</t>
        </is>
      </c>
      <c r="G628" t="inlineStr">
        <is>
          <t>It's Getting Close At The Top | Carlin Brothers Box Breakers S11E8</t>
        </is>
      </c>
      <c r="H628" s="41" t="n">
        <v>0.0306712962962963</v>
      </c>
      <c r="I628" s="42" t="n">
        <v>1314</v>
      </c>
      <c r="J628" s="42" t="n">
        <v>64</v>
      </c>
      <c r="K628" s="42" t="n">
        <v>10</v>
      </c>
      <c r="L628" s="43" t="n"/>
      <c r="M628" s="44" t="n"/>
      <c r="N628" s="44" t="inlineStr">
        <is>
          <t>UCor_9jRnNNZVzTuQ92PKsaQ</t>
        </is>
      </c>
      <c r="O628" s="45" t="n">
        <v>45443.8125</v>
      </c>
      <c r="P628" s="46" t="n">
        <v>45443</v>
      </c>
      <c r="Q628" s="44" t="n">
        <v>2644</v>
      </c>
      <c r="R628" s="44" t="inlineStr">
        <is>
          <t>No Video ID yet</t>
        </is>
      </c>
      <c r="S628" s="46" t="n"/>
      <c r="T628" s="46" t="n"/>
      <c r="U628" s="44" t="n"/>
      <c r="V628" s="44">
        <f>IF(AND(P628&gt;=Calendar!$K$2,P628&lt;EDATE(Calendar!$K$2,1),OR(Calendar!$K$4="*",N628=Calendar!$K$4)),P628*100+COUNTIFS($P$6:$P$3271,P628,$Q$6:$Q$3271,"&lt;="&amp;Q628,$N$6:$N$3271,Calendar!$K$4),"")</f>
        <v/>
      </c>
      <c r="W628" s="44">
        <f>IF(AND(B628=Queue!$C$4,OR(Queue!$K$4="*",N628=Queue!$K$4)),Q628,"")</f>
        <v/>
      </c>
    </row>
    <row r="629">
      <c r="A629" s="35">
        <f>IF(M629="","",HYPERLINK("https://www.youtube.com/watch?v="&amp;M629,"▶"))</f>
        <v/>
      </c>
      <c r="B629" s="36">
        <f>IF(C629&lt;&gt;"",C629,IF(P629&lt;=IFERROR(INDEX(tblChannels[Watched Through],MATCH(N629,tblChannels[Channel ID],0)),0),"Watched","Unwatched"))</f>
        <v/>
      </c>
      <c r="C629" s="37" t="n"/>
      <c r="D629" s="38" t="n"/>
      <c r="E629" s="39" t="n">
        <v>45443.58333333334</v>
      </c>
      <c r="F629" s="47" t="inlineStr">
        <is>
          <t>Super Carlin Brothers</t>
        </is>
      </c>
      <c r="G629" t="inlineStr">
        <is>
          <t>The TOP 5 Lord Voldemort Theories | Harry Potter Film Theory</t>
        </is>
      </c>
      <c r="H629" s="41" t="n">
        <v>0.05052083333333333</v>
      </c>
      <c r="I629" s="42" t="n">
        <v>620109</v>
      </c>
      <c r="J629" s="42" t="n">
        <v>9974</v>
      </c>
      <c r="K629" s="42" t="n">
        <v>1139</v>
      </c>
      <c r="L629" s="43" t="n"/>
      <c r="M629" s="44" t="n"/>
      <c r="N629" s="44" t="inlineStr">
        <is>
          <t>UCKZo4N0lVPccBkSiuyVh4yg</t>
        </is>
      </c>
      <c r="O629" s="45" t="n">
        <v>45443.75</v>
      </c>
      <c r="P629" s="46" t="n">
        <v>45443</v>
      </c>
      <c r="Q629" s="44" t="n">
        <v>2643</v>
      </c>
      <c r="R629" s="44" t="inlineStr">
        <is>
          <t>No Video ID yet</t>
        </is>
      </c>
      <c r="S629" s="46" t="n"/>
      <c r="T629" s="46" t="n"/>
      <c r="U629" s="44" t="n"/>
      <c r="V629" s="44">
        <f>IF(AND(P629&gt;=Calendar!$K$2,P629&lt;EDATE(Calendar!$K$2,1),OR(Calendar!$K$4="*",N629=Calendar!$K$4)),P629*100+COUNTIFS($P$6:$P$3271,P629,$Q$6:$Q$3271,"&lt;="&amp;Q629,$N$6:$N$3271,Calendar!$K$4),"")</f>
        <v/>
      </c>
      <c r="W629" s="44">
        <f>IF(AND(B629=Queue!$C$4,OR(Queue!$K$4="*",N629=Queue!$K$4)),Q629,"")</f>
        <v/>
      </c>
    </row>
    <row r="630">
      <c r="A630" s="35">
        <f>IF(M630="","",HYPERLINK("https://www.youtube.com/watch?v="&amp;M630,"▶"))</f>
        <v/>
      </c>
      <c r="B630" s="36">
        <f>IF(C630&lt;&gt;"",C630,IF(P630&lt;=IFERROR(INDEX(tblChannels[Watched Through],MATCH(N630,tblChannels[Channel ID],0)),0),"Watched","Unwatched"))</f>
        <v/>
      </c>
      <c r="C630" s="37" t="n"/>
      <c r="D630" s="38" t="n"/>
      <c r="E630" s="39" t="n">
        <v>45443.41666666666</v>
      </c>
      <c r="F630" s="40" t="inlineStr">
        <is>
          <t>Popcorn Culture</t>
        </is>
      </c>
      <c r="G630" t="inlineStr">
        <is>
          <t>The Q+A SPECIAL | Popcorn Culture</t>
        </is>
      </c>
      <c r="H630" s="41" t="n">
        <v>0.07299768518518518</v>
      </c>
      <c r="I630" s="42" t="n">
        <v>6084</v>
      </c>
      <c r="J630" s="42" t="n">
        <v>262</v>
      </c>
      <c r="K630" s="42" t="n">
        <v>37</v>
      </c>
      <c r="L630" s="43" t="n"/>
      <c r="M630" s="44" t="n"/>
      <c r="N630" s="44" t="inlineStr">
        <is>
          <t>UCHfIbq9thHPC8yrKjAdJgDA</t>
        </is>
      </c>
      <c r="O630" s="45" t="n">
        <v>45443.58333333334</v>
      </c>
      <c r="P630" s="46" t="n">
        <v>45443</v>
      </c>
      <c r="Q630" s="44" t="n">
        <v>2642</v>
      </c>
      <c r="R630" s="44" t="inlineStr">
        <is>
          <t>No Video ID yet</t>
        </is>
      </c>
      <c r="S630" s="46" t="n"/>
      <c r="T630" s="46" t="n"/>
      <c r="U630" s="44" t="n"/>
      <c r="V630" s="44">
        <f>IF(AND(P630&gt;=Calendar!$K$2,P630&lt;EDATE(Calendar!$K$2,1),OR(Calendar!$K$4="*",N630=Calendar!$K$4)),P630*100+COUNTIFS($P$6:$P$3271,P630,$Q$6:$Q$3271,"&lt;="&amp;Q630,$N$6:$N$3271,Calendar!$K$4),"")</f>
        <v/>
      </c>
      <c r="W630" s="44">
        <f>IF(AND(B630=Queue!$C$4,OR(Queue!$K$4="*",N630=Queue!$K$4)),Q630,"")</f>
        <v/>
      </c>
    </row>
    <row r="631">
      <c r="A631" s="35">
        <f>IF(M631="","",HYPERLINK("https://www.youtube.com/watch?v="&amp;M631,"▶"))</f>
        <v/>
      </c>
      <c r="B631" s="36">
        <f>IF(C631&lt;&gt;"",C631,IF(P631&lt;=IFERROR(INDEX(tblChannels[Watched Through],MATCH(N631,tblChannels[Channel ID],0)),0),"Watched","Unwatched"))</f>
        <v/>
      </c>
      <c r="C631" s="37" t="n"/>
      <c r="D631" s="38" t="n"/>
      <c r="E631" s="39" t="n">
        <v>45441.61805555555</v>
      </c>
      <c r="F631" s="47" t="inlineStr">
        <is>
          <t>Super Carlin Brothers</t>
        </is>
      </c>
      <c r="G631" t="inlineStr">
        <is>
          <t>Why Didn’t Quirrell Just KILL Fluffy | Harry Potter Film Theory</t>
        </is>
      </c>
      <c r="H631" s="41" t="n">
        <v>0.009675925925925926</v>
      </c>
      <c r="I631" s="42" t="n">
        <v>164242</v>
      </c>
      <c r="J631" s="42" t="n">
        <v>7008</v>
      </c>
      <c r="K631" s="42" t="n">
        <v>899</v>
      </c>
      <c r="L631" s="43" t="n"/>
      <c r="M631" s="44" t="n"/>
      <c r="N631" s="44" t="inlineStr">
        <is>
          <t>UCKZo4N0lVPccBkSiuyVh4yg</t>
        </is>
      </c>
      <c r="O631" s="45" t="n">
        <v>45441.78472222222</v>
      </c>
      <c r="P631" s="46" t="n">
        <v>45441</v>
      </c>
      <c r="Q631" s="44" t="n">
        <v>2641</v>
      </c>
      <c r="R631" s="44" t="inlineStr">
        <is>
          <t>No Video ID yet</t>
        </is>
      </c>
      <c r="S631" s="46" t="n"/>
      <c r="T631" s="46" t="n"/>
      <c r="U631" s="44" t="n"/>
      <c r="V631" s="44">
        <f>IF(AND(P631&gt;=Calendar!$K$2,P631&lt;EDATE(Calendar!$K$2,1),OR(Calendar!$K$4="*",N631=Calendar!$K$4)),P631*100+COUNTIFS($P$6:$P$3271,P631,$Q$6:$Q$3271,"&lt;="&amp;Q631,$N$6:$N$3271,Calendar!$K$4),"")</f>
        <v/>
      </c>
      <c r="W631" s="44">
        <f>IF(AND(B631=Queue!$C$4,OR(Queue!$K$4="*",N631=Queue!$K$4)),Q631,"")</f>
        <v/>
      </c>
    </row>
    <row r="632">
      <c r="A632" s="35">
        <f>IF(M632="","",HYPERLINK("https://www.youtube.com/watch?v="&amp;M632,"▶"))</f>
        <v/>
      </c>
      <c r="B632" s="36">
        <f>IF(C632&lt;&gt;"",C632,IF(P632&lt;=IFERROR(INDEX(tblChannels[Watched Through],MATCH(N632,tblChannels[Channel ID],0)),0),"Watched","Unwatched"))</f>
        <v/>
      </c>
      <c r="C632" s="37" t="n"/>
      <c r="D632" s="38" t="n"/>
      <c r="E632" s="39" t="n">
        <v>45438.41666666666</v>
      </c>
      <c r="F632" s="48" t="inlineStr">
        <is>
          <t>Through The Griffin Door</t>
        </is>
      </c>
      <c r="G632" t="inlineStr">
        <is>
          <t>Dumbledore’s Big Plan: Chamber of Secrets Edition</t>
        </is>
      </c>
      <c r="H632" s="41" t="n">
        <v>0.0447337962962963</v>
      </c>
      <c r="I632" s="42" t="n">
        <v>49737</v>
      </c>
      <c r="J632" s="42" t="n">
        <v>1594</v>
      </c>
      <c r="K632" s="42" t="n">
        <v>312</v>
      </c>
      <c r="L632" s="43" t="n"/>
      <c r="M632" s="44" t="n"/>
      <c r="N632" s="44" t="inlineStr">
        <is>
          <t>UCEscP6ETYXWSSvsNrDHekMQ</t>
        </is>
      </c>
      <c r="O632" s="45" t="n">
        <v>45438.58333333334</v>
      </c>
      <c r="P632" s="46" t="n">
        <v>45438</v>
      </c>
      <c r="Q632" s="44" t="n">
        <v>2640</v>
      </c>
      <c r="R632" s="44" t="inlineStr">
        <is>
          <t>No Video ID yet</t>
        </is>
      </c>
      <c r="S632" s="46" t="n"/>
      <c r="T632" s="46" t="n"/>
      <c r="U632" s="44" t="n"/>
      <c r="V632" s="44">
        <f>IF(AND(P632&gt;=Calendar!$K$2,P632&lt;EDATE(Calendar!$K$2,1),OR(Calendar!$K$4="*",N632=Calendar!$K$4)),P632*100+COUNTIFS($P$6:$P$3271,P632,$Q$6:$Q$3271,"&lt;="&amp;Q632,$N$6:$N$3271,Calendar!$K$4),"")</f>
        <v/>
      </c>
      <c r="W632" s="44">
        <f>IF(AND(B632=Queue!$C$4,OR(Queue!$K$4="*",N632=Queue!$K$4)),Q632,"")</f>
        <v/>
      </c>
    </row>
    <row r="633">
      <c r="A633" s="35">
        <f>IF(M633="","",HYPERLINK("https://www.youtube.com/watch?v="&amp;M633,"▶"))</f>
        <v/>
      </c>
      <c r="B633" s="36">
        <f>IF(C633&lt;&gt;"",C633,IF(P633&lt;=IFERROR(INDEX(tblChannels[Watched Through],MATCH(N633,tblChannels[Channel ID],0)),0),"Watched","Unwatched"))</f>
        <v/>
      </c>
      <c r="C633" s="37" t="n"/>
      <c r="D633" s="38" t="n"/>
      <c r="E633" s="39" t="n">
        <v>45437.41666666666</v>
      </c>
      <c r="F633" s="47" t="inlineStr">
        <is>
          <t>Super Carlin Brothers</t>
        </is>
      </c>
      <c r="G633" t="inlineStr">
        <is>
          <t>Through the Griffin Door Supercut: Chamber of Secrets Chapters 16-18</t>
        </is>
      </c>
      <c r="H633" s="41" t="n">
        <v>0.1845023148148148</v>
      </c>
      <c r="I633" s="42" t="n">
        <v>32543</v>
      </c>
      <c r="J633" s="42" t="n">
        <v>576</v>
      </c>
      <c r="K633" s="42" t="n">
        <v>140</v>
      </c>
      <c r="L633" s="43" t="n"/>
      <c r="M633" s="44" t="n"/>
      <c r="N633" s="44" t="inlineStr">
        <is>
          <t>UCKZo4N0lVPccBkSiuyVh4yg</t>
        </is>
      </c>
      <c r="O633" s="45" t="n">
        <v>45437.58333333334</v>
      </c>
      <c r="P633" s="46" t="n">
        <v>45437</v>
      </c>
      <c r="Q633" s="44" t="n">
        <v>2639</v>
      </c>
      <c r="R633" s="44" t="inlineStr">
        <is>
          <t>No Video ID yet</t>
        </is>
      </c>
      <c r="S633" s="46" t="n"/>
      <c r="T633" s="46" t="n"/>
      <c r="U633" s="44" t="n"/>
      <c r="V633" s="44">
        <f>IF(AND(P633&gt;=Calendar!$K$2,P633&lt;EDATE(Calendar!$K$2,1),OR(Calendar!$K$4="*",N633=Calendar!$K$4)),P633*100+COUNTIFS($P$6:$P$3271,P633,$Q$6:$Q$3271,"&lt;="&amp;Q633,$N$6:$N$3271,Calendar!$K$4),"")</f>
        <v/>
      </c>
      <c r="W633" s="44">
        <f>IF(AND(B633=Queue!$C$4,OR(Queue!$K$4="*",N633=Queue!$K$4)),Q633,"")</f>
        <v/>
      </c>
    </row>
    <row r="634">
      <c r="A634" s="35">
        <f>IF(M634="","",HYPERLINK("https://www.youtube.com/watch?v="&amp;M634,"▶"))</f>
        <v/>
      </c>
      <c r="B634" s="36">
        <f>IF(C634&lt;&gt;"",C634,IF(P634&lt;=IFERROR(INDEX(tblChannels[Watched Through],MATCH(N634,tblChannels[Channel ID],0)),0),"Watched","Unwatched"))</f>
        <v/>
      </c>
      <c r="C634" s="37" t="n"/>
      <c r="D634" s="38" t="n"/>
      <c r="E634" s="39" t="n">
        <v>45436.56666666667</v>
      </c>
      <c r="F634" s="47" t="inlineStr">
        <is>
          <t>Super Carlin Brothers</t>
        </is>
      </c>
      <c r="G634" t="inlineStr">
        <is>
          <t>How The HECK Do You Petrify A Ghost?! | Harry Potter Film Theory</t>
        </is>
      </c>
      <c r="H634" s="41" t="n">
        <v>0.00986111111111111</v>
      </c>
      <c r="I634" s="42" t="n">
        <v>99790</v>
      </c>
      <c r="J634" s="42" t="n">
        <v>5383</v>
      </c>
      <c r="K634" s="42" t="n">
        <v>622</v>
      </c>
      <c r="L634" s="43" t="n"/>
      <c r="M634" s="44" t="n"/>
      <c r="N634" s="44" t="inlineStr">
        <is>
          <t>UCKZo4N0lVPccBkSiuyVh4yg</t>
        </is>
      </c>
      <c r="O634" s="45" t="n">
        <v>45436.73333333333</v>
      </c>
      <c r="P634" s="46" t="n">
        <v>45436</v>
      </c>
      <c r="Q634" s="44" t="n">
        <v>2638</v>
      </c>
      <c r="R634" s="44" t="inlineStr">
        <is>
          <t>No Video ID yet</t>
        </is>
      </c>
      <c r="S634" s="46" t="n"/>
      <c r="T634" s="46" t="n"/>
      <c r="U634" s="44" t="n"/>
      <c r="V634" s="44">
        <f>IF(AND(P634&gt;=Calendar!$K$2,P634&lt;EDATE(Calendar!$K$2,1),OR(Calendar!$K$4="*",N634=Calendar!$K$4)),P634*100+COUNTIFS($P$6:$P$3271,P634,$Q$6:$Q$3271,"&lt;="&amp;Q634,$N$6:$N$3271,Calendar!$K$4),"")</f>
        <v/>
      </c>
      <c r="W634" s="44">
        <f>IF(AND(B634=Queue!$C$4,OR(Queue!$K$4="*",N634=Queue!$K$4)),Q634,"")</f>
        <v/>
      </c>
    </row>
    <row r="635">
      <c r="A635" s="35">
        <f>IF(M635="","",HYPERLINK("https://www.youtube.com/watch?v="&amp;M635,"▶"))</f>
        <v/>
      </c>
      <c r="B635" s="36">
        <f>IF(C635&lt;&gt;"",C635,IF(P635&lt;=IFERROR(INDEX(tblChannels[Watched Through],MATCH(N635,tblChannels[Channel ID],0)),0),"Watched","Unwatched"))</f>
        <v/>
      </c>
      <c r="C635" s="37" t="n"/>
      <c r="D635" s="38" t="n"/>
      <c r="E635" s="39" t="n">
        <v>45436.41666666666</v>
      </c>
      <c r="F635" s="40" t="inlineStr">
        <is>
          <t>Popcorn Culture</t>
        </is>
      </c>
      <c r="G635" t="inlineStr">
        <is>
          <t>Ben’s Calamitous Weekend  | Popcorn Culture</t>
        </is>
      </c>
      <c r="H635" s="41" t="n">
        <v>0.04831018518518519</v>
      </c>
      <c r="I635" s="42" t="n">
        <v>4653</v>
      </c>
      <c r="J635" s="42" t="n">
        <v>226</v>
      </c>
      <c r="K635" s="42" t="n">
        <v>36</v>
      </c>
      <c r="L635" s="43" t="n"/>
      <c r="M635" s="44" t="n"/>
      <c r="N635" s="44" t="inlineStr">
        <is>
          <t>UCHfIbq9thHPC8yrKjAdJgDA</t>
        </is>
      </c>
      <c r="O635" s="45" t="n">
        <v>45436.58333333334</v>
      </c>
      <c r="P635" s="46" t="n">
        <v>45436</v>
      </c>
      <c r="Q635" s="44" t="n">
        <v>2637</v>
      </c>
      <c r="R635" s="44" t="inlineStr">
        <is>
          <t>No Video ID yet</t>
        </is>
      </c>
      <c r="S635" s="46" t="n"/>
      <c r="T635" s="46" t="n"/>
      <c r="U635" s="44" t="n"/>
      <c r="V635" s="44">
        <f>IF(AND(P635&gt;=Calendar!$K$2,P635&lt;EDATE(Calendar!$K$2,1),OR(Calendar!$K$4="*",N635=Calendar!$K$4)),P635*100+COUNTIFS($P$6:$P$3271,P635,$Q$6:$Q$3271,"&lt;="&amp;Q635,$N$6:$N$3271,Calendar!$K$4),"")</f>
        <v/>
      </c>
      <c r="W635" s="44">
        <f>IF(AND(B635=Queue!$C$4,OR(Queue!$K$4="*",N635=Queue!$K$4)),Q635,"")</f>
        <v/>
      </c>
    </row>
    <row r="636">
      <c r="A636" s="35">
        <f>IF(M636="","",HYPERLINK("https://www.youtube.com/watch?v="&amp;M636,"▶"))</f>
        <v/>
      </c>
      <c r="B636" s="36">
        <f>IF(C636&lt;&gt;"",C636,IF(P636&lt;=IFERROR(INDEX(tblChannels[Watched Through],MATCH(N636,tblChannels[Channel ID],0)),0),"Watched","Unwatched"))</f>
        <v/>
      </c>
      <c r="C636" s="37" t="n"/>
      <c r="D636" s="38" t="n"/>
      <c r="E636" s="39" t="n">
        <v>45435.77083333334</v>
      </c>
      <c r="F636" s="49" t="inlineStr">
        <is>
          <t>Super Carlin Gaming</t>
        </is>
      </c>
      <c r="G636" t="inlineStr">
        <is>
          <t>You Won't Believe The Pull | Carlin Brothers Box Breakers S11E7</t>
        </is>
      </c>
      <c r="H636" s="41" t="n">
        <v>0.03103009259259259</v>
      </c>
      <c r="I636" s="42" t="n">
        <v>1421</v>
      </c>
      <c r="J636" s="42" t="n">
        <v>75</v>
      </c>
      <c r="K636" s="42" t="n">
        <v>7</v>
      </c>
      <c r="L636" s="43" t="n"/>
      <c r="M636" s="44" t="n"/>
      <c r="N636" s="44" t="inlineStr">
        <is>
          <t>UCor_9jRnNNZVzTuQ92PKsaQ</t>
        </is>
      </c>
      <c r="O636" s="45" t="n">
        <v>45435.9375</v>
      </c>
      <c r="P636" s="46" t="n">
        <v>45435</v>
      </c>
      <c r="Q636" s="44" t="n">
        <v>2636</v>
      </c>
      <c r="R636" s="44" t="inlineStr">
        <is>
          <t>No Video ID yet</t>
        </is>
      </c>
      <c r="S636" s="46" t="n"/>
      <c r="T636" s="46" t="n"/>
      <c r="U636" s="44" t="n"/>
      <c r="V636" s="44">
        <f>IF(AND(P636&gt;=Calendar!$K$2,P636&lt;EDATE(Calendar!$K$2,1),OR(Calendar!$K$4="*",N636=Calendar!$K$4)),P636*100+COUNTIFS($P$6:$P$3271,P636,$Q$6:$Q$3271,"&lt;="&amp;Q636,$N$6:$N$3271,Calendar!$K$4),"")</f>
        <v/>
      </c>
      <c r="W636" s="44">
        <f>IF(AND(B636=Queue!$C$4,OR(Queue!$K$4="*",N636=Queue!$K$4)),Q636,"")</f>
        <v/>
      </c>
    </row>
    <row r="637">
      <c r="A637" s="35">
        <f>IF(M637="","",HYPERLINK("https://www.youtube.com/watch?v="&amp;M637,"▶"))</f>
        <v/>
      </c>
      <c r="B637" s="36">
        <f>IF(C637&lt;&gt;"",C637,IF(P637&lt;=IFERROR(INDEX(tblChannels[Watched Through],MATCH(N637,tblChannels[Channel ID],0)),0),"Watched","Unwatched"))</f>
        <v/>
      </c>
      <c r="C637" s="37" t="n"/>
      <c r="D637" s="38" t="n"/>
      <c r="E637" s="39" t="n">
        <v>45434.69513888889</v>
      </c>
      <c r="F637" s="47" t="inlineStr">
        <is>
          <t>Super Carlin Brothers</t>
        </is>
      </c>
      <c r="G637" t="inlineStr">
        <is>
          <t>J vs Ben: HARDEST Albus Dumbledore Harry Potter TRIVIA Quiz EVER</t>
        </is>
      </c>
      <c r="H637" s="41" t="n">
        <v>0.02615740740740741</v>
      </c>
      <c r="I637" s="42" t="n">
        <v>172962</v>
      </c>
      <c r="J637" s="42" t="n">
        <v>4988</v>
      </c>
      <c r="K637" s="42" t="n">
        <v>633</v>
      </c>
      <c r="L637" s="43" t="n"/>
      <c r="M637" s="44" t="n"/>
      <c r="N637" s="44" t="inlineStr">
        <is>
          <t>UCKZo4N0lVPccBkSiuyVh4yg</t>
        </is>
      </c>
      <c r="O637" s="45" t="n">
        <v>45434.86180555556</v>
      </c>
      <c r="P637" s="46" t="n">
        <v>45434</v>
      </c>
      <c r="Q637" s="44" t="n">
        <v>2635</v>
      </c>
      <c r="R637" s="44" t="inlineStr">
        <is>
          <t>No Video ID yet</t>
        </is>
      </c>
      <c r="S637" s="46" t="n"/>
      <c r="T637" s="46" t="n"/>
      <c r="U637" s="44" t="n"/>
      <c r="V637" s="44">
        <f>IF(AND(P637&gt;=Calendar!$K$2,P637&lt;EDATE(Calendar!$K$2,1),OR(Calendar!$K$4="*",N637=Calendar!$K$4)),P637*100+COUNTIFS($P$6:$P$3271,P637,$Q$6:$Q$3271,"&lt;="&amp;Q637,$N$6:$N$3271,Calendar!$K$4),"")</f>
        <v/>
      </c>
      <c r="W637" s="44">
        <f>IF(AND(B637=Queue!$C$4,OR(Queue!$K$4="*",N637=Queue!$K$4)),Q637,"")</f>
        <v/>
      </c>
    </row>
    <row r="638">
      <c r="A638" s="35">
        <f>IF(M638="","",HYPERLINK("https://www.youtube.com/watch?v="&amp;M638,"▶"))</f>
        <v/>
      </c>
      <c r="B638" s="36">
        <f>IF(C638&lt;&gt;"",C638,IF(P638&lt;=IFERROR(INDEX(tblChannels[Watched Through],MATCH(N638,tblChannels[Channel ID],0)),0),"Watched","Unwatched"))</f>
        <v/>
      </c>
      <c r="C638" s="37" t="n"/>
      <c r="D638" s="38" t="n"/>
      <c r="E638" s="39" t="n">
        <v>45431.41666666666</v>
      </c>
      <c r="F638" s="48" t="inlineStr">
        <is>
          <t>Through The Griffin Door</t>
        </is>
      </c>
      <c r="G638" t="inlineStr">
        <is>
          <t>Chapter 18: Dobby’s Reward | Chamber of Secrets</t>
        </is>
      </c>
      <c r="H638" s="41" t="n">
        <v>0.06408564814814814</v>
      </c>
      <c r="I638" s="42" t="n">
        <v>82015</v>
      </c>
      <c r="J638" s="42" t="n">
        <v>2286</v>
      </c>
      <c r="K638" s="42" t="n">
        <v>605</v>
      </c>
      <c r="L638" s="43" t="n"/>
      <c r="M638" s="44" t="n"/>
      <c r="N638" s="44" t="inlineStr">
        <is>
          <t>UCEscP6ETYXWSSvsNrDHekMQ</t>
        </is>
      </c>
      <c r="O638" s="45" t="n">
        <v>45431.58333333334</v>
      </c>
      <c r="P638" s="46" t="n">
        <v>45431</v>
      </c>
      <c r="Q638" s="44" t="n">
        <v>2634</v>
      </c>
      <c r="R638" s="44" t="inlineStr">
        <is>
          <t>No Video ID yet</t>
        </is>
      </c>
      <c r="S638" s="46" t="n"/>
      <c r="T638" s="46" t="n"/>
      <c r="U638" s="44" t="n"/>
      <c r="V638" s="44">
        <f>IF(AND(P638&gt;=Calendar!$K$2,P638&lt;EDATE(Calendar!$K$2,1),OR(Calendar!$K$4="*",N638=Calendar!$K$4)),P638*100+COUNTIFS($P$6:$P$3271,P638,$Q$6:$Q$3271,"&lt;="&amp;Q638,$N$6:$N$3271,Calendar!$K$4),"")</f>
        <v/>
      </c>
      <c r="W638" s="44">
        <f>IF(AND(B638=Queue!$C$4,OR(Queue!$K$4="*",N638=Queue!$K$4)),Q638,"")</f>
        <v/>
      </c>
    </row>
    <row r="639">
      <c r="A639" s="35">
        <f>IF(M639="","",HYPERLINK("https://www.youtube.com/watch?v="&amp;M639,"▶"))</f>
        <v/>
      </c>
      <c r="B639" s="36">
        <f>IF(C639&lt;&gt;"",C639,IF(P639&lt;=IFERROR(INDEX(tblChannels[Watched Through],MATCH(N639,tblChannels[Channel ID],0)),0),"Watched","Unwatched"))</f>
        <v/>
      </c>
      <c r="C639" s="37" t="n"/>
      <c r="D639" s="38" t="n"/>
      <c r="E639" s="39" t="n">
        <v>45429.56666666667</v>
      </c>
      <c r="F639" s="47" t="inlineStr">
        <is>
          <t>Super Carlin Brothers</t>
        </is>
      </c>
      <c r="G639" t="inlineStr">
        <is>
          <t>The Single Most Important Line in ALL of Harry Potter | Harry Potter Film Theory</t>
        </is>
      </c>
      <c r="H639" s="41" t="n">
        <v>0.01034722222222222</v>
      </c>
      <c r="I639" s="42" t="n">
        <v>199673</v>
      </c>
      <c r="J639" s="42" t="n">
        <v>8106</v>
      </c>
      <c r="K639" s="42" t="n">
        <v>821</v>
      </c>
      <c r="L639" s="43" t="n"/>
      <c r="M639" s="44" t="n"/>
      <c r="N639" s="44" t="inlineStr">
        <is>
          <t>UCKZo4N0lVPccBkSiuyVh4yg</t>
        </is>
      </c>
      <c r="O639" s="45" t="n">
        <v>45429.73333333333</v>
      </c>
      <c r="P639" s="46" t="n">
        <v>45429</v>
      </c>
      <c r="Q639" s="44" t="n">
        <v>2633</v>
      </c>
      <c r="R639" s="44" t="inlineStr">
        <is>
          <t>No Video ID yet</t>
        </is>
      </c>
      <c r="S639" s="46" t="n"/>
      <c r="T639" s="46" t="n"/>
      <c r="U639" s="44" t="n"/>
      <c r="V639" s="44">
        <f>IF(AND(P639&gt;=Calendar!$K$2,P639&lt;EDATE(Calendar!$K$2,1),OR(Calendar!$K$4="*",N639=Calendar!$K$4)),P639*100+COUNTIFS($P$6:$P$3271,P639,$Q$6:$Q$3271,"&lt;="&amp;Q639,$N$6:$N$3271,Calendar!$K$4),"")</f>
        <v/>
      </c>
      <c r="W639" s="44">
        <f>IF(AND(B639=Queue!$C$4,OR(Queue!$K$4="*",N639=Queue!$K$4)),Q639,"")</f>
        <v/>
      </c>
    </row>
    <row r="640">
      <c r="A640" s="35">
        <f>IF(M640="","",HYPERLINK("https://www.youtube.com/watch?v="&amp;M640,"▶"))</f>
        <v/>
      </c>
      <c r="B640" s="36">
        <f>IF(C640&lt;&gt;"",C640,IF(P640&lt;=IFERROR(INDEX(tblChannels[Watched Through],MATCH(N640,tblChannels[Channel ID],0)),0),"Watched","Unwatched"))</f>
        <v/>
      </c>
      <c r="C640" s="37" t="n"/>
      <c r="D640" s="38" t="n"/>
      <c r="E640" s="39" t="n">
        <v>45429.41666666666</v>
      </c>
      <c r="F640" s="40" t="inlineStr">
        <is>
          <t>Popcorn Culture</t>
        </is>
      </c>
      <c r="G640" t="inlineStr">
        <is>
          <t>J’s Guilty Pleasure | Popcorn Culture</t>
        </is>
      </c>
      <c r="H640" s="41" t="n">
        <v>0.04328703703703703</v>
      </c>
      <c r="I640" s="42" t="n">
        <v>4188</v>
      </c>
      <c r="J640" s="42" t="n">
        <v>204</v>
      </c>
      <c r="K640" s="42" t="n">
        <v>18</v>
      </c>
      <c r="L640" s="43" t="n"/>
      <c r="M640" s="44" t="n"/>
      <c r="N640" s="44" t="inlineStr">
        <is>
          <t>UCHfIbq9thHPC8yrKjAdJgDA</t>
        </is>
      </c>
      <c r="O640" s="45" t="n">
        <v>45429.58333333334</v>
      </c>
      <c r="P640" s="46" t="n">
        <v>45429</v>
      </c>
      <c r="Q640" s="44" t="n">
        <v>2632</v>
      </c>
      <c r="R640" s="44" t="inlineStr">
        <is>
          <t>No Video ID yet</t>
        </is>
      </c>
      <c r="S640" s="46" t="n"/>
      <c r="T640" s="46" t="n"/>
      <c r="U640" s="44" t="n"/>
      <c r="V640" s="44">
        <f>IF(AND(P640&gt;=Calendar!$K$2,P640&lt;EDATE(Calendar!$K$2,1),OR(Calendar!$K$4="*",N640=Calendar!$K$4)),P640*100+COUNTIFS($P$6:$P$3271,P640,$Q$6:$Q$3271,"&lt;="&amp;Q640,$N$6:$N$3271,Calendar!$K$4),"")</f>
        <v/>
      </c>
      <c r="W640" s="44">
        <f>IF(AND(B640=Queue!$C$4,OR(Queue!$K$4="*",N640=Queue!$K$4)),Q640,"")</f>
        <v/>
      </c>
    </row>
    <row r="641">
      <c r="A641" s="35">
        <f>IF(M641="","",HYPERLINK("https://www.youtube.com/watch?v="&amp;M641,"▶"))</f>
        <v/>
      </c>
      <c r="B641" s="36">
        <f>IF(C641&lt;&gt;"",C641,IF(P641&lt;=IFERROR(INDEX(tblChannels[Watched Through],MATCH(N641,tblChannels[Channel ID],0)),0),"Watched","Unwatched"))</f>
        <v/>
      </c>
      <c r="C641" s="37" t="n"/>
      <c r="D641" s="38" t="n"/>
      <c r="E641" s="39" t="n">
        <v>45428.77083333334</v>
      </c>
      <c r="F641" s="49" t="inlineStr">
        <is>
          <t>Super Carlin Gaming</t>
        </is>
      </c>
      <c r="G641" t="inlineStr">
        <is>
          <t>A Day For Rookies | Carlin Brothers Box Breakers S11E6</t>
        </is>
      </c>
      <c r="H641" s="41" t="n">
        <v>0.0308912037037037</v>
      </c>
      <c r="I641" s="42" t="n">
        <v>1238</v>
      </c>
      <c r="J641" s="42" t="n">
        <v>68</v>
      </c>
      <c r="K641" s="42" t="n">
        <v>10</v>
      </c>
      <c r="L641" s="43" t="n"/>
      <c r="M641" s="44" t="n"/>
      <c r="N641" s="44" t="inlineStr">
        <is>
          <t>UCor_9jRnNNZVzTuQ92PKsaQ</t>
        </is>
      </c>
      <c r="O641" s="45" t="n">
        <v>45428.9375</v>
      </c>
      <c r="P641" s="46" t="n">
        <v>45428</v>
      </c>
      <c r="Q641" s="44" t="n">
        <v>2631</v>
      </c>
      <c r="R641" s="44" t="inlineStr">
        <is>
          <t>No Video ID yet</t>
        </is>
      </c>
      <c r="S641" s="46" t="n"/>
      <c r="T641" s="46" t="n"/>
      <c r="U641" s="44" t="n"/>
      <c r="V641" s="44">
        <f>IF(AND(P641&gt;=Calendar!$K$2,P641&lt;EDATE(Calendar!$K$2,1),OR(Calendar!$K$4="*",N641=Calendar!$K$4)),P641*100+COUNTIFS($P$6:$P$3271,P641,$Q$6:$Q$3271,"&lt;="&amp;Q641,$N$6:$N$3271,Calendar!$K$4),"")</f>
        <v/>
      </c>
      <c r="W641" s="44">
        <f>IF(AND(B641=Queue!$C$4,OR(Queue!$K$4="*",N641=Queue!$K$4)),Q641,"")</f>
        <v/>
      </c>
    </row>
    <row r="642">
      <c r="A642" s="35">
        <f>IF(M642="","",HYPERLINK("https://www.youtube.com/watch?v="&amp;M642,"▶"))</f>
        <v/>
      </c>
      <c r="B642" s="36">
        <f>IF(C642&lt;&gt;"",C642,IF(P642&lt;=IFERROR(INDEX(tblChannels[Watched Through],MATCH(N642,tblChannels[Channel ID],0)),0),"Watched","Unwatched"))</f>
        <v/>
      </c>
      <c r="C642" s="37" t="n"/>
      <c r="D642" s="38" t="n"/>
      <c r="E642" s="39" t="n">
        <v>45427.71527777778</v>
      </c>
      <c r="F642" s="47" t="inlineStr">
        <is>
          <t>Super Carlin Brothers</t>
        </is>
      </c>
      <c r="G642" t="inlineStr">
        <is>
          <t>Why Does Hermione Google Autofill | Harry Potter Film Theory</t>
        </is>
      </c>
      <c r="H642" s="41" t="n">
        <v>0.01398148148148148</v>
      </c>
      <c r="I642" s="42" t="n">
        <v>156935</v>
      </c>
      <c r="J642" s="42" t="n">
        <v>6319</v>
      </c>
      <c r="K642" s="42" t="n">
        <v>570</v>
      </c>
      <c r="L642" s="43" t="n"/>
      <c r="M642" s="44" t="n"/>
      <c r="N642" s="44" t="inlineStr">
        <is>
          <t>UCKZo4N0lVPccBkSiuyVh4yg</t>
        </is>
      </c>
      <c r="O642" s="45" t="n">
        <v>45427.88194444445</v>
      </c>
      <c r="P642" s="46" t="n">
        <v>45427</v>
      </c>
      <c r="Q642" s="44" t="n">
        <v>2630</v>
      </c>
      <c r="R642" s="44" t="inlineStr">
        <is>
          <t>No Video ID yet</t>
        </is>
      </c>
      <c r="S642" s="46" t="n"/>
      <c r="T642" s="46" t="n"/>
      <c r="U642" s="44" t="n"/>
      <c r="V642" s="44">
        <f>IF(AND(P642&gt;=Calendar!$K$2,P642&lt;EDATE(Calendar!$K$2,1),OR(Calendar!$K$4="*",N642=Calendar!$K$4)),P642*100+COUNTIFS($P$6:$P$3271,P642,$Q$6:$Q$3271,"&lt;="&amp;Q642,$N$6:$N$3271,Calendar!$K$4),"")</f>
        <v/>
      </c>
      <c r="W642" s="44">
        <f>IF(AND(B642=Queue!$C$4,OR(Queue!$K$4="*",N642=Queue!$K$4)),Q642,"")</f>
        <v/>
      </c>
    </row>
    <row r="643">
      <c r="A643" s="35">
        <f>IF(M643="","",HYPERLINK("https://www.youtube.com/watch?v="&amp;M643,"▶"))</f>
        <v/>
      </c>
      <c r="B643" s="36">
        <f>IF(C643&lt;&gt;"",C643,IF(P643&lt;=IFERROR(INDEX(tblChannels[Watched Through],MATCH(N643,tblChannels[Channel ID],0)),0),"Watched","Unwatched"))</f>
        <v/>
      </c>
      <c r="C643" s="37" t="n"/>
      <c r="D643" s="38" t="n"/>
      <c r="E643" s="39" t="n">
        <v>45424.41666666666</v>
      </c>
      <c r="F643" s="48" t="inlineStr">
        <is>
          <t>Through The Griffin Door</t>
        </is>
      </c>
      <c r="G643" t="inlineStr">
        <is>
          <t>Chapter 17: The Heir of Slytherin | Chamber of Secrets</t>
        </is>
      </c>
      <c r="H643" s="41" t="n">
        <v>0.05975694444444445</v>
      </c>
      <c r="I643" s="42" t="n">
        <v>75854</v>
      </c>
      <c r="J643" s="42" t="n">
        <v>2175</v>
      </c>
      <c r="K643" s="42" t="n">
        <v>696</v>
      </c>
      <c r="L643" s="43" t="n"/>
      <c r="M643" s="44" t="n"/>
      <c r="N643" s="44" t="inlineStr">
        <is>
          <t>UCEscP6ETYXWSSvsNrDHekMQ</t>
        </is>
      </c>
      <c r="O643" s="45" t="n">
        <v>45424.58333333334</v>
      </c>
      <c r="P643" s="46" t="n">
        <v>45424</v>
      </c>
      <c r="Q643" s="44" t="n">
        <v>2629</v>
      </c>
      <c r="R643" s="44" t="inlineStr">
        <is>
          <t>No Video ID yet</t>
        </is>
      </c>
      <c r="S643" s="46" t="n"/>
      <c r="T643" s="46" t="n"/>
      <c r="U643" s="44" t="n"/>
      <c r="V643" s="44">
        <f>IF(AND(P643&gt;=Calendar!$K$2,P643&lt;EDATE(Calendar!$K$2,1),OR(Calendar!$K$4="*",N643=Calendar!$K$4)),P643*100+COUNTIFS($P$6:$P$3271,P643,$Q$6:$Q$3271,"&lt;="&amp;Q643,$N$6:$N$3271,Calendar!$K$4),"")</f>
        <v/>
      </c>
      <c r="W643" s="44">
        <f>IF(AND(B643=Queue!$C$4,OR(Queue!$K$4="*",N643=Queue!$K$4)),Q643,"")</f>
        <v/>
      </c>
    </row>
    <row r="644">
      <c r="A644" s="35">
        <f>IF(M644="","",HYPERLINK("https://www.youtube.com/watch?v="&amp;M644,"▶"))</f>
        <v/>
      </c>
      <c r="B644" s="36">
        <f>IF(C644&lt;&gt;"",C644,IF(P644&lt;=IFERROR(INDEX(tblChannels[Watched Through],MATCH(N644,tblChannels[Channel ID],0)),0),"Watched","Unwatched"))</f>
        <v/>
      </c>
      <c r="C644" s="37" t="n"/>
      <c r="D644" s="38" t="n"/>
      <c r="E644" s="39" t="n">
        <v>45422.77083333334</v>
      </c>
      <c r="F644" s="49" t="inlineStr">
        <is>
          <t>Super Carlin Gaming</t>
        </is>
      </c>
      <c r="G644" t="inlineStr">
        <is>
          <t>The Multiplier Hits Again | Carlin Brothers Box Breakers S11E5</t>
        </is>
      </c>
      <c r="H644" s="41" t="n">
        <v>0.03430555555555555</v>
      </c>
      <c r="I644" s="42" t="n">
        <v>1375</v>
      </c>
      <c r="J644" s="42" t="n">
        <v>69</v>
      </c>
      <c r="K644" s="42" t="n">
        <v>16</v>
      </c>
      <c r="L644" s="43" t="n"/>
      <c r="M644" s="44" t="n"/>
      <c r="N644" s="44" t="inlineStr">
        <is>
          <t>UCor_9jRnNNZVzTuQ92PKsaQ</t>
        </is>
      </c>
      <c r="O644" s="45" t="n">
        <v>45422.9375</v>
      </c>
      <c r="P644" s="46" t="n">
        <v>45422</v>
      </c>
      <c r="Q644" s="44" t="n">
        <v>2628</v>
      </c>
      <c r="R644" s="44" t="inlineStr">
        <is>
          <t>No Video ID yet</t>
        </is>
      </c>
      <c r="S644" s="46" t="n"/>
      <c r="T644" s="46" t="n"/>
      <c r="U644" s="44" t="n"/>
      <c r="V644" s="44">
        <f>IF(AND(P644&gt;=Calendar!$K$2,P644&lt;EDATE(Calendar!$K$2,1),OR(Calendar!$K$4="*",N644=Calendar!$K$4)),P644*100+COUNTIFS($P$6:$P$3271,P644,$Q$6:$Q$3271,"&lt;="&amp;Q644,$N$6:$N$3271,Calendar!$K$4),"")</f>
        <v/>
      </c>
      <c r="W644" s="44">
        <f>IF(AND(B644=Queue!$C$4,OR(Queue!$K$4="*",N644=Queue!$K$4)),Q644,"")</f>
        <v/>
      </c>
    </row>
    <row r="645">
      <c r="A645" s="35">
        <f>IF(M645="","",HYPERLINK("https://www.youtube.com/watch?v="&amp;M645,"▶"))</f>
        <v/>
      </c>
      <c r="B645" s="36">
        <f>IF(C645&lt;&gt;"",C645,IF(P645&lt;=IFERROR(INDEX(tblChannels[Watched Through],MATCH(N645,tblChannels[Channel ID],0)),0),"Watched","Unwatched"))</f>
        <v/>
      </c>
      <c r="C645" s="37" t="n"/>
      <c r="D645" s="38" t="n"/>
      <c r="E645" s="39" t="n">
        <v>45422.65625</v>
      </c>
      <c r="F645" s="47" t="inlineStr">
        <is>
          <t>Super Carlin Brothers</t>
        </is>
      </c>
      <c r="G645" t="inlineStr">
        <is>
          <t>The Basilisk's Secret Power.. | Harry Potter #harrypotter</t>
        </is>
      </c>
      <c r="H645" s="41" t="n">
        <v>0.0006944444444444445</v>
      </c>
      <c r="I645" s="42" t="n">
        <v>115455</v>
      </c>
      <c r="J645" s="42" t="n">
        <v>6353</v>
      </c>
      <c r="K645" s="42" t="n">
        <v>183</v>
      </c>
      <c r="L645" s="43" t="n"/>
      <c r="M645" s="44" t="n"/>
      <c r="N645" s="44" t="inlineStr">
        <is>
          <t>UCKZo4N0lVPccBkSiuyVh4yg</t>
        </is>
      </c>
      <c r="O645" s="45" t="n">
        <v>45422.82291666666</v>
      </c>
      <c r="P645" s="46" t="n">
        <v>45422</v>
      </c>
      <c r="Q645" s="44" t="n">
        <v>2627</v>
      </c>
      <c r="R645" s="44" t="inlineStr">
        <is>
          <t>No Video ID yet</t>
        </is>
      </c>
      <c r="S645" s="46" t="n"/>
      <c r="T645" s="46" t="n"/>
      <c r="U645" s="44" t="n"/>
      <c r="V645" s="44">
        <f>IF(AND(P645&gt;=Calendar!$K$2,P645&lt;EDATE(Calendar!$K$2,1),OR(Calendar!$K$4="*",N645=Calendar!$K$4)),P645*100+COUNTIFS($P$6:$P$3271,P645,$Q$6:$Q$3271,"&lt;="&amp;Q645,$N$6:$N$3271,Calendar!$K$4),"")</f>
        <v/>
      </c>
      <c r="W645" s="44">
        <f>IF(AND(B645=Queue!$C$4,OR(Queue!$K$4="*",N645=Queue!$K$4)),Q645,"")</f>
        <v/>
      </c>
    </row>
    <row r="646">
      <c r="A646" s="35">
        <f>IF(M646="","",HYPERLINK("https://www.youtube.com/watch?v="&amp;M646,"▶"))</f>
        <v/>
      </c>
      <c r="B646" s="36">
        <f>IF(C646&lt;&gt;"",C646,IF(P646&lt;=IFERROR(INDEX(tblChannels[Watched Through],MATCH(N646,tblChannels[Channel ID],0)),0),"Watched","Unwatched"))</f>
        <v/>
      </c>
      <c r="C646" s="37" t="n"/>
      <c r="D646" s="38" t="n"/>
      <c r="E646" s="39" t="n">
        <v>45422.625</v>
      </c>
      <c r="F646" s="40" t="inlineStr">
        <is>
          <t>Popcorn Culture</t>
        </is>
      </c>
      <c r="G646" t="inlineStr">
        <is>
          <t>Pancakes VS Waffles | Popcorn Culture</t>
        </is>
      </c>
      <c r="H646" s="41" t="n">
        <v>0.002766203703703704</v>
      </c>
      <c r="I646" s="42" t="n">
        <v>2208</v>
      </c>
      <c r="J646" s="42" t="n">
        <v>282</v>
      </c>
      <c r="K646" s="42" t="n">
        <v>65</v>
      </c>
      <c r="L646" s="43" t="n"/>
      <c r="M646" s="44" t="n"/>
      <c r="N646" s="44" t="inlineStr">
        <is>
          <t>UCHfIbq9thHPC8yrKjAdJgDA</t>
        </is>
      </c>
      <c r="O646" s="45" t="n">
        <v>45422.79166666666</v>
      </c>
      <c r="P646" s="46" t="n">
        <v>45422</v>
      </c>
      <c r="Q646" s="44" t="n">
        <v>2626</v>
      </c>
      <c r="R646" s="44" t="inlineStr">
        <is>
          <t>No Video ID yet</t>
        </is>
      </c>
      <c r="S646" s="46" t="n"/>
      <c r="T646" s="46" t="n"/>
      <c r="U646" s="44" t="n"/>
      <c r="V646" s="44">
        <f>IF(AND(P646&gt;=Calendar!$K$2,P646&lt;EDATE(Calendar!$K$2,1),OR(Calendar!$K$4="*",N646=Calendar!$K$4)),P646*100+COUNTIFS($P$6:$P$3271,P646,$Q$6:$Q$3271,"&lt;="&amp;Q646,$N$6:$N$3271,Calendar!$K$4),"")</f>
        <v/>
      </c>
      <c r="W646" s="44">
        <f>IF(AND(B646=Queue!$C$4,OR(Queue!$K$4="*",N646=Queue!$K$4)),Q646,"")</f>
        <v/>
      </c>
    </row>
    <row r="647">
      <c r="A647" s="35">
        <f>IF(M647="","",HYPERLINK("https://www.youtube.com/watch?v="&amp;M647,"▶"))</f>
        <v/>
      </c>
      <c r="B647" s="36">
        <f>IF(C647&lt;&gt;"",C647,IF(P647&lt;=IFERROR(INDEX(tblChannels[Watched Through],MATCH(N647,tblChannels[Channel ID],0)),0),"Watched","Unwatched"))</f>
        <v/>
      </c>
      <c r="C647" s="37" t="n"/>
      <c r="D647" s="38" t="n"/>
      <c r="E647" s="39" t="n">
        <v>45422.57916666667</v>
      </c>
      <c r="F647" s="47" t="inlineStr">
        <is>
          <t>Super Carlin Brothers</t>
        </is>
      </c>
      <c r="G647" t="inlineStr">
        <is>
          <t>Voldemort’s HUGE Mistake | Harry Potter Film Theory</t>
        </is>
      </c>
      <c r="H647" s="41" t="n">
        <v>0.01054398148148148</v>
      </c>
      <c r="I647" s="42" t="n">
        <v>191841</v>
      </c>
      <c r="J647" s="42" t="n">
        <v>7521</v>
      </c>
      <c r="K647" s="42" t="n">
        <v>864</v>
      </c>
      <c r="L647" s="43" t="n"/>
      <c r="M647" s="44" t="n"/>
      <c r="N647" s="44" t="inlineStr">
        <is>
          <t>UCKZo4N0lVPccBkSiuyVh4yg</t>
        </is>
      </c>
      <c r="O647" s="45" t="n">
        <v>45422.74583333333</v>
      </c>
      <c r="P647" s="46" t="n">
        <v>45422</v>
      </c>
      <c r="Q647" s="44" t="n">
        <v>2625</v>
      </c>
      <c r="R647" s="44" t="inlineStr">
        <is>
          <t>No Video ID yet</t>
        </is>
      </c>
      <c r="S647" s="46" t="n"/>
      <c r="T647" s="46" t="n"/>
      <c r="U647" s="44" t="n"/>
      <c r="V647" s="44">
        <f>IF(AND(P647&gt;=Calendar!$K$2,P647&lt;EDATE(Calendar!$K$2,1),OR(Calendar!$K$4="*",N647=Calendar!$K$4)),P647*100+COUNTIFS($P$6:$P$3271,P647,$Q$6:$Q$3271,"&lt;="&amp;Q647,$N$6:$N$3271,Calendar!$K$4),"")</f>
        <v/>
      </c>
      <c r="W647" s="44">
        <f>IF(AND(B647=Queue!$C$4,OR(Queue!$K$4="*",N647=Queue!$K$4)),Q647,"")</f>
        <v/>
      </c>
    </row>
    <row r="648">
      <c r="A648" s="35">
        <f>IF(M648="","",HYPERLINK("https://www.youtube.com/watch?v="&amp;M648,"▶"))</f>
        <v/>
      </c>
      <c r="B648" s="36">
        <f>IF(C648&lt;&gt;"",C648,IF(P648&lt;=IFERROR(INDEX(tblChannels[Watched Through],MATCH(N648,tblChannels[Channel ID],0)),0),"Watched","Unwatched"))</f>
        <v/>
      </c>
      <c r="C648" s="37" t="n"/>
      <c r="D648" s="38" t="n"/>
      <c r="E648" s="39" t="n">
        <v>45422.41666666666</v>
      </c>
      <c r="F648" s="40" t="inlineStr">
        <is>
          <t>Popcorn Culture</t>
        </is>
      </c>
      <c r="G648" t="inlineStr">
        <is>
          <t>Ben Took Off His Pants in a Bar | Popcorn Culture</t>
        </is>
      </c>
      <c r="H648" s="41" t="n">
        <v>0.05171296296296296</v>
      </c>
      <c r="I648" s="42" t="n">
        <v>3870</v>
      </c>
      <c r="J648" s="42" t="n">
        <v>193</v>
      </c>
      <c r="K648" s="42" t="n">
        <v>21</v>
      </c>
      <c r="L648" s="43" t="n"/>
      <c r="M648" s="44" t="n"/>
      <c r="N648" s="44" t="inlineStr">
        <is>
          <t>UCHfIbq9thHPC8yrKjAdJgDA</t>
        </is>
      </c>
      <c r="O648" s="45" t="n">
        <v>45422.58333333334</v>
      </c>
      <c r="P648" s="46" t="n">
        <v>45422</v>
      </c>
      <c r="Q648" s="44" t="n">
        <v>2624</v>
      </c>
      <c r="R648" s="44" t="inlineStr">
        <is>
          <t>No Video ID yet</t>
        </is>
      </c>
      <c r="S648" s="46" t="n"/>
      <c r="T648" s="46" t="n"/>
      <c r="U648" s="44" t="n"/>
      <c r="V648" s="44">
        <f>IF(AND(P648&gt;=Calendar!$K$2,P648&lt;EDATE(Calendar!$K$2,1),OR(Calendar!$K$4="*",N648=Calendar!$K$4)),P648*100+COUNTIFS($P$6:$P$3271,P648,$Q$6:$Q$3271,"&lt;="&amp;Q648,$N$6:$N$3271,Calendar!$K$4),"")</f>
        <v/>
      </c>
      <c r="W648" s="44">
        <f>IF(AND(B648=Queue!$C$4,OR(Queue!$K$4="*",N648=Queue!$K$4)),Q648,"")</f>
        <v/>
      </c>
    </row>
    <row r="649">
      <c r="A649" s="35">
        <f>IF(M649="","",HYPERLINK("https://www.youtube.com/watch?v="&amp;M649,"▶"))</f>
        <v/>
      </c>
      <c r="B649" s="36">
        <f>IF(C649&lt;&gt;"",C649,IF(P649&lt;=IFERROR(INDEX(tblChannels[Watched Through],MATCH(N649,tblChannels[Channel ID],0)),0),"Watched","Unwatched"))</f>
        <v/>
      </c>
      <c r="C649" s="37" t="n"/>
      <c r="D649" s="38" t="n"/>
      <c r="E649" s="39" t="n">
        <v>45420.72361111111</v>
      </c>
      <c r="F649" s="47" t="inlineStr">
        <is>
          <t>Super Carlin Brothers</t>
        </is>
      </c>
      <c r="G649" t="inlineStr">
        <is>
          <t>J vs Ben: ULTIMATE Dursley Harry Potter TRIVIA Quiz</t>
        </is>
      </c>
      <c r="H649" s="41" t="n">
        <v>0.02761574074074074</v>
      </c>
      <c r="I649" s="42" t="n">
        <v>154427</v>
      </c>
      <c r="J649" s="42" t="n">
        <v>4975</v>
      </c>
      <c r="K649" s="42" t="n">
        <v>540</v>
      </c>
      <c r="L649" s="43" t="n"/>
      <c r="M649" s="44" t="n"/>
      <c r="N649" s="44" t="inlineStr">
        <is>
          <t>UCKZo4N0lVPccBkSiuyVh4yg</t>
        </is>
      </c>
      <c r="O649" s="45" t="n">
        <v>45420.89027777778</v>
      </c>
      <c r="P649" s="46" t="n">
        <v>45420</v>
      </c>
      <c r="Q649" s="44" t="n">
        <v>2623</v>
      </c>
      <c r="R649" s="44" t="inlineStr">
        <is>
          <t>No Video ID yet</t>
        </is>
      </c>
      <c r="S649" s="46" t="n"/>
      <c r="T649" s="46" t="n"/>
      <c r="U649" s="44" t="n"/>
      <c r="V649" s="44">
        <f>IF(AND(P649&gt;=Calendar!$K$2,P649&lt;EDATE(Calendar!$K$2,1),OR(Calendar!$K$4="*",N649=Calendar!$K$4)),P649*100+COUNTIFS($P$6:$P$3271,P649,$Q$6:$Q$3271,"&lt;="&amp;Q649,$N$6:$N$3271,Calendar!$K$4),"")</f>
        <v/>
      </c>
      <c r="W649" s="44">
        <f>IF(AND(B649=Queue!$C$4,OR(Queue!$K$4="*",N649=Queue!$K$4)),Q649,"")</f>
        <v/>
      </c>
    </row>
    <row r="650">
      <c r="A650" s="35">
        <f>IF(M650="","",HYPERLINK("https://www.youtube.com/watch?v="&amp;M650,"▶"))</f>
        <v/>
      </c>
      <c r="B650" s="36">
        <f>IF(C650&lt;&gt;"",C650,IF(P650&lt;=IFERROR(INDEX(tblChannels[Watched Through],MATCH(N650,tblChannels[Channel ID],0)),0),"Watched","Unwatched"))</f>
        <v/>
      </c>
      <c r="C650" s="37" t="n"/>
      <c r="D650" s="38" t="n"/>
      <c r="E650" s="39" t="n">
        <v>45417.41666666666</v>
      </c>
      <c r="F650" s="48" t="inlineStr">
        <is>
          <t>Through The Griffin Door</t>
        </is>
      </c>
      <c r="G650" t="inlineStr">
        <is>
          <t>Chapter 16: The Chamber of Secrets | Chamber of Secrets</t>
        </is>
      </c>
      <c r="H650" s="41" t="n">
        <v>0.06260416666666667</v>
      </c>
      <c r="I650" s="42" t="n">
        <v>75800</v>
      </c>
      <c r="J650" s="42" t="n">
        <v>2111</v>
      </c>
      <c r="K650" s="42" t="n">
        <v>583</v>
      </c>
      <c r="L650" s="43" t="n"/>
      <c r="M650" s="44" t="n"/>
      <c r="N650" s="44" t="inlineStr">
        <is>
          <t>UCEscP6ETYXWSSvsNrDHekMQ</t>
        </is>
      </c>
      <c r="O650" s="45" t="n">
        <v>45417.58333333334</v>
      </c>
      <c r="P650" s="46" t="n">
        <v>45417</v>
      </c>
      <c r="Q650" s="44" t="n">
        <v>2622</v>
      </c>
      <c r="R650" s="44" t="inlineStr">
        <is>
          <t>No Video ID yet</t>
        </is>
      </c>
      <c r="S650" s="46" t="n"/>
      <c r="T650" s="46" t="n"/>
      <c r="U650" s="44" t="n"/>
      <c r="V650" s="44">
        <f>IF(AND(P650&gt;=Calendar!$K$2,P650&lt;EDATE(Calendar!$K$2,1),OR(Calendar!$K$4="*",N650=Calendar!$K$4)),P650*100+COUNTIFS($P$6:$P$3271,P650,$Q$6:$Q$3271,"&lt;="&amp;Q650,$N$6:$N$3271,Calendar!$K$4),"")</f>
        <v/>
      </c>
      <c r="W650" s="44">
        <f>IF(AND(B650=Queue!$C$4,OR(Queue!$K$4="*",N650=Queue!$K$4)),Q650,"")</f>
        <v/>
      </c>
    </row>
    <row r="651">
      <c r="A651" s="35">
        <f>IF(M651="","",HYPERLINK("https://www.youtube.com/watch?v="&amp;M651,"▶"))</f>
        <v/>
      </c>
      <c r="B651" s="36">
        <f>IF(C651&lt;&gt;"",C651,IF(P651&lt;=IFERROR(INDEX(tblChannels[Watched Through],MATCH(N651,tblChannels[Channel ID],0)),0),"Watched","Unwatched"))</f>
        <v/>
      </c>
      <c r="C651" s="37" t="n"/>
      <c r="D651" s="38" t="n"/>
      <c r="E651" s="39" t="n">
        <v>45416.41666666666</v>
      </c>
      <c r="F651" s="47" t="inlineStr">
        <is>
          <t>Super Carlin Brothers</t>
        </is>
      </c>
      <c r="G651" t="inlineStr">
        <is>
          <t>Through the Griffin Door Supercut: Chamber of Secrets Chapters 13-15</t>
        </is>
      </c>
      <c r="H651" s="41" t="n">
        <v>0.1643981481481482</v>
      </c>
      <c r="I651" s="42" t="n">
        <v>106446</v>
      </c>
      <c r="J651" s="42" t="n">
        <v>768</v>
      </c>
      <c r="K651" s="42" t="n">
        <v>138</v>
      </c>
      <c r="L651" s="43" t="n"/>
      <c r="M651" s="44" t="n"/>
      <c r="N651" s="44" t="inlineStr">
        <is>
          <t>UCKZo4N0lVPccBkSiuyVh4yg</t>
        </is>
      </c>
      <c r="O651" s="45" t="n">
        <v>45416.58333333334</v>
      </c>
      <c r="P651" s="46" t="n">
        <v>45416</v>
      </c>
      <c r="Q651" s="44" t="n">
        <v>2621</v>
      </c>
      <c r="R651" s="44" t="inlineStr">
        <is>
          <t>No Video ID yet</t>
        </is>
      </c>
      <c r="S651" s="46" t="n"/>
      <c r="T651" s="46" t="n"/>
      <c r="U651" s="44" t="n"/>
      <c r="V651" s="44">
        <f>IF(AND(P651&gt;=Calendar!$K$2,P651&lt;EDATE(Calendar!$K$2,1),OR(Calendar!$K$4="*",N651=Calendar!$K$4)),P651*100+COUNTIFS($P$6:$P$3271,P651,$Q$6:$Q$3271,"&lt;="&amp;Q651,$N$6:$N$3271,Calendar!$K$4),"")</f>
        <v/>
      </c>
      <c r="W651" s="44">
        <f>IF(AND(B651=Queue!$C$4,OR(Queue!$K$4="*",N651=Queue!$K$4)),Q651,"")</f>
        <v/>
      </c>
    </row>
    <row r="652">
      <c r="A652" s="35">
        <f>IF(M652="","",HYPERLINK("https://www.youtube.com/watch?v="&amp;M652,"▶"))</f>
        <v/>
      </c>
      <c r="B652" s="36">
        <f>IF(C652&lt;&gt;"",C652,IF(P652&lt;=IFERROR(INDEX(tblChannels[Watched Through],MATCH(N652,tblChannels[Channel ID],0)),0),"Watched","Unwatched"))</f>
        <v/>
      </c>
      <c r="C652" s="37" t="n"/>
      <c r="D652" s="38" t="n"/>
      <c r="E652" s="39" t="n">
        <v>45415.64583333334</v>
      </c>
      <c r="F652" s="47" t="inlineStr">
        <is>
          <t>Super Carlin Brothers</t>
        </is>
      </c>
      <c r="G652" t="inlineStr">
        <is>
          <t>How Voldemort ACTUALLY Found The Chamber of Secrets | Harry Potter Film Theory</t>
        </is>
      </c>
      <c r="H652" s="41" t="n">
        <v>0.009907407407407408</v>
      </c>
      <c r="I652" s="42" t="n">
        <v>299841</v>
      </c>
      <c r="J652" s="42" t="n">
        <v>9834</v>
      </c>
      <c r="K652" s="42" t="n">
        <v>761</v>
      </c>
      <c r="L652" s="43" t="n"/>
      <c r="M652" s="44" t="n"/>
      <c r="N652" s="44" t="inlineStr">
        <is>
          <t>UCKZo4N0lVPccBkSiuyVh4yg</t>
        </is>
      </c>
      <c r="O652" s="45" t="n">
        <v>45415.8125</v>
      </c>
      <c r="P652" s="46" t="n">
        <v>45415</v>
      </c>
      <c r="Q652" s="44" t="n">
        <v>2620</v>
      </c>
      <c r="R652" s="44" t="inlineStr">
        <is>
          <t>No Video ID yet</t>
        </is>
      </c>
      <c r="S652" s="46" t="n"/>
      <c r="T652" s="46" t="n"/>
      <c r="U652" s="44" t="n"/>
      <c r="V652" s="44">
        <f>IF(AND(P652&gt;=Calendar!$K$2,P652&lt;EDATE(Calendar!$K$2,1),OR(Calendar!$K$4="*",N652=Calendar!$K$4)),P652*100+COUNTIFS($P$6:$P$3271,P652,$Q$6:$Q$3271,"&lt;="&amp;Q652,$N$6:$N$3271,Calendar!$K$4),"")</f>
        <v/>
      </c>
      <c r="W652" s="44">
        <f>IF(AND(B652=Queue!$C$4,OR(Queue!$K$4="*",N652=Queue!$K$4)),Q652,"")</f>
        <v/>
      </c>
    </row>
    <row r="653">
      <c r="A653" s="35">
        <f>IF(M653="","",HYPERLINK("https://www.youtube.com/watch?v="&amp;M653,"▶"))</f>
        <v/>
      </c>
      <c r="B653" s="36">
        <f>IF(C653&lt;&gt;"",C653,IF(P653&lt;=IFERROR(INDEX(tblChannels[Watched Through],MATCH(N653,tblChannels[Channel ID],0)),0),"Watched","Unwatched"))</f>
        <v/>
      </c>
      <c r="C653" s="37" t="n"/>
      <c r="D653" s="38" t="n"/>
      <c r="E653" s="39" t="n">
        <v>45415.41666666666</v>
      </c>
      <c r="F653" s="40" t="inlineStr">
        <is>
          <t>Popcorn Culture</t>
        </is>
      </c>
      <c r="G653" t="inlineStr">
        <is>
          <t>Make J Grow A Mustache in May! | Popcorn Culture</t>
        </is>
      </c>
      <c r="H653" s="41" t="n">
        <v>0.04682870370370371</v>
      </c>
      <c r="I653" s="42" t="n">
        <v>3722</v>
      </c>
      <c r="J653" s="42" t="n">
        <v>185</v>
      </c>
      <c r="K653" s="42" t="n">
        <v>30</v>
      </c>
      <c r="L653" s="43" t="n"/>
      <c r="M653" s="44" t="n"/>
      <c r="N653" s="44" t="inlineStr">
        <is>
          <t>UCHfIbq9thHPC8yrKjAdJgDA</t>
        </is>
      </c>
      <c r="O653" s="45" t="n">
        <v>45415.58333333334</v>
      </c>
      <c r="P653" s="46" t="n">
        <v>45415</v>
      </c>
      <c r="Q653" s="44" t="n">
        <v>2619</v>
      </c>
      <c r="R653" s="44" t="inlineStr">
        <is>
          <t>No Video ID yet</t>
        </is>
      </c>
      <c r="S653" s="46" t="n"/>
      <c r="T653" s="46" t="n"/>
      <c r="U653" s="44" t="n"/>
      <c r="V653" s="44">
        <f>IF(AND(P653&gt;=Calendar!$K$2,P653&lt;EDATE(Calendar!$K$2,1),OR(Calendar!$K$4="*",N653=Calendar!$K$4)),P653*100+COUNTIFS($P$6:$P$3271,P653,$Q$6:$Q$3271,"&lt;="&amp;Q653,$N$6:$N$3271,Calendar!$K$4),"")</f>
        <v/>
      </c>
      <c r="W653" s="44">
        <f>IF(AND(B653=Queue!$C$4,OR(Queue!$K$4="*",N653=Queue!$K$4)),Q653,"")</f>
        <v/>
      </c>
    </row>
    <row r="654">
      <c r="A654" s="35">
        <f>IF(M654="","",HYPERLINK("https://www.youtube.com/watch?v="&amp;M654,"▶"))</f>
        <v/>
      </c>
      <c r="B654" s="36">
        <f>IF(C654&lt;&gt;"",C654,IF(P654&lt;=IFERROR(INDEX(tblChannels[Watched Through],MATCH(N654,tblChannels[Channel ID],0)),0),"Watched","Unwatched"))</f>
        <v/>
      </c>
      <c r="C654" s="37" t="n"/>
      <c r="D654" s="38" t="n"/>
      <c r="E654" s="39" t="n">
        <v>45413.68541666667</v>
      </c>
      <c r="F654" s="47" t="inlineStr">
        <is>
          <t>Super Carlin Brothers</t>
        </is>
      </c>
      <c r="G654" t="inlineStr">
        <is>
          <t>What Dumbledore ACTUALLY Taught Harry | Harry Potter Film Theory</t>
        </is>
      </c>
      <c r="H654" s="41" t="n">
        <v>0.01230324074074074</v>
      </c>
      <c r="I654" s="42" t="n">
        <v>153025</v>
      </c>
      <c r="J654" s="42" t="n">
        <v>6907</v>
      </c>
      <c r="K654" s="42" t="n">
        <v>462</v>
      </c>
      <c r="L654" s="43" t="n"/>
      <c r="M654" s="44" t="n"/>
      <c r="N654" s="44" t="inlineStr">
        <is>
          <t>UCKZo4N0lVPccBkSiuyVh4yg</t>
        </is>
      </c>
      <c r="O654" s="45" t="n">
        <v>45413.85208333333</v>
      </c>
      <c r="P654" s="46" t="n">
        <v>45413</v>
      </c>
      <c r="Q654" s="44" t="n">
        <v>2618</v>
      </c>
      <c r="R654" s="44" t="inlineStr">
        <is>
          <t>No Video ID yet</t>
        </is>
      </c>
      <c r="S654" s="46" t="n"/>
      <c r="T654" s="46" t="n"/>
      <c r="U654" s="44" t="n"/>
      <c r="V654" s="44">
        <f>IF(AND(P654&gt;=Calendar!$K$2,P654&lt;EDATE(Calendar!$K$2,1),OR(Calendar!$K$4="*",N654=Calendar!$K$4)),P654*100+COUNTIFS($P$6:$P$3271,P654,$Q$6:$Q$3271,"&lt;="&amp;Q654,$N$6:$N$3271,Calendar!$K$4),"")</f>
        <v/>
      </c>
      <c r="W654" s="44">
        <f>IF(AND(B654=Queue!$C$4,OR(Queue!$K$4="*",N654=Queue!$K$4)),Q654,"")</f>
        <v/>
      </c>
    </row>
    <row r="655">
      <c r="A655" s="35">
        <f>IF(M655="","",HYPERLINK("https://www.youtube.com/watch?v="&amp;M655,"▶"))</f>
        <v/>
      </c>
      <c r="B655" s="36">
        <f>IF(C655&lt;&gt;"",C655,IF(P655&lt;=IFERROR(INDEX(tblChannels[Watched Through],MATCH(N655,tblChannels[Channel ID],0)),0),"Watched","Unwatched"))</f>
        <v/>
      </c>
      <c r="C655" s="37" t="n"/>
      <c r="D655" s="38" t="n"/>
      <c r="E655" s="39" t="n">
        <v>45412.77083333334</v>
      </c>
      <c r="F655" s="49" t="inlineStr">
        <is>
          <t>Super Carlin Gaming</t>
        </is>
      </c>
      <c r="G655" t="inlineStr">
        <is>
          <t>New Challenger Approaches | Carlin Brothers Box Breakers S11E4</t>
        </is>
      </c>
      <c r="H655" s="41" t="n">
        <v>0.02688657407407407</v>
      </c>
      <c r="I655" s="42" t="n">
        <v>1234</v>
      </c>
      <c r="J655" s="42" t="n">
        <v>69</v>
      </c>
      <c r="K655" s="42" t="n">
        <v>11</v>
      </c>
      <c r="L655" s="43" t="n"/>
      <c r="M655" s="44" t="n"/>
      <c r="N655" s="44" t="inlineStr">
        <is>
          <t>UCor_9jRnNNZVzTuQ92PKsaQ</t>
        </is>
      </c>
      <c r="O655" s="45" t="n">
        <v>45412.9375</v>
      </c>
      <c r="P655" s="46" t="n">
        <v>45412</v>
      </c>
      <c r="Q655" s="44" t="n">
        <v>2617</v>
      </c>
      <c r="R655" s="44" t="inlineStr">
        <is>
          <t>No Video ID yet</t>
        </is>
      </c>
      <c r="S655" s="46" t="n"/>
      <c r="T655" s="46" t="n"/>
      <c r="U655" s="44" t="n"/>
      <c r="V655" s="44">
        <f>IF(AND(P655&gt;=Calendar!$K$2,P655&lt;EDATE(Calendar!$K$2,1),OR(Calendar!$K$4="*",N655=Calendar!$K$4)),P655*100+COUNTIFS($P$6:$P$3271,P655,$Q$6:$Q$3271,"&lt;="&amp;Q655,$N$6:$N$3271,Calendar!$K$4),"")</f>
        <v/>
      </c>
      <c r="W655" s="44">
        <f>IF(AND(B655=Queue!$C$4,OR(Queue!$K$4="*",N655=Queue!$K$4)),Q655,"")</f>
        <v/>
      </c>
    </row>
    <row r="656">
      <c r="A656" s="35">
        <f>IF(M656="","",HYPERLINK("https://www.youtube.com/watch?v="&amp;M656,"▶"))</f>
        <v/>
      </c>
      <c r="B656" s="36">
        <f>IF(C656&lt;&gt;"",C656,IF(P656&lt;=IFERROR(INDEX(tblChannels[Watched Through],MATCH(N656,tblChannels[Channel ID],0)),0),"Watched","Unwatched"))</f>
        <v/>
      </c>
      <c r="C656" s="37" t="n"/>
      <c r="D656" s="38" t="n"/>
      <c r="E656" s="39" t="n">
        <v>45410.41666666666</v>
      </c>
      <c r="F656" s="48" t="inlineStr">
        <is>
          <t>Through The Griffin Door</t>
        </is>
      </c>
      <c r="G656" t="inlineStr">
        <is>
          <t>Chapter 15: Aragog | Chamber of Secrets</t>
        </is>
      </c>
      <c r="H656" s="41" t="n">
        <v>0.05177083333333334</v>
      </c>
      <c r="I656" s="42" t="n">
        <v>69529</v>
      </c>
      <c r="J656" s="42" t="n">
        <v>1991</v>
      </c>
      <c r="K656" s="42" t="n">
        <v>422</v>
      </c>
      <c r="L656" s="43" t="n"/>
      <c r="M656" s="44" t="n"/>
      <c r="N656" s="44" t="inlineStr">
        <is>
          <t>UCEscP6ETYXWSSvsNrDHekMQ</t>
        </is>
      </c>
      <c r="O656" s="45" t="n">
        <v>45410.58333333334</v>
      </c>
      <c r="P656" s="46" t="n">
        <v>45410</v>
      </c>
      <c r="Q656" s="44" t="n">
        <v>2616</v>
      </c>
      <c r="R656" s="44" t="inlineStr">
        <is>
          <t>No Video ID yet</t>
        </is>
      </c>
      <c r="S656" s="46" t="n"/>
      <c r="T656" s="46" t="n"/>
      <c r="U656" s="44" t="n"/>
      <c r="V656" s="44">
        <f>IF(AND(P656&gt;=Calendar!$K$2,P656&lt;EDATE(Calendar!$K$2,1),OR(Calendar!$K$4="*",N656=Calendar!$K$4)),P656*100+COUNTIFS($P$6:$P$3271,P656,$Q$6:$Q$3271,"&lt;="&amp;Q656,$N$6:$N$3271,Calendar!$K$4),"")</f>
        <v/>
      </c>
      <c r="W656" s="44">
        <f>IF(AND(B656=Queue!$C$4,OR(Queue!$K$4="*",N656=Queue!$K$4)),Q656,"")</f>
        <v/>
      </c>
    </row>
    <row r="657">
      <c r="A657" s="35">
        <f>IF(M657="","",HYPERLINK("https://www.youtube.com/watch?v="&amp;M657,"▶"))</f>
        <v/>
      </c>
      <c r="B657" s="36">
        <f>IF(C657&lt;&gt;"",C657,IF(P657&lt;=IFERROR(INDEX(tblChannels[Watched Through],MATCH(N657,tblChannels[Channel ID],0)),0),"Watched","Unwatched"))</f>
        <v/>
      </c>
      <c r="C657" s="37" t="n"/>
      <c r="D657" s="38" t="n"/>
      <c r="E657" s="39" t="n">
        <v>45408.77083333334</v>
      </c>
      <c r="F657" s="49" t="inlineStr">
        <is>
          <t>Super Carlin Gaming</t>
        </is>
      </c>
      <c r="G657" t="inlineStr">
        <is>
          <t>Multipliers Are EVERYTHING | Carlin Brothers Box Breakers S11E3</t>
        </is>
      </c>
      <c r="H657" s="41" t="n">
        <v>0.03115740740740741</v>
      </c>
      <c r="I657" s="42" t="n">
        <v>1331</v>
      </c>
      <c r="J657" s="42" t="n">
        <v>76</v>
      </c>
      <c r="K657" s="42" t="n">
        <v>7</v>
      </c>
      <c r="L657" s="43" t="n"/>
      <c r="M657" s="44" t="n"/>
      <c r="N657" s="44" t="inlineStr">
        <is>
          <t>UCor_9jRnNNZVzTuQ92PKsaQ</t>
        </is>
      </c>
      <c r="O657" s="45" t="n">
        <v>45408.9375</v>
      </c>
      <c r="P657" s="46" t="n">
        <v>45408</v>
      </c>
      <c r="Q657" s="44" t="n">
        <v>2615</v>
      </c>
      <c r="R657" s="44" t="inlineStr">
        <is>
          <t>No Video ID yet</t>
        </is>
      </c>
      <c r="S657" s="46" t="n"/>
      <c r="T657" s="46" t="n"/>
      <c r="U657" s="44" t="n"/>
      <c r="V657" s="44">
        <f>IF(AND(P657&gt;=Calendar!$K$2,P657&lt;EDATE(Calendar!$K$2,1),OR(Calendar!$K$4="*",N657=Calendar!$K$4)),P657*100+COUNTIFS($P$6:$P$3271,P657,$Q$6:$Q$3271,"&lt;="&amp;Q657,$N$6:$N$3271,Calendar!$K$4),"")</f>
        <v/>
      </c>
      <c r="W657" s="44">
        <f>IF(AND(B657=Queue!$C$4,OR(Queue!$K$4="*",N657=Queue!$K$4)),Q657,"")</f>
        <v/>
      </c>
    </row>
    <row r="658">
      <c r="A658" s="35">
        <f>IF(M658="","",HYPERLINK("https://www.youtube.com/watch?v="&amp;M658,"▶"))</f>
        <v/>
      </c>
      <c r="B658" s="36">
        <f>IF(C658&lt;&gt;"",C658,IF(P658&lt;=IFERROR(INDEX(tblChannels[Watched Through],MATCH(N658,tblChannels[Channel ID],0)),0),"Watched","Unwatched"))</f>
        <v/>
      </c>
      <c r="C658" s="37" t="n"/>
      <c r="D658" s="38" t="n"/>
      <c r="E658" s="39" t="n">
        <v>45408.7125</v>
      </c>
      <c r="F658" s="47" t="inlineStr">
        <is>
          <t>Super Carlin Brothers</t>
        </is>
      </c>
      <c r="G658" t="inlineStr">
        <is>
          <t>How Voldemort Got His ORIGINAL Wand Back | Harry Potter Film Theory</t>
        </is>
      </c>
      <c r="H658" s="41" t="n">
        <v>0.009965277777777778</v>
      </c>
      <c r="I658" s="42" t="n">
        <v>129507</v>
      </c>
      <c r="J658" s="42" t="n">
        <v>5863</v>
      </c>
      <c r="K658" s="42" t="n">
        <v>871</v>
      </c>
      <c r="L658" s="43" t="n"/>
      <c r="M658" s="44" t="n"/>
      <c r="N658" s="44" t="inlineStr">
        <is>
          <t>UCKZo4N0lVPccBkSiuyVh4yg</t>
        </is>
      </c>
      <c r="O658" s="45" t="n">
        <v>45408.87916666667</v>
      </c>
      <c r="P658" s="46" t="n">
        <v>45408</v>
      </c>
      <c r="Q658" s="44" t="n">
        <v>2614</v>
      </c>
      <c r="R658" s="44" t="inlineStr">
        <is>
          <t>No Video ID yet</t>
        </is>
      </c>
      <c r="S658" s="46" t="n"/>
      <c r="T658" s="46" t="n"/>
      <c r="U658" s="44" t="n"/>
      <c r="V658" s="44">
        <f>IF(AND(P658&gt;=Calendar!$K$2,P658&lt;EDATE(Calendar!$K$2,1),OR(Calendar!$K$4="*",N658=Calendar!$K$4)),P658*100+COUNTIFS($P$6:$P$3271,P658,$Q$6:$Q$3271,"&lt;="&amp;Q658,$N$6:$N$3271,Calendar!$K$4),"")</f>
        <v/>
      </c>
      <c r="W658" s="44">
        <f>IF(AND(B658=Queue!$C$4,OR(Queue!$K$4="*",N658=Queue!$K$4)),Q658,"")</f>
        <v/>
      </c>
    </row>
    <row r="659">
      <c r="A659" s="35">
        <f>IF(M659="","",HYPERLINK("https://www.youtube.com/watch?v="&amp;M659,"▶"))</f>
        <v/>
      </c>
      <c r="B659" s="36">
        <f>IF(C659&lt;&gt;"",C659,IF(P659&lt;=IFERROR(INDEX(tblChannels[Watched Through],MATCH(N659,tblChannels[Channel ID],0)),0),"Watched","Unwatched"))</f>
        <v/>
      </c>
      <c r="C659" s="37" t="n"/>
      <c r="D659" s="38" t="n"/>
      <c r="E659" s="39" t="n">
        <v>45408.41666666666</v>
      </c>
      <c r="F659" s="40" t="inlineStr">
        <is>
          <t>Popcorn Culture</t>
        </is>
      </c>
      <c r="G659" t="inlineStr">
        <is>
          <t>Not-So-Profits | Popcorn Culture</t>
        </is>
      </c>
      <c r="H659" s="41" t="n">
        <v>0.05237268518518518</v>
      </c>
      <c r="I659" s="42" t="n">
        <v>3930</v>
      </c>
      <c r="J659" s="42" t="n">
        <v>190</v>
      </c>
      <c r="K659" s="42" t="n">
        <v>23</v>
      </c>
      <c r="L659" s="43" t="n"/>
      <c r="M659" s="44" t="n"/>
      <c r="N659" s="44" t="inlineStr">
        <is>
          <t>UCHfIbq9thHPC8yrKjAdJgDA</t>
        </is>
      </c>
      <c r="O659" s="45" t="n">
        <v>45408.58333333334</v>
      </c>
      <c r="P659" s="46" t="n">
        <v>45408</v>
      </c>
      <c r="Q659" s="44" t="n">
        <v>2613</v>
      </c>
      <c r="R659" s="44" t="inlineStr">
        <is>
          <t>No Video ID yet</t>
        </is>
      </c>
      <c r="S659" s="46" t="n"/>
      <c r="T659" s="46" t="n"/>
      <c r="U659" s="44" t="n"/>
      <c r="V659" s="44">
        <f>IF(AND(P659&gt;=Calendar!$K$2,P659&lt;EDATE(Calendar!$K$2,1),OR(Calendar!$K$4="*",N659=Calendar!$K$4)),P659*100+COUNTIFS($P$6:$P$3271,P659,$Q$6:$Q$3271,"&lt;="&amp;Q659,$N$6:$N$3271,Calendar!$K$4),"")</f>
        <v/>
      </c>
      <c r="W659" s="44">
        <f>IF(AND(B659=Queue!$C$4,OR(Queue!$K$4="*",N659=Queue!$K$4)),Q659,"")</f>
        <v/>
      </c>
    </row>
    <row r="660">
      <c r="A660" s="35">
        <f>IF(M660="","",HYPERLINK("https://www.youtube.com/watch?v="&amp;M660,"▶"))</f>
        <v/>
      </c>
      <c r="B660" s="36">
        <f>IF(C660&lt;&gt;"",C660,IF(P660&lt;=IFERROR(INDEX(tblChannels[Watched Through],MATCH(N660,tblChannels[Channel ID],0)),0),"Watched","Unwatched"))</f>
        <v/>
      </c>
      <c r="C660" s="37" t="n"/>
      <c r="D660" s="38" t="n"/>
      <c r="E660" s="39" t="n">
        <v>45406.71875</v>
      </c>
      <c r="F660" s="47" t="inlineStr">
        <is>
          <t>Super Carlin Brothers</t>
        </is>
      </c>
      <c r="G660" t="inlineStr">
        <is>
          <t>J vs Ben: The BIGGEST Hagrid Harry Potter Trivia Quiz EVER</t>
        </is>
      </c>
      <c r="H660" s="41" t="n">
        <v>0.02921296296296296</v>
      </c>
      <c r="I660" s="42" t="n">
        <v>155686</v>
      </c>
      <c r="J660" s="42" t="n">
        <v>4983</v>
      </c>
      <c r="K660" s="42" t="n">
        <v>517</v>
      </c>
      <c r="L660" s="43" t="n"/>
      <c r="M660" s="44" t="n"/>
      <c r="N660" s="44" t="inlineStr">
        <is>
          <t>UCKZo4N0lVPccBkSiuyVh4yg</t>
        </is>
      </c>
      <c r="O660" s="45" t="n">
        <v>45406.88541666666</v>
      </c>
      <c r="P660" s="46" t="n">
        <v>45406</v>
      </c>
      <c r="Q660" s="44" t="n">
        <v>2612</v>
      </c>
      <c r="R660" s="44" t="inlineStr">
        <is>
          <t>No Video ID yet</t>
        </is>
      </c>
      <c r="S660" s="46" t="n"/>
      <c r="T660" s="46" t="n"/>
      <c r="U660" s="44" t="n"/>
      <c r="V660" s="44">
        <f>IF(AND(P660&gt;=Calendar!$K$2,P660&lt;EDATE(Calendar!$K$2,1),OR(Calendar!$K$4="*",N660=Calendar!$K$4)),P660*100+COUNTIFS($P$6:$P$3271,P660,$Q$6:$Q$3271,"&lt;="&amp;Q660,$N$6:$N$3271,Calendar!$K$4),"")</f>
        <v/>
      </c>
      <c r="W660" s="44">
        <f>IF(AND(B660=Queue!$C$4,OR(Queue!$K$4="*",N660=Queue!$K$4)),Q660,"")</f>
        <v/>
      </c>
    </row>
    <row r="661">
      <c r="A661" s="35">
        <f>IF(M661="","",HYPERLINK("https://www.youtube.com/watch?v="&amp;M661,"▶"))</f>
        <v/>
      </c>
      <c r="B661" s="36">
        <f>IF(C661&lt;&gt;"",C661,IF(P661&lt;=IFERROR(INDEX(tblChannels[Watched Through],MATCH(N661,tblChannels[Channel ID],0)),0),"Watched","Unwatched"))</f>
        <v/>
      </c>
      <c r="C661" s="37" t="n"/>
      <c r="D661" s="38" t="n"/>
      <c r="E661" s="39" t="n">
        <v>45403.41666666666</v>
      </c>
      <c r="F661" s="48" t="inlineStr">
        <is>
          <t>Through The Griffin Door</t>
        </is>
      </c>
      <c r="G661" t="inlineStr">
        <is>
          <t>Chapter 14: Cornelius Fudge | Chamber of Secrets</t>
        </is>
      </c>
      <c r="H661" s="41" t="n">
        <v>0.04768518518518518</v>
      </c>
      <c r="I661" s="42" t="n">
        <v>70177</v>
      </c>
      <c r="J661" s="42" t="n">
        <v>2120</v>
      </c>
      <c r="K661" s="42" t="n">
        <v>407</v>
      </c>
      <c r="L661" s="43" t="n"/>
      <c r="M661" s="44" t="n"/>
      <c r="N661" s="44" t="inlineStr">
        <is>
          <t>UCEscP6ETYXWSSvsNrDHekMQ</t>
        </is>
      </c>
      <c r="O661" s="45" t="n">
        <v>45403.58333333334</v>
      </c>
      <c r="P661" s="46" t="n">
        <v>45403</v>
      </c>
      <c r="Q661" s="44" t="n">
        <v>2611</v>
      </c>
      <c r="R661" s="44" t="inlineStr">
        <is>
          <t>No Video ID yet</t>
        </is>
      </c>
      <c r="S661" s="46" t="n"/>
      <c r="T661" s="46" t="n"/>
      <c r="U661" s="44" t="n"/>
      <c r="V661" s="44">
        <f>IF(AND(P661&gt;=Calendar!$K$2,P661&lt;EDATE(Calendar!$K$2,1),OR(Calendar!$K$4="*",N661=Calendar!$K$4)),P661*100+COUNTIFS($P$6:$P$3271,P661,$Q$6:$Q$3271,"&lt;="&amp;Q661,$N$6:$N$3271,Calendar!$K$4),"")</f>
        <v/>
      </c>
      <c r="W661" s="44">
        <f>IF(AND(B661=Queue!$C$4,OR(Queue!$K$4="*",N661=Queue!$K$4)),Q661,"")</f>
        <v/>
      </c>
    </row>
    <row r="662">
      <c r="A662" s="35">
        <f>IF(M662="","",HYPERLINK("https://www.youtube.com/watch?v="&amp;M662,"▶"))</f>
        <v/>
      </c>
      <c r="B662" s="36">
        <f>IF(C662&lt;&gt;"",C662,IF(P662&lt;=IFERROR(INDEX(tblChannels[Watched Through],MATCH(N662,tblChannels[Channel ID],0)),0),"Watched","Unwatched"))</f>
        <v/>
      </c>
      <c r="C662" s="37" t="n"/>
      <c r="D662" s="38" t="n"/>
      <c r="E662" s="39" t="n">
        <v>45401.72291666667</v>
      </c>
      <c r="F662" s="47" t="inlineStr">
        <is>
          <t>Super Carlin Brothers</t>
        </is>
      </c>
      <c r="G662" t="inlineStr">
        <is>
          <t>Bluey’s “The Sign” Might Be the Best Episode of TV. Ever.</t>
        </is>
      </c>
      <c r="H662" s="41" t="n">
        <v>0.01695601851851852</v>
      </c>
      <c r="I662" s="42" t="n">
        <v>86307</v>
      </c>
      <c r="J662" s="42" t="n">
        <v>5839</v>
      </c>
      <c r="K662" s="42" t="n">
        <v>1085</v>
      </c>
      <c r="L662" s="43" t="n"/>
      <c r="M662" s="44" t="n"/>
      <c r="N662" s="44" t="inlineStr">
        <is>
          <t>UCKZo4N0lVPccBkSiuyVh4yg</t>
        </is>
      </c>
      <c r="O662" s="45" t="n">
        <v>45401.88958333333</v>
      </c>
      <c r="P662" s="46" t="n">
        <v>45401</v>
      </c>
      <c r="Q662" s="44" t="n">
        <v>2610</v>
      </c>
      <c r="R662" s="44" t="inlineStr">
        <is>
          <t>No Video ID yet</t>
        </is>
      </c>
      <c r="S662" s="46" t="n"/>
      <c r="T662" s="46" t="n"/>
      <c r="U662" s="44" t="n"/>
      <c r="V662" s="44">
        <f>IF(AND(P662&gt;=Calendar!$K$2,P662&lt;EDATE(Calendar!$K$2,1),OR(Calendar!$K$4="*",N662=Calendar!$K$4)),P662*100+COUNTIFS($P$6:$P$3271,P662,$Q$6:$Q$3271,"&lt;="&amp;Q662,$N$6:$N$3271,Calendar!$K$4),"")</f>
        <v/>
      </c>
      <c r="W662" s="44">
        <f>IF(AND(B662=Queue!$C$4,OR(Queue!$K$4="*",N662=Queue!$K$4)),Q662,"")</f>
        <v/>
      </c>
    </row>
    <row r="663">
      <c r="A663" s="35">
        <f>IF(M663="","",HYPERLINK("https://www.youtube.com/watch?v="&amp;M663,"▶"))</f>
        <v/>
      </c>
      <c r="B663" s="36">
        <f>IF(C663&lt;&gt;"",C663,IF(P663&lt;=IFERROR(INDEX(tblChannels[Watched Through],MATCH(N663,tblChannels[Channel ID],0)),0),"Watched","Unwatched"))</f>
        <v/>
      </c>
      <c r="C663" s="37" t="n"/>
      <c r="D663" s="38" t="n"/>
      <c r="E663" s="39" t="n">
        <v>45401.41666666666</v>
      </c>
      <c r="F663" s="40" t="inlineStr">
        <is>
          <t>Popcorn Culture</t>
        </is>
      </c>
      <c r="G663" t="inlineStr">
        <is>
          <t>The Railsplitter | Popcorn Culture</t>
        </is>
      </c>
      <c r="H663" s="41" t="n">
        <v>0.05648148148148148</v>
      </c>
      <c r="I663" s="42" t="n">
        <v>4554</v>
      </c>
      <c r="J663" s="42" t="n">
        <v>188</v>
      </c>
      <c r="K663" s="42" t="n">
        <v>24</v>
      </c>
      <c r="L663" s="43" t="n"/>
      <c r="M663" s="44" t="n"/>
      <c r="N663" s="44" t="inlineStr">
        <is>
          <t>UCHfIbq9thHPC8yrKjAdJgDA</t>
        </is>
      </c>
      <c r="O663" s="45" t="n">
        <v>45401.58333333334</v>
      </c>
      <c r="P663" s="46" t="n">
        <v>45401</v>
      </c>
      <c r="Q663" s="44" t="n">
        <v>2609</v>
      </c>
      <c r="R663" s="44" t="inlineStr">
        <is>
          <t>No Video ID yet</t>
        </is>
      </c>
      <c r="S663" s="46" t="n"/>
      <c r="T663" s="46" t="n"/>
      <c r="U663" s="44" t="n"/>
      <c r="V663" s="44">
        <f>IF(AND(P663&gt;=Calendar!$K$2,P663&lt;EDATE(Calendar!$K$2,1),OR(Calendar!$K$4="*",N663=Calendar!$K$4)),P663*100+COUNTIFS($P$6:$P$3271,P663,$Q$6:$Q$3271,"&lt;="&amp;Q663,$N$6:$N$3271,Calendar!$K$4),"")</f>
        <v/>
      </c>
      <c r="W663" s="44">
        <f>IF(AND(B663=Queue!$C$4,OR(Queue!$K$4="*",N663=Queue!$K$4)),Q663,"")</f>
        <v/>
      </c>
    </row>
    <row r="664">
      <c r="A664" s="35">
        <f>IF(M664="","",HYPERLINK("https://www.youtube.com/watch?v="&amp;M664,"▶"))</f>
        <v/>
      </c>
      <c r="B664" s="36">
        <f>IF(C664&lt;&gt;"",C664,IF(P664&lt;=IFERROR(INDEX(tblChannels[Watched Through],MATCH(N664,tblChannels[Channel ID],0)),0),"Watched","Unwatched"))</f>
        <v/>
      </c>
      <c r="C664" s="37" t="n"/>
      <c r="D664" s="38" t="n"/>
      <c r="E664" s="39" t="n">
        <v>45399.70486111111</v>
      </c>
      <c r="F664" s="47" t="inlineStr">
        <is>
          <t>Super Carlin Brothers</t>
        </is>
      </c>
      <c r="G664" t="inlineStr">
        <is>
          <t>The TRUE Origin of Mad-Eye’s Eye | Harry Potter Film Theory</t>
        </is>
      </c>
      <c r="H664" s="41" t="n">
        <v>0.01100694444444444</v>
      </c>
      <c r="I664" s="42" t="n">
        <v>189326</v>
      </c>
      <c r="J664" s="42" t="n">
        <v>7809</v>
      </c>
      <c r="K664" s="42" t="n">
        <v>541</v>
      </c>
      <c r="L664" s="43" t="n"/>
      <c r="M664" s="44" t="n"/>
      <c r="N664" s="44" t="inlineStr">
        <is>
          <t>UCKZo4N0lVPccBkSiuyVh4yg</t>
        </is>
      </c>
      <c r="O664" s="45" t="n">
        <v>45399.87152777778</v>
      </c>
      <c r="P664" s="46" t="n">
        <v>45399</v>
      </c>
      <c r="Q664" s="44" t="n">
        <v>2608</v>
      </c>
      <c r="R664" s="44" t="inlineStr">
        <is>
          <t>No Video ID yet</t>
        </is>
      </c>
      <c r="S664" s="46" t="n"/>
      <c r="T664" s="46" t="n"/>
      <c r="U664" s="44" t="n"/>
      <c r="V664" s="44">
        <f>IF(AND(P664&gt;=Calendar!$K$2,P664&lt;EDATE(Calendar!$K$2,1),OR(Calendar!$K$4="*",N664=Calendar!$K$4)),P664*100+COUNTIFS($P$6:$P$3271,P664,$Q$6:$Q$3271,"&lt;="&amp;Q664,$N$6:$N$3271,Calendar!$K$4),"")</f>
        <v/>
      </c>
      <c r="W664" s="44">
        <f>IF(AND(B664=Queue!$C$4,OR(Queue!$K$4="*",N664=Queue!$K$4)),Q664,"")</f>
        <v/>
      </c>
    </row>
    <row r="665">
      <c r="A665" s="35">
        <f>IF(M665="","",HYPERLINK("https://www.youtube.com/watch?v="&amp;M665,"▶"))</f>
        <v/>
      </c>
      <c r="B665" s="36">
        <f>IF(C665&lt;&gt;"",C665,IF(P665&lt;=IFERROR(INDEX(tblChannels[Watched Through],MATCH(N665,tblChannels[Channel ID],0)),0),"Watched","Unwatched"))</f>
        <v/>
      </c>
      <c r="C665" s="37" t="n"/>
      <c r="D665" s="38" t="n"/>
      <c r="E665" s="39" t="n">
        <v>45397.58402777778</v>
      </c>
      <c r="F665" s="47" t="inlineStr">
        <is>
          <t>Super Carlin Brothers</t>
        </is>
      </c>
      <c r="G665" t="inlineStr">
        <is>
          <t>Through the Griffin Door Supercut: Chamber of Secrets Chapters 10-12</t>
        </is>
      </c>
      <c r="H665" s="41" t="n">
        <v>0.1800810185185185</v>
      </c>
      <c r="I665" s="42" t="n">
        <v>38059</v>
      </c>
      <c r="J665" s="42" t="n">
        <v>644</v>
      </c>
      <c r="K665" s="42" t="n">
        <v>152</v>
      </c>
      <c r="L665" s="43" t="n"/>
      <c r="M665" s="44" t="n"/>
      <c r="N665" s="44" t="inlineStr">
        <is>
          <t>UCKZo4N0lVPccBkSiuyVh4yg</t>
        </is>
      </c>
      <c r="O665" s="45" t="n">
        <v>45397.75069444445</v>
      </c>
      <c r="P665" s="46" t="n">
        <v>45397</v>
      </c>
      <c r="Q665" s="44" t="n">
        <v>2607</v>
      </c>
      <c r="R665" s="44" t="inlineStr">
        <is>
          <t>No Video ID yet</t>
        </is>
      </c>
      <c r="S665" s="46" t="n"/>
      <c r="T665" s="46" t="n"/>
      <c r="U665" s="44" t="n"/>
      <c r="V665" s="44">
        <f>IF(AND(P665&gt;=Calendar!$K$2,P665&lt;EDATE(Calendar!$K$2,1),OR(Calendar!$K$4="*",N665=Calendar!$K$4)),P665*100+COUNTIFS($P$6:$P$3271,P665,$Q$6:$Q$3271,"&lt;="&amp;Q665,$N$6:$N$3271,Calendar!$K$4),"")</f>
        <v/>
      </c>
      <c r="W665" s="44">
        <f>IF(AND(B665=Queue!$C$4,OR(Queue!$K$4="*",N665=Queue!$K$4)),Q665,"")</f>
        <v/>
      </c>
    </row>
    <row r="666">
      <c r="A666" s="35">
        <f>IF(M666="","",HYPERLINK("https://www.youtube.com/watch?v="&amp;M666,"▶"))</f>
        <v/>
      </c>
      <c r="B666" s="36">
        <f>IF(C666&lt;&gt;"",C666,IF(P666&lt;=IFERROR(INDEX(tblChannels[Watched Through],MATCH(N666,tblChannels[Channel ID],0)),0),"Watched","Unwatched"))</f>
        <v/>
      </c>
      <c r="C666" s="37" t="n"/>
      <c r="D666" s="38" t="n"/>
      <c r="E666" s="39" t="n">
        <v>45396.41666666666</v>
      </c>
      <c r="F666" s="48" t="inlineStr">
        <is>
          <t>Through The Griffin Door</t>
        </is>
      </c>
      <c r="G666" t="inlineStr">
        <is>
          <t>Chapter 13: The Very Secret Diary | Chamber of Secrets</t>
        </is>
      </c>
      <c r="H666" s="41" t="n">
        <v>0.06516203703703703</v>
      </c>
      <c r="I666" s="42" t="n">
        <v>85137</v>
      </c>
      <c r="J666" s="42" t="n">
        <v>2136</v>
      </c>
      <c r="K666" s="42" t="n">
        <v>625</v>
      </c>
      <c r="L666" s="43" t="n"/>
      <c r="M666" s="44" t="n"/>
      <c r="N666" s="44" t="inlineStr">
        <is>
          <t>UCEscP6ETYXWSSvsNrDHekMQ</t>
        </is>
      </c>
      <c r="O666" s="45" t="n">
        <v>45396.58333333334</v>
      </c>
      <c r="P666" s="46" t="n">
        <v>45396</v>
      </c>
      <c r="Q666" s="44" t="n">
        <v>2606</v>
      </c>
      <c r="R666" s="44" t="inlineStr">
        <is>
          <t>No Video ID yet</t>
        </is>
      </c>
      <c r="S666" s="46" t="n"/>
      <c r="T666" s="46" t="n"/>
      <c r="U666" s="44" t="n"/>
      <c r="V666" s="44">
        <f>IF(AND(P666&gt;=Calendar!$K$2,P666&lt;EDATE(Calendar!$K$2,1),OR(Calendar!$K$4="*",N666=Calendar!$K$4)),P666*100+COUNTIFS($P$6:$P$3271,P666,$Q$6:$Q$3271,"&lt;="&amp;Q666,$N$6:$N$3271,Calendar!$K$4),"")</f>
        <v/>
      </c>
      <c r="W666" s="44">
        <f>IF(AND(B666=Queue!$C$4,OR(Queue!$K$4="*",N666=Queue!$K$4)),Q666,"")</f>
        <v/>
      </c>
    </row>
    <row r="667">
      <c r="A667" s="35">
        <f>IF(M667="","",HYPERLINK("https://www.youtube.com/watch?v="&amp;M667,"▶"))</f>
        <v/>
      </c>
      <c r="B667" s="36">
        <f>IF(C667&lt;&gt;"",C667,IF(P667&lt;=IFERROR(INDEX(tblChannels[Watched Through],MATCH(N667,tblChannels[Channel ID],0)),0),"Watched","Unwatched"))</f>
        <v/>
      </c>
      <c r="C667" s="37" t="n"/>
      <c r="D667" s="38" t="n"/>
      <c r="E667" s="39" t="n">
        <v>45394.68055555555</v>
      </c>
      <c r="F667" s="47" t="inlineStr">
        <is>
          <t>Super Carlin Brothers</t>
        </is>
      </c>
      <c r="G667" t="inlineStr">
        <is>
          <t>Why Does Voldemort GOOGLE AUTOFILL</t>
        </is>
      </c>
      <c r="H667" s="41" t="n">
        <v>0.01498842592592593</v>
      </c>
      <c r="I667" s="42" t="n">
        <v>153808</v>
      </c>
      <c r="J667" s="42" t="n">
        <v>6177</v>
      </c>
      <c r="K667" s="42" t="n">
        <v>625</v>
      </c>
      <c r="L667" s="43" t="n"/>
      <c r="M667" s="44" t="n"/>
      <c r="N667" s="44" t="inlineStr">
        <is>
          <t>UCKZo4N0lVPccBkSiuyVh4yg</t>
        </is>
      </c>
      <c r="O667" s="45" t="n">
        <v>45394.84722222222</v>
      </c>
      <c r="P667" s="46" t="n">
        <v>45394</v>
      </c>
      <c r="Q667" s="44" t="n">
        <v>2605</v>
      </c>
      <c r="R667" s="44" t="inlineStr">
        <is>
          <t>No Video ID yet</t>
        </is>
      </c>
      <c r="S667" s="46" t="n"/>
      <c r="T667" s="46" t="n"/>
      <c r="U667" s="44" t="n"/>
      <c r="V667" s="44">
        <f>IF(AND(P667&gt;=Calendar!$K$2,P667&lt;EDATE(Calendar!$K$2,1),OR(Calendar!$K$4="*",N667=Calendar!$K$4)),P667*100+COUNTIFS($P$6:$P$3271,P667,$Q$6:$Q$3271,"&lt;="&amp;Q667,$N$6:$N$3271,Calendar!$K$4),"")</f>
        <v/>
      </c>
      <c r="W667" s="44">
        <f>IF(AND(B667=Queue!$C$4,OR(Queue!$K$4="*",N667=Queue!$K$4)),Q667,"")</f>
        <v/>
      </c>
    </row>
    <row r="668">
      <c r="A668" s="35">
        <f>IF(M668="","",HYPERLINK("https://www.youtube.com/watch?v="&amp;M668,"▶"))</f>
        <v/>
      </c>
      <c r="B668" s="36">
        <f>IF(C668&lt;&gt;"",C668,IF(P668&lt;=IFERROR(INDEX(tblChannels[Watched Through],MATCH(N668,tblChannels[Channel ID],0)),0),"Watched","Unwatched"))</f>
        <v/>
      </c>
      <c r="C668" s="37" t="n"/>
      <c r="D668" s="38" t="n"/>
      <c r="E668" s="39" t="n">
        <v>45394.41666666666</v>
      </c>
      <c r="F668" s="40" t="inlineStr">
        <is>
          <t>Popcorn Culture</t>
        </is>
      </c>
      <c r="G668" t="inlineStr">
        <is>
          <t>Proud Survivors of Quicksand (Probably) | Popcorn Culture</t>
        </is>
      </c>
      <c r="H668" s="41" t="n">
        <v>0.04736111111111111</v>
      </c>
      <c r="I668" s="42" t="n">
        <v>3879</v>
      </c>
      <c r="J668" s="42" t="n">
        <v>202</v>
      </c>
      <c r="K668" s="42" t="n">
        <v>37</v>
      </c>
      <c r="L668" s="43" t="n"/>
      <c r="M668" s="44" t="n"/>
      <c r="N668" s="44" t="inlineStr">
        <is>
          <t>UCHfIbq9thHPC8yrKjAdJgDA</t>
        </is>
      </c>
      <c r="O668" s="45" t="n">
        <v>45394.58333333334</v>
      </c>
      <c r="P668" s="46" t="n">
        <v>45394</v>
      </c>
      <c r="Q668" s="44" t="n">
        <v>2604</v>
      </c>
      <c r="R668" s="44" t="inlineStr">
        <is>
          <t>No Video ID yet</t>
        </is>
      </c>
      <c r="S668" s="46" t="n"/>
      <c r="T668" s="46" t="n"/>
      <c r="U668" s="44" t="n"/>
      <c r="V668" s="44">
        <f>IF(AND(P668&gt;=Calendar!$K$2,P668&lt;EDATE(Calendar!$K$2,1),OR(Calendar!$K$4="*",N668=Calendar!$K$4)),P668*100+COUNTIFS($P$6:$P$3271,P668,$Q$6:$Q$3271,"&lt;="&amp;Q668,$N$6:$N$3271,Calendar!$K$4),"")</f>
        <v/>
      </c>
      <c r="W668" s="44">
        <f>IF(AND(B668=Queue!$C$4,OR(Queue!$K$4="*",N668=Queue!$K$4)),Q668,"")</f>
        <v/>
      </c>
    </row>
    <row r="669">
      <c r="A669" s="35">
        <f>IF(M669="","",HYPERLINK("https://www.youtube.com/watch?v="&amp;M669,"▶"))</f>
        <v/>
      </c>
      <c r="B669" s="36">
        <f>IF(C669&lt;&gt;"",C669,IF(P669&lt;=IFERROR(INDEX(tblChannels[Watched Through],MATCH(N669,tblChannels[Channel ID],0)),0),"Watched","Unwatched"))</f>
        <v/>
      </c>
      <c r="C669" s="37" t="n"/>
      <c r="D669" s="38" t="n"/>
      <c r="E669" s="39" t="n">
        <v>45392.77083333334</v>
      </c>
      <c r="F669" s="49" t="inlineStr">
        <is>
          <t>Super Carlin Gaming</t>
        </is>
      </c>
      <c r="G669" t="inlineStr">
        <is>
          <t>Ace Spec COMES TO PLAY | Carlin Brothers Box Breakers S11E2</t>
        </is>
      </c>
      <c r="H669" s="41" t="n">
        <v>0.02896990740740741</v>
      </c>
      <c r="I669" s="42" t="n">
        <v>1396</v>
      </c>
      <c r="J669" s="42" t="n">
        <v>78</v>
      </c>
      <c r="K669" s="42" t="n">
        <v>7</v>
      </c>
      <c r="L669" s="43" t="n"/>
      <c r="M669" s="44" t="n"/>
      <c r="N669" s="44" t="inlineStr">
        <is>
          <t>UCor_9jRnNNZVzTuQ92PKsaQ</t>
        </is>
      </c>
      <c r="O669" s="45" t="n">
        <v>45392.9375</v>
      </c>
      <c r="P669" s="46" t="n">
        <v>45392</v>
      </c>
      <c r="Q669" s="44" t="n">
        <v>2603</v>
      </c>
      <c r="R669" s="44" t="inlineStr">
        <is>
          <t>No Video ID yet</t>
        </is>
      </c>
      <c r="S669" s="46" t="n"/>
      <c r="T669" s="46" t="n"/>
      <c r="U669" s="44" t="n"/>
      <c r="V669" s="44">
        <f>IF(AND(P669&gt;=Calendar!$K$2,P669&lt;EDATE(Calendar!$K$2,1),OR(Calendar!$K$4="*",N669=Calendar!$K$4)),P669*100+COUNTIFS($P$6:$P$3271,P669,$Q$6:$Q$3271,"&lt;="&amp;Q669,$N$6:$N$3271,Calendar!$K$4),"")</f>
        <v/>
      </c>
      <c r="W669" s="44">
        <f>IF(AND(B669=Queue!$C$4,OR(Queue!$K$4="*",N669=Queue!$K$4)),Q669,"")</f>
        <v/>
      </c>
    </row>
    <row r="670">
      <c r="A670" s="35">
        <f>IF(M670="","",HYPERLINK("https://www.youtube.com/watch?v="&amp;M670,"▶"))</f>
        <v/>
      </c>
      <c r="B670" s="36">
        <f>IF(C670&lt;&gt;"",C670,IF(P670&lt;=IFERROR(INDEX(tblChannels[Watched Through],MATCH(N670,tblChannels[Channel ID],0)),0),"Watched","Unwatched"))</f>
        <v/>
      </c>
      <c r="C670" s="37" t="n"/>
      <c r="D670" s="38" t="n"/>
      <c r="E670" s="39" t="n">
        <v>45392.72638888889</v>
      </c>
      <c r="F670" s="47" t="inlineStr">
        <is>
          <t>Super Carlin Brothers</t>
        </is>
      </c>
      <c r="G670" t="inlineStr">
        <is>
          <t>J vs Ben: ULTIMATE Tom Riddle Harry Potter Trivia Quiz</t>
        </is>
      </c>
      <c r="H670" s="41" t="n">
        <v>0.02524305555555556</v>
      </c>
      <c r="I670" s="42" t="n">
        <v>158490</v>
      </c>
      <c r="J670" s="42" t="n">
        <v>5387</v>
      </c>
      <c r="K670" s="42" t="n">
        <v>636</v>
      </c>
      <c r="L670" s="43" t="n"/>
      <c r="M670" s="44" t="n"/>
      <c r="N670" s="44" t="inlineStr">
        <is>
          <t>UCKZo4N0lVPccBkSiuyVh4yg</t>
        </is>
      </c>
      <c r="O670" s="45" t="n">
        <v>45392.89305555556</v>
      </c>
      <c r="P670" s="46" t="n">
        <v>45392</v>
      </c>
      <c r="Q670" s="44" t="n">
        <v>2602</v>
      </c>
      <c r="R670" s="44" t="inlineStr">
        <is>
          <t>No Video ID yet</t>
        </is>
      </c>
      <c r="S670" s="46" t="n"/>
      <c r="T670" s="46" t="n"/>
      <c r="U670" s="44" t="n"/>
      <c r="V670" s="44">
        <f>IF(AND(P670&gt;=Calendar!$K$2,P670&lt;EDATE(Calendar!$K$2,1),OR(Calendar!$K$4="*",N670=Calendar!$K$4)),P670*100+COUNTIFS($P$6:$P$3271,P670,$Q$6:$Q$3271,"&lt;="&amp;Q670,$N$6:$N$3271,Calendar!$K$4),"")</f>
        <v/>
      </c>
      <c r="W670" s="44">
        <f>IF(AND(B670=Queue!$C$4,OR(Queue!$K$4="*",N670=Queue!$K$4)),Q670,"")</f>
        <v/>
      </c>
    </row>
    <row r="671">
      <c r="A671" s="35">
        <f>IF(M671="","",HYPERLINK("https://www.youtube.com/watch?v="&amp;M671,"▶"))</f>
        <v/>
      </c>
      <c r="B671" s="36">
        <f>IF(C671&lt;&gt;"",C671,IF(P671&lt;=IFERROR(INDEX(tblChannels[Watched Through],MATCH(N671,tblChannels[Channel ID],0)),0),"Watched","Unwatched"))</f>
        <v/>
      </c>
      <c r="C671" s="37" t="n"/>
      <c r="D671" s="38" t="n"/>
      <c r="E671" s="39" t="n">
        <v>45389.41666666666</v>
      </c>
      <c r="F671" s="48" t="inlineStr">
        <is>
          <t>Through The Griffin Door</t>
        </is>
      </c>
      <c r="G671" t="inlineStr">
        <is>
          <t>Chapter 12: The Polyjuice Potion | Chamber of Secrets</t>
        </is>
      </c>
      <c r="H671" s="41" t="n">
        <v>0.0734375</v>
      </c>
      <c r="I671" s="42" t="n">
        <v>91206</v>
      </c>
      <c r="J671" s="42" t="n">
        <v>2246</v>
      </c>
      <c r="K671" s="42" t="n">
        <v>715</v>
      </c>
      <c r="L671" s="43" t="n"/>
      <c r="M671" s="44" t="n"/>
      <c r="N671" s="44" t="inlineStr">
        <is>
          <t>UCEscP6ETYXWSSvsNrDHekMQ</t>
        </is>
      </c>
      <c r="O671" s="45" t="n">
        <v>45389.58333333334</v>
      </c>
      <c r="P671" s="46" t="n">
        <v>45389</v>
      </c>
      <c r="Q671" s="44" t="n">
        <v>2601</v>
      </c>
      <c r="R671" s="44" t="inlineStr">
        <is>
          <t>No Video ID yet</t>
        </is>
      </c>
      <c r="S671" s="46" t="n"/>
      <c r="T671" s="46" t="n"/>
      <c r="U671" s="44" t="n"/>
      <c r="V671" s="44">
        <f>IF(AND(P671&gt;=Calendar!$K$2,P671&lt;EDATE(Calendar!$K$2,1),OR(Calendar!$K$4="*",N671=Calendar!$K$4)),P671*100+COUNTIFS($P$6:$P$3271,P671,$Q$6:$Q$3271,"&lt;="&amp;Q671,$N$6:$N$3271,Calendar!$K$4),"")</f>
        <v/>
      </c>
      <c r="W671" s="44">
        <f>IF(AND(B671=Queue!$C$4,OR(Queue!$K$4="*",N671=Queue!$K$4)),Q671,"")</f>
        <v/>
      </c>
    </row>
    <row r="672">
      <c r="A672" s="35">
        <f>IF(M672="","",HYPERLINK("https://www.youtube.com/watch?v="&amp;M672,"▶"))</f>
        <v/>
      </c>
      <c r="B672" s="36">
        <f>IF(C672&lt;&gt;"",C672,IF(P672&lt;=IFERROR(INDEX(tblChannels[Watched Through],MATCH(N672,tblChannels[Channel ID],0)),0),"Watched","Unwatched"))</f>
        <v/>
      </c>
      <c r="C672" s="37" t="n"/>
      <c r="D672" s="38" t="n"/>
      <c r="E672" s="39" t="n">
        <v>45387.67291666667</v>
      </c>
      <c r="F672" s="47" t="inlineStr">
        <is>
          <t>Super Carlin Brothers</t>
        </is>
      </c>
      <c r="G672" t="inlineStr">
        <is>
          <t>Would a Horcrux Show Up on the Marauder's Map? | Harry Potter Film Theory</t>
        </is>
      </c>
      <c r="H672" s="41" t="n">
        <v>0.01010416666666667</v>
      </c>
      <c r="I672" s="42" t="n">
        <v>179353</v>
      </c>
      <c r="J672" s="42" t="n">
        <v>7261</v>
      </c>
      <c r="K672" s="42" t="n">
        <v>844</v>
      </c>
      <c r="L672" s="43" t="n"/>
      <c r="M672" s="44" t="n"/>
      <c r="N672" s="44" t="inlineStr">
        <is>
          <t>UCKZo4N0lVPccBkSiuyVh4yg</t>
        </is>
      </c>
      <c r="O672" s="45" t="n">
        <v>45387.83958333333</v>
      </c>
      <c r="P672" s="46" t="n">
        <v>45387</v>
      </c>
      <c r="Q672" s="44" t="n">
        <v>2600</v>
      </c>
      <c r="R672" s="44" t="inlineStr">
        <is>
          <t>No Video ID yet</t>
        </is>
      </c>
      <c r="S672" s="46" t="n"/>
      <c r="T672" s="46" t="n"/>
      <c r="U672" s="44" t="n"/>
      <c r="V672" s="44">
        <f>IF(AND(P672&gt;=Calendar!$K$2,P672&lt;EDATE(Calendar!$K$2,1),OR(Calendar!$K$4="*",N672=Calendar!$K$4)),P672*100+COUNTIFS($P$6:$P$3271,P672,$Q$6:$Q$3271,"&lt;="&amp;Q672,$N$6:$N$3271,Calendar!$K$4),"")</f>
        <v/>
      </c>
      <c r="W672" s="44">
        <f>IF(AND(B672=Queue!$C$4,OR(Queue!$K$4="*",N672=Queue!$K$4)),Q672,"")</f>
        <v/>
      </c>
    </row>
    <row r="673">
      <c r="A673" s="35">
        <f>IF(M673="","",HYPERLINK("https://www.youtube.com/watch?v="&amp;M673,"▶"))</f>
        <v/>
      </c>
      <c r="B673" s="36">
        <f>IF(C673&lt;&gt;"",C673,IF(P673&lt;=IFERROR(INDEX(tblChannels[Watched Through],MATCH(N673,tblChannels[Channel ID],0)),0),"Watched","Unwatched"))</f>
        <v/>
      </c>
      <c r="C673" s="37" t="n"/>
      <c r="D673" s="38" t="n"/>
      <c r="E673" s="39" t="n">
        <v>45387.41666666666</v>
      </c>
      <c r="F673" s="40" t="inlineStr">
        <is>
          <t>Popcorn Culture</t>
        </is>
      </c>
      <c r="G673" t="inlineStr">
        <is>
          <t>BEN GOT A BOAT… AGAIN! | Popcorn Culture</t>
        </is>
      </c>
      <c r="H673" s="41" t="n">
        <v>0.05236111111111111</v>
      </c>
      <c r="I673" s="42" t="n">
        <v>4359</v>
      </c>
      <c r="J673" s="42" t="n">
        <v>202</v>
      </c>
      <c r="K673" s="42" t="n">
        <v>21</v>
      </c>
      <c r="L673" s="43" t="n"/>
      <c r="M673" s="44" t="n"/>
      <c r="N673" s="44" t="inlineStr">
        <is>
          <t>UCHfIbq9thHPC8yrKjAdJgDA</t>
        </is>
      </c>
      <c r="O673" s="45" t="n">
        <v>45387.58333333334</v>
      </c>
      <c r="P673" s="46" t="n">
        <v>45387</v>
      </c>
      <c r="Q673" s="44" t="n">
        <v>2599</v>
      </c>
      <c r="R673" s="44" t="inlineStr">
        <is>
          <t>No Video ID yet</t>
        </is>
      </c>
      <c r="S673" s="46" t="n"/>
      <c r="T673" s="46" t="n"/>
      <c r="U673" s="44" t="n"/>
      <c r="V673" s="44">
        <f>IF(AND(P673&gt;=Calendar!$K$2,P673&lt;EDATE(Calendar!$K$2,1),OR(Calendar!$K$4="*",N673=Calendar!$K$4)),P673*100+COUNTIFS($P$6:$P$3271,P673,$Q$6:$Q$3271,"&lt;="&amp;Q673,$N$6:$N$3271,Calendar!$K$4),"")</f>
        <v/>
      </c>
      <c r="W673" s="44">
        <f>IF(AND(B673=Queue!$C$4,OR(Queue!$K$4="*",N673=Queue!$K$4)),Q673,"")</f>
        <v/>
      </c>
    </row>
    <row r="674">
      <c r="A674" s="35">
        <f>IF(M674="","",HYPERLINK("https://www.youtube.com/watch?v="&amp;M674,"▶"))</f>
        <v/>
      </c>
      <c r="B674" s="36">
        <f>IF(C674&lt;&gt;"",C674,IF(P674&lt;=IFERROR(INDEX(tblChannels[Watched Through],MATCH(N674,tblChannels[Channel ID],0)),0),"Watched","Unwatched"))</f>
        <v/>
      </c>
      <c r="C674" s="37" t="n"/>
      <c r="D674" s="38" t="n"/>
      <c r="E674" s="39" t="n">
        <v>45385.69513888889</v>
      </c>
      <c r="F674" s="47" t="inlineStr">
        <is>
          <t>Super Carlin Brothers</t>
        </is>
      </c>
      <c r="G674" t="inlineStr">
        <is>
          <t>The TRUE Origins of the Hogwarts Houses | Harry Potter Film Theory</t>
        </is>
      </c>
      <c r="H674" s="41" t="n">
        <v>0.01017361111111111</v>
      </c>
      <c r="I674" s="42" t="n">
        <v>109314</v>
      </c>
      <c r="J674" s="42" t="n">
        <v>5288</v>
      </c>
      <c r="K674" s="42" t="n">
        <v>657</v>
      </c>
      <c r="L674" s="43" t="n"/>
      <c r="M674" s="44" t="n"/>
      <c r="N674" s="44" t="inlineStr">
        <is>
          <t>UCKZo4N0lVPccBkSiuyVh4yg</t>
        </is>
      </c>
      <c r="O674" s="45" t="n">
        <v>45385.86180555556</v>
      </c>
      <c r="P674" s="46" t="n">
        <v>45385</v>
      </c>
      <c r="Q674" s="44" t="n">
        <v>2598</v>
      </c>
      <c r="R674" s="44" t="inlineStr">
        <is>
          <t>No Video ID yet</t>
        </is>
      </c>
      <c r="S674" s="46" t="n"/>
      <c r="T674" s="46" t="n"/>
      <c r="U674" s="44" t="n"/>
      <c r="V674" s="44">
        <f>IF(AND(P674&gt;=Calendar!$K$2,P674&lt;EDATE(Calendar!$K$2,1),OR(Calendar!$K$4="*",N674=Calendar!$K$4)),P674*100+COUNTIFS($P$6:$P$3271,P674,$Q$6:$Q$3271,"&lt;="&amp;Q674,$N$6:$N$3271,Calendar!$K$4),"")</f>
        <v/>
      </c>
      <c r="W674" s="44">
        <f>IF(AND(B674=Queue!$C$4,OR(Queue!$K$4="*",N674=Queue!$K$4)),Q674,"")</f>
        <v/>
      </c>
    </row>
    <row r="675">
      <c r="A675" s="35">
        <f>IF(M675="","",HYPERLINK("https://www.youtube.com/watch?v="&amp;M675,"▶"))</f>
        <v/>
      </c>
      <c r="B675" s="36">
        <f>IF(C675&lt;&gt;"",C675,IF(P675&lt;=IFERROR(INDEX(tblChannels[Watched Through],MATCH(N675,tblChannels[Channel ID],0)),0),"Watched","Unwatched"))</f>
        <v/>
      </c>
      <c r="C675" s="37" t="n"/>
      <c r="D675" s="38" t="n"/>
      <c r="E675" s="39" t="n">
        <v>45384.77083333334</v>
      </c>
      <c r="F675" s="49" t="inlineStr">
        <is>
          <t>Super Carlin Gaming</t>
        </is>
      </c>
      <c r="G675" t="inlineStr">
        <is>
          <t>Temporal Forces Begins | Carlin Brothers Box Breakers S11E1</t>
        </is>
      </c>
      <c r="H675" s="41" t="n">
        <v>0.0366087962962963</v>
      </c>
      <c r="I675" s="42" t="n">
        <v>1734</v>
      </c>
      <c r="J675" s="42" t="n">
        <v>88</v>
      </c>
      <c r="K675" s="42" t="n">
        <v>11</v>
      </c>
      <c r="L675" s="43" t="n"/>
      <c r="M675" s="44" t="n"/>
      <c r="N675" s="44" t="inlineStr">
        <is>
          <t>UCor_9jRnNNZVzTuQ92PKsaQ</t>
        </is>
      </c>
      <c r="O675" s="45" t="n">
        <v>45384.9375</v>
      </c>
      <c r="P675" s="46" t="n">
        <v>45384</v>
      </c>
      <c r="Q675" s="44" t="n">
        <v>2597</v>
      </c>
      <c r="R675" s="44" t="inlineStr">
        <is>
          <t>No Video ID yet</t>
        </is>
      </c>
      <c r="S675" s="46" t="n"/>
      <c r="T675" s="46" t="n"/>
      <c r="U675" s="44" t="n"/>
      <c r="V675" s="44">
        <f>IF(AND(P675&gt;=Calendar!$K$2,P675&lt;EDATE(Calendar!$K$2,1),OR(Calendar!$K$4="*",N675=Calendar!$K$4)),P675*100+COUNTIFS($P$6:$P$3271,P675,$Q$6:$Q$3271,"&lt;="&amp;Q675,$N$6:$N$3271,Calendar!$K$4),"")</f>
        <v/>
      </c>
      <c r="W675" s="44">
        <f>IF(AND(B675=Queue!$C$4,OR(Queue!$K$4="*",N675=Queue!$K$4)),Q675,"")</f>
        <v/>
      </c>
    </row>
    <row r="676">
      <c r="A676" s="35">
        <f>IF(M676="","",HYPERLINK("https://www.youtube.com/watch?v="&amp;M676,"▶"))</f>
        <v/>
      </c>
      <c r="B676" s="36">
        <f>IF(C676&lt;&gt;"",C676,IF(P676&lt;=IFERROR(INDEX(tblChannels[Watched Through],MATCH(N676,tblChannels[Channel ID],0)),0),"Watched","Unwatched"))</f>
        <v/>
      </c>
      <c r="C676" s="37" t="n"/>
      <c r="D676" s="38" t="n"/>
      <c r="E676" s="39" t="n">
        <v>45382.41666666666</v>
      </c>
      <c r="F676" s="48" t="inlineStr">
        <is>
          <t>Through The Griffin Door</t>
        </is>
      </c>
      <c r="G676" t="inlineStr">
        <is>
          <t>Chapter 11: The Dueling Club | Chamber of Secrets</t>
        </is>
      </c>
      <c r="H676" s="41" t="n">
        <v>0.05517361111111111</v>
      </c>
      <c r="I676" s="42" t="n">
        <v>76336</v>
      </c>
      <c r="J676" s="42" t="n">
        <v>2351</v>
      </c>
      <c r="K676" s="42" t="n">
        <v>465</v>
      </c>
      <c r="L676" s="43" t="n"/>
      <c r="M676" s="44" t="n"/>
      <c r="N676" s="44" t="inlineStr">
        <is>
          <t>UCEscP6ETYXWSSvsNrDHekMQ</t>
        </is>
      </c>
      <c r="O676" s="45" t="n">
        <v>45382.58333333334</v>
      </c>
      <c r="P676" s="46" t="n">
        <v>45382</v>
      </c>
      <c r="Q676" s="44" t="n">
        <v>2596</v>
      </c>
      <c r="R676" s="44" t="inlineStr">
        <is>
          <t>No Video ID yet</t>
        </is>
      </c>
      <c r="S676" s="46" t="n"/>
      <c r="T676" s="46" t="n"/>
      <c r="U676" s="44" t="n"/>
      <c r="V676" s="44">
        <f>IF(AND(P676&gt;=Calendar!$K$2,P676&lt;EDATE(Calendar!$K$2,1),OR(Calendar!$K$4="*",N676=Calendar!$K$4)),P676*100+COUNTIFS($P$6:$P$3271,P676,$Q$6:$Q$3271,"&lt;="&amp;Q676,$N$6:$N$3271,Calendar!$K$4),"")</f>
        <v/>
      </c>
      <c r="W676" s="44">
        <f>IF(AND(B676=Queue!$C$4,OR(Queue!$K$4="*",N676=Queue!$K$4)),Q676,"")</f>
        <v/>
      </c>
    </row>
    <row r="677">
      <c r="A677" s="35">
        <f>IF(M677="","",HYPERLINK("https://www.youtube.com/watch?v="&amp;M677,"▶"))</f>
        <v/>
      </c>
      <c r="B677" s="36">
        <f>IF(C677&lt;&gt;"",C677,IF(P677&lt;=IFERROR(INDEX(tblChannels[Watched Through],MATCH(N677,tblChannels[Channel ID],0)),0),"Watched","Unwatched"))</f>
        <v/>
      </c>
      <c r="C677" s="37" t="n"/>
      <c r="D677" s="38" t="n"/>
      <c r="E677" s="39" t="n">
        <v>45381.41666666666</v>
      </c>
      <c r="F677" s="47" t="inlineStr">
        <is>
          <t>Super Carlin Brothers</t>
        </is>
      </c>
      <c r="G677" t="inlineStr">
        <is>
          <t>What If James Kept The Invisibility Cloak - FULL STORY 1-5 | Harry Potter Film Theory</t>
        </is>
      </c>
      <c r="H677" s="41" t="n">
        <v>0.05841435185185185</v>
      </c>
      <c r="I677" s="42" t="n">
        <v>435410</v>
      </c>
      <c r="J677" s="42" t="n">
        <v>6742</v>
      </c>
      <c r="K677" s="42" t="n">
        <v>606</v>
      </c>
      <c r="L677" s="43" t="n"/>
      <c r="M677" s="44" t="n"/>
      <c r="N677" s="44" t="inlineStr">
        <is>
          <t>UCKZo4N0lVPccBkSiuyVh4yg</t>
        </is>
      </c>
      <c r="O677" s="45" t="n">
        <v>45381.58333333334</v>
      </c>
      <c r="P677" s="46" t="n">
        <v>45381</v>
      </c>
      <c r="Q677" s="44" t="n">
        <v>2595</v>
      </c>
      <c r="R677" s="44" t="inlineStr">
        <is>
          <t>No Video ID yet</t>
        </is>
      </c>
      <c r="S677" s="46" t="n"/>
      <c r="T677" s="46" t="n"/>
      <c r="U677" s="44" t="n"/>
      <c r="V677" s="44">
        <f>IF(AND(P677&gt;=Calendar!$K$2,P677&lt;EDATE(Calendar!$K$2,1),OR(Calendar!$K$4="*",N677=Calendar!$K$4)),P677*100+COUNTIFS($P$6:$P$3271,P677,$Q$6:$Q$3271,"&lt;="&amp;Q677,$N$6:$N$3271,Calendar!$K$4),"")</f>
        <v/>
      </c>
      <c r="W677" s="44">
        <f>IF(AND(B677=Queue!$C$4,OR(Queue!$K$4="*",N677=Queue!$K$4)),Q677,"")</f>
        <v/>
      </c>
    </row>
    <row r="678">
      <c r="A678" s="35">
        <f>IF(M678="","",HYPERLINK("https://www.youtube.com/watch?v="&amp;M678,"▶"))</f>
        <v/>
      </c>
      <c r="B678" s="36">
        <f>IF(C678&lt;&gt;"",C678,IF(P678&lt;=IFERROR(INDEX(tblChannels[Watched Through],MATCH(N678,tblChannels[Channel ID],0)),0),"Watched","Unwatched"))</f>
        <v/>
      </c>
      <c r="C678" s="37" t="n"/>
      <c r="D678" s="38" t="n"/>
      <c r="E678" s="39" t="n">
        <v>45381.41666666666</v>
      </c>
      <c r="F678" s="47" t="inlineStr">
        <is>
          <t>Super Carlin Brothers</t>
        </is>
      </c>
      <c r="G678" t="inlineStr">
        <is>
          <t>FAQs: What if James Had Kept the Invisibility Cloak?</t>
        </is>
      </c>
      <c r="H678" s="41" t="n">
        <v>0.02961805555555556</v>
      </c>
      <c r="I678" s="42" t="n">
        <v>90399</v>
      </c>
      <c r="J678" s="42" t="n">
        <v>3153</v>
      </c>
      <c r="K678" s="42" t="n">
        <v>417</v>
      </c>
      <c r="L678" s="43" t="n"/>
      <c r="M678" s="44" t="n"/>
      <c r="N678" s="44" t="inlineStr">
        <is>
          <t>UCKZo4N0lVPccBkSiuyVh4yg</t>
        </is>
      </c>
      <c r="O678" s="45" t="n">
        <v>45381.58333333334</v>
      </c>
      <c r="P678" s="46" t="n">
        <v>45381</v>
      </c>
      <c r="Q678" s="44" t="n">
        <v>2594</v>
      </c>
      <c r="R678" s="44" t="inlineStr">
        <is>
          <t>No Video ID yet</t>
        </is>
      </c>
      <c r="S678" s="46" t="n"/>
      <c r="T678" s="46" t="n"/>
      <c r="U678" s="44" t="n"/>
      <c r="V678" s="44">
        <f>IF(AND(P678&gt;=Calendar!$K$2,P678&lt;EDATE(Calendar!$K$2,1),OR(Calendar!$K$4="*",N678=Calendar!$K$4)),P678*100+COUNTIFS($P$6:$P$3271,P678,$Q$6:$Q$3271,"&lt;="&amp;Q678,$N$6:$N$3271,Calendar!$K$4),"")</f>
        <v/>
      </c>
      <c r="W678" s="44">
        <f>IF(AND(B678=Queue!$C$4,OR(Queue!$K$4="*",N678=Queue!$K$4)),Q678,"")</f>
        <v/>
      </c>
    </row>
    <row r="679">
      <c r="A679" s="35">
        <f>IF(M679="","",HYPERLINK("https://www.youtube.com/watch?v="&amp;M679,"▶"))</f>
        <v/>
      </c>
      <c r="B679" s="36">
        <f>IF(C679&lt;&gt;"",C679,IF(P679&lt;=IFERROR(INDEX(tblChannels[Watched Through],MATCH(N679,tblChannels[Channel ID],0)),0),"Watched","Unwatched"))</f>
        <v/>
      </c>
      <c r="C679" s="37" t="n"/>
      <c r="D679" s="38" t="n"/>
      <c r="E679" s="39" t="n">
        <v>45380.77083333334</v>
      </c>
      <c r="F679" s="49" t="inlineStr">
        <is>
          <t>Super Carlin Gaming</t>
        </is>
      </c>
      <c r="G679" t="inlineStr">
        <is>
          <t>Obsidian Flames Burns Out | Carlin Brothers Box Breakers S10E4</t>
        </is>
      </c>
      <c r="H679" s="41" t="n">
        <v>0.04461805555555556</v>
      </c>
      <c r="I679" s="42" t="n">
        <v>1442</v>
      </c>
      <c r="J679" s="42" t="n">
        <v>79</v>
      </c>
      <c r="K679" s="42" t="n">
        <v>14</v>
      </c>
      <c r="L679" s="43" t="n"/>
      <c r="M679" s="44" t="n"/>
      <c r="N679" s="44" t="inlineStr">
        <is>
          <t>UCor_9jRnNNZVzTuQ92PKsaQ</t>
        </is>
      </c>
      <c r="O679" s="45" t="n">
        <v>45380.9375</v>
      </c>
      <c r="P679" s="46" t="n">
        <v>45380</v>
      </c>
      <c r="Q679" s="44" t="n">
        <v>2593</v>
      </c>
      <c r="R679" s="44" t="inlineStr">
        <is>
          <t>No Video ID yet</t>
        </is>
      </c>
      <c r="S679" s="46" t="n"/>
      <c r="T679" s="46" t="n"/>
      <c r="U679" s="44" t="n"/>
      <c r="V679" s="44">
        <f>IF(AND(P679&gt;=Calendar!$K$2,P679&lt;EDATE(Calendar!$K$2,1),OR(Calendar!$K$4="*",N679=Calendar!$K$4)),P679*100+COUNTIFS($P$6:$P$3271,P679,$Q$6:$Q$3271,"&lt;="&amp;Q679,$N$6:$N$3271,Calendar!$K$4),"")</f>
        <v/>
      </c>
      <c r="W679" s="44">
        <f>IF(AND(B679=Queue!$C$4,OR(Queue!$K$4="*",N679=Queue!$K$4)),Q679,"")</f>
        <v/>
      </c>
    </row>
    <row r="680">
      <c r="A680" s="35">
        <f>IF(M680="","",HYPERLINK("https://www.youtube.com/watch?v="&amp;M680,"▶"))</f>
        <v/>
      </c>
      <c r="B680" s="36">
        <f>IF(C680&lt;&gt;"",C680,IF(P680&lt;=IFERROR(INDEX(tblChannels[Watched Through],MATCH(N680,tblChannels[Channel ID],0)),0),"Watched","Unwatched"))</f>
        <v/>
      </c>
      <c r="C680" s="37" t="n"/>
      <c r="D680" s="38" t="n"/>
      <c r="E680" s="39" t="n">
        <v>45380.61666666667</v>
      </c>
      <c r="F680" s="47" t="inlineStr">
        <is>
          <t>Super Carlin Brothers</t>
        </is>
      </c>
      <c r="G680" t="inlineStr">
        <is>
          <t>The MOST Important Movies to The Pixar Theory</t>
        </is>
      </c>
      <c r="H680" s="41" t="n">
        <v>0.01038194444444444</v>
      </c>
      <c r="I680" s="42" t="n">
        <v>63195</v>
      </c>
      <c r="J680" s="42" t="n">
        <v>3351</v>
      </c>
      <c r="K680" s="42" t="n">
        <v>212</v>
      </c>
      <c r="L680" s="43" t="n"/>
      <c r="M680" s="44" t="n"/>
      <c r="N680" s="44" t="inlineStr">
        <is>
          <t>UCKZo4N0lVPccBkSiuyVh4yg</t>
        </is>
      </c>
      <c r="O680" s="45" t="n">
        <v>45380.78333333333</v>
      </c>
      <c r="P680" s="46" t="n">
        <v>45380</v>
      </c>
      <c r="Q680" s="44" t="n">
        <v>2592</v>
      </c>
      <c r="R680" s="44" t="inlineStr">
        <is>
          <t>No Video ID yet</t>
        </is>
      </c>
      <c r="S680" s="46" t="n"/>
      <c r="T680" s="46" t="n"/>
      <c r="U680" s="44" t="n"/>
      <c r="V680" s="44">
        <f>IF(AND(P680&gt;=Calendar!$K$2,P680&lt;EDATE(Calendar!$K$2,1),OR(Calendar!$K$4="*",N680=Calendar!$K$4)),P680*100+COUNTIFS($P$6:$P$3271,P680,$Q$6:$Q$3271,"&lt;="&amp;Q680,$N$6:$N$3271,Calendar!$K$4),"")</f>
        <v/>
      </c>
      <c r="W680" s="44">
        <f>IF(AND(B680=Queue!$C$4,OR(Queue!$K$4="*",N680=Queue!$K$4)),Q680,"")</f>
        <v/>
      </c>
    </row>
    <row r="681">
      <c r="A681" s="35">
        <f>IF(M681="","",HYPERLINK("https://www.youtube.com/watch?v="&amp;M681,"▶"))</f>
        <v/>
      </c>
      <c r="B681" s="36">
        <f>IF(C681&lt;&gt;"",C681,IF(P681&lt;=IFERROR(INDEX(tblChannels[Watched Through],MATCH(N681,tblChannels[Channel ID],0)),0),"Watched","Unwatched"))</f>
        <v/>
      </c>
      <c r="C681" s="37" t="n"/>
      <c r="D681" s="38" t="n"/>
      <c r="E681" s="39" t="n">
        <v>45380.41666666666</v>
      </c>
      <c r="F681" s="40" t="inlineStr">
        <is>
          <t>Popcorn Culture</t>
        </is>
      </c>
      <c r="G681" t="inlineStr">
        <is>
          <t>Hot Wheels Officiant | Popcorn Culture</t>
        </is>
      </c>
      <c r="H681" s="41" t="n">
        <v>0.04260416666666667</v>
      </c>
      <c r="I681" s="42" t="n">
        <v>3642</v>
      </c>
      <c r="J681" s="42" t="n">
        <v>209</v>
      </c>
      <c r="K681" s="42" t="n">
        <v>14</v>
      </c>
      <c r="L681" s="43" t="n"/>
      <c r="M681" s="44" t="n"/>
      <c r="N681" s="44" t="inlineStr">
        <is>
          <t>UCHfIbq9thHPC8yrKjAdJgDA</t>
        </is>
      </c>
      <c r="O681" s="45" t="n">
        <v>45380.58333333334</v>
      </c>
      <c r="P681" s="46" t="n">
        <v>45380</v>
      </c>
      <c r="Q681" s="44" t="n">
        <v>2591</v>
      </c>
      <c r="R681" s="44" t="inlineStr">
        <is>
          <t>No Video ID yet</t>
        </is>
      </c>
      <c r="S681" s="46" t="n"/>
      <c r="T681" s="46" t="n"/>
      <c r="U681" s="44" t="n"/>
      <c r="V681" s="44">
        <f>IF(AND(P681&gt;=Calendar!$K$2,P681&lt;EDATE(Calendar!$K$2,1),OR(Calendar!$K$4="*",N681=Calendar!$K$4)),P681*100+COUNTIFS($P$6:$P$3271,P681,$Q$6:$Q$3271,"&lt;="&amp;Q681,$N$6:$N$3271,Calendar!$K$4),"")</f>
        <v/>
      </c>
      <c r="W681" s="44">
        <f>IF(AND(B681=Queue!$C$4,OR(Queue!$K$4="*",N681=Queue!$K$4)),Q681,"")</f>
        <v/>
      </c>
    </row>
    <row r="682">
      <c r="A682" s="35">
        <f>IF(M682="","",HYPERLINK("https://www.youtube.com/watch?v="&amp;M682,"▶"))</f>
        <v/>
      </c>
      <c r="B682" s="36">
        <f>IF(C682&lt;&gt;"",C682,IF(P682&lt;=IFERROR(INDEX(tblChannels[Watched Through],MATCH(N682,tblChannels[Channel ID],0)),0),"Watched","Unwatched"))</f>
        <v/>
      </c>
      <c r="C682" s="37" t="n"/>
      <c r="D682" s="38" t="n"/>
      <c r="E682" s="39" t="n">
        <v>45378.74652777778</v>
      </c>
      <c r="F682" s="47" t="inlineStr">
        <is>
          <t>Super Carlin Brothers</t>
        </is>
      </c>
      <c r="G682" t="inlineStr">
        <is>
          <t>J vs Ben: The CLEVEREST Hermione Granger Harry Potter Trivia Quiz EVER</t>
        </is>
      </c>
      <c r="H682" s="41" t="n">
        <v>0.029375</v>
      </c>
      <c r="I682" s="42" t="n">
        <v>193405</v>
      </c>
      <c r="J682" s="42" t="n">
        <v>5772</v>
      </c>
      <c r="K682" s="42" t="n">
        <v>829</v>
      </c>
      <c r="L682" s="43" t="n"/>
      <c r="M682" s="44" t="n"/>
      <c r="N682" s="44" t="inlineStr">
        <is>
          <t>UCKZo4N0lVPccBkSiuyVh4yg</t>
        </is>
      </c>
      <c r="O682" s="45" t="n">
        <v>45378.91319444445</v>
      </c>
      <c r="P682" s="46" t="n">
        <v>45378</v>
      </c>
      <c r="Q682" s="44" t="n">
        <v>2590</v>
      </c>
      <c r="R682" s="44" t="inlineStr">
        <is>
          <t>No Video ID yet</t>
        </is>
      </c>
      <c r="S682" s="46" t="n"/>
      <c r="T682" s="46" t="n"/>
      <c r="U682" s="44" t="n"/>
      <c r="V682" s="44">
        <f>IF(AND(P682&gt;=Calendar!$K$2,P682&lt;EDATE(Calendar!$K$2,1),OR(Calendar!$K$4="*",N682=Calendar!$K$4)),P682*100+COUNTIFS($P$6:$P$3271,P682,$Q$6:$Q$3271,"&lt;="&amp;Q682,$N$6:$N$3271,Calendar!$K$4),"")</f>
        <v/>
      </c>
      <c r="W682" s="44">
        <f>IF(AND(B682=Queue!$C$4,OR(Queue!$K$4="*",N682=Queue!$K$4)),Q682,"")</f>
        <v/>
      </c>
    </row>
    <row r="683">
      <c r="A683" s="35">
        <f>IF(M683="","",HYPERLINK("https://www.youtube.com/watch?v="&amp;M683,"▶"))</f>
        <v/>
      </c>
      <c r="B683" s="36">
        <f>IF(C683&lt;&gt;"",C683,IF(P683&lt;=IFERROR(INDEX(tblChannels[Watched Through],MATCH(N683,tblChannels[Channel ID],0)),0),"Watched","Unwatched"))</f>
        <v/>
      </c>
      <c r="C683" s="37" t="n"/>
      <c r="D683" s="38" t="n"/>
      <c r="E683" s="39" t="n">
        <v>45377.77083333334</v>
      </c>
      <c r="F683" s="49" t="inlineStr">
        <is>
          <t>Super Carlin Gaming</t>
        </is>
      </c>
      <c r="G683" t="inlineStr">
        <is>
          <t>ANOTHER HUGE CHARIZARD | Carlin Brothers Box Breakers S10E3</t>
        </is>
      </c>
      <c r="H683" s="41" t="n">
        <v>0.03077546296296296</v>
      </c>
      <c r="I683" s="42" t="n">
        <v>1328</v>
      </c>
      <c r="J683" s="42" t="n">
        <v>74</v>
      </c>
      <c r="K683" s="42" t="n">
        <v>8</v>
      </c>
      <c r="L683" s="43" t="n"/>
      <c r="M683" s="44" t="n"/>
      <c r="N683" s="44" t="inlineStr">
        <is>
          <t>UCor_9jRnNNZVzTuQ92PKsaQ</t>
        </is>
      </c>
      <c r="O683" s="45" t="n">
        <v>45377.9375</v>
      </c>
      <c r="P683" s="46" t="n">
        <v>45377</v>
      </c>
      <c r="Q683" s="44" t="n">
        <v>2589</v>
      </c>
      <c r="R683" s="44" t="inlineStr">
        <is>
          <t>No Video ID yet</t>
        </is>
      </c>
      <c r="S683" s="46" t="n"/>
      <c r="T683" s="46" t="n"/>
      <c r="U683" s="44" t="n"/>
      <c r="V683" s="44">
        <f>IF(AND(P683&gt;=Calendar!$K$2,P683&lt;EDATE(Calendar!$K$2,1),OR(Calendar!$K$4="*",N683=Calendar!$K$4)),P683*100+COUNTIFS($P$6:$P$3271,P683,$Q$6:$Q$3271,"&lt;="&amp;Q683,$N$6:$N$3271,Calendar!$K$4),"")</f>
        <v/>
      </c>
      <c r="W683" s="44">
        <f>IF(AND(B683=Queue!$C$4,OR(Queue!$K$4="*",N683=Queue!$K$4)),Q683,"")</f>
        <v/>
      </c>
    </row>
    <row r="684">
      <c r="A684" s="35">
        <f>IF(M684="","",HYPERLINK("https://www.youtube.com/watch?v="&amp;M684,"▶"))</f>
        <v/>
      </c>
      <c r="B684" s="36">
        <f>IF(C684&lt;&gt;"",C684,IF(P684&lt;=IFERROR(INDEX(tblChannels[Watched Through],MATCH(N684,tblChannels[Channel ID],0)),0),"Watched","Unwatched"))</f>
        <v/>
      </c>
      <c r="C684" s="37" t="n"/>
      <c r="D684" s="38" t="n"/>
      <c r="E684" s="39" t="n">
        <v>45375.41666666666</v>
      </c>
      <c r="F684" s="48" t="inlineStr">
        <is>
          <t>Through The Griffin Door</t>
        </is>
      </c>
      <c r="G684" t="inlineStr">
        <is>
          <t>Chapter 10: The Rogue Bludger | Chamber of Secrets</t>
        </is>
      </c>
      <c r="H684" s="41" t="n">
        <v>0.05237268518518518</v>
      </c>
      <c r="I684" s="42" t="n">
        <v>75977</v>
      </c>
      <c r="J684" s="42" t="n">
        <v>2259</v>
      </c>
      <c r="K684" s="42" t="n">
        <v>525</v>
      </c>
      <c r="L684" s="43" t="n"/>
      <c r="M684" s="44" t="n"/>
      <c r="N684" s="44" t="inlineStr">
        <is>
          <t>UCEscP6ETYXWSSvsNrDHekMQ</t>
        </is>
      </c>
      <c r="O684" s="45" t="n">
        <v>45375.58333333334</v>
      </c>
      <c r="P684" s="46" t="n">
        <v>45375</v>
      </c>
      <c r="Q684" s="44" t="n">
        <v>2588</v>
      </c>
      <c r="R684" s="44" t="inlineStr">
        <is>
          <t>No Video ID yet</t>
        </is>
      </c>
      <c r="S684" s="46" t="n"/>
      <c r="T684" s="46" t="n"/>
      <c r="U684" s="44" t="n"/>
      <c r="V684" s="44">
        <f>IF(AND(P684&gt;=Calendar!$K$2,P684&lt;EDATE(Calendar!$K$2,1),OR(Calendar!$K$4="*",N684=Calendar!$K$4)),P684*100+COUNTIFS($P$6:$P$3271,P684,$Q$6:$Q$3271,"&lt;="&amp;Q684,$N$6:$N$3271,Calendar!$K$4),"")</f>
        <v/>
      </c>
      <c r="W684" s="44">
        <f>IF(AND(B684=Queue!$C$4,OR(Queue!$K$4="*",N684=Queue!$K$4)),Q684,"")</f>
        <v/>
      </c>
    </row>
    <row r="685">
      <c r="A685" s="35">
        <f>IF(M685="","",HYPERLINK("https://www.youtube.com/watch?v="&amp;M685,"▶"))</f>
        <v/>
      </c>
      <c r="B685" s="36">
        <f>IF(C685&lt;&gt;"",C685,IF(P685&lt;=IFERROR(INDEX(tblChannels[Watched Through],MATCH(N685,tblChannels[Channel ID],0)),0),"Watched","Unwatched"))</f>
        <v/>
      </c>
      <c r="C685" s="37" t="n"/>
      <c r="D685" s="38" t="n"/>
      <c r="E685" s="39" t="n">
        <v>45374.77083333334</v>
      </c>
      <c r="F685" s="49" t="inlineStr">
        <is>
          <t>Super Carlin Gaming</t>
        </is>
      </c>
      <c r="G685" t="inlineStr">
        <is>
          <t>LAUREN vs. LAUREN | Carlin Brothers Box Breakers S10E2</t>
        </is>
      </c>
      <c r="H685" s="41" t="n">
        <v>0.03305555555555555</v>
      </c>
      <c r="I685" s="42" t="n">
        <v>1289</v>
      </c>
      <c r="J685" s="42" t="n">
        <v>82</v>
      </c>
      <c r="K685" s="42" t="n">
        <v>11</v>
      </c>
      <c r="L685" s="43" t="n"/>
      <c r="M685" s="44" t="n"/>
      <c r="N685" s="44" t="inlineStr">
        <is>
          <t>UCor_9jRnNNZVzTuQ92PKsaQ</t>
        </is>
      </c>
      <c r="O685" s="45" t="n">
        <v>45374.9375</v>
      </c>
      <c r="P685" s="46" t="n">
        <v>45374</v>
      </c>
      <c r="Q685" s="44" t="n">
        <v>2587</v>
      </c>
      <c r="R685" s="44" t="inlineStr">
        <is>
          <t>No Video ID yet</t>
        </is>
      </c>
      <c r="S685" s="46" t="n"/>
      <c r="T685" s="46" t="n"/>
      <c r="U685" s="44" t="n"/>
      <c r="V685" s="44">
        <f>IF(AND(P685&gt;=Calendar!$K$2,P685&lt;EDATE(Calendar!$K$2,1),OR(Calendar!$K$4="*",N685=Calendar!$K$4)),P685*100+COUNTIFS($P$6:$P$3271,P685,$Q$6:$Q$3271,"&lt;="&amp;Q685,$N$6:$N$3271,Calendar!$K$4),"")</f>
        <v/>
      </c>
      <c r="W685" s="44">
        <f>IF(AND(B685=Queue!$C$4,OR(Queue!$K$4="*",N685=Queue!$K$4)),Q685,"")</f>
        <v/>
      </c>
    </row>
    <row r="686">
      <c r="A686" s="35">
        <f>IF(M686="","",HYPERLINK("https://www.youtube.com/watch?v="&amp;M686,"▶"))</f>
        <v/>
      </c>
      <c r="B686" s="36">
        <f>IF(C686&lt;&gt;"",C686,IF(P686&lt;=IFERROR(INDEX(tblChannels[Watched Through],MATCH(N686,tblChannels[Channel ID],0)),0),"Watched","Unwatched"))</f>
        <v/>
      </c>
      <c r="C686" s="37" t="n"/>
      <c r="D686" s="38" t="n"/>
      <c r="E686" s="39" t="n">
        <v>45374.41666666666</v>
      </c>
      <c r="F686" s="47" t="inlineStr">
        <is>
          <t>Super Carlin Brothers</t>
        </is>
      </c>
      <c r="G686" t="inlineStr">
        <is>
          <t>Through the Griffin Door Supercut: Chamber of Secrets Chapters 7-9</t>
        </is>
      </c>
      <c r="H686" s="41" t="n">
        <v>0.1507523148148148</v>
      </c>
      <c r="I686" s="42" t="n">
        <v>108878</v>
      </c>
      <c r="J686" s="42" t="n">
        <v>791</v>
      </c>
      <c r="K686" s="42" t="n">
        <v>165</v>
      </c>
      <c r="L686" s="43" t="n"/>
      <c r="M686" s="44" t="n"/>
      <c r="N686" s="44" t="inlineStr">
        <is>
          <t>UCKZo4N0lVPccBkSiuyVh4yg</t>
        </is>
      </c>
      <c r="O686" s="45" t="n">
        <v>45374.58333333334</v>
      </c>
      <c r="P686" s="46" t="n">
        <v>45374</v>
      </c>
      <c r="Q686" s="44" t="n">
        <v>2586</v>
      </c>
      <c r="R686" s="44" t="inlineStr">
        <is>
          <t>No Video ID yet</t>
        </is>
      </c>
      <c r="S686" s="46" t="n"/>
      <c r="T686" s="46" t="n"/>
      <c r="U686" s="44" t="n"/>
      <c r="V686" s="44">
        <f>IF(AND(P686&gt;=Calendar!$K$2,P686&lt;EDATE(Calendar!$K$2,1),OR(Calendar!$K$4="*",N686=Calendar!$K$4)),P686*100+COUNTIFS($P$6:$P$3271,P686,$Q$6:$Q$3271,"&lt;="&amp;Q686,$N$6:$N$3271,Calendar!$K$4),"")</f>
        <v/>
      </c>
      <c r="W686" s="44">
        <f>IF(AND(B686=Queue!$C$4,OR(Queue!$K$4="*",N686=Queue!$K$4)),Q686,"")</f>
        <v/>
      </c>
    </row>
    <row r="687">
      <c r="A687" s="35">
        <f>IF(M687="","",HYPERLINK("https://www.youtube.com/watch?v="&amp;M687,"▶"))</f>
        <v/>
      </c>
      <c r="B687" s="36">
        <f>IF(C687&lt;&gt;"",C687,IF(P687&lt;=IFERROR(INDEX(tblChannels[Watched Through],MATCH(N687,tblChannels[Channel ID],0)),0),"Watched","Unwatched"))</f>
        <v/>
      </c>
      <c r="C687" s="37" t="n"/>
      <c r="D687" s="38" t="n"/>
      <c r="E687" s="39" t="n">
        <v>45373.69930555556</v>
      </c>
      <c r="F687" s="47" t="inlineStr">
        <is>
          <t>Super Carlin Brothers</t>
        </is>
      </c>
      <c r="G687" t="inlineStr">
        <is>
          <t>Voldemort’s TRUE Origins | Harry Potter Film Theory</t>
        </is>
      </c>
      <c r="H687" s="41" t="n">
        <v>0.01207175925925926</v>
      </c>
      <c r="I687" s="42" t="n">
        <v>181470</v>
      </c>
      <c r="J687" s="42" t="n">
        <v>7277</v>
      </c>
      <c r="K687" s="42" t="n">
        <v>483</v>
      </c>
      <c r="L687" s="43" t="n"/>
      <c r="M687" s="44" t="n"/>
      <c r="N687" s="44" t="inlineStr">
        <is>
          <t>UCKZo4N0lVPccBkSiuyVh4yg</t>
        </is>
      </c>
      <c r="O687" s="45" t="n">
        <v>45373.86597222222</v>
      </c>
      <c r="P687" s="46" t="n">
        <v>45373</v>
      </c>
      <c r="Q687" s="44" t="n">
        <v>2585</v>
      </c>
      <c r="R687" s="44" t="inlineStr">
        <is>
          <t>No Video ID yet</t>
        </is>
      </c>
      <c r="S687" s="46" t="n"/>
      <c r="T687" s="46" t="n"/>
      <c r="U687" s="44" t="n"/>
      <c r="V687" s="44">
        <f>IF(AND(P687&gt;=Calendar!$K$2,P687&lt;EDATE(Calendar!$K$2,1),OR(Calendar!$K$4="*",N687=Calendar!$K$4)),P687*100+COUNTIFS($P$6:$P$3271,P687,$Q$6:$Q$3271,"&lt;="&amp;Q687,$N$6:$N$3271,Calendar!$K$4),"")</f>
        <v/>
      </c>
      <c r="W687" s="44">
        <f>IF(AND(B687=Queue!$C$4,OR(Queue!$K$4="*",N687=Queue!$K$4)),Q687,"")</f>
        <v/>
      </c>
    </row>
    <row r="688">
      <c r="A688" s="35">
        <f>IF(M688="","",HYPERLINK("https://www.youtube.com/watch?v="&amp;M688,"▶"))</f>
        <v/>
      </c>
      <c r="B688" s="36">
        <f>IF(C688&lt;&gt;"",C688,IF(P688&lt;=IFERROR(INDEX(tblChannels[Watched Through],MATCH(N688,tblChannels[Channel ID],0)),0),"Watched","Unwatched"))</f>
        <v/>
      </c>
      <c r="C688" s="37" t="n"/>
      <c r="D688" s="38" t="n"/>
      <c r="E688" s="39" t="n">
        <v>45373.41666666666</v>
      </c>
      <c r="F688" s="40" t="inlineStr">
        <is>
          <t>Popcorn Culture</t>
        </is>
      </c>
      <c r="G688" t="inlineStr">
        <is>
          <t>224 - Feeling a Certain Type of Way | Popcorn Culture</t>
        </is>
      </c>
      <c r="H688" s="41" t="n">
        <v>0.04734953703703704</v>
      </c>
      <c r="I688" s="42" t="n">
        <v>4233</v>
      </c>
      <c r="J688" s="42" t="n">
        <v>235</v>
      </c>
      <c r="K688" s="42" t="n">
        <v>64</v>
      </c>
      <c r="L688" s="43" t="n"/>
      <c r="M688" s="44" t="n"/>
      <c r="N688" s="44" t="inlineStr">
        <is>
          <t>UCHfIbq9thHPC8yrKjAdJgDA</t>
        </is>
      </c>
      <c r="O688" s="45" t="n">
        <v>45373.58333333334</v>
      </c>
      <c r="P688" s="46" t="n">
        <v>45373</v>
      </c>
      <c r="Q688" s="44" t="n">
        <v>2584</v>
      </c>
      <c r="R688" s="44" t="inlineStr">
        <is>
          <t>No Video ID yet</t>
        </is>
      </c>
      <c r="S688" s="46" t="n"/>
      <c r="T688" s="46" t="n"/>
      <c r="U688" s="44" t="n"/>
      <c r="V688" s="44">
        <f>IF(AND(P688&gt;=Calendar!$K$2,P688&lt;EDATE(Calendar!$K$2,1),OR(Calendar!$K$4="*",N688=Calendar!$K$4)),P688*100+COUNTIFS($P$6:$P$3271,P688,$Q$6:$Q$3271,"&lt;="&amp;Q688,$N$6:$N$3271,Calendar!$K$4),"")</f>
        <v/>
      </c>
      <c r="W688" s="44">
        <f>IF(AND(B688=Queue!$C$4,OR(Queue!$K$4="*",N688=Queue!$K$4)),Q688,"")</f>
        <v/>
      </c>
    </row>
    <row r="689">
      <c r="A689" s="35">
        <f>IF(M689="","",HYPERLINK("https://www.youtube.com/watch?v="&amp;M689,"▶"))</f>
        <v/>
      </c>
      <c r="B689" s="36">
        <f>IF(C689&lt;&gt;"",C689,IF(P689&lt;=IFERROR(INDEX(tblChannels[Watched Through],MATCH(N689,tblChannels[Channel ID],0)),0),"Watched","Unwatched"))</f>
        <v/>
      </c>
      <c r="C689" s="37" t="n"/>
      <c r="D689" s="38" t="n"/>
      <c r="E689" s="39" t="n">
        <v>45371.72083333333</v>
      </c>
      <c r="F689" s="47" t="inlineStr">
        <is>
          <t>Super Carlin Brothers</t>
        </is>
      </c>
      <c r="G689" t="inlineStr">
        <is>
          <t>The REAL History of Magic | Harry Potter Film Theory</t>
        </is>
      </c>
      <c r="H689" s="41" t="n">
        <v>0.01265046296296296</v>
      </c>
      <c r="I689" s="42" t="n">
        <v>176012</v>
      </c>
      <c r="J689" s="42" t="n">
        <v>8121</v>
      </c>
      <c r="K689" s="42" t="n">
        <v>609</v>
      </c>
      <c r="L689" s="43" t="n"/>
      <c r="M689" s="44" t="n"/>
      <c r="N689" s="44" t="inlineStr">
        <is>
          <t>UCKZo4N0lVPccBkSiuyVh4yg</t>
        </is>
      </c>
      <c r="O689" s="45" t="n">
        <v>45371.8875</v>
      </c>
      <c r="P689" s="46" t="n">
        <v>45371</v>
      </c>
      <c r="Q689" s="44" t="n">
        <v>2583</v>
      </c>
      <c r="R689" s="44" t="inlineStr">
        <is>
          <t>No Video ID yet</t>
        </is>
      </c>
      <c r="S689" s="46" t="n"/>
      <c r="T689" s="46" t="n"/>
      <c r="U689" s="44" t="n"/>
      <c r="V689" s="44">
        <f>IF(AND(P689&gt;=Calendar!$K$2,P689&lt;EDATE(Calendar!$K$2,1),OR(Calendar!$K$4="*",N689=Calendar!$K$4)),P689*100+COUNTIFS($P$6:$P$3271,P689,$Q$6:$Q$3271,"&lt;="&amp;Q689,$N$6:$N$3271,Calendar!$K$4),"")</f>
        <v/>
      </c>
      <c r="W689" s="44">
        <f>IF(AND(B689=Queue!$C$4,OR(Queue!$K$4="*",N689=Queue!$K$4)),Q689,"")</f>
        <v/>
      </c>
    </row>
    <row r="690">
      <c r="A690" s="35">
        <f>IF(M690="","",HYPERLINK("https://www.youtube.com/watch?v="&amp;M690,"▶"))</f>
        <v/>
      </c>
      <c r="B690" s="36">
        <f>IF(C690&lt;&gt;"",C690,IF(P690&lt;=IFERROR(INDEX(tblChannels[Watched Through],MATCH(N690,tblChannels[Channel ID],0)),0),"Watched","Unwatched"))</f>
        <v/>
      </c>
      <c r="C690" s="37" t="n"/>
      <c r="D690" s="38" t="n"/>
      <c r="E690" s="39" t="n">
        <v>45368.41666666666</v>
      </c>
      <c r="F690" s="48" t="inlineStr">
        <is>
          <t>Through The Griffin Door</t>
        </is>
      </c>
      <c r="G690" t="inlineStr">
        <is>
          <t>Chapter 9: The Writing on the Wall | Chamber of Secrets</t>
        </is>
      </c>
      <c r="H690" s="41" t="n">
        <v>0.05091435185185185</v>
      </c>
      <c r="I690" s="42" t="n">
        <v>71654</v>
      </c>
      <c r="J690" s="42" t="n">
        <v>2142</v>
      </c>
      <c r="K690" s="42" t="n">
        <v>464</v>
      </c>
      <c r="L690" s="43" t="n"/>
      <c r="M690" s="44" t="n"/>
      <c r="N690" s="44" t="inlineStr">
        <is>
          <t>UCEscP6ETYXWSSvsNrDHekMQ</t>
        </is>
      </c>
      <c r="O690" s="45" t="n">
        <v>45368.58333333334</v>
      </c>
      <c r="P690" s="46" t="n">
        <v>45368</v>
      </c>
      <c r="Q690" s="44" t="n">
        <v>2582</v>
      </c>
      <c r="R690" s="44" t="inlineStr">
        <is>
          <t>No Video ID yet</t>
        </is>
      </c>
      <c r="S690" s="46" t="n"/>
      <c r="T690" s="46" t="n"/>
      <c r="U690" s="44" t="n"/>
      <c r="V690" s="44">
        <f>IF(AND(P690&gt;=Calendar!$K$2,P690&lt;EDATE(Calendar!$K$2,1),OR(Calendar!$K$4="*",N690=Calendar!$K$4)),P690*100+COUNTIFS($P$6:$P$3271,P690,$Q$6:$Q$3271,"&lt;="&amp;Q690,$N$6:$N$3271,Calendar!$K$4),"")</f>
        <v/>
      </c>
      <c r="W690" s="44">
        <f>IF(AND(B690=Queue!$C$4,OR(Queue!$K$4="*",N690=Queue!$K$4)),Q690,"")</f>
        <v/>
      </c>
    </row>
    <row r="691">
      <c r="A691" s="35">
        <f>IF(M691="","",HYPERLINK("https://www.youtube.com/watch?v="&amp;M691,"▶"))</f>
        <v/>
      </c>
      <c r="B691" s="36">
        <f>IF(C691&lt;&gt;"",C691,IF(P691&lt;=IFERROR(INDEX(tblChannels[Watched Through],MATCH(N691,tblChannels[Channel ID],0)),0),"Watched","Unwatched"))</f>
        <v/>
      </c>
      <c r="C691" s="37" t="n"/>
      <c r="D691" s="38" t="n"/>
      <c r="E691" s="39" t="n">
        <v>45366.69652777778</v>
      </c>
      <c r="F691" s="47" t="inlineStr">
        <is>
          <t>Super Carlin Brothers</t>
        </is>
      </c>
      <c r="G691" t="inlineStr">
        <is>
          <t>DESTROYING AI Generated Harry Potter Theories | Harry Potter Film Theory</t>
        </is>
      </c>
      <c r="H691" s="41" t="n">
        <v>0.01380787037037037</v>
      </c>
      <c r="I691" s="42" t="n">
        <v>193379</v>
      </c>
      <c r="J691" s="42" t="n">
        <v>7271</v>
      </c>
      <c r="K691" s="42" t="n">
        <v>647</v>
      </c>
      <c r="L691" s="43" t="n"/>
      <c r="M691" s="44" t="n"/>
      <c r="N691" s="44" t="inlineStr">
        <is>
          <t>UCKZo4N0lVPccBkSiuyVh4yg</t>
        </is>
      </c>
      <c r="O691" s="45" t="n">
        <v>45366.86319444444</v>
      </c>
      <c r="P691" s="46" t="n">
        <v>45366</v>
      </c>
      <c r="Q691" s="44" t="n">
        <v>2581</v>
      </c>
      <c r="R691" s="44" t="inlineStr">
        <is>
          <t>No Video ID yet</t>
        </is>
      </c>
      <c r="S691" s="46" t="n"/>
      <c r="T691" s="46" t="n"/>
      <c r="U691" s="44" t="n"/>
      <c r="V691" s="44">
        <f>IF(AND(P691&gt;=Calendar!$K$2,P691&lt;EDATE(Calendar!$K$2,1),OR(Calendar!$K$4="*",N691=Calendar!$K$4)),P691*100+COUNTIFS($P$6:$P$3271,P691,$Q$6:$Q$3271,"&lt;="&amp;Q691,$N$6:$N$3271,Calendar!$K$4),"")</f>
        <v/>
      </c>
      <c r="W691" s="44">
        <f>IF(AND(B691=Queue!$C$4,OR(Queue!$K$4="*",N691=Queue!$K$4)),Q691,"")</f>
        <v/>
      </c>
    </row>
    <row r="692">
      <c r="A692" s="35">
        <f>IF(M692="","",HYPERLINK("https://www.youtube.com/watch?v="&amp;M692,"▶"))</f>
        <v/>
      </c>
      <c r="B692" s="36">
        <f>IF(C692&lt;&gt;"",C692,IF(P692&lt;=IFERROR(INDEX(tblChannels[Watched Through],MATCH(N692,tblChannels[Channel ID],0)),0),"Watched","Unwatched"))</f>
        <v/>
      </c>
      <c r="C692" s="37" t="n"/>
      <c r="D692" s="38" t="n"/>
      <c r="E692" s="39" t="n">
        <v>45366.42708333334</v>
      </c>
      <c r="F692" s="40" t="inlineStr">
        <is>
          <t>Popcorn Culture</t>
        </is>
      </c>
      <c r="G692" t="inlineStr">
        <is>
          <t>Complicated Soup | Popcorn Culture</t>
        </is>
      </c>
      <c r="H692" s="41" t="n">
        <v>0.05467592592592593</v>
      </c>
      <c r="I692" s="42" t="n">
        <v>4640</v>
      </c>
      <c r="J692" s="42" t="n">
        <v>250</v>
      </c>
      <c r="K692" s="42" t="n">
        <v>44</v>
      </c>
      <c r="L692" s="43" t="n"/>
      <c r="M692" s="44" t="n"/>
      <c r="N692" s="44" t="inlineStr">
        <is>
          <t>UCHfIbq9thHPC8yrKjAdJgDA</t>
        </is>
      </c>
      <c r="O692" s="45" t="n">
        <v>45366.59375</v>
      </c>
      <c r="P692" s="46" t="n">
        <v>45366</v>
      </c>
      <c r="Q692" s="44" t="n">
        <v>2580</v>
      </c>
      <c r="R692" s="44" t="inlineStr">
        <is>
          <t>No Video ID yet</t>
        </is>
      </c>
      <c r="S692" s="46" t="n"/>
      <c r="T692" s="46" t="n"/>
      <c r="U692" s="44" t="n"/>
      <c r="V692" s="44">
        <f>IF(AND(P692&gt;=Calendar!$K$2,P692&lt;EDATE(Calendar!$K$2,1),OR(Calendar!$K$4="*",N692=Calendar!$K$4)),P692*100+COUNTIFS($P$6:$P$3271,P692,$Q$6:$Q$3271,"&lt;="&amp;Q692,$N$6:$N$3271,Calendar!$K$4),"")</f>
        <v/>
      </c>
      <c r="W692" s="44">
        <f>IF(AND(B692=Queue!$C$4,OR(Queue!$K$4="*",N692=Queue!$K$4)),Q692,"")</f>
        <v/>
      </c>
    </row>
    <row r="693">
      <c r="A693" s="35">
        <f>IF(M693="","",HYPERLINK("https://www.youtube.com/watch?v="&amp;M693,"▶"))</f>
        <v/>
      </c>
      <c r="B693" s="36">
        <f>IF(C693&lt;&gt;"",C693,IF(P693&lt;=IFERROR(INDEX(tblChannels[Watched Through],MATCH(N693,tblChannels[Channel ID],0)),0),"Watched","Unwatched"))</f>
        <v/>
      </c>
      <c r="C693" s="37" t="n"/>
      <c r="D693" s="38" t="n"/>
      <c r="E693" s="39" t="n">
        <v>45364.74236111111</v>
      </c>
      <c r="F693" s="47" t="inlineStr">
        <is>
          <t>Super Carlin Brothers</t>
        </is>
      </c>
      <c r="G693" t="inlineStr">
        <is>
          <t>J vs Ben: HARDEST Draco Malfoy Harry Potter TRIVIA Quiz Ever</t>
        </is>
      </c>
      <c r="H693" s="41" t="n">
        <v>0.03012731481481482</v>
      </c>
      <c r="I693" s="42" t="n">
        <v>208977</v>
      </c>
      <c r="J693" s="42" t="n">
        <v>6003</v>
      </c>
      <c r="K693" s="42" t="n">
        <v>743</v>
      </c>
      <c r="L693" s="43" t="n"/>
      <c r="M693" s="44" t="n"/>
      <c r="N693" s="44" t="inlineStr">
        <is>
          <t>UCKZo4N0lVPccBkSiuyVh4yg</t>
        </is>
      </c>
      <c r="O693" s="45" t="n">
        <v>45364.90902777778</v>
      </c>
      <c r="P693" s="46" t="n">
        <v>45364</v>
      </c>
      <c r="Q693" s="44" t="n">
        <v>2579</v>
      </c>
      <c r="R693" s="44" t="inlineStr">
        <is>
          <t>No Video ID yet</t>
        </is>
      </c>
      <c r="S693" s="46" t="n"/>
      <c r="T693" s="46" t="n"/>
      <c r="U693" s="44" t="n"/>
      <c r="V693" s="44">
        <f>IF(AND(P693&gt;=Calendar!$K$2,P693&lt;EDATE(Calendar!$K$2,1),OR(Calendar!$K$4="*",N693=Calendar!$K$4)),P693*100+COUNTIFS($P$6:$P$3271,P693,$Q$6:$Q$3271,"&lt;="&amp;Q693,$N$6:$N$3271,Calendar!$K$4),"")</f>
        <v/>
      </c>
      <c r="W693" s="44">
        <f>IF(AND(B693=Queue!$C$4,OR(Queue!$K$4="*",N693=Queue!$K$4)),Q693,"")</f>
        <v/>
      </c>
    </row>
    <row r="694">
      <c r="A694" s="35">
        <f>IF(M694="","",HYPERLINK("https://www.youtube.com/watch?v="&amp;M694,"▶"))</f>
        <v/>
      </c>
      <c r="B694" s="36">
        <f>IF(C694&lt;&gt;"",C694,IF(P694&lt;=IFERROR(INDEX(tblChannels[Watched Through],MATCH(N694,tblChannels[Channel ID],0)),0),"Watched","Unwatched"))</f>
        <v/>
      </c>
      <c r="C694" s="37" t="n"/>
      <c r="D694" s="38" t="n"/>
      <c r="E694" s="39" t="n">
        <v>45363.68611111111</v>
      </c>
      <c r="F694" s="48" t="inlineStr">
        <is>
          <t>Through The Griffin Door</t>
        </is>
      </c>
      <c r="G694" t="inlineStr">
        <is>
          <t>WE’RE GOING ON TOUR!</t>
        </is>
      </c>
      <c r="H694" s="41" t="n">
        <v>0.002013888888888889</v>
      </c>
      <c r="I694" s="42" t="n">
        <v>8730</v>
      </c>
      <c r="J694" s="42" t="n">
        <v>653</v>
      </c>
      <c r="K694" s="42" t="n">
        <v>140</v>
      </c>
      <c r="L694" s="43" t="n"/>
      <c r="M694" s="44" t="n"/>
      <c r="N694" s="44" t="inlineStr">
        <is>
          <t>UCEscP6ETYXWSSvsNrDHekMQ</t>
        </is>
      </c>
      <c r="O694" s="45" t="n">
        <v>45363.85277777778</v>
      </c>
      <c r="P694" s="46" t="n">
        <v>45363</v>
      </c>
      <c r="Q694" s="44" t="n">
        <v>2578</v>
      </c>
      <c r="R694" s="44" t="inlineStr">
        <is>
          <t>No Video ID yet</t>
        </is>
      </c>
      <c r="S694" s="46" t="n"/>
      <c r="T694" s="46" t="n"/>
      <c r="U694" s="44" t="n"/>
      <c r="V694" s="44">
        <f>IF(AND(P694&gt;=Calendar!$K$2,P694&lt;EDATE(Calendar!$K$2,1),OR(Calendar!$K$4="*",N694=Calendar!$K$4)),P694*100+COUNTIFS($P$6:$P$3271,P694,$Q$6:$Q$3271,"&lt;="&amp;Q694,$N$6:$N$3271,Calendar!$K$4),"")</f>
        <v/>
      </c>
      <c r="W694" s="44">
        <f>IF(AND(B694=Queue!$C$4,OR(Queue!$K$4="*",N694=Queue!$K$4)),Q694,"")</f>
        <v/>
      </c>
    </row>
    <row r="695">
      <c r="A695" s="35">
        <f>IF(M695="","",HYPERLINK("https://www.youtube.com/watch?v="&amp;M695,"▶"))</f>
        <v/>
      </c>
      <c r="B695" s="36">
        <f>IF(C695&lt;&gt;"",C695,IF(P695&lt;=IFERROR(INDEX(tblChannels[Watched Through],MATCH(N695,tblChannels[Channel ID],0)),0),"Watched","Unwatched"))</f>
        <v/>
      </c>
      <c r="C695" s="37" t="n"/>
      <c r="D695" s="38" t="n"/>
      <c r="E695" s="39" t="n">
        <v>45363.66458333333</v>
      </c>
      <c r="F695" s="47" t="inlineStr">
        <is>
          <t>Super Carlin Brothers</t>
        </is>
      </c>
      <c r="G695" t="inlineStr">
        <is>
          <t>WE’RE GOING ON TOUR!</t>
        </is>
      </c>
      <c r="H695" s="41" t="n">
        <v>0.001446759259259259</v>
      </c>
      <c r="I695" s="42" t="n">
        <v>15890</v>
      </c>
      <c r="J695" s="42" t="n">
        <v>1273</v>
      </c>
      <c r="K695" s="42" t="n">
        <v>243</v>
      </c>
      <c r="L695" s="43" t="n"/>
      <c r="M695" s="44" t="n"/>
      <c r="N695" s="44" t="inlineStr">
        <is>
          <t>UCKZo4N0lVPccBkSiuyVh4yg</t>
        </is>
      </c>
      <c r="O695" s="45" t="n">
        <v>45363.83125</v>
      </c>
      <c r="P695" s="46" t="n">
        <v>45363</v>
      </c>
      <c r="Q695" s="44" t="n">
        <v>2577</v>
      </c>
      <c r="R695" s="44" t="inlineStr">
        <is>
          <t>No Video ID yet</t>
        </is>
      </c>
      <c r="S695" s="46" t="n"/>
      <c r="T695" s="46" t="n"/>
      <c r="U695" s="44" t="n"/>
      <c r="V695" s="44">
        <f>IF(AND(P695&gt;=Calendar!$K$2,P695&lt;EDATE(Calendar!$K$2,1),OR(Calendar!$K$4="*",N695=Calendar!$K$4)),P695*100+COUNTIFS($P$6:$P$3271,P695,$Q$6:$Q$3271,"&lt;="&amp;Q695,$N$6:$N$3271,Calendar!$K$4),"")</f>
        <v/>
      </c>
      <c r="W695" s="44">
        <f>IF(AND(B695=Queue!$C$4,OR(Queue!$K$4="*",N695=Queue!$K$4)),Q695,"")</f>
        <v/>
      </c>
    </row>
    <row r="696">
      <c r="A696" s="35">
        <f>IF(M696="","",HYPERLINK("https://www.youtube.com/watch?v="&amp;M696,"▶"))</f>
        <v/>
      </c>
      <c r="B696" s="36">
        <f>IF(C696&lt;&gt;"",C696,IF(P696&lt;=IFERROR(INDEX(tblChannels[Watched Through],MATCH(N696,tblChannels[Channel ID],0)),0),"Watched","Unwatched"))</f>
        <v/>
      </c>
      <c r="C696" s="37" t="n"/>
      <c r="D696" s="38" t="n"/>
      <c r="E696" s="39" t="n">
        <v>45361.41666666666</v>
      </c>
      <c r="F696" s="48" t="inlineStr">
        <is>
          <t>Through The Griffin Door</t>
        </is>
      </c>
      <c r="G696" t="inlineStr">
        <is>
          <t>Chapter 8: The Deathday Party | Chamber of Secrets</t>
        </is>
      </c>
      <c r="H696" s="41" t="n">
        <v>0.05074074074074074</v>
      </c>
      <c r="I696" s="42" t="n">
        <v>75148</v>
      </c>
      <c r="J696" s="42" t="n">
        <v>2063</v>
      </c>
      <c r="K696" s="42" t="n">
        <v>514</v>
      </c>
      <c r="L696" s="43" t="n"/>
      <c r="M696" s="44" t="n"/>
      <c r="N696" s="44" t="inlineStr">
        <is>
          <t>UCEscP6ETYXWSSvsNrDHekMQ</t>
        </is>
      </c>
      <c r="O696" s="45" t="n">
        <v>45361.58333333334</v>
      </c>
      <c r="P696" s="46" t="n">
        <v>45361</v>
      </c>
      <c r="Q696" s="44" t="n">
        <v>2576</v>
      </c>
      <c r="R696" s="44" t="inlineStr">
        <is>
          <t>No Video ID yet</t>
        </is>
      </c>
      <c r="S696" s="46" t="n"/>
      <c r="T696" s="46" t="n"/>
      <c r="U696" s="44" t="n"/>
      <c r="V696" s="44">
        <f>IF(AND(P696&gt;=Calendar!$K$2,P696&lt;EDATE(Calendar!$K$2,1),OR(Calendar!$K$4="*",N696=Calendar!$K$4)),P696*100+COUNTIFS($P$6:$P$3271,P696,$Q$6:$Q$3271,"&lt;="&amp;Q696,$N$6:$N$3271,Calendar!$K$4),"")</f>
        <v/>
      </c>
      <c r="W696" s="44">
        <f>IF(AND(B696=Queue!$C$4,OR(Queue!$K$4="*",N696=Queue!$K$4)),Q696,"")</f>
        <v/>
      </c>
    </row>
    <row r="697">
      <c r="A697" s="35">
        <f>IF(M697="","",HYPERLINK("https://www.youtube.com/watch?v="&amp;M697,"▶"))</f>
        <v/>
      </c>
      <c r="B697" s="36">
        <f>IF(C697&lt;&gt;"",C697,IF(P697&lt;=IFERROR(INDEX(tblChannels[Watched Through],MATCH(N697,tblChannels[Channel ID],0)),0),"Watched","Unwatched"))</f>
        <v/>
      </c>
      <c r="C697" s="37" t="n"/>
      <c r="D697" s="38" t="n"/>
      <c r="E697" s="39" t="n">
        <v>45360.41666666666</v>
      </c>
      <c r="F697" s="47" t="inlineStr">
        <is>
          <t>Super Carlin Brothers</t>
        </is>
      </c>
      <c r="G697" t="inlineStr">
        <is>
          <t>Through the Griffin Door Supercut: Chamber of Secrets Chapters 4-6</t>
        </is>
      </c>
      <c r="H697" s="41" t="n">
        <v>0.1584606481481481</v>
      </c>
      <c r="I697" s="42" t="n">
        <v>153895</v>
      </c>
      <c r="J697" s="42" t="n">
        <v>991</v>
      </c>
      <c r="K697" s="42" t="n">
        <v>152</v>
      </c>
      <c r="L697" s="43" t="n"/>
      <c r="M697" s="44" t="n"/>
      <c r="N697" s="44" t="inlineStr">
        <is>
          <t>UCKZo4N0lVPccBkSiuyVh4yg</t>
        </is>
      </c>
      <c r="O697" s="45" t="n">
        <v>45360.625</v>
      </c>
      <c r="P697" s="46" t="n">
        <v>45360</v>
      </c>
      <c r="Q697" s="44" t="n">
        <v>2575</v>
      </c>
      <c r="R697" s="44" t="inlineStr">
        <is>
          <t>No Video ID yet</t>
        </is>
      </c>
      <c r="S697" s="46" t="n"/>
      <c r="T697" s="46" t="n"/>
      <c r="U697" s="44" t="n"/>
      <c r="V697" s="44">
        <f>IF(AND(P697&gt;=Calendar!$K$2,P697&lt;EDATE(Calendar!$K$2,1),OR(Calendar!$K$4="*",N697=Calendar!$K$4)),P697*100+COUNTIFS($P$6:$P$3271,P697,$Q$6:$Q$3271,"&lt;="&amp;Q697,$N$6:$N$3271,Calendar!$K$4),"")</f>
        <v/>
      </c>
      <c r="W697" s="44">
        <f>IF(AND(B697=Queue!$C$4,OR(Queue!$K$4="*",N697=Queue!$K$4)),Q697,"")</f>
        <v/>
      </c>
    </row>
    <row r="698">
      <c r="A698" s="35">
        <f>IF(M698="","",HYPERLINK("https://www.youtube.com/watch?v="&amp;M698,"▶"))</f>
        <v/>
      </c>
      <c r="B698" s="36">
        <f>IF(C698&lt;&gt;"",C698,IF(P698&lt;=IFERROR(INDEX(tblChannels[Watched Through],MATCH(N698,tblChannels[Channel ID],0)),0),"Watched","Unwatched"))</f>
        <v/>
      </c>
      <c r="C698" s="37" t="n"/>
      <c r="D698" s="38" t="n"/>
      <c r="E698" s="39" t="n">
        <v>45359.77083333334</v>
      </c>
      <c r="F698" s="49" t="inlineStr">
        <is>
          <t>Super Carlin Gaming</t>
        </is>
      </c>
      <c r="G698" t="inlineStr">
        <is>
          <t>LET THE FLAMES BEGIN | Carlin Brothers Box Breakers S10E1</t>
        </is>
      </c>
      <c r="H698" s="41" t="n">
        <v>0.03439814814814815</v>
      </c>
      <c r="I698" s="42" t="n">
        <v>1642</v>
      </c>
      <c r="J698" s="42" t="n">
        <v>86</v>
      </c>
      <c r="K698" s="42" t="n">
        <v>19</v>
      </c>
      <c r="L698" s="43" t="n"/>
      <c r="M698" s="44" t="n"/>
      <c r="N698" s="44" t="inlineStr">
        <is>
          <t>UCor_9jRnNNZVzTuQ92PKsaQ</t>
        </is>
      </c>
      <c r="O698" s="45" t="n">
        <v>45359.97916666666</v>
      </c>
      <c r="P698" s="46" t="n">
        <v>45359</v>
      </c>
      <c r="Q698" s="44" t="n">
        <v>2574</v>
      </c>
      <c r="R698" s="44" t="inlineStr">
        <is>
          <t>No Video ID yet</t>
        </is>
      </c>
      <c r="S698" s="46" t="n"/>
      <c r="T698" s="46" t="n"/>
      <c r="U698" s="44" t="n"/>
      <c r="V698" s="44">
        <f>IF(AND(P698&gt;=Calendar!$K$2,P698&lt;EDATE(Calendar!$K$2,1),OR(Calendar!$K$4="*",N698=Calendar!$K$4)),P698*100+COUNTIFS($P$6:$P$3271,P698,$Q$6:$Q$3271,"&lt;="&amp;Q698,$N$6:$N$3271,Calendar!$K$4),"")</f>
        <v/>
      </c>
      <c r="W698" s="44">
        <f>IF(AND(B698=Queue!$C$4,OR(Queue!$K$4="*",N698=Queue!$K$4)),Q698,"")</f>
        <v/>
      </c>
    </row>
    <row r="699">
      <c r="A699" s="35">
        <f>IF(M699="","",HYPERLINK("https://www.youtube.com/watch?v="&amp;M699,"▶"))</f>
        <v/>
      </c>
      <c r="B699" s="36">
        <f>IF(C699&lt;&gt;"",C699,IF(P699&lt;=IFERROR(INDEX(tblChannels[Watched Through],MATCH(N699,tblChannels[Channel ID],0)),0),"Watched","Unwatched"))</f>
        <v/>
      </c>
      <c r="C699" s="37" t="n"/>
      <c r="D699" s="38" t="n"/>
      <c r="E699" s="39" t="n">
        <v>45359.61597222222</v>
      </c>
      <c r="F699" s="47" t="inlineStr">
        <is>
          <t>Super Carlin Brothers</t>
        </is>
      </c>
      <c r="G699" t="inlineStr">
        <is>
          <t>Did Harry Potter ACTUALLY Die!? | Harry Potter Film Theory</t>
        </is>
      </c>
      <c r="H699" s="41" t="n">
        <v>0.009444444444444445</v>
      </c>
      <c r="I699" s="42" t="n">
        <v>106212</v>
      </c>
      <c r="J699" s="42" t="n">
        <v>5391</v>
      </c>
      <c r="K699" s="42" t="n">
        <v>414</v>
      </c>
      <c r="L699" s="43" t="n"/>
      <c r="M699" s="44" t="n"/>
      <c r="N699" s="44" t="inlineStr">
        <is>
          <t>UCKZo4N0lVPccBkSiuyVh4yg</t>
        </is>
      </c>
      <c r="O699" s="45" t="n">
        <v>45359.82430555556</v>
      </c>
      <c r="P699" s="46" t="n">
        <v>45359</v>
      </c>
      <c r="Q699" s="44" t="n">
        <v>2573</v>
      </c>
      <c r="R699" s="44" t="inlineStr">
        <is>
          <t>No Video ID yet</t>
        </is>
      </c>
      <c r="S699" s="46" t="n"/>
      <c r="T699" s="46" t="n"/>
      <c r="U699" s="44" t="n"/>
      <c r="V699" s="44">
        <f>IF(AND(P699&gt;=Calendar!$K$2,P699&lt;EDATE(Calendar!$K$2,1),OR(Calendar!$K$4="*",N699=Calendar!$K$4)),P699*100+COUNTIFS($P$6:$P$3271,P699,$Q$6:$Q$3271,"&lt;="&amp;Q699,$N$6:$N$3271,Calendar!$K$4),"")</f>
        <v/>
      </c>
      <c r="W699" s="44">
        <f>IF(AND(B699=Queue!$C$4,OR(Queue!$K$4="*",N699=Queue!$K$4)),Q699,"")</f>
        <v/>
      </c>
    </row>
    <row r="700">
      <c r="A700" s="35">
        <f>IF(M700="","",HYPERLINK("https://www.youtube.com/watch?v="&amp;M700,"▶"))</f>
        <v/>
      </c>
      <c r="B700" s="36">
        <f>IF(C700&lt;&gt;"",C700,IF(P700&lt;=IFERROR(INDEX(tblChannels[Watched Through],MATCH(N700,tblChannels[Channel ID],0)),0),"Watched","Unwatched"))</f>
        <v/>
      </c>
      <c r="C700" s="37" t="n"/>
      <c r="D700" s="38" t="n"/>
      <c r="E700" s="39" t="n">
        <v>45359.56180555555</v>
      </c>
      <c r="F700" s="47" t="inlineStr">
        <is>
          <t>Super Carlin Brothers</t>
        </is>
      </c>
      <c r="G700" t="inlineStr">
        <is>
          <t>Our Top 10 MOST Used Harry Potter Clips #shorts  #harrypotter</t>
        </is>
      </c>
      <c r="H700" s="41" t="n">
        <v>0.000625</v>
      </c>
      <c r="I700" s="42" t="n">
        <v>106765</v>
      </c>
      <c r="J700" s="42" t="n">
        <v>6556</v>
      </c>
      <c r="K700" s="42" t="n">
        <v>213</v>
      </c>
      <c r="L700" s="43" t="n"/>
      <c r="M700" s="44" t="n"/>
      <c r="N700" s="44" t="inlineStr">
        <is>
          <t>UCKZo4N0lVPccBkSiuyVh4yg</t>
        </is>
      </c>
      <c r="O700" s="45" t="n">
        <v>45359.77013888889</v>
      </c>
      <c r="P700" s="46" t="n">
        <v>45359</v>
      </c>
      <c r="Q700" s="44" t="n">
        <v>2572</v>
      </c>
      <c r="R700" s="44" t="inlineStr">
        <is>
          <t>No Video ID yet</t>
        </is>
      </c>
      <c r="S700" s="46" t="n"/>
      <c r="T700" s="46" t="n"/>
      <c r="U700" s="44" t="n"/>
      <c r="V700" s="44">
        <f>IF(AND(P700&gt;=Calendar!$K$2,P700&lt;EDATE(Calendar!$K$2,1),OR(Calendar!$K$4="*",N700=Calendar!$K$4)),P700*100+COUNTIFS($P$6:$P$3271,P700,$Q$6:$Q$3271,"&lt;="&amp;Q700,$N$6:$N$3271,Calendar!$K$4),"")</f>
        <v/>
      </c>
      <c r="W700" s="44">
        <f>IF(AND(B700=Queue!$C$4,OR(Queue!$K$4="*",N700=Queue!$K$4)),Q700,"")</f>
        <v/>
      </c>
    </row>
    <row r="701">
      <c r="A701" s="35">
        <f>IF(M701="","",HYPERLINK("https://www.youtube.com/watch?v="&amp;M701,"▶"))</f>
        <v/>
      </c>
      <c r="B701" s="36">
        <f>IF(C701&lt;&gt;"",C701,IF(P701&lt;=IFERROR(INDEX(tblChannels[Watched Through],MATCH(N701,tblChannels[Channel ID],0)),0),"Watched","Unwatched"))</f>
        <v/>
      </c>
      <c r="C701" s="37" t="n"/>
      <c r="D701" s="38" t="n"/>
      <c r="E701" s="39" t="n">
        <v>45359.41666666666</v>
      </c>
      <c r="F701" s="40" t="inlineStr">
        <is>
          <t>Popcorn Culture</t>
        </is>
      </c>
      <c r="G701" t="inlineStr">
        <is>
          <t>Little Debra | Popcorn Culture</t>
        </is>
      </c>
      <c r="H701" s="41" t="n">
        <v>0.05046296296296297</v>
      </c>
      <c r="I701" s="42" t="n">
        <v>4353</v>
      </c>
      <c r="J701" s="42" t="n">
        <v>225</v>
      </c>
      <c r="K701" s="42" t="n">
        <v>59</v>
      </c>
      <c r="L701" s="43" t="n"/>
      <c r="M701" s="44" t="n"/>
      <c r="N701" s="44" t="inlineStr">
        <is>
          <t>UCHfIbq9thHPC8yrKjAdJgDA</t>
        </is>
      </c>
      <c r="O701" s="45" t="n">
        <v>45359.625</v>
      </c>
      <c r="P701" s="46" t="n">
        <v>45359</v>
      </c>
      <c r="Q701" s="44" t="n">
        <v>2571</v>
      </c>
      <c r="R701" s="44" t="inlineStr">
        <is>
          <t>No Video ID yet</t>
        </is>
      </c>
      <c r="S701" s="46" t="n"/>
      <c r="T701" s="46" t="n"/>
      <c r="U701" s="44" t="n"/>
      <c r="V701" s="44">
        <f>IF(AND(P701&gt;=Calendar!$K$2,P701&lt;EDATE(Calendar!$K$2,1),OR(Calendar!$K$4="*",N701=Calendar!$K$4)),P701*100+COUNTIFS($P$6:$P$3271,P701,$Q$6:$Q$3271,"&lt;="&amp;Q701,$N$6:$N$3271,Calendar!$K$4),"")</f>
        <v/>
      </c>
      <c r="W701" s="44">
        <f>IF(AND(B701=Queue!$C$4,OR(Queue!$K$4="*",N701=Queue!$K$4)),Q701,"")</f>
        <v/>
      </c>
    </row>
    <row r="702">
      <c r="A702" s="35">
        <f>IF(M702="","",HYPERLINK("https://www.youtube.com/watch?v="&amp;M702,"▶"))</f>
        <v/>
      </c>
      <c r="B702" s="36">
        <f>IF(C702&lt;&gt;"",C702,IF(P702&lt;=IFERROR(INDEX(tblChannels[Watched Through],MATCH(N702,tblChannels[Channel ID],0)),0),"Watched","Unwatched"))</f>
        <v/>
      </c>
      <c r="C702" s="37" t="n"/>
      <c r="D702" s="38" t="n"/>
      <c r="E702" s="39" t="n">
        <v>45357.69513888889</v>
      </c>
      <c r="F702" s="47" t="inlineStr">
        <is>
          <t>Super Carlin Brothers</t>
        </is>
      </c>
      <c r="G702" t="inlineStr">
        <is>
          <t>Why Does Aang GOOGLE AUTOFILL | Avatar The Last Airbender</t>
        </is>
      </c>
      <c r="H702" s="41" t="n">
        <v>0.01172453703703704</v>
      </c>
      <c r="I702" s="42" t="n">
        <v>131188</v>
      </c>
      <c r="J702" s="42" t="n">
        <v>5115</v>
      </c>
      <c r="K702" s="42" t="n">
        <v>350</v>
      </c>
      <c r="L702" s="43" t="n"/>
      <c r="M702" s="44" t="n"/>
      <c r="N702" s="44" t="inlineStr">
        <is>
          <t>UCKZo4N0lVPccBkSiuyVh4yg</t>
        </is>
      </c>
      <c r="O702" s="45" t="n">
        <v>45357.90347222222</v>
      </c>
      <c r="P702" s="46" t="n">
        <v>45357</v>
      </c>
      <c r="Q702" s="44" t="n">
        <v>2570</v>
      </c>
      <c r="R702" s="44" t="inlineStr">
        <is>
          <t>No Video ID yet</t>
        </is>
      </c>
      <c r="S702" s="46" t="n"/>
      <c r="T702" s="46" t="n"/>
      <c r="U702" s="44" t="n"/>
      <c r="V702" s="44">
        <f>IF(AND(P702&gt;=Calendar!$K$2,P702&lt;EDATE(Calendar!$K$2,1),OR(Calendar!$K$4="*",N702=Calendar!$K$4)),P702*100+COUNTIFS($P$6:$P$3271,P702,$Q$6:$Q$3271,"&lt;="&amp;Q702,$N$6:$N$3271,Calendar!$K$4),"")</f>
        <v/>
      </c>
      <c r="W702" s="44">
        <f>IF(AND(B702=Queue!$C$4,OR(Queue!$K$4="*",N702=Queue!$K$4)),Q702,"")</f>
        <v/>
      </c>
    </row>
    <row r="703">
      <c r="A703" s="35">
        <f>IF(M703="","",HYPERLINK("https://www.youtube.com/watch?v="&amp;M703,"▶"))</f>
        <v/>
      </c>
      <c r="B703" s="36">
        <f>IF(C703&lt;&gt;"",C703,IF(P703&lt;=IFERROR(INDEX(tblChannels[Watched Through],MATCH(N703,tblChannels[Channel ID],0)),0),"Watched","Unwatched"))</f>
        <v/>
      </c>
      <c r="C703" s="37" t="n"/>
      <c r="D703" s="38" t="n"/>
      <c r="E703" s="39" t="n">
        <v>45354.41666666666</v>
      </c>
      <c r="F703" s="48" t="inlineStr">
        <is>
          <t>Through The Griffin Door</t>
        </is>
      </c>
      <c r="G703" t="inlineStr">
        <is>
          <t>Chapter 7: Mudbloods and Murmurs | Chamber of Secrets</t>
        </is>
      </c>
      <c r="H703" s="41" t="n">
        <v>0.04990740740740741</v>
      </c>
      <c r="I703" s="42" t="n">
        <v>78542</v>
      </c>
      <c r="J703" s="42" t="n">
        <v>2182</v>
      </c>
      <c r="K703" s="42" t="n">
        <v>401</v>
      </c>
      <c r="L703" s="43" t="n"/>
      <c r="M703" s="44" t="n"/>
      <c r="N703" s="44" t="inlineStr">
        <is>
          <t>UCEscP6ETYXWSSvsNrDHekMQ</t>
        </is>
      </c>
      <c r="O703" s="45" t="n">
        <v>45354.625</v>
      </c>
      <c r="P703" s="46" t="n">
        <v>45354</v>
      </c>
      <c r="Q703" s="44" t="n">
        <v>2569</v>
      </c>
      <c r="R703" s="44" t="inlineStr">
        <is>
          <t>No Video ID yet</t>
        </is>
      </c>
      <c r="S703" s="46" t="n"/>
      <c r="T703" s="46" t="n"/>
      <c r="U703" s="44" t="n"/>
      <c r="V703" s="44">
        <f>IF(AND(P703&gt;=Calendar!$K$2,P703&lt;EDATE(Calendar!$K$2,1),OR(Calendar!$K$4="*",N703=Calendar!$K$4)),P703*100+COUNTIFS($P$6:$P$3271,P703,$Q$6:$Q$3271,"&lt;="&amp;Q703,$N$6:$N$3271,Calendar!$K$4),"")</f>
        <v/>
      </c>
      <c r="W703" s="44">
        <f>IF(AND(B703=Queue!$C$4,OR(Queue!$K$4="*",N703=Queue!$K$4)),Q703,"")</f>
        <v/>
      </c>
    </row>
    <row r="704">
      <c r="A704" s="35">
        <f>IF(M704="","",HYPERLINK("https://www.youtube.com/watch?v="&amp;M704,"▶"))</f>
        <v/>
      </c>
      <c r="B704" s="36">
        <f>IF(C704&lt;&gt;"",C704,IF(P704&lt;=IFERROR(INDEX(tblChannels[Watched Through],MATCH(N704,tblChannels[Channel ID],0)),0),"Watched","Unwatched"))</f>
        <v/>
      </c>
      <c r="C704" s="37" t="n"/>
      <c r="D704" s="38" t="n"/>
      <c r="E704" s="39" t="n">
        <v>45352.575</v>
      </c>
      <c r="F704" s="47" t="inlineStr">
        <is>
          <t>Super Carlin Brothers</t>
        </is>
      </c>
      <c r="G704" t="inlineStr">
        <is>
          <t>J vs Ben: HARDEST Ron Weasley Harry Potter TRIVIA Quiz Ever</t>
        </is>
      </c>
      <c r="H704" s="41" t="n">
        <v>0.02938657407407408</v>
      </c>
      <c r="I704" s="42" t="n">
        <v>190813</v>
      </c>
      <c r="J704" s="42" t="n">
        <v>5456</v>
      </c>
      <c r="K704" s="42" t="n">
        <v>513</v>
      </c>
      <c r="L704" s="43" t="n"/>
      <c r="M704" s="44" t="n"/>
      <c r="N704" s="44" t="inlineStr">
        <is>
          <t>UCKZo4N0lVPccBkSiuyVh4yg</t>
        </is>
      </c>
      <c r="O704" s="45" t="n">
        <v>45352.78333333333</v>
      </c>
      <c r="P704" s="46" t="n">
        <v>45352</v>
      </c>
      <c r="Q704" s="44" t="n">
        <v>2568</v>
      </c>
      <c r="R704" s="44" t="inlineStr">
        <is>
          <t>No Video ID yet</t>
        </is>
      </c>
      <c r="S704" s="46" t="n"/>
      <c r="T704" s="46" t="n"/>
      <c r="U704" s="44" t="n"/>
      <c r="V704" s="44">
        <f>IF(AND(P704&gt;=Calendar!$K$2,P704&lt;EDATE(Calendar!$K$2,1),OR(Calendar!$K$4="*",N704=Calendar!$K$4)),P704*100+COUNTIFS($P$6:$P$3271,P704,$Q$6:$Q$3271,"&lt;="&amp;Q704,$N$6:$N$3271,Calendar!$K$4),"")</f>
        <v/>
      </c>
      <c r="W704" s="44">
        <f>IF(AND(B704=Queue!$C$4,OR(Queue!$K$4="*",N704=Queue!$K$4)),Q704,"")</f>
        <v/>
      </c>
    </row>
    <row r="705">
      <c r="A705" s="35">
        <f>IF(M705="","",HYPERLINK("https://www.youtube.com/watch?v="&amp;M705,"▶"))</f>
        <v/>
      </c>
      <c r="B705" s="36">
        <f>IF(C705&lt;&gt;"",C705,IF(P705&lt;=IFERROR(INDEX(tblChannels[Watched Through],MATCH(N705,tblChannels[Channel ID],0)),0),"Watched","Unwatched"))</f>
        <v/>
      </c>
      <c r="C705" s="37" t="n"/>
      <c r="D705" s="38" t="n"/>
      <c r="E705" s="39" t="n">
        <v>45352.41666666666</v>
      </c>
      <c r="F705" s="40" t="inlineStr">
        <is>
          <t>Popcorn Culture</t>
        </is>
      </c>
      <c r="G705" t="inlineStr">
        <is>
          <t>NEVER BACK DOWN | Popcorn Culture</t>
        </is>
      </c>
      <c r="H705" s="41" t="n">
        <v>0.05347222222222222</v>
      </c>
      <c r="I705" s="42" t="n">
        <v>4335</v>
      </c>
      <c r="J705" s="42" t="n">
        <v>207</v>
      </c>
      <c r="K705" s="42" t="n">
        <v>39</v>
      </c>
      <c r="L705" s="43" t="n"/>
      <c r="M705" s="44" t="n"/>
      <c r="N705" s="44" t="inlineStr">
        <is>
          <t>UCHfIbq9thHPC8yrKjAdJgDA</t>
        </is>
      </c>
      <c r="O705" s="45" t="n">
        <v>45352.625</v>
      </c>
      <c r="P705" s="46" t="n">
        <v>45352</v>
      </c>
      <c r="Q705" s="44" t="n">
        <v>2567</v>
      </c>
      <c r="R705" s="44" t="inlineStr">
        <is>
          <t>No Video ID yet</t>
        </is>
      </c>
      <c r="S705" s="46" t="n"/>
      <c r="T705" s="46" t="n"/>
      <c r="U705" s="44" t="n"/>
      <c r="V705" s="44">
        <f>IF(AND(P705&gt;=Calendar!$K$2,P705&lt;EDATE(Calendar!$K$2,1),OR(Calendar!$K$4="*",N705=Calendar!$K$4)),P705*100+COUNTIFS($P$6:$P$3271,P705,$Q$6:$Q$3271,"&lt;="&amp;Q705,$N$6:$N$3271,Calendar!$K$4),"")</f>
        <v/>
      </c>
      <c r="W705" s="44">
        <f>IF(AND(B705=Queue!$C$4,OR(Queue!$K$4="*",N705=Queue!$K$4)),Q705,"")</f>
        <v/>
      </c>
    </row>
    <row r="706">
      <c r="A706" s="35">
        <f>IF(M706="","",HYPERLINK("https://www.youtube.com/watch?v="&amp;M706,"▶"))</f>
        <v/>
      </c>
      <c r="B706" s="36">
        <f>IF(C706&lt;&gt;"",C706,IF(P706&lt;=IFERROR(INDEX(tblChannels[Watched Through],MATCH(N706,tblChannels[Channel ID],0)),0),"Watched","Unwatched"))</f>
        <v/>
      </c>
      <c r="C706" s="37" t="n"/>
      <c r="D706" s="38" t="n"/>
      <c r="E706" s="39" t="n">
        <v>45350.77083333334</v>
      </c>
      <c r="F706" s="49" t="inlineStr">
        <is>
          <t>Super Carlin Gaming</t>
        </is>
      </c>
      <c r="G706" t="inlineStr">
        <is>
          <t>In Fate's Hands | Carlin Brothers Box Breakers S9E4</t>
        </is>
      </c>
      <c r="H706" s="41" t="n">
        <v>0.02827546296296296</v>
      </c>
      <c r="I706" s="42" t="n">
        <v>1233</v>
      </c>
      <c r="J706" s="42" t="n">
        <v>79</v>
      </c>
      <c r="K706" s="42" t="n">
        <v>10</v>
      </c>
      <c r="L706" s="43" t="n"/>
      <c r="M706" s="44" t="n"/>
      <c r="N706" s="44" t="inlineStr">
        <is>
          <t>UCor_9jRnNNZVzTuQ92PKsaQ</t>
        </is>
      </c>
      <c r="O706" s="45" t="n">
        <v>45350.97916666666</v>
      </c>
      <c r="P706" s="46" t="n">
        <v>45350</v>
      </c>
      <c r="Q706" s="44" t="n">
        <v>2566</v>
      </c>
      <c r="R706" s="44" t="inlineStr">
        <is>
          <t>No Video ID yet</t>
        </is>
      </c>
      <c r="S706" s="46" t="n"/>
      <c r="T706" s="46" t="n"/>
      <c r="U706" s="44" t="n"/>
      <c r="V706" s="44">
        <f>IF(AND(P706&gt;=Calendar!$K$2,P706&lt;EDATE(Calendar!$K$2,1),OR(Calendar!$K$4="*",N706=Calendar!$K$4)),P706*100+COUNTIFS($P$6:$P$3271,P706,$Q$6:$Q$3271,"&lt;="&amp;Q706,$N$6:$N$3271,Calendar!$K$4),"")</f>
        <v/>
      </c>
      <c r="W706" s="44">
        <f>IF(AND(B706=Queue!$C$4,OR(Queue!$K$4="*",N706=Queue!$K$4)),Q706,"")</f>
        <v/>
      </c>
    </row>
    <row r="707">
      <c r="A707" s="35">
        <f>IF(M707="","",HYPERLINK("https://www.youtube.com/watch?v="&amp;M707,"▶"))</f>
        <v/>
      </c>
      <c r="B707" s="36">
        <f>IF(C707&lt;&gt;"",C707,IF(P707&lt;=IFERROR(INDEX(tblChannels[Watched Through],MATCH(N707,tblChannels[Channel ID],0)),0),"Watched","Unwatched"))</f>
        <v/>
      </c>
      <c r="C707" s="37" t="n"/>
      <c r="D707" s="38" t="n"/>
      <c r="E707" s="39" t="n">
        <v>45350.70625</v>
      </c>
      <c r="F707" s="47" t="inlineStr">
        <is>
          <t>Super Carlin Brothers</t>
        </is>
      </c>
      <c r="G707" t="inlineStr">
        <is>
          <t>Who Are Aang’s Parents | Avatar the Last Airbender Film Theory</t>
        </is>
      </c>
      <c r="H707" s="41" t="n">
        <v>0.01150462962962963</v>
      </c>
      <c r="I707" s="42" t="n">
        <v>89665</v>
      </c>
      <c r="J707" s="42" t="n">
        <v>4659</v>
      </c>
      <c r="K707" s="42" t="n">
        <v>358</v>
      </c>
      <c r="L707" s="43" t="n"/>
      <c r="M707" s="44" t="n"/>
      <c r="N707" s="44" t="inlineStr">
        <is>
          <t>UCKZo4N0lVPccBkSiuyVh4yg</t>
        </is>
      </c>
      <c r="O707" s="45" t="n">
        <v>45350.91458333333</v>
      </c>
      <c r="P707" s="46" t="n">
        <v>45350</v>
      </c>
      <c r="Q707" s="44" t="n">
        <v>2565</v>
      </c>
      <c r="R707" s="44" t="inlineStr">
        <is>
          <t>No Video ID yet</t>
        </is>
      </c>
      <c r="S707" s="46" t="n"/>
      <c r="T707" s="46" t="n"/>
      <c r="U707" s="44" t="n"/>
      <c r="V707" s="44">
        <f>IF(AND(P707&gt;=Calendar!$K$2,P707&lt;EDATE(Calendar!$K$2,1),OR(Calendar!$K$4="*",N707=Calendar!$K$4)),P707*100+COUNTIFS($P$6:$P$3271,P707,$Q$6:$Q$3271,"&lt;="&amp;Q707,$N$6:$N$3271,Calendar!$K$4),"")</f>
        <v/>
      </c>
      <c r="W707" s="44">
        <f>IF(AND(B707=Queue!$C$4,OR(Queue!$K$4="*",N707=Queue!$K$4)),Q707,"")</f>
        <v/>
      </c>
    </row>
    <row r="708">
      <c r="A708" s="35">
        <f>IF(M708="","",HYPERLINK("https://www.youtube.com/watch?v="&amp;M708,"▶"))</f>
        <v/>
      </c>
      <c r="B708" s="36">
        <f>IF(C708&lt;&gt;"",C708,IF(P708&lt;=IFERROR(INDEX(tblChannels[Watched Through],MATCH(N708,tblChannels[Channel ID],0)),0),"Watched","Unwatched"))</f>
        <v/>
      </c>
      <c r="C708" s="37" t="n"/>
      <c r="D708" s="38" t="n"/>
      <c r="E708" s="39" t="n">
        <v>45347.41666666666</v>
      </c>
      <c r="F708" s="48" t="inlineStr">
        <is>
          <t>Through The Griffin Door</t>
        </is>
      </c>
      <c r="G708" t="inlineStr">
        <is>
          <t>Chapter 6: Gilderoy Lockhart | Chamber of Secrets</t>
        </is>
      </c>
      <c r="H708" s="41" t="n">
        <v>0.05015046296296297</v>
      </c>
      <c r="I708" s="42" t="n">
        <v>79805</v>
      </c>
      <c r="J708" s="42" t="n">
        <v>2788</v>
      </c>
      <c r="K708" s="42" t="n">
        <v>598</v>
      </c>
      <c r="L708" s="43" t="n"/>
      <c r="M708" s="44" t="n"/>
      <c r="N708" s="44" t="inlineStr">
        <is>
          <t>UCEscP6ETYXWSSvsNrDHekMQ</t>
        </is>
      </c>
      <c r="O708" s="45" t="n">
        <v>45347.625</v>
      </c>
      <c r="P708" s="46" t="n">
        <v>45347</v>
      </c>
      <c r="Q708" s="44" t="n">
        <v>2564</v>
      </c>
      <c r="R708" s="44" t="inlineStr">
        <is>
          <t>No Video ID yet</t>
        </is>
      </c>
      <c r="S708" s="46" t="n"/>
      <c r="T708" s="46" t="n"/>
      <c r="U708" s="44" t="n"/>
      <c r="V708" s="44">
        <f>IF(AND(P708&gt;=Calendar!$K$2,P708&lt;EDATE(Calendar!$K$2,1),OR(Calendar!$K$4="*",N708=Calendar!$K$4)),P708*100+COUNTIFS($P$6:$P$3271,P708,$Q$6:$Q$3271,"&lt;="&amp;Q708,$N$6:$N$3271,Calendar!$K$4),"")</f>
        <v/>
      </c>
      <c r="W708" s="44">
        <f>IF(AND(B708=Queue!$C$4,OR(Queue!$K$4="*",N708=Queue!$K$4)),Q708,"")</f>
        <v/>
      </c>
    </row>
    <row r="709">
      <c r="A709" s="35">
        <f>IF(M709="","",HYPERLINK("https://www.youtube.com/watch?v="&amp;M709,"▶"))</f>
        <v/>
      </c>
      <c r="B709" s="36">
        <f>IF(C709&lt;&gt;"",C709,IF(P709&lt;=IFERROR(INDEX(tblChannels[Watched Through],MATCH(N709,tblChannels[Channel ID],0)),0),"Watched","Unwatched"))</f>
        <v/>
      </c>
      <c r="C709" s="37" t="n"/>
      <c r="D709" s="38" t="n"/>
      <c r="E709" s="39" t="n">
        <v>45345.75</v>
      </c>
      <c r="F709" s="47" t="inlineStr">
        <is>
          <t>Super Carlin Brothers</t>
        </is>
      </c>
      <c r="G709" t="inlineStr">
        <is>
          <t>What If James Kept The Invisibility Cloak Part 5 | Harry Potter Film Theory</t>
        </is>
      </c>
      <c r="H709" s="41" t="n">
        <v>0.0172337962962963</v>
      </c>
      <c r="I709" s="42" t="n">
        <v>113264</v>
      </c>
      <c r="J709" s="42" t="n">
        <v>5543</v>
      </c>
      <c r="K709" s="42" t="n">
        <v>558</v>
      </c>
      <c r="L709" s="43" t="n"/>
      <c r="M709" s="44" t="n"/>
      <c r="N709" s="44" t="inlineStr">
        <is>
          <t>UCKZo4N0lVPccBkSiuyVh4yg</t>
        </is>
      </c>
      <c r="O709" s="45" t="n">
        <v>45345.95833333334</v>
      </c>
      <c r="P709" s="46" t="n">
        <v>45345</v>
      </c>
      <c r="Q709" s="44" t="n">
        <v>2563</v>
      </c>
      <c r="R709" s="44" t="inlineStr">
        <is>
          <t>No Video ID yet</t>
        </is>
      </c>
      <c r="S709" s="46" t="n"/>
      <c r="T709" s="46" t="n"/>
      <c r="U709" s="44" t="n"/>
      <c r="V709" s="44">
        <f>IF(AND(P709&gt;=Calendar!$K$2,P709&lt;EDATE(Calendar!$K$2,1),OR(Calendar!$K$4="*",N709=Calendar!$K$4)),P709*100+COUNTIFS($P$6:$P$3271,P709,$Q$6:$Q$3271,"&lt;="&amp;Q709,$N$6:$N$3271,Calendar!$K$4),"")</f>
        <v/>
      </c>
      <c r="W709" s="44">
        <f>IF(AND(B709=Queue!$C$4,OR(Queue!$K$4="*",N709=Queue!$K$4)),Q709,"")</f>
        <v/>
      </c>
    </row>
    <row r="710">
      <c r="A710" s="35">
        <f>IF(M710="","",HYPERLINK("https://www.youtube.com/watch?v="&amp;M710,"▶"))</f>
        <v/>
      </c>
      <c r="B710" s="36">
        <f>IF(C710&lt;&gt;"",C710,IF(P710&lt;=IFERROR(INDEX(tblChannels[Watched Through],MATCH(N710,tblChannels[Channel ID],0)),0),"Watched","Unwatched"))</f>
        <v/>
      </c>
      <c r="C710" s="37" t="n"/>
      <c r="D710" s="38" t="n"/>
      <c r="E710" s="39" t="n">
        <v>45345.41666666666</v>
      </c>
      <c r="F710" s="40" t="inlineStr">
        <is>
          <t>Popcorn Culture</t>
        </is>
      </c>
      <c r="G710" t="inlineStr">
        <is>
          <t>The Flow State | Popcorn Culture</t>
        </is>
      </c>
      <c r="H710" s="41" t="n">
        <v>0.04517361111111111</v>
      </c>
      <c r="I710" s="42" t="n">
        <v>3987</v>
      </c>
      <c r="J710" s="42" t="n">
        <v>216</v>
      </c>
      <c r="K710" s="42" t="n">
        <v>38</v>
      </c>
      <c r="L710" s="43" t="n"/>
      <c r="M710" s="44" t="n"/>
      <c r="N710" s="44" t="inlineStr">
        <is>
          <t>UCHfIbq9thHPC8yrKjAdJgDA</t>
        </is>
      </c>
      <c r="O710" s="45" t="n">
        <v>45345.625</v>
      </c>
      <c r="P710" s="46" t="n">
        <v>45345</v>
      </c>
      <c r="Q710" s="44" t="n">
        <v>2562</v>
      </c>
      <c r="R710" s="44" t="inlineStr">
        <is>
          <t>No Video ID yet</t>
        </is>
      </c>
      <c r="S710" s="46" t="n"/>
      <c r="T710" s="46" t="n"/>
      <c r="U710" s="44" t="n"/>
      <c r="V710" s="44">
        <f>IF(AND(P710&gt;=Calendar!$K$2,P710&lt;EDATE(Calendar!$K$2,1),OR(Calendar!$K$4="*",N710=Calendar!$K$4)),P710*100+COUNTIFS($P$6:$P$3271,P710,$Q$6:$Q$3271,"&lt;="&amp;Q710,$N$6:$N$3271,Calendar!$K$4),"")</f>
        <v/>
      </c>
      <c r="W710" s="44">
        <f>IF(AND(B710=Queue!$C$4,OR(Queue!$K$4="*",N710=Queue!$K$4)),Q710,"")</f>
        <v/>
      </c>
    </row>
    <row r="711">
      <c r="A711" s="35">
        <f>IF(M711="","",HYPERLINK("https://www.youtube.com/watch?v="&amp;M711,"▶"))</f>
        <v/>
      </c>
      <c r="B711" s="36">
        <f>IF(C711&lt;&gt;"",C711,IF(P711&lt;=IFERROR(INDEX(tblChannels[Watched Through],MATCH(N711,tblChannels[Channel ID],0)),0),"Watched","Unwatched"))</f>
        <v/>
      </c>
      <c r="C711" s="37" t="n"/>
      <c r="D711" s="38" t="n"/>
      <c r="E711" s="39" t="n">
        <v>45344.77083333334</v>
      </c>
      <c r="F711" s="49" t="inlineStr">
        <is>
          <t>Super Carlin Gaming</t>
        </is>
      </c>
      <c r="G711" t="inlineStr">
        <is>
          <t>WE GOT A CHARIZARD | Carlin Brothers Box Breakers S9E3</t>
        </is>
      </c>
      <c r="H711" s="41" t="n">
        <v>0.03003472222222222</v>
      </c>
      <c r="I711" s="42" t="n">
        <v>1439</v>
      </c>
      <c r="J711" s="42" t="n">
        <v>80</v>
      </c>
      <c r="K711" s="42" t="n">
        <v>4</v>
      </c>
      <c r="L711" s="43" t="n"/>
      <c r="M711" s="44" t="n"/>
      <c r="N711" s="44" t="inlineStr">
        <is>
          <t>UCor_9jRnNNZVzTuQ92PKsaQ</t>
        </is>
      </c>
      <c r="O711" s="45" t="n">
        <v>45344.97916666666</v>
      </c>
      <c r="P711" s="46" t="n">
        <v>45344</v>
      </c>
      <c r="Q711" s="44" t="n">
        <v>2561</v>
      </c>
      <c r="R711" s="44" t="inlineStr">
        <is>
          <t>No Video ID yet</t>
        </is>
      </c>
      <c r="S711" s="46" t="n"/>
      <c r="T711" s="46" t="n"/>
      <c r="U711" s="44" t="n"/>
      <c r="V711" s="44">
        <f>IF(AND(P711&gt;=Calendar!$K$2,P711&lt;EDATE(Calendar!$K$2,1),OR(Calendar!$K$4="*",N711=Calendar!$K$4)),P711*100+COUNTIFS($P$6:$P$3271,P711,$Q$6:$Q$3271,"&lt;="&amp;Q711,$N$6:$N$3271,Calendar!$K$4),"")</f>
        <v/>
      </c>
      <c r="W711" s="44">
        <f>IF(AND(B711=Queue!$C$4,OR(Queue!$K$4="*",N711=Queue!$K$4)),Q711,"")</f>
        <v/>
      </c>
    </row>
    <row r="712">
      <c r="A712" s="35">
        <f>IF(M712="","",HYPERLINK("https://www.youtube.com/watch?v="&amp;M712,"▶"))</f>
        <v/>
      </c>
      <c r="B712" s="36">
        <f>IF(C712&lt;&gt;"",C712,IF(P712&lt;=IFERROR(INDEX(tblChannels[Watched Through],MATCH(N712,tblChannels[Channel ID],0)),0),"Watched","Unwatched"))</f>
        <v/>
      </c>
      <c r="C712" s="37" t="n"/>
      <c r="D712" s="38" t="n"/>
      <c r="E712" s="39" t="n">
        <v>45344.65555555555</v>
      </c>
      <c r="F712" s="47" t="inlineStr">
        <is>
          <t>Super Carlin Brothers</t>
        </is>
      </c>
      <c r="G712" t="inlineStr">
        <is>
          <t>The TOP 5 Best Avatar The Last Airbender Theories</t>
        </is>
      </c>
      <c r="H712" s="41" t="n">
        <v>0.04333333333333333</v>
      </c>
      <c r="I712" s="42" t="n">
        <v>252511</v>
      </c>
      <c r="J712" s="42" t="n">
        <v>7008</v>
      </c>
      <c r="K712" s="42" t="n">
        <v>818</v>
      </c>
      <c r="L712" s="43" t="n"/>
      <c r="M712" s="44" t="n"/>
      <c r="N712" s="44" t="inlineStr">
        <is>
          <t>UCKZo4N0lVPccBkSiuyVh4yg</t>
        </is>
      </c>
      <c r="O712" s="45" t="n">
        <v>45344.86388888889</v>
      </c>
      <c r="P712" s="46" t="n">
        <v>45344</v>
      </c>
      <c r="Q712" s="44" t="n">
        <v>2560</v>
      </c>
      <c r="R712" s="44" t="inlineStr">
        <is>
          <t>No Video ID yet</t>
        </is>
      </c>
      <c r="S712" s="46" t="n"/>
      <c r="T712" s="46" t="n"/>
      <c r="U712" s="44" t="n"/>
      <c r="V712" s="44">
        <f>IF(AND(P712&gt;=Calendar!$K$2,P712&lt;EDATE(Calendar!$K$2,1),OR(Calendar!$K$4="*",N712=Calendar!$K$4)),P712*100+COUNTIFS($P$6:$P$3271,P712,$Q$6:$Q$3271,"&lt;="&amp;Q712,$N$6:$N$3271,Calendar!$K$4),"")</f>
        <v/>
      </c>
      <c r="W712" s="44">
        <f>IF(AND(B712=Queue!$C$4,OR(Queue!$K$4="*",N712=Queue!$K$4)),Q712,"")</f>
        <v/>
      </c>
    </row>
    <row r="713">
      <c r="A713" s="35">
        <f>IF(M713="","",HYPERLINK("https://www.youtube.com/watch?v="&amp;M713,"▶"))</f>
        <v/>
      </c>
      <c r="B713" s="36">
        <f>IF(C713&lt;&gt;"",C713,IF(P713&lt;=IFERROR(INDEX(tblChannels[Watched Through],MATCH(N713,tblChannels[Channel ID],0)),0),"Watched","Unwatched"))</f>
        <v/>
      </c>
      <c r="C713" s="37" t="n"/>
      <c r="D713" s="38" t="n"/>
      <c r="E713" s="39" t="n">
        <v>45343.71319444444</v>
      </c>
      <c r="F713" s="47" t="inlineStr">
        <is>
          <t>Super Carlin Brothers</t>
        </is>
      </c>
      <c r="G713" t="inlineStr">
        <is>
          <t>How Do Horcruxes ACTUALLY Work | Harry Potter Film Theory</t>
        </is>
      </c>
      <c r="H713" s="41" t="n">
        <v>0.01163194444444444</v>
      </c>
      <c r="I713" s="42" t="n">
        <v>174413</v>
      </c>
      <c r="J713" s="42" t="n">
        <v>7174</v>
      </c>
      <c r="K713" s="42" t="n">
        <v>823</v>
      </c>
      <c r="L713" s="43" t="n"/>
      <c r="M713" s="44" t="n"/>
      <c r="N713" s="44" t="inlineStr">
        <is>
          <t>UCKZo4N0lVPccBkSiuyVh4yg</t>
        </is>
      </c>
      <c r="O713" s="45" t="n">
        <v>45343.92152777778</v>
      </c>
      <c r="P713" s="46" t="n">
        <v>45343</v>
      </c>
      <c r="Q713" s="44" t="n">
        <v>2559</v>
      </c>
      <c r="R713" s="44" t="inlineStr">
        <is>
          <t>No Video ID yet</t>
        </is>
      </c>
      <c r="S713" s="46" t="n"/>
      <c r="T713" s="46" t="n"/>
      <c r="U713" s="44" t="n"/>
      <c r="V713" s="44">
        <f>IF(AND(P713&gt;=Calendar!$K$2,P713&lt;EDATE(Calendar!$K$2,1),OR(Calendar!$K$4="*",N713=Calendar!$K$4)),P713*100+COUNTIFS($P$6:$P$3271,P713,$Q$6:$Q$3271,"&lt;="&amp;Q713,$N$6:$N$3271,Calendar!$K$4),"")</f>
        <v/>
      </c>
      <c r="W713" s="44">
        <f>IF(AND(B713=Queue!$C$4,OR(Queue!$K$4="*",N713=Queue!$K$4)),Q713,"")</f>
        <v/>
      </c>
    </row>
    <row r="714">
      <c r="A714" s="35">
        <f>IF(M714="","",HYPERLINK("https://www.youtube.com/watch?v="&amp;M714,"▶"))</f>
        <v/>
      </c>
      <c r="B714" s="36">
        <f>IF(C714&lt;&gt;"",C714,IF(P714&lt;=IFERROR(INDEX(tblChannels[Watched Through],MATCH(N714,tblChannels[Channel ID],0)),0),"Watched","Unwatched"))</f>
        <v/>
      </c>
      <c r="C714" s="37" t="n"/>
      <c r="D714" s="38" t="n"/>
      <c r="E714" s="39" t="n">
        <v>45341.64583333334</v>
      </c>
      <c r="F714" s="49" t="inlineStr">
        <is>
          <t>Super Carlin Gaming</t>
        </is>
      </c>
      <c r="G714" t="inlineStr">
        <is>
          <t>Grass Still Dominating? | Carlin Brothers Box Breakers S9E2</t>
        </is>
      </c>
      <c r="H714" s="41" t="n">
        <v>0.0347337962962963</v>
      </c>
      <c r="I714" s="42" t="n">
        <v>1426</v>
      </c>
      <c r="J714" s="42" t="n">
        <v>85</v>
      </c>
      <c r="K714" s="42" t="n">
        <v>10</v>
      </c>
      <c r="L714" s="43" t="n"/>
      <c r="M714" s="44" t="n"/>
      <c r="N714" s="44" t="inlineStr">
        <is>
          <t>UCor_9jRnNNZVzTuQ92PKsaQ</t>
        </is>
      </c>
      <c r="O714" s="45" t="n">
        <v>45341.85416666666</v>
      </c>
      <c r="P714" s="46" t="n">
        <v>45341</v>
      </c>
      <c r="Q714" s="44" t="n">
        <v>2558</v>
      </c>
      <c r="R714" s="44" t="inlineStr">
        <is>
          <t>No Video ID yet</t>
        </is>
      </c>
      <c r="S714" s="46" t="n"/>
      <c r="T714" s="46" t="n"/>
      <c r="U714" s="44" t="n"/>
      <c r="V714" s="44">
        <f>IF(AND(P714&gt;=Calendar!$K$2,P714&lt;EDATE(Calendar!$K$2,1),OR(Calendar!$K$4="*",N714=Calendar!$K$4)),P714*100+COUNTIFS($P$6:$P$3271,P714,$Q$6:$Q$3271,"&lt;="&amp;Q714,$N$6:$N$3271,Calendar!$K$4),"")</f>
        <v/>
      </c>
      <c r="W714" s="44">
        <f>IF(AND(B714=Queue!$C$4,OR(Queue!$K$4="*",N714=Queue!$K$4)),Q714,"")</f>
        <v/>
      </c>
    </row>
    <row r="715">
      <c r="A715" s="35">
        <f>IF(M715="","",HYPERLINK("https://www.youtube.com/watch?v="&amp;M715,"▶"))</f>
        <v/>
      </c>
      <c r="B715" s="36">
        <f>IF(C715&lt;&gt;"",C715,IF(P715&lt;=IFERROR(INDEX(tblChannels[Watched Through],MATCH(N715,tblChannels[Channel ID],0)),0),"Watched","Unwatched"))</f>
        <v/>
      </c>
      <c r="C715" s="37" t="n"/>
      <c r="D715" s="38" t="n"/>
      <c r="E715" s="39" t="n">
        <v>45340.41666666666</v>
      </c>
      <c r="F715" s="48" t="inlineStr">
        <is>
          <t>Through The Griffin Door</t>
        </is>
      </c>
      <c r="G715" t="inlineStr">
        <is>
          <t>Chapter 5: The Whomping Willow | Chamber of Secrets</t>
        </is>
      </c>
      <c r="H715" s="41" t="n">
        <v>0.03887731481481482</v>
      </c>
      <c r="I715" s="42" t="n">
        <v>72447</v>
      </c>
      <c r="J715" s="42" t="n">
        <v>2149</v>
      </c>
      <c r="K715" s="42" t="n">
        <v>409</v>
      </c>
      <c r="L715" s="43" t="n"/>
      <c r="M715" s="44" t="n"/>
      <c r="N715" s="44" t="inlineStr">
        <is>
          <t>UCEscP6ETYXWSSvsNrDHekMQ</t>
        </is>
      </c>
      <c r="O715" s="45" t="n">
        <v>45340.625</v>
      </c>
      <c r="P715" s="46" t="n">
        <v>45340</v>
      </c>
      <c r="Q715" s="44" t="n">
        <v>2557</v>
      </c>
      <c r="R715" s="44" t="inlineStr">
        <is>
          <t>No Video ID yet</t>
        </is>
      </c>
      <c r="S715" s="46" t="n"/>
      <c r="T715" s="46" t="n"/>
      <c r="U715" s="44" t="n"/>
      <c r="V715" s="44">
        <f>IF(AND(P715&gt;=Calendar!$K$2,P715&lt;EDATE(Calendar!$K$2,1),OR(Calendar!$K$4="*",N715=Calendar!$K$4)),P715*100+COUNTIFS($P$6:$P$3271,P715,$Q$6:$Q$3271,"&lt;="&amp;Q715,$N$6:$N$3271,Calendar!$K$4),"")</f>
        <v/>
      </c>
      <c r="W715" s="44">
        <f>IF(AND(B715=Queue!$C$4,OR(Queue!$K$4="*",N715=Queue!$K$4)),Q715,"")</f>
        <v/>
      </c>
    </row>
    <row r="716">
      <c r="A716" s="35">
        <f>IF(M716="","",HYPERLINK("https://www.youtube.com/watch?v="&amp;M716,"▶"))</f>
        <v/>
      </c>
      <c r="B716" s="36">
        <f>IF(C716&lt;&gt;"",C716,IF(P716&lt;=IFERROR(INDEX(tblChannels[Watched Through],MATCH(N716,tblChannels[Channel ID],0)),0),"Watched","Unwatched"))</f>
        <v/>
      </c>
      <c r="C716" s="37" t="n"/>
      <c r="D716" s="38" t="n"/>
      <c r="E716" s="39" t="n">
        <v>45338.74375</v>
      </c>
      <c r="F716" s="47" t="inlineStr">
        <is>
          <t>Super Carlin Brothers</t>
        </is>
      </c>
      <c r="G716" t="inlineStr">
        <is>
          <t>What If James Kept The Invisibility Cloak - Part 4 | Harry Potter Film Theory</t>
        </is>
      </c>
      <c r="H716" s="41" t="n">
        <v>0.01686342592592593</v>
      </c>
      <c r="I716" s="42" t="n">
        <v>132290</v>
      </c>
      <c r="J716" s="42" t="n">
        <v>5845</v>
      </c>
      <c r="K716" s="42" t="n">
        <v>574</v>
      </c>
      <c r="L716" s="43" t="n"/>
      <c r="M716" s="44" t="n"/>
      <c r="N716" s="44" t="inlineStr">
        <is>
          <t>UCKZo4N0lVPccBkSiuyVh4yg</t>
        </is>
      </c>
      <c r="O716" s="45" t="n">
        <v>45338.95208333333</v>
      </c>
      <c r="P716" s="46" t="n">
        <v>45338</v>
      </c>
      <c r="Q716" s="44" t="n">
        <v>2556</v>
      </c>
      <c r="R716" s="44" t="inlineStr">
        <is>
          <t>No Video ID yet</t>
        </is>
      </c>
      <c r="S716" s="46" t="n"/>
      <c r="T716" s="46" t="n"/>
      <c r="U716" s="44" t="n"/>
      <c r="V716" s="44">
        <f>IF(AND(P716&gt;=Calendar!$K$2,P716&lt;EDATE(Calendar!$K$2,1),OR(Calendar!$K$4="*",N716=Calendar!$K$4)),P716*100+COUNTIFS($P$6:$P$3271,P716,$Q$6:$Q$3271,"&lt;="&amp;Q716,$N$6:$N$3271,Calendar!$K$4),"")</f>
        <v/>
      </c>
      <c r="W716" s="44">
        <f>IF(AND(B716=Queue!$C$4,OR(Queue!$K$4="*",N716=Queue!$K$4)),Q716,"")</f>
        <v/>
      </c>
    </row>
    <row r="717">
      <c r="A717" s="35">
        <f>IF(M717="","",HYPERLINK("https://www.youtube.com/watch?v="&amp;M717,"▶"))</f>
        <v/>
      </c>
      <c r="B717" s="36">
        <f>IF(C717&lt;&gt;"",C717,IF(P717&lt;=IFERROR(INDEX(tblChannels[Watched Through],MATCH(N717,tblChannels[Channel ID],0)),0),"Watched","Unwatched"))</f>
        <v/>
      </c>
      <c r="C717" s="37" t="n"/>
      <c r="D717" s="38" t="n"/>
      <c r="E717" s="39" t="n">
        <v>45338.41666666666</v>
      </c>
      <c r="F717" s="40" t="inlineStr">
        <is>
          <t>Popcorn Culture</t>
        </is>
      </c>
      <c r="G717" t="inlineStr">
        <is>
          <t>Raisins Are an Abomination | Popcorn Culture</t>
        </is>
      </c>
      <c r="H717" s="41" t="n">
        <v>0.04641203703703704</v>
      </c>
      <c r="I717" s="42" t="n">
        <v>4515</v>
      </c>
      <c r="J717" s="42" t="n">
        <v>235</v>
      </c>
      <c r="K717" s="42" t="n">
        <v>53</v>
      </c>
      <c r="L717" s="43" t="n"/>
      <c r="M717" s="44" t="n"/>
      <c r="N717" s="44" t="inlineStr">
        <is>
          <t>UCHfIbq9thHPC8yrKjAdJgDA</t>
        </is>
      </c>
      <c r="O717" s="45" t="n">
        <v>45338.625</v>
      </c>
      <c r="P717" s="46" t="n">
        <v>45338</v>
      </c>
      <c r="Q717" s="44" t="n">
        <v>2555</v>
      </c>
      <c r="R717" s="44" t="inlineStr">
        <is>
          <t>No Video ID yet</t>
        </is>
      </c>
      <c r="S717" s="46" t="n"/>
      <c r="T717" s="46" t="n"/>
      <c r="U717" s="44" t="n"/>
      <c r="V717" s="44">
        <f>IF(AND(P717&gt;=Calendar!$K$2,P717&lt;EDATE(Calendar!$K$2,1),OR(Calendar!$K$4="*",N717=Calendar!$K$4)),P717*100+COUNTIFS($P$6:$P$3271,P717,$Q$6:$Q$3271,"&lt;="&amp;Q717,$N$6:$N$3271,Calendar!$K$4),"")</f>
        <v/>
      </c>
      <c r="W717" s="44">
        <f>IF(AND(B717=Queue!$C$4,OR(Queue!$K$4="*",N717=Queue!$K$4)),Q717,"")</f>
        <v/>
      </c>
    </row>
    <row r="718">
      <c r="A718" s="35">
        <f>IF(M718="","",HYPERLINK("https://www.youtube.com/watch?v="&amp;M718,"▶"))</f>
        <v/>
      </c>
      <c r="B718" s="36">
        <f>IF(C718&lt;&gt;"",C718,IF(P718&lt;=IFERROR(INDEX(tblChannels[Watched Through],MATCH(N718,tblChannels[Channel ID],0)),0),"Watched","Unwatched"))</f>
        <v/>
      </c>
      <c r="C718" s="37" t="n"/>
      <c r="D718" s="38" t="n"/>
      <c r="E718" s="39" t="n">
        <v>45337.67361111111</v>
      </c>
      <c r="F718" s="40" t="inlineStr">
        <is>
          <t>Popcorn Culture</t>
        </is>
      </c>
      <c r="G718" t="inlineStr">
        <is>
          <t>The Great Raisin Debate | Popcorn Culture</t>
        </is>
      </c>
      <c r="H718" s="41" t="n">
        <v>0.001886574074074074</v>
      </c>
      <c r="I718" s="42" t="n">
        <v>2700</v>
      </c>
      <c r="J718" s="42" t="n">
        <v>355</v>
      </c>
      <c r="K718" s="42" t="n">
        <v>101</v>
      </c>
      <c r="L718" s="43" t="n"/>
      <c r="M718" s="44" t="n"/>
      <c r="N718" s="44" t="inlineStr">
        <is>
          <t>UCHfIbq9thHPC8yrKjAdJgDA</t>
        </is>
      </c>
      <c r="O718" s="45" t="n">
        <v>45337.88194444445</v>
      </c>
      <c r="P718" s="46" t="n">
        <v>45337</v>
      </c>
      <c r="Q718" s="44" t="n">
        <v>2554</v>
      </c>
      <c r="R718" s="44" t="inlineStr">
        <is>
          <t>No Video ID yet</t>
        </is>
      </c>
      <c r="S718" s="46" t="n"/>
      <c r="T718" s="46" t="n"/>
      <c r="U718" s="44" t="n"/>
      <c r="V718" s="44">
        <f>IF(AND(P718&gt;=Calendar!$K$2,P718&lt;EDATE(Calendar!$K$2,1),OR(Calendar!$K$4="*",N718=Calendar!$K$4)),P718*100+COUNTIFS($P$6:$P$3271,P718,$Q$6:$Q$3271,"&lt;="&amp;Q718,$N$6:$N$3271,Calendar!$K$4),"")</f>
        <v/>
      </c>
      <c r="W718" s="44">
        <f>IF(AND(B718=Queue!$C$4,OR(Queue!$K$4="*",N718=Queue!$K$4)),Q718,"")</f>
        <v/>
      </c>
    </row>
    <row r="719">
      <c r="A719" s="35">
        <f>IF(M719="","",HYPERLINK("https://www.youtube.com/watch?v="&amp;M719,"▶"))</f>
        <v/>
      </c>
      <c r="B719" s="36">
        <f>IF(C719&lt;&gt;"",C719,IF(P719&lt;=IFERROR(INDEX(tblChannels[Watched Through],MATCH(N719,tblChannels[Channel ID],0)),0),"Watched","Unwatched"))</f>
        <v/>
      </c>
      <c r="C719" s="37" t="n"/>
      <c r="D719" s="38" t="n"/>
      <c r="E719" s="39" t="n">
        <v>45336.69166666667</v>
      </c>
      <c r="F719" s="47" t="inlineStr">
        <is>
          <t>Super Carlin Brothers</t>
        </is>
      </c>
      <c r="G719" t="inlineStr">
        <is>
          <t>J vs Ben: SMARTEST Ravenclaw House Harry Potter TRIVIA Quiz</t>
        </is>
      </c>
      <c r="H719" s="41" t="n">
        <v>0.02287037037037037</v>
      </c>
      <c r="I719" s="42" t="n">
        <v>135394</v>
      </c>
      <c r="J719" s="42" t="n">
        <v>5437</v>
      </c>
      <c r="K719" s="42" t="n">
        <v>933</v>
      </c>
      <c r="L719" s="43" t="n"/>
      <c r="M719" s="44" t="n"/>
      <c r="N719" s="44" t="inlineStr">
        <is>
          <t>UCKZo4N0lVPccBkSiuyVh4yg</t>
        </is>
      </c>
      <c r="O719" s="45" t="n">
        <v>45336.9</v>
      </c>
      <c r="P719" s="46" t="n">
        <v>45336</v>
      </c>
      <c r="Q719" s="44" t="n">
        <v>2553</v>
      </c>
      <c r="R719" s="44" t="inlineStr">
        <is>
          <t>No Video ID yet</t>
        </is>
      </c>
      <c r="S719" s="46" t="n"/>
      <c r="T719" s="46" t="n"/>
      <c r="U719" s="44" t="n"/>
      <c r="V719" s="44">
        <f>IF(AND(P719&gt;=Calendar!$K$2,P719&lt;EDATE(Calendar!$K$2,1),OR(Calendar!$K$4="*",N719=Calendar!$K$4)),P719*100+COUNTIFS($P$6:$P$3271,P719,$Q$6:$Q$3271,"&lt;="&amp;Q719,$N$6:$N$3271,Calendar!$K$4),"")</f>
        <v/>
      </c>
      <c r="W719" s="44">
        <f>IF(AND(B719=Queue!$C$4,OR(Queue!$K$4="*",N719=Queue!$K$4)),Q719,"")</f>
        <v/>
      </c>
    </row>
    <row r="720">
      <c r="A720" s="35">
        <f>IF(M720="","",HYPERLINK("https://www.youtube.com/watch?v="&amp;M720,"▶"))</f>
        <v/>
      </c>
      <c r="B720" s="36">
        <f>IF(C720&lt;&gt;"",C720,IF(P720&lt;=IFERROR(INDEX(tblChannels[Watched Through],MATCH(N720,tblChannels[Channel ID],0)),0),"Watched","Unwatched"))</f>
        <v/>
      </c>
      <c r="C720" s="37" t="n"/>
      <c r="D720" s="38" t="n"/>
      <c r="E720" s="39" t="n">
        <v>45334.64652777778</v>
      </c>
      <c r="F720" s="48" t="inlineStr">
        <is>
          <t>Through The Griffin Door</t>
        </is>
      </c>
      <c r="G720" t="inlineStr">
        <is>
          <t>Chapter 4: At Flourish and Blotts | Chamber of Secrets</t>
        </is>
      </c>
      <c r="H720" s="41" t="n">
        <v>0.06943287037037037</v>
      </c>
      <c r="I720" s="42" t="n">
        <v>106042</v>
      </c>
      <c r="J720" s="42" t="n">
        <v>2578</v>
      </c>
      <c r="K720" s="42" t="n">
        <v>671</v>
      </c>
      <c r="L720" s="43" t="n"/>
      <c r="M720" s="44" t="n"/>
      <c r="N720" s="44" t="inlineStr">
        <is>
          <t>UCEscP6ETYXWSSvsNrDHekMQ</t>
        </is>
      </c>
      <c r="O720" s="45" t="n">
        <v>45334.85486111111</v>
      </c>
      <c r="P720" s="46" t="n">
        <v>45334</v>
      </c>
      <c r="Q720" s="44" t="n">
        <v>2552</v>
      </c>
      <c r="R720" s="44" t="inlineStr">
        <is>
          <t>No Video ID yet</t>
        </is>
      </c>
      <c r="S720" s="46" t="n"/>
      <c r="T720" s="46" t="n"/>
      <c r="U720" s="44" t="n"/>
      <c r="V720" s="44">
        <f>IF(AND(P720&gt;=Calendar!$K$2,P720&lt;EDATE(Calendar!$K$2,1),OR(Calendar!$K$4="*",N720=Calendar!$K$4)),P720*100+COUNTIFS($P$6:$P$3271,P720,$Q$6:$Q$3271,"&lt;="&amp;Q720,$N$6:$N$3271,Calendar!$K$4),"")</f>
        <v/>
      </c>
      <c r="W720" s="44">
        <f>IF(AND(B720=Queue!$C$4,OR(Queue!$K$4="*",N720=Queue!$K$4)),Q720,"")</f>
        <v/>
      </c>
    </row>
    <row r="721">
      <c r="A721" s="35">
        <f>IF(M721="","",HYPERLINK("https://www.youtube.com/watch?v="&amp;M721,"▶"))</f>
        <v/>
      </c>
      <c r="B721" s="36">
        <f>IF(C721&lt;&gt;"",C721,IF(P721&lt;=IFERROR(INDEX(tblChannels[Watched Through],MATCH(N721,tblChannels[Channel ID],0)),0),"Watched","Unwatched"))</f>
        <v/>
      </c>
      <c r="C721" s="37" t="n"/>
      <c r="D721" s="38" t="n"/>
      <c r="E721" s="39" t="n">
        <v>45332.41666666666</v>
      </c>
      <c r="F721" s="47" t="inlineStr">
        <is>
          <t>Super Carlin Brothers</t>
        </is>
      </c>
      <c r="G721" t="inlineStr">
        <is>
          <t>Through the Griffin Door Supercut: Chamber of Secrets Chapters 1-3</t>
        </is>
      </c>
      <c r="H721" s="41" t="n">
        <v>0.1429166666666667</v>
      </c>
      <c r="I721" s="42" t="n">
        <v>121474</v>
      </c>
      <c r="J721" s="42" t="n">
        <v>1158</v>
      </c>
      <c r="K721" s="42" t="n">
        <v>261</v>
      </c>
      <c r="L721" s="43" t="n"/>
      <c r="M721" s="44" t="n"/>
      <c r="N721" s="44" t="inlineStr">
        <is>
          <t>UCKZo4N0lVPccBkSiuyVh4yg</t>
        </is>
      </c>
      <c r="O721" s="45" t="n">
        <v>45332.625</v>
      </c>
      <c r="P721" s="46" t="n">
        <v>45332</v>
      </c>
      <c r="Q721" s="44" t="n">
        <v>2551</v>
      </c>
      <c r="R721" s="44" t="inlineStr">
        <is>
          <t>No Video ID yet</t>
        </is>
      </c>
      <c r="S721" s="46" t="n"/>
      <c r="T721" s="46" t="n"/>
      <c r="U721" s="44" t="n"/>
      <c r="V721" s="44">
        <f>IF(AND(P721&gt;=Calendar!$K$2,P721&lt;EDATE(Calendar!$K$2,1),OR(Calendar!$K$4="*",N721=Calendar!$K$4)),P721*100+COUNTIFS($P$6:$P$3271,P721,$Q$6:$Q$3271,"&lt;="&amp;Q721,$N$6:$N$3271,Calendar!$K$4),"")</f>
        <v/>
      </c>
      <c r="W721" s="44">
        <f>IF(AND(B721=Queue!$C$4,OR(Queue!$K$4="*",N721=Queue!$K$4)),Q721,"")</f>
        <v/>
      </c>
    </row>
    <row r="722">
      <c r="A722" s="35">
        <f>IF(M722="","",HYPERLINK("https://www.youtube.com/watch?v="&amp;M722,"▶"))</f>
        <v/>
      </c>
      <c r="B722" s="36">
        <f>IF(C722&lt;&gt;"",C722,IF(P722&lt;=IFERROR(INDEX(tblChannels[Watched Through],MATCH(N722,tblChannels[Channel ID],0)),0),"Watched","Unwatched"))</f>
        <v/>
      </c>
      <c r="C722" s="37" t="n"/>
      <c r="D722" s="38" t="n"/>
      <c r="E722" s="39" t="n">
        <v>45331.69930555556</v>
      </c>
      <c r="F722" s="47" t="inlineStr">
        <is>
          <t>Super Carlin Brothers</t>
        </is>
      </c>
      <c r="G722" t="inlineStr">
        <is>
          <t>What If James Kept The Invisibility Cloak - PART 3 | Harry Potter Film Theory</t>
        </is>
      </c>
      <c r="H722" s="41" t="n">
        <v>0.02053240740740741</v>
      </c>
      <c r="I722" s="42" t="n">
        <v>165968</v>
      </c>
      <c r="J722" s="42" t="n">
        <v>6371</v>
      </c>
      <c r="K722" s="42" t="n">
        <v>552</v>
      </c>
      <c r="L722" s="43" t="n"/>
      <c r="M722" s="44" t="n"/>
      <c r="N722" s="44" t="inlineStr">
        <is>
          <t>UCKZo4N0lVPccBkSiuyVh4yg</t>
        </is>
      </c>
      <c r="O722" s="45" t="n">
        <v>45331.90763888889</v>
      </c>
      <c r="P722" s="46" t="n">
        <v>45331</v>
      </c>
      <c r="Q722" s="44" t="n">
        <v>2550</v>
      </c>
      <c r="R722" s="44" t="inlineStr">
        <is>
          <t>No Video ID yet</t>
        </is>
      </c>
      <c r="S722" s="46" t="n"/>
      <c r="T722" s="46" t="n"/>
      <c r="U722" s="44" t="n"/>
      <c r="V722" s="44">
        <f>IF(AND(P722&gt;=Calendar!$K$2,P722&lt;EDATE(Calendar!$K$2,1),OR(Calendar!$K$4="*",N722=Calendar!$K$4)),P722*100+COUNTIFS($P$6:$P$3271,P722,$Q$6:$Q$3271,"&lt;="&amp;Q722,$N$6:$N$3271,Calendar!$K$4),"")</f>
        <v/>
      </c>
      <c r="W722" s="44">
        <f>IF(AND(B722=Queue!$C$4,OR(Queue!$K$4="*",N722=Queue!$K$4)),Q722,"")</f>
        <v/>
      </c>
    </row>
    <row r="723">
      <c r="A723" s="35">
        <f>IF(M723="","",HYPERLINK("https://www.youtube.com/watch?v="&amp;M723,"▶"))</f>
        <v/>
      </c>
      <c r="B723" s="36">
        <f>IF(C723&lt;&gt;"",C723,IF(P723&lt;=IFERROR(INDEX(tblChannels[Watched Through],MATCH(N723,tblChannels[Channel ID],0)),0),"Watched","Unwatched"))</f>
        <v/>
      </c>
      <c r="C723" s="37" t="n"/>
      <c r="D723" s="38" t="n"/>
      <c r="E723" s="39" t="n">
        <v>45331.41666666666</v>
      </c>
      <c r="F723" s="40" t="inlineStr">
        <is>
          <t>Popcorn Culture</t>
        </is>
      </c>
      <c r="G723" t="inlineStr">
        <is>
          <t>Voice Cracks and Phone Farts | Popcorn Culture</t>
        </is>
      </c>
      <c r="H723" s="41" t="n">
        <v>0.0549074074074074</v>
      </c>
      <c r="I723" s="42" t="n">
        <v>4838</v>
      </c>
      <c r="J723" s="42" t="n">
        <v>218</v>
      </c>
      <c r="K723" s="42" t="n">
        <v>20</v>
      </c>
      <c r="L723" s="43" t="n"/>
      <c r="M723" s="44" t="n"/>
      <c r="N723" s="44" t="inlineStr">
        <is>
          <t>UCHfIbq9thHPC8yrKjAdJgDA</t>
        </is>
      </c>
      <c r="O723" s="45" t="n">
        <v>45331.625</v>
      </c>
      <c r="P723" s="46" t="n">
        <v>45331</v>
      </c>
      <c r="Q723" s="44" t="n">
        <v>2549</v>
      </c>
      <c r="R723" s="44" t="inlineStr">
        <is>
          <t>No Video ID yet</t>
        </is>
      </c>
      <c r="S723" s="46" t="n"/>
      <c r="T723" s="46" t="n"/>
      <c r="U723" s="44" t="n"/>
      <c r="V723" s="44">
        <f>IF(AND(P723&gt;=Calendar!$K$2,P723&lt;EDATE(Calendar!$K$2,1),OR(Calendar!$K$4="*",N723=Calendar!$K$4)),P723*100+COUNTIFS($P$6:$P$3271,P723,$Q$6:$Q$3271,"&lt;="&amp;Q723,$N$6:$N$3271,Calendar!$K$4),"")</f>
        <v/>
      </c>
      <c r="W723" s="44">
        <f>IF(AND(B723=Queue!$C$4,OR(Queue!$K$4="*",N723=Queue!$K$4)),Q723,"")</f>
        <v/>
      </c>
    </row>
    <row r="724">
      <c r="A724" s="35">
        <f>IF(M724="","",HYPERLINK("https://www.youtube.com/watch?v="&amp;M724,"▶"))</f>
        <v/>
      </c>
      <c r="B724" s="36">
        <f>IF(C724&lt;&gt;"",C724,IF(P724&lt;=IFERROR(INDEX(tblChannels[Watched Through],MATCH(N724,tblChannels[Channel ID],0)),0),"Watched","Unwatched"))</f>
        <v/>
      </c>
      <c r="C724" s="37" t="n"/>
      <c r="D724" s="38" t="n"/>
      <c r="E724" s="39" t="n">
        <v>45329.67361111111</v>
      </c>
      <c r="F724" s="47" t="inlineStr">
        <is>
          <t>Super Carlin Brothers</t>
        </is>
      </c>
      <c r="G724" t="inlineStr">
        <is>
          <t>Every SECRET Bending Style Explained | Avatar The Last Airbender</t>
        </is>
      </c>
      <c r="H724" s="41" t="n">
        <v>0.01105324074074074</v>
      </c>
      <c r="I724" s="42" t="n">
        <v>189431</v>
      </c>
      <c r="J724" s="42" t="n">
        <v>8214</v>
      </c>
      <c r="K724" s="42" t="n">
        <v>1190</v>
      </c>
      <c r="L724" s="43" t="n"/>
      <c r="M724" s="44" t="n"/>
      <c r="N724" s="44" t="inlineStr">
        <is>
          <t>UCKZo4N0lVPccBkSiuyVh4yg</t>
        </is>
      </c>
      <c r="O724" s="45" t="n">
        <v>45329.88194444445</v>
      </c>
      <c r="P724" s="46" t="n">
        <v>45329</v>
      </c>
      <c r="Q724" s="44" t="n">
        <v>2548</v>
      </c>
      <c r="R724" s="44" t="inlineStr">
        <is>
          <t>No Video ID yet</t>
        </is>
      </c>
      <c r="S724" s="46" t="n"/>
      <c r="T724" s="46" t="n"/>
      <c r="U724" s="44" t="n"/>
      <c r="V724" s="44">
        <f>IF(AND(P724&gt;=Calendar!$K$2,P724&lt;EDATE(Calendar!$K$2,1),OR(Calendar!$K$4="*",N724=Calendar!$K$4)),P724*100+COUNTIFS($P$6:$P$3271,P724,$Q$6:$Q$3271,"&lt;="&amp;Q724,$N$6:$N$3271,Calendar!$K$4),"")</f>
        <v/>
      </c>
      <c r="W724" s="44">
        <f>IF(AND(B724=Queue!$C$4,OR(Queue!$K$4="*",N724=Queue!$K$4)),Q724,"")</f>
        <v/>
      </c>
    </row>
    <row r="725">
      <c r="A725" s="35">
        <f>IF(M725="","",HYPERLINK("https://www.youtube.com/watch?v="&amp;M725,"▶"))</f>
        <v/>
      </c>
      <c r="B725" s="36">
        <f>IF(C725&lt;&gt;"",C725,IF(P725&lt;=IFERROR(INDEX(tblChannels[Watched Through],MATCH(N725,tblChannels[Channel ID],0)),0),"Watched","Unwatched"))</f>
        <v/>
      </c>
      <c r="C725" s="37" t="n"/>
      <c r="D725" s="38" t="n"/>
      <c r="E725" s="39" t="n">
        <v>45329.48958333334</v>
      </c>
      <c r="F725" s="47" t="inlineStr">
        <is>
          <t>Super Carlin Brothers</t>
        </is>
      </c>
      <c r="G725" t="inlineStr">
        <is>
          <t>Why Does Harry Potter Come Back To Life? #harrypotter</t>
        </is>
      </c>
      <c r="H725" s="41" t="n">
        <v>0.0004282407407407408</v>
      </c>
      <c r="I725" s="42" t="n">
        <v>48729</v>
      </c>
      <c r="J725" s="42" t="n">
        <v>2574</v>
      </c>
      <c r="K725" s="42" t="n">
        <v>43</v>
      </c>
      <c r="L725" s="43" t="n"/>
      <c r="M725" s="44" t="n"/>
      <c r="N725" s="44" t="inlineStr">
        <is>
          <t>UCKZo4N0lVPccBkSiuyVh4yg</t>
        </is>
      </c>
      <c r="O725" s="45" t="n">
        <v>45329.69791666666</v>
      </c>
      <c r="P725" s="46" t="n">
        <v>45329</v>
      </c>
      <c r="Q725" s="44" t="n">
        <v>2547</v>
      </c>
      <c r="R725" s="44" t="inlineStr">
        <is>
          <t>No Video ID yet</t>
        </is>
      </c>
      <c r="S725" s="46" t="n"/>
      <c r="T725" s="46" t="n"/>
      <c r="U725" s="44" t="n"/>
      <c r="V725" s="44">
        <f>IF(AND(P725&gt;=Calendar!$K$2,P725&lt;EDATE(Calendar!$K$2,1),OR(Calendar!$K$4="*",N725=Calendar!$K$4)),P725*100+COUNTIFS($P$6:$P$3271,P725,$Q$6:$Q$3271,"&lt;="&amp;Q725,$N$6:$N$3271,Calendar!$K$4),"")</f>
        <v/>
      </c>
      <c r="W725" s="44">
        <f>IF(AND(B725=Queue!$C$4,OR(Queue!$K$4="*",N725=Queue!$K$4)),Q725,"")</f>
        <v/>
      </c>
    </row>
    <row r="726">
      <c r="A726" s="35">
        <f>IF(M726="","",HYPERLINK("https://www.youtube.com/watch?v="&amp;M726,"▶"))</f>
        <v/>
      </c>
      <c r="B726" s="36">
        <f>IF(C726&lt;&gt;"",C726,IF(P726&lt;=IFERROR(INDEX(tblChannels[Watched Through],MATCH(N726,tblChannels[Channel ID],0)),0),"Watched","Unwatched"))</f>
        <v/>
      </c>
      <c r="C726" s="37" t="n"/>
      <c r="D726" s="38" t="n"/>
      <c r="E726" s="39" t="n">
        <v>45328.77083333334</v>
      </c>
      <c r="F726" s="49" t="inlineStr">
        <is>
          <t>Super Carlin Gaming</t>
        </is>
      </c>
      <c r="G726" t="inlineStr">
        <is>
          <t>PALDEAN FATES HAS ARRIVED | Carlin Brothers Box Breakers S9E1</t>
        </is>
      </c>
      <c r="H726" s="41" t="n">
        <v>0.03815972222222222</v>
      </c>
      <c r="I726" s="42" t="n">
        <v>1722</v>
      </c>
      <c r="J726" s="42" t="n">
        <v>104</v>
      </c>
      <c r="K726" s="42" t="n">
        <v>15</v>
      </c>
      <c r="L726" s="43" t="n"/>
      <c r="M726" s="44" t="n"/>
      <c r="N726" s="44" t="inlineStr">
        <is>
          <t>UCor_9jRnNNZVzTuQ92PKsaQ</t>
        </is>
      </c>
      <c r="O726" s="45" t="n">
        <v>45328.97916666666</v>
      </c>
      <c r="P726" s="46" t="n">
        <v>45328</v>
      </c>
      <c r="Q726" s="44" t="n">
        <v>2546</v>
      </c>
      <c r="R726" s="44" t="inlineStr">
        <is>
          <t>No Video ID yet</t>
        </is>
      </c>
      <c r="S726" s="46" t="n"/>
      <c r="T726" s="46" t="n"/>
      <c r="U726" s="44" t="n"/>
      <c r="V726" s="44">
        <f>IF(AND(P726&gt;=Calendar!$K$2,P726&lt;EDATE(Calendar!$K$2,1),OR(Calendar!$K$4="*",N726=Calendar!$K$4)),P726*100+COUNTIFS($P$6:$P$3271,P726,$Q$6:$Q$3271,"&lt;="&amp;Q726,$N$6:$N$3271,Calendar!$K$4),"")</f>
        <v/>
      </c>
      <c r="W726" s="44">
        <f>IF(AND(B726=Queue!$C$4,OR(Queue!$K$4="*",N726=Queue!$K$4)),Q726,"")</f>
        <v/>
      </c>
    </row>
    <row r="727">
      <c r="A727" s="35">
        <f>IF(M727="","",HYPERLINK("https://www.youtube.com/watch?v="&amp;M727,"▶"))</f>
        <v/>
      </c>
      <c r="B727" s="36">
        <f>IF(C727&lt;&gt;"",C727,IF(P727&lt;=IFERROR(INDEX(tblChannels[Watched Through],MATCH(N727,tblChannels[Channel ID],0)),0),"Watched","Unwatched"))</f>
        <v/>
      </c>
      <c r="C727" s="37" t="n"/>
      <c r="D727" s="38" t="n"/>
      <c r="E727" s="39" t="n">
        <v>45326.41666666666</v>
      </c>
      <c r="F727" s="48" t="inlineStr">
        <is>
          <t>Through The Griffin Door</t>
        </is>
      </c>
      <c r="G727" t="inlineStr">
        <is>
          <t>Chapter 3: The Burrow | Chamber of Secrets</t>
        </is>
      </c>
      <c r="H727" s="41" t="n">
        <v>0.05228009259259259</v>
      </c>
      <c r="I727" s="42" t="n">
        <v>91078</v>
      </c>
      <c r="J727" s="42" t="n">
        <v>2749</v>
      </c>
      <c r="K727" s="42" t="n">
        <v>848</v>
      </c>
      <c r="L727" s="43" t="n"/>
      <c r="M727" s="44" t="n"/>
      <c r="N727" s="44" t="inlineStr">
        <is>
          <t>UCEscP6ETYXWSSvsNrDHekMQ</t>
        </is>
      </c>
      <c r="O727" s="45" t="n">
        <v>45326.625</v>
      </c>
      <c r="P727" s="46" t="n">
        <v>45326</v>
      </c>
      <c r="Q727" s="44" t="n">
        <v>2545</v>
      </c>
      <c r="R727" s="44" t="inlineStr">
        <is>
          <t>No Video ID yet</t>
        </is>
      </c>
      <c r="S727" s="46" t="n"/>
      <c r="T727" s="46" t="n"/>
      <c r="U727" s="44" t="n"/>
      <c r="V727" s="44">
        <f>IF(AND(P727&gt;=Calendar!$K$2,P727&lt;EDATE(Calendar!$K$2,1),OR(Calendar!$K$4="*",N727=Calendar!$K$4)),P727*100+COUNTIFS($P$6:$P$3271,P727,$Q$6:$Q$3271,"&lt;="&amp;Q727,$N$6:$N$3271,Calendar!$K$4),"")</f>
        <v/>
      </c>
      <c r="W727" s="44">
        <f>IF(AND(B727=Queue!$C$4,OR(Queue!$K$4="*",N727=Queue!$K$4)),Q727,"")</f>
        <v/>
      </c>
    </row>
    <row r="728">
      <c r="A728" s="35">
        <f>IF(M728="","",HYPERLINK("https://www.youtube.com/watch?v="&amp;M728,"▶"))</f>
        <v/>
      </c>
      <c r="B728" s="36">
        <f>IF(C728&lt;&gt;"",C728,IF(P728&lt;=IFERROR(INDEX(tblChannels[Watched Through],MATCH(N728,tblChannels[Channel ID],0)),0),"Watched","Unwatched"))</f>
        <v/>
      </c>
      <c r="C728" s="37" t="n"/>
      <c r="D728" s="38" t="n"/>
      <c r="E728" s="39" t="n">
        <v>45324.70208333333</v>
      </c>
      <c r="F728" s="47" t="inlineStr">
        <is>
          <t>Super Carlin Brothers</t>
        </is>
      </c>
      <c r="G728" t="inlineStr">
        <is>
          <t>Tangled Was All A DREAM | Rapunzel Disney Film Theory</t>
        </is>
      </c>
      <c r="H728" s="41" t="n">
        <v>0.01101851851851852</v>
      </c>
      <c r="I728" s="42" t="n">
        <v>89558</v>
      </c>
      <c r="J728" s="42" t="n">
        <v>5215</v>
      </c>
      <c r="K728" s="42" t="n">
        <v>368</v>
      </c>
      <c r="L728" s="43" t="n"/>
      <c r="M728" s="44" t="n"/>
      <c r="N728" s="44" t="inlineStr">
        <is>
          <t>UCKZo4N0lVPccBkSiuyVh4yg</t>
        </is>
      </c>
      <c r="O728" s="45" t="n">
        <v>45324.91041666667</v>
      </c>
      <c r="P728" s="46" t="n">
        <v>45324</v>
      </c>
      <c r="Q728" s="44" t="n">
        <v>2544</v>
      </c>
      <c r="R728" s="44" t="inlineStr">
        <is>
          <t>No Video ID yet</t>
        </is>
      </c>
      <c r="S728" s="46" t="n"/>
      <c r="T728" s="46" t="n"/>
      <c r="U728" s="44" t="n"/>
      <c r="V728" s="44">
        <f>IF(AND(P728&gt;=Calendar!$K$2,P728&lt;EDATE(Calendar!$K$2,1),OR(Calendar!$K$4="*",N728=Calendar!$K$4)),P728*100+COUNTIFS($P$6:$P$3271,P728,$Q$6:$Q$3271,"&lt;="&amp;Q728,$N$6:$N$3271,Calendar!$K$4),"")</f>
        <v/>
      </c>
      <c r="W728" s="44">
        <f>IF(AND(B728=Queue!$C$4,OR(Queue!$K$4="*",N728=Queue!$K$4)),Q728,"")</f>
        <v/>
      </c>
    </row>
    <row r="729">
      <c r="A729" s="35">
        <f>IF(M729="","",HYPERLINK("https://www.youtube.com/watch?v="&amp;M729,"▶"))</f>
        <v/>
      </c>
      <c r="B729" s="36">
        <f>IF(C729&lt;&gt;"",C729,IF(P729&lt;=IFERROR(INDEX(tblChannels[Watched Through],MATCH(N729,tblChannels[Channel ID],0)),0),"Watched","Unwatched"))</f>
        <v/>
      </c>
      <c r="C729" s="37" t="n"/>
      <c r="D729" s="38" t="n"/>
      <c r="E729" s="39" t="n">
        <v>45324.41666666666</v>
      </c>
      <c r="F729" s="40" t="inlineStr">
        <is>
          <t>Popcorn Culture</t>
        </is>
      </c>
      <c r="G729" t="inlineStr">
        <is>
          <t>OUR FIRST CRUISE! | Popcorn Culture</t>
        </is>
      </c>
      <c r="H729" s="41" t="n">
        <v>0.04806712962962963</v>
      </c>
      <c r="I729" s="42" t="n">
        <v>4649</v>
      </c>
      <c r="J729" s="42" t="n">
        <v>247</v>
      </c>
      <c r="K729" s="42" t="n">
        <v>21</v>
      </c>
      <c r="L729" s="43" t="n"/>
      <c r="M729" s="44" t="n"/>
      <c r="N729" s="44" t="inlineStr">
        <is>
          <t>UCHfIbq9thHPC8yrKjAdJgDA</t>
        </is>
      </c>
      <c r="O729" s="45" t="n">
        <v>45324.625</v>
      </c>
      <c r="P729" s="46" t="n">
        <v>45324</v>
      </c>
      <c r="Q729" s="44" t="n">
        <v>2543</v>
      </c>
      <c r="R729" s="44" t="inlineStr">
        <is>
          <t>No Video ID yet</t>
        </is>
      </c>
      <c r="S729" s="46" t="n"/>
      <c r="T729" s="46" t="n"/>
      <c r="U729" s="44" t="n"/>
      <c r="V729" s="44">
        <f>IF(AND(P729&gt;=Calendar!$K$2,P729&lt;EDATE(Calendar!$K$2,1),OR(Calendar!$K$4="*",N729=Calendar!$K$4)),P729*100+COUNTIFS($P$6:$P$3271,P729,$Q$6:$Q$3271,"&lt;="&amp;Q729,$N$6:$N$3271,Calendar!$K$4),"")</f>
        <v/>
      </c>
      <c r="W729" s="44">
        <f>IF(AND(B729=Queue!$C$4,OR(Queue!$K$4="*",N729=Queue!$K$4)),Q729,"")</f>
        <v/>
      </c>
    </row>
    <row r="730">
      <c r="A730" s="35">
        <f>IF(M730="","",HYPERLINK("https://www.youtube.com/watch?v="&amp;M730,"▶"))</f>
        <v/>
      </c>
      <c r="B730" s="36">
        <f>IF(C730&lt;&gt;"",C730,IF(P730&lt;=IFERROR(INDEX(tblChannels[Watched Through],MATCH(N730,tblChannels[Channel ID],0)),0),"Watched","Unwatched"))</f>
        <v/>
      </c>
      <c r="C730" s="37" t="n"/>
      <c r="D730" s="38" t="n"/>
      <c r="E730" s="39" t="n">
        <v>45322.74305555555</v>
      </c>
      <c r="F730" s="47" t="inlineStr">
        <is>
          <t>Super Carlin Brothers</t>
        </is>
      </c>
      <c r="G730" t="inlineStr">
        <is>
          <t>J vs Ben: FLUFFIEST Hufflepuff House Harry Potter TRIVIA Quiz</t>
        </is>
      </c>
      <c r="H730" s="41" t="n">
        <v>0.02765046296296296</v>
      </c>
      <c r="I730" s="42" t="n">
        <v>183679</v>
      </c>
      <c r="J730" s="42" t="n">
        <v>6179</v>
      </c>
      <c r="K730" s="42" t="n">
        <v>843</v>
      </c>
      <c r="L730" s="43" t="n"/>
      <c r="M730" s="44" t="n"/>
      <c r="N730" s="44" t="inlineStr">
        <is>
          <t>UCKZo4N0lVPccBkSiuyVh4yg</t>
        </is>
      </c>
      <c r="O730" s="45" t="n">
        <v>45322.95138888889</v>
      </c>
      <c r="P730" s="46" t="n">
        <v>45322</v>
      </c>
      <c r="Q730" s="44" t="n">
        <v>2542</v>
      </c>
      <c r="R730" s="44" t="inlineStr">
        <is>
          <t>No Video ID yet</t>
        </is>
      </c>
      <c r="S730" s="46" t="n"/>
      <c r="T730" s="46" t="n"/>
      <c r="U730" s="44" t="n"/>
      <c r="V730" s="44">
        <f>IF(AND(P730&gt;=Calendar!$K$2,P730&lt;EDATE(Calendar!$K$2,1),OR(Calendar!$K$4="*",N730=Calendar!$K$4)),P730*100+COUNTIFS($P$6:$P$3271,P730,$Q$6:$Q$3271,"&lt;="&amp;Q730,$N$6:$N$3271,Calendar!$K$4),"")</f>
        <v/>
      </c>
      <c r="W730" s="44">
        <f>IF(AND(B730=Queue!$C$4,OR(Queue!$K$4="*",N730=Queue!$K$4)),Q730,"")</f>
        <v/>
      </c>
    </row>
    <row r="731">
      <c r="A731" s="35">
        <f>IF(M731="","",HYPERLINK("https://www.youtube.com/watch?v="&amp;M731,"▶"))</f>
        <v/>
      </c>
      <c r="B731" s="36">
        <f>IF(C731&lt;&gt;"",C731,IF(P731&lt;=IFERROR(INDEX(tblChannels[Watched Through],MATCH(N731,tblChannels[Channel ID],0)),0),"Watched","Unwatched"))</f>
        <v/>
      </c>
      <c r="C731" s="37" t="n"/>
      <c r="D731" s="38" t="n"/>
      <c r="E731" s="39" t="n">
        <v>45322.43958333333</v>
      </c>
      <c r="F731" s="47" t="inlineStr">
        <is>
          <t>Super Carlin Brothers</t>
        </is>
      </c>
      <c r="G731" t="inlineStr">
        <is>
          <t>Why Harry Potter Makes Me So Happy #shorts  #harrypotter</t>
        </is>
      </c>
      <c r="H731" s="41" t="n">
        <v>0.0007060185185185185</v>
      </c>
      <c r="I731" s="42" t="n">
        <v>53225</v>
      </c>
      <c r="J731" s="42" t="n">
        <v>3758</v>
      </c>
      <c r="K731" s="42" t="n">
        <v>104</v>
      </c>
      <c r="L731" s="43" t="n"/>
      <c r="M731" s="44" t="n"/>
      <c r="N731" s="44" t="inlineStr">
        <is>
          <t>UCKZo4N0lVPccBkSiuyVh4yg</t>
        </is>
      </c>
      <c r="O731" s="45" t="n">
        <v>45322.64791666667</v>
      </c>
      <c r="P731" s="46" t="n">
        <v>45322</v>
      </c>
      <c r="Q731" s="44" t="n">
        <v>2541</v>
      </c>
      <c r="R731" s="44" t="inlineStr">
        <is>
          <t>No Video ID yet</t>
        </is>
      </c>
      <c r="S731" s="46" t="n"/>
      <c r="T731" s="46" t="n"/>
      <c r="U731" s="44" t="n"/>
      <c r="V731" s="44">
        <f>IF(AND(P731&gt;=Calendar!$K$2,P731&lt;EDATE(Calendar!$K$2,1),OR(Calendar!$K$4="*",N731=Calendar!$K$4)),P731*100+COUNTIFS($P$6:$P$3271,P731,$Q$6:$Q$3271,"&lt;="&amp;Q731,$N$6:$N$3271,Calendar!$K$4),"")</f>
        <v/>
      </c>
      <c r="W731" s="44">
        <f>IF(AND(B731=Queue!$C$4,OR(Queue!$K$4="*",N731=Queue!$K$4)),Q731,"")</f>
        <v/>
      </c>
    </row>
    <row r="732">
      <c r="A732" s="35">
        <f>IF(M732="","",HYPERLINK("https://www.youtube.com/watch?v="&amp;M732,"▶"))</f>
        <v/>
      </c>
      <c r="B732" s="36">
        <f>IF(C732&lt;&gt;"",C732,IF(P732&lt;=IFERROR(INDEX(tblChannels[Watched Through],MATCH(N732,tblChannels[Channel ID],0)),0),"Watched","Unwatched"))</f>
        <v/>
      </c>
      <c r="C732" s="37" t="n"/>
      <c r="D732" s="38" t="n"/>
      <c r="E732" s="39" t="n">
        <v>45321.77083333334</v>
      </c>
      <c r="F732" s="49" t="inlineStr">
        <is>
          <t>Super Carlin Gaming</t>
        </is>
      </c>
      <c r="G732" t="inlineStr">
        <is>
          <t>The Paradox Rift Closes | Carlin Brothers Box Breakers S8E12</t>
        </is>
      </c>
      <c r="H732" s="41" t="n">
        <v>0.02747685185185185</v>
      </c>
      <c r="I732" s="42" t="n">
        <v>1174</v>
      </c>
      <c r="J732" s="42" t="n">
        <v>84</v>
      </c>
      <c r="K732" s="42" t="n">
        <v>9</v>
      </c>
      <c r="L732" s="43" t="n"/>
      <c r="M732" s="44" t="n"/>
      <c r="N732" s="44" t="inlineStr">
        <is>
          <t>UCor_9jRnNNZVzTuQ92PKsaQ</t>
        </is>
      </c>
      <c r="O732" s="45" t="n">
        <v>45321.97916666666</v>
      </c>
      <c r="P732" s="46" t="n">
        <v>45321</v>
      </c>
      <c r="Q732" s="44" t="n">
        <v>2540</v>
      </c>
      <c r="R732" s="44" t="inlineStr">
        <is>
          <t>No Video ID yet</t>
        </is>
      </c>
      <c r="S732" s="46" t="n"/>
      <c r="T732" s="46" t="n"/>
      <c r="U732" s="44" t="n"/>
      <c r="V732" s="44">
        <f>IF(AND(P732&gt;=Calendar!$K$2,P732&lt;EDATE(Calendar!$K$2,1),OR(Calendar!$K$4="*",N732=Calendar!$K$4)),P732*100+COUNTIFS($P$6:$P$3271,P732,$Q$6:$Q$3271,"&lt;="&amp;Q732,$N$6:$N$3271,Calendar!$K$4),"")</f>
        <v/>
      </c>
      <c r="W732" s="44">
        <f>IF(AND(B732=Queue!$C$4,OR(Queue!$K$4="*",N732=Queue!$K$4)),Q732,"")</f>
        <v/>
      </c>
    </row>
    <row r="733">
      <c r="A733" s="35">
        <f>IF(M733="","",HYPERLINK("https://www.youtube.com/watch?v="&amp;M733,"▶"))</f>
        <v/>
      </c>
      <c r="B733" s="36">
        <f>IF(C733&lt;&gt;"",C733,IF(P733&lt;=IFERROR(INDEX(tblChannels[Watched Through],MATCH(N733,tblChannels[Channel ID],0)),0),"Watched","Unwatched"))</f>
        <v/>
      </c>
      <c r="C733" s="37" t="n"/>
      <c r="D733" s="38" t="n"/>
      <c r="E733" s="39" t="n">
        <v>45319.41666666666</v>
      </c>
      <c r="F733" s="48" t="inlineStr">
        <is>
          <t>Through The Griffin Door</t>
        </is>
      </c>
      <c r="G733" t="inlineStr">
        <is>
          <t>Chapter 2: Dobby’s Warning | Chamber of Secrets</t>
        </is>
      </c>
      <c r="H733" s="41" t="n">
        <v>0.04122685185185185</v>
      </c>
      <c r="I733" s="42" t="n">
        <v>77749</v>
      </c>
      <c r="J733" s="42" t="n">
        <v>2423</v>
      </c>
      <c r="K733" s="42" t="n">
        <v>491</v>
      </c>
      <c r="L733" s="43" t="n"/>
      <c r="M733" s="44" t="n"/>
      <c r="N733" s="44" t="inlineStr">
        <is>
          <t>UCEscP6ETYXWSSvsNrDHekMQ</t>
        </is>
      </c>
      <c r="O733" s="45" t="n">
        <v>45319.625</v>
      </c>
      <c r="P733" s="46" t="n">
        <v>45319</v>
      </c>
      <c r="Q733" s="44" t="n">
        <v>2539</v>
      </c>
      <c r="R733" s="44" t="inlineStr">
        <is>
          <t>No Video ID yet</t>
        </is>
      </c>
      <c r="S733" s="46" t="n"/>
      <c r="T733" s="46" t="n"/>
      <c r="U733" s="44" t="n"/>
      <c r="V733" s="44">
        <f>IF(AND(P733&gt;=Calendar!$K$2,P733&lt;EDATE(Calendar!$K$2,1),OR(Calendar!$K$4="*",N733=Calendar!$K$4)),P733*100+COUNTIFS($P$6:$P$3271,P733,$Q$6:$Q$3271,"&lt;="&amp;Q733,$N$6:$N$3271,Calendar!$K$4),"")</f>
        <v/>
      </c>
      <c r="W733" s="44">
        <f>IF(AND(B733=Queue!$C$4,OR(Queue!$K$4="*",N733=Queue!$K$4)),Q733,"")</f>
        <v/>
      </c>
    </row>
    <row r="734">
      <c r="A734" s="35">
        <f>IF(M734="","",HYPERLINK("https://www.youtube.com/watch?v="&amp;M734,"▶"))</f>
        <v/>
      </c>
      <c r="B734" s="36">
        <f>IF(C734&lt;&gt;"",C734,IF(P734&lt;=IFERROR(INDEX(tblChannels[Watched Through],MATCH(N734,tblChannels[Channel ID],0)),0),"Watched","Unwatched"))</f>
        <v/>
      </c>
      <c r="C734" s="37" t="n"/>
      <c r="D734" s="38" t="n"/>
      <c r="E734" s="39" t="n">
        <v>45317.68819444445</v>
      </c>
      <c r="F734" s="47" t="inlineStr">
        <is>
          <t>Super Carlin Brothers</t>
        </is>
      </c>
      <c r="G734" t="inlineStr">
        <is>
          <t>J vs Ben: ULTIMATE Slytherin House Harry Potter TRIVIA Quiz</t>
        </is>
      </c>
      <c r="H734" s="41" t="n">
        <v>0.02275462962962963</v>
      </c>
      <c r="I734" s="42" t="n">
        <v>157100</v>
      </c>
      <c r="J734" s="42" t="n">
        <v>5489</v>
      </c>
      <c r="K734" s="42" t="n">
        <v>516</v>
      </c>
      <c r="L734" s="43" t="n"/>
      <c r="M734" s="44" t="n"/>
      <c r="N734" s="44" t="inlineStr">
        <is>
          <t>UCKZo4N0lVPccBkSiuyVh4yg</t>
        </is>
      </c>
      <c r="O734" s="45" t="n">
        <v>45317.89652777778</v>
      </c>
      <c r="P734" s="46" t="n">
        <v>45317</v>
      </c>
      <c r="Q734" s="44" t="n">
        <v>2538</v>
      </c>
      <c r="R734" s="44" t="inlineStr">
        <is>
          <t>No Video ID yet</t>
        </is>
      </c>
      <c r="S734" s="46" t="n"/>
      <c r="T734" s="46" t="n"/>
      <c r="U734" s="44" t="n"/>
      <c r="V734" s="44">
        <f>IF(AND(P734&gt;=Calendar!$K$2,P734&lt;EDATE(Calendar!$K$2,1),OR(Calendar!$K$4="*",N734=Calendar!$K$4)),P734*100+COUNTIFS($P$6:$P$3271,P734,$Q$6:$Q$3271,"&lt;="&amp;Q734,$N$6:$N$3271,Calendar!$K$4),"")</f>
        <v/>
      </c>
      <c r="W734" s="44">
        <f>IF(AND(B734=Queue!$C$4,OR(Queue!$K$4="*",N734=Queue!$K$4)),Q734,"")</f>
        <v/>
      </c>
    </row>
    <row r="735">
      <c r="A735" s="35">
        <f>IF(M735="","",HYPERLINK("https://www.youtube.com/watch?v="&amp;M735,"▶"))</f>
        <v/>
      </c>
      <c r="B735" s="36">
        <f>IF(C735&lt;&gt;"",C735,IF(P735&lt;=IFERROR(INDEX(tblChannels[Watched Through],MATCH(N735,tblChannels[Channel ID],0)),0),"Watched","Unwatched"))</f>
        <v/>
      </c>
      <c r="C735" s="37" t="n"/>
      <c r="D735" s="38" t="n"/>
      <c r="E735" s="39" t="n">
        <v>45317.41666666666</v>
      </c>
      <c r="F735" s="40" t="inlineStr">
        <is>
          <t>Popcorn Culture</t>
        </is>
      </c>
      <c r="G735" t="inlineStr">
        <is>
          <t>Dumpster Holes, Subwoofers and Hot Tubs | Popcorn Culture</t>
        </is>
      </c>
      <c r="H735" s="41" t="n">
        <v>0.05348379629629629</v>
      </c>
      <c r="I735" s="42" t="n">
        <v>4401</v>
      </c>
      <c r="J735" s="42" t="n">
        <v>220</v>
      </c>
      <c r="K735" s="42" t="n">
        <v>21</v>
      </c>
      <c r="L735" s="43" t="n"/>
      <c r="M735" s="44" t="n"/>
      <c r="N735" s="44" t="inlineStr">
        <is>
          <t>UCHfIbq9thHPC8yrKjAdJgDA</t>
        </is>
      </c>
      <c r="O735" s="45" t="n">
        <v>45317.625</v>
      </c>
      <c r="P735" s="46" t="n">
        <v>45317</v>
      </c>
      <c r="Q735" s="44" t="n">
        <v>2537</v>
      </c>
      <c r="R735" s="44" t="inlineStr">
        <is>
          <t>No Video ID yet</t>
        </is>
      </c>
      <c r="S735" s="46" t="n"/>
      <c r="T735" s="46" t="n"/>
      <c r="U735" s="44" t="n"/>
      <c r="V735" s="44">
        <f>IF(AND(P735&gt;=Calendar!$K$2,P735&lt;EDATE(Calendar!$K$2,1),OR(Calendar!$K$4="*",N735=Calendar!$K$4)),P735*100+COUNTIFS($P$6:$P$3271,P735,$Q$6:$Q$3271,"&lt;="&amp;Q735,$N$6:$N$3271,Calendar!$K$4),"")</f>
        <v/>
      </c>
      <c r="W735" s="44">
        <f>IF(AND(B735=Queue!$C$4,OR(Queue!$K$4="*",N735=Queue!$K$4)),Q735,"")</f>
        <v/>
      </c>
    </row>
    <row r="736">
      <c r="A736" s="35">
        <f>IF(M736="","",HYPERLINK("https://www.youtube.com/watch?v="&amp;M736,"▶"))</f>
        <v/>
      </c>
      <c r="B736" s="36">
        <f>IF(C736&lt;&gt;"",C736,IF(P736&lt;=IFERROR(INDEX(tblChannels[Watched Through],MATCH(N736,tblChannels[Channel ID],0)),0),"Watched","Unwatched"))</f>
        <v/>
      </c>
      <c r="C736" s="37" t="n"/>
      <c r="D736" s="38" t="n"/>
      <c r="E736" s="39" t="n">
        <v>45315.69236111111</v>
      </c>
      <c r="F736" s="47" t="inlineStr">
        <is>
          <t>Super Carlin Brothers</t>
        </is>
      </c>
      <c r="G736" t="inlineStr">
        <is>
          <t>Why Does Harry Potter GOOGLE AUTOFILL | Harry Potter Film Theory</t>
        </is>
      </c>
      <c r="H736" s="41" t="n">
        <v>0.0147337962962963</v>
      </c>
      <c r="I736" s="42" t="n">
        <v>149429</v>
      </c>
      <c r="J736" s="42" t="n">
        <v>6353</v>
      </c>
      <c r="K736" s="42" t="n">
        <v>667</v>
      </c>
      <c r="L736" s="43" t="n"/>
      <c r="M736" s="44" t="n"/>
      <c r="N736" s="44" t="inlineStr">
        <is>
          <t>UCKZo4N0lVPccBkSiuyVh4yg</t>
        </is>
      </c>
      <c r="O736" s="45" t="n">
        <v>45315.90069444444</v>
      </c>
      <c r="P736" s="46" t="n">
        <v>45315</v>
      </c>
      <c r="Q736" s="44" t="n">
        <v>2536</v>
      </c>
      <c r="R736" s="44" t="inlineStr">
        <is>
          <t>No Video ID yet</t>
        </is>
      </c>
      <c r="S736" s="46" t="n"/>
      <c r="T736" s="46" t="n"/>
      <c r="U736" s="44" t="n"/>
      <c r="V736" s="44">
        <f>IF(AND(P736&gt;=Calendar!$K$2,P736&lt;EDATE(Calendar!$K$2,1),OR(Calendar!$K$4="*",N736=Calendar!$K$4)),P736*100+COUNTIFS($P$6:$P$3271,P736,$Q$6:$Q$3271,"&lt;="&amp;Q736,$N$6:$N$3271,Calendar!$K$4),"")</f>
        <v/>
      </c>
      <c r="W736" s="44">
        <f>IF(AND(B736=Queue!$C$4,OR(Queue!$K$4="*",N736=Queue!$K$4)),Q736,"")</f>
        <v/>
      </c>
    </row>
    <row r="737">
      <c r="A737" s="35">
        <f>IF(M737="","",HYPERLINK("https://www.youtube.com/watch?v="&amp;M737,"▶"))</f>
        <v/>
      </c>
      <c r="B737" s="36">
        <f>IF(C737&lt;&gt;"",C737,IF(P737&lt;=IFERROR(INDEX(tblChannels[Watched Through],MATCH(N737,tblChannels[Channel ID],0)),0),"Watched","Unwatched"))</f>
        <v/>
      </c>
      <c r="C737" s="37" t="n"/>
      <c r="D737" s="38" t="n"/>
      <c r="E737" s="39" t="n">
        <v>45314.77083333334</v>
      </c>
      <c r="F737" s="49" t="inlineStr">
        <is>
          <t>Super Carlin Gaming</t>
        </is>
      </c>
      <c r="G737" t="inlineStr">
        <is>
          <t>NINE POINTS | Carlin Brothers Box Breakers S8E11</t>
        </is>
      </c>
      <c r="H737" s="41" t="n">
        <v>0.02888888888888889</v>
      </c>
      <c r="I737" s="42" t="n">
        <v>1229</v>
      </c>
      <c r="J737" s="42" t="n">
        <v>77</v>
      </c>
      <c r="K737" s="42" t="n">
        <v>9</v>
      </c>
      <c r="L737" s="43" t="n"/>
      <c r="M737" s="44" t="n"/>
      <c r="N737" s="44" t="inlineStr">
        <is>
          <t>UCor_9jRnNNZVzTuQ92PKsaQ</t>
        </is>
      </c>
      <c r="O737" s="45" t="n">
        <v>45314.97916666666</v>
      </c>
      <c r="P737" s="46" t="n">
        <v>45314</v>
      </c>
      <c r="Q737" s="44" t="n">
        <v>2535</v>
      </c>
      <c r="R737" s="44" t="inlineStr">
        <is>
          <t>No Video ID yet</t>
        </is>
      </c>
      <c r="S737" s="46" t="n"/>
      <c r="T737" s="46" t="n"/>
      <c r="U737" s="44" t="n"/>
      <c r="V737" s="44">
        <f>IF(AND(P737&gt;=Calendar!$K$2,P737&lt;EDATE(Calendar!$K$2,1),OR(Calendar!$K$4="*",N737=Calendar!$K$4)),P737*100+COUNTIFS($P$6:$P$3271,P737,$Q$6:$Q$3271,"&lt;="&amp;Q737,$N$6:$N$3271,Calendar!$K$4),"")</f>
        <v/>
      </c>
      <c r="W737" s="44">
        <f>IF(AND(B737=Queue!$C$4,OR(Queue!$K$4="*",N737=Queue!$K$4)),Q737,"")</f>
        <v/>
      </c>
    </row>
    <row r="738">
      <c r="A738" s="35">
        <f>IF(M738="","",HYPERLINK("https://www.youtube.com/watch?v="&amp;M738,"▶"))</f>
        <v/>
      </c>
      <c r="B738" s="36">
        <f>IF(C738&lt;&gt;"",C738,IF(P738&lt;=IFERROR(INDEX(tblChannels[Watched Through],MATCH(N738,tblChannels[Channel ID],0)),0),"Watched","Unwatched"))</f>
        <v/>
      </c>
      <c r="C738" s="37" t="n"/>
      <c r="D738" s="38" t="n"/>
      <c r="E738" s="39" t="n">
        <v>45312.41666666666</v>
      </c>
      <c r="F738" s="48" t="inlineStr">
        <is>
          <t>Through The Griffin Door</t>
        </is>
      </c>
      <c r="G738" t="inlineStr">
        <is>
          <t>Chapter 1: The Worst Birthday | Chamber of Secrets</t>
        </is>
      </c>
      <c r="H738" s="41" t="n">
        <v>0.0494212962962963</v>
      </c>
      <c r="I738" s="42" t="n">
        <v>103157</v>
      </c>
      <c r="J738" s="42" t="n">
        <v>3097</v>
      </c>
      <c r="K738" s="42" t="n">
        <v>627</v>
      </c>
      <c r="L738" s="43" t="n"/>
      <c r="M738" s="44" t="n"/>
      <c r="N738" s="44" t="inlineStr">
        <is>
          <t>UCEscP6ETYXWSSvsNrDHekMQ</t>
        </is>
      </c>
      <c r="O738" s="45" t="n">
        <v>45312.625</v>
      </c>
      <c r="P738" s="46" t="n">
        <v>45312</v>
      </c>
      <c r="Q738" s="44" t="n">
        <v>2534</v>
      </c>
      <c r="R738" s="44" t="inlineStr">
        <is>
          <t>No Video ID yet</t>
        </is>
      </c>
      <c r="S738" s="46" t="n"/>
      <c r="T738" s="46" t="n"/>
      <c r="U738" s="44" t="n"/>
      <c r="V738" s="44">
        <f>IF(AND(P738&gt;=Calendar!$K$2,P738&lt;EDATE(Calendar!$K$2,1),OR(Calendar!$K$4="*",N738=Calendar!$K$4)),P738*100+COUNTIFS($P$6:$P$3271,P738,$Q$6:$Q$3271,"&lt;="&amp;Q738,$N$6:$N$3271,Calendar!$K$4),"")</f>
        <v/>
      </c>
      <c r="W738" s="44">
        <f>IF(AND(B738=Queue!$C$4,OR(Queue!$K$4="*",N738=Queue!$K$4)),Q738,"")</f>
        <v/>
      </c>
    </row>
    <row r="739">
      <c r="A739" s="35">
        <f>IF(M739="","",HYPERLINK("https://www.youtube.com/watch?v="&amp;M739,"▶"))</f>
        <v/>
      </c>
      <c r="B739" s="36">
        <f>IF(C739&lt;&gt;"",C739,IF(P739&lt;=IFERROR(INDEX(tblChannels[Watched Through],MATCH(N739,tblChannels[Channel ID],0)),0),"Watched","Unwatched"))</f>
        <v/>
      </c>
      <c r="C739" s="37" t="n"/>
      <c r="D739" s="38" t="n"/>
      <c r="E739" s="39" t="n">
        <v>45311.41666666666</v>
      </c>
      <c r="F739" s="47" t="inlineStr">
        <is>
          <t>Super Carlin Brothers</t>
        </is>
      </c>
      <c r="G739" t="inlineStr">
        <is>
          <t>Through the Griffin Door Supercut: Chapters 16 &amp; 17 and Dumbledore's Big Plan</t>
        </is>
      </c>
      <c r="H739" s="41" t="n">
        <v>0.1519444444444444</v>
      </c>
      <c r="I739" s="42" t="n">
        <v>104800</v>
      </c>
      <c r="J739" s="42" t="n">
        <v>947</v>
      </c>
      <c r="K739" s="42" t="n">
        <v>154</v>
      </c>
      <c r="L739" s="43" t="n"/>
      <c r="M739" s="44" t="n"/>
      <c r="N739" s="44" t="inlineStr">
        <is>
          <t>UCKZo4N0lVPccBkSiuyVh4yg</t>
        </is>
      </c>
      <c r="O739" s="45" t="n">
        <v>45311.625</v>
      </c>
      <c r="P739" s="46" t="n">
        <v>45311</v>
      </c>
      <c r="Q739" s="44" t="n">
        <v>2533</v>
      </c>
      <c r="R739" s="44" t="inlineStr">
        <is>
          <t>No Video ID yet</t>
        </is>
      </c>
      <c r="S739" s="46" t="n"/>
      <c r="T739" s="46" t="n"/>
      <c r="U739" s="44" t="n"/>
      <c r="V739" s="44">
        <f>IF(AND(P739&gt;=Calendar!$K$2,P739&lt;EDATE(Calendar!$K$2,1),OR(Calendar!$K$4="*",N739=Calendar!$K$4)),P739*100+COUNTIFS($P$6:$P$3271,P739,$Q$6:$Q$3271,"&lt;="&amp;Q739,$N$6:$N$3271,Calendar!$K$4),"")</f>
        <v/>
      </c>
      <c r="W739" s="44">
        <f>IF(AND(B739=Queue!$C$4,OR(Queue!$K$4="*",N739=Queue!$K$4)),Q739,"")</f>
        <v/>
      </c>
    </row>
    <row r="740">
      <c r="A740" s="35">
        <f>IF(M740="","",HYPERLINK("https://www.youtube.com/watch?v="&amp;M740,"▶"))</f>
        <v/>
      </c>
      <c r="B740" s="36">
        <f>IF(C740&lt;&gt;"",C740,IF(P740&lt;=IFERROR(INDEX(tblChannels[Watched Through],MATCH(N740,tblChannels[Channel ID],0)),0),"Watched","Unwatched"))</f>
        <v/>
      </c>
      <c r="C740" s="37" t="n"/>
      <c r="D740" s="38" t="n"/>
      <c r="E740" s="39" t="n">
        <v>45310.67916666667</v>
      </c>
      <c r="F740" s="47" t="inlineStr">
        <is>
          <t>Super Carlin Brothers</t>
        </is>
      </c>
      <c r="G740" t="inlineStr">
        <is>
          <t>J vs Ben: ULTIMATE Gryffindor House Harry Potter TRIVIA Quiz</t>
        </is>
      </c>
      <c r="H740" s="41" t="n">
        <v>0.02814814814814815</v>
      </c>
      <c r="I740" s="42" t="n">
        <v>170286</v>
      </c>
      <c r="J740" s="42" t="n">
        <v>5596</v>
      </c>
      <c r="K740" s="42" t="n">
        <v>520</v>
      </c>
      <c r="L740" s="43" t="n"/>
      <c r="M740" s="44" t="n"/>
      <c r="N740" s="44" t="inlineStr">
        <is>
          <t>UCKZo4N0lVPccBkSiuyVh4yg</t>
        </is>
      </c>
      <c r="O740" s="45" t="n">
        <v>45310.8875</v>
      </c>
      <c r="P740" s="46" t="n">
        <v>45310</v>
      </c>
      <c r="Q740" s="44" t="n">
        <v>2532</v>
      </c>
      <c r="R740" s="44" t="inlineStr">
        <is>
          <t>No Video ID yet</t>
        </is>
      </c>
      <c r="S740" s="46" t="n"/>
      <c r="T740" s="46" t="n"/>
      <c r="U740" s="44" t="n"/>
      <c r="V740" s="44">
        <f>IF(AND(P740&gt;=Calendar!$K$2,P740&lt;EDATE(Calendar!$K$2,1),OR(Calendar!$K$4="*",N740=Calendar!$K$4)),P740*100+COUNTIFS($P$6:$P$3271,P740,$Q$6:$Q$3271,"&lt;="&amp;Q740,$N$6:$N$3271,Calendar!$K$4),"")</f>
        <v/>
      </c>
      <c r="W740" s="44">
        <f>IF(AND(B740=Queue!$C$4,OR(Queue!$K$4="*",N740=Queue!$K$4)),Q740,"")</f>
        <v/>
      </c>
    </row>
    <row r="741">
      <c r="A741" s="35">
        <f>IF(M741="","",HYPERLINK("https://www.youtube.com/watch?v="&amp;M741,"▶"))</f>
        <v/>
      </c>
      <c r="B741" s="36">
        <f>IF(C741&lt;&gt;"",C741,IF(P741&lt;=IFERROR(INDEX(tblChannels[Watched Through],MATCH(N741,tblChannels[Channel ID],0)),0),"Watched","Unwatched"))</f>
        <v/>
      </c>
      <c r="C741" s="37" t="n"/>
      <c r="D741" s="38" t="n"/>
      <c r="E741" s="39" t="n">
        <v>45310.41666666666</v>
      </c>
      <c r="F741" s="40" t="inlineStr">
        <is>
          <t>Popcorn Culture</t>
        </is>
      </c>
      <c r="G741" t="inlineStr">
        <is>
          <t>Secret Life of Siblings | Popcorn Culture</t>
        </is>
      </c>
      <c r="H741" s="41" t="n">
        <v>0.04836805555555555</v>
      </c>
      <c r="I741" s="42" t="n">
        <v>6249</v>
      </c>
      <c r="J741" s="42" t="n">
        <v>262</v>
      </c>
      <c r="K741" s="42" t="n">
        <v>27</v>
      </c>
      <c r="L741" s="43" t="n"/>
      <c r="M741" s="44" t="n"/>
      <c r="N741" s="44" t="inlineStr">
        <is>
          <t>UCHfIbq9thHPC8yrKjAdJgDA</t>
        </is>
      </c>
      <c r="O741" s="45" t="n">
        <v>45310.625</v>
      </c>
      <c r="P741" s="46" t="n">
        <v>45310</v>
      </c>
      <c r="Q741" s="44" t="n">
        <v>2531</v>
      </c>
      <c r="R741" s="44" t="inlineStr">
        <is>
          <t>No Video ID yet</t>
        </is>
      </c>
      <c r="S741" s="46" t="n"/>
      <c r="T741" s="46" t="n"/>
      <c r="U741" s="44" t="n"/>
      <c r="V741" s="44">
        <f>IF(AND(P741&gt;=Calendar!$K$2,P741&lt;EDATE(Calendar!$K$2,1),OR(Calendar!$K$4="*",N741=Calendar!$K$4)),P741*100+COUNTIFS($P$6:$P$3271,P741,$Q$6:$Q$3271,"&lt;="&amp;Q741,$N$6:$N$3271,Calendar!$K$4),"")</f>
        <v/>
      </c>
      <c r="W741" s="44">
        <f>IF(AND(B741=Queue!$C$4,OR(Queue!$K$4="*",N741=Queue!$K$4)),Q741,"")</f>
        <v/>
      </c>
    </row>
    <row r="742">
      <c r="A742" s="35">
        <f>IF(M742="","",HYPERLINK("https://www.youtube.com/watch?v="&amp;M742,"▶"))</f>
        <v/>
      </c>
      <c r="B742" s="36">
        <f>IF(C742&lt;&gt;"",C742,IF(P742&lt;=IFERROR(INDEX(tblChannels[Watched Through],MATCH(N742,tblChannels[Channel ID],0)),0),"Watched","Unwatched"))</f>
        <v/>
      </c>
      <c r="C742" s="37" t="n"/>
      <c r="D742" s="38" t="n"/>
      <c r="E742" s="39" t="n">
        <v>45308.77083333334</v>
      </c>
      <c r="F742" s="49" t="inlineStr">
        <is>
          <t>Super Carlin Gaming</t>
        </is>
      </c>
      <c r="G742" t="inlineStr">
        <is>
          <t>The Chase For 8th Heats Up | Carlin Brothers Box Breakers S8E10</t>
        </is>
      </c>
      <c r="H742" s="41" t="n">
        <v>0.02846064814814815</v>
      </c>
      <c r="I742" s="42" t="n">
        <v>1248</v>
      </c>
      <c r="J742" s="42" t="n">
        <v>82</v>
      </c>
      <c r="K742" s="42" t="n">
        <v>8</v>
      </c>
      <c r="L742" s="43" t="n"/>
      <c r="M742" s="44" t="n"/>
      <c r="N742" s="44" t="inlineStr">
        <is>
          <t>UCor_9jRnNNZVzTuQ92PKsaQ</t>
        </is>
      </c>
      <c r="O742" s="45" t="n">
        <v>45308.97916666666</v>
      </c>
      <c r="P742" s="46" t="n">
        <v>45308</v>
      </c>
      <c r="Q742" s="44" t="n">
        <v>2530</v>
      </c>
      <c r="R742" s="44" t="inlineStr">
        <is>
          <t>No Video ID yet</t>
        </is>
      </c>
      <c r="S742" s="46" t="n"/>
      <c r="T742" s="46" t="n"/>
      <c r="U742" s="44" t="n"/>
      <c r="V742" s="44">
        <f>IF(AND(P742&gt;=Calendar!$K$2,P742&lt;EDATE(Calendar!$K$2,1),OR(Calendar!$K$4="*",N742=Calendar!$K$4)),P742*100+COUNTIFS($P$6:$P$3271,P742,$Q$6:$Q$3271,"&lt;="&amp;Q742,$N$6:$N$3271,Calendar!$K$4),"")</f>
        <v/>
      </c>
      <c r="W742" s="44">
        <f>IF(AND(B742=Queue!$C$4,OR(Queue!$K$4="*",N742=Queue!$K$4)),Q742,"")</f>
        <v/>
      </c>
    </row>
    <row r="743">
      <c r="A743" s="35">
        <f>IF(M743="","",HYPERLINK("https://www.youtube.com/watch?v="&amp;M743,"▶"))</f>
        <v/>
      </c>
      <c r="B743" s="36">
        <f>IF(C743&lt;&gt;"",C743,IF(P743&lt;=IFERROR(INDEX(tblChannels[Watched Through],MATCH(N743,tblChannels[Channel ID],0)),0),"Watched","Unwatched"))</f>
        <v/>
      </c>
      <c r="C743" s="37" t="n"/>
      <c r="D743" s="38" t="n"/>
      <c r="E743" s="39" t="n">
        <v>45308.69513888889</v>
      </c>
      <c r="F743" s="47" t="inlineStr">
        <is>
          <t>Super Carlin Brothers</t>
        </is>
      </c>
      <c r="G743" t="inlineStr">
        <is>
          <t>What If James Kept The Invisibility Cloak - Part 2 | Harry Potter Film Theory</t>
        </is>
      </c>
      <c r="H743" s="41" t="n">
        <v>0.01063657407407407</v>
      </c>
      <c r="I743" s="42" t="n">
        <v>190108</v>
      </c>
      <c r="J743" s="42" t="n">
        <v>7514</v>
      </c>
      <c r="K743" s="42" t="n">
        <v>909</v>
      </c>
      <c r="L743" s="43" t="n"/>
      <c r="M743" s="44" t="n"/>
      <c r="N743" s="44" t="inlineStr">
        <is>
          <t>UCKZo4N0lVPccBkSiuyVh4yg</t>
        </is>
      </c>
      <c r="O743" s="45" t="n">
        <v>45308.90347222222</v>
      </c>
      <c r="P743" s="46" t="n">
        <v>45308</v>
      </c>
      <c r="Q743" s="44" t="n">
        <v>2529</v>
      </c>
      <c r="R743" s="44" t="inlineStr">
        <is>
          <t>No Video ID yet</t>
        </is>
      </c>
      <c r="S743" s="46" t="n"/>
      <c r="T743" s="46" t="n"/>
      <c r="U743" s="44" t="n"/>
      <c r="V743" s="44">
        <f>IF(AND(P743&gt;=Calendar!$K$2,P743&lt;EDATE(Calendar!$K$2,1),OR(Calendar!$K$4="*",N743=Calendar!$K$4)),P743*100+COUNTIFS($P$6:$P$3271,P743,$Q$6:$Q$3271,"&lt;="&amp;Q743,$N$6:$N$3271,Calendar!$K$4),"")</f>
        <v/>
      </c>
      <c r="W743" s="44">
        <f>IF(AND(B743=Queue!$C$4,OR(Queue!$K$4="*",N743=Queue!$K$4)),Q743,"")</f>
        <v/>
      </c>
    </row>
    <row r="744">
      <c r="A744" s="35">
        <f>IF(M744="","",HYPERLINK("https://www.youtube.com/watch?v="&amp;M744,"▶"))</f>
        <v/>
      </c>
      <c r="B744" s="36">
        <f>IF(C744&lt;&gt;"",C744,IF(P744&lt;=IFERROR(INDEX(tblChannels[Watched Through],MATCH(N744,tblChannels[Channel ID],0)),0),"Watched","Unwatched"))</f>
        <v/>
      </c>
      <c r="C744" s="37" t="n"/>
      <c r="D744" s="38" t="n"/>
      <c r="E744" s="39" t="n">
        <v>45305.41666666666</v>
      </c>
      <c r="F744" s="48" t="inlineStr">
        <is>
          <t>Through The Griffin Door</t>
        </is>
      </c>
      <c r="G744" t="inlineStr">
        <is>
          <t>Dumbledore’s Big Plan Explainer Episode</t>
        </is>
      </c>
      <c r="H744" s="41" t="n">
        <v>0.04653935185185185</v>
      </c>
      <c r="I744" s="42" t="n">
        <v>71083</v>
      </c>
      <c r="J744" s="42" t="n">
        <v>2301</v>
      </c>
      <c r="K744" s="42" t="n">
        <v>351</v>
      </c>
      <c r="L744" s="43" t="n"/>
      <c r="M744" s="44" t="n"/>
      <c r="N744" s="44" t="inlineStr">
        <is>
          <t>UCEscP6ETYXWSSvsNrDHekMQ</t>
        </is>
      </c>
      <c r="O744" s="45" t="n">
        <v>45305.625</v>
      </c>
      <c r="P744" s="46" t="n">
        <v>45305</v>
      </c>
      <c r="Q744" s="44" t="n">
        <v>2528</v>
      </c>
      <c r="R744" s="44" t="inlineStr">
        <is>
          <t>No Video ID yet</t>
        </is>
      </c>
      <c r="S744" s="46" t="n"/>
      <c r="T744" s="46" t="n"/>
      <c r="U744" s="44" t="n"/>
      <c r="V744" s="44">
        <f>IF(AND(P744&gt;=Calendar!$K$2,P744&lt;EDATE(Calendar!$K$2,1),OR(Calendar!$K$4="*",N744=Calendar!$K$4)),P744*100+COUNTIFS($P$6:$P$3271,P744,$Q$6:$Q$3271,"&lt;="&amp;Q744,$N$6:$N$3271,Calendar!$K$4),"")</f>
        <v/>
      </c>
      <c r="W744" s="44">
        <f>IF(AND(B744=Queue!$C$4,OR(Queue!$K$4="*",N744=Queue!$K$4)),Q744,"")</f>
        <v/>
      </c>
    </row>
    <row r="745">
      <c r="A745" s="35">
        <f>IF(M745="","",HYPERLINK("https://www.youtube.com/watch?v="&amp;M745,"▶"))</f>
        <v/>
      </c>
      <c r="B745" s="36">
        <f>IF(C745&lt;&gt;"",C745,IF(P745&lt;=IFERROR(INDEX(tblChannels[Watched Through],MATCH(N745,tblChannels[Channel ID],0)),0),"Watched","Unwatched"))</f>
        <v/>
      </c>
      <c r="C745" s="37" t="n"/>
      <c r="D745" s="38" t="n"/>
      <c r="E745" s="39" t="n">
        <v>45303.69861111111</v>
      </c>
      <c r="F745" s="47" t="inlineStr">
        <is>
          <t>Super Carlin Brothers</t>
        </is>
      </c>
      <c r="G745" t="inlineStr">
        <is>
          <t>What If James Kept The Invisibility Cloak | Harry Potter Film Theory</t>
        </is>
      </c>
      <c r="H745" s="41" t="n">
        <v>0.01158564814814815</v>
      </c>
      <c r="I745" s="42" t="n">
        <v>241521</v>
      </c>
      <c r="J745" s="42" t="n">
        <v>9095</v>
      </c>
      <c r="K745" s="42" t="n">
        <v>841</v>
      </c>
      <c r="L745" s="43" t="n"/>
      <c r="M745" s="44" t="n"/>
      <c r="N745" s="44" t="inlineStr">
        <is>
          <t>UCKZo4N0lVPccBkSiuyVh4yg</t>
        </is>
      </c>
      <c r="O745" s="45" t="n">
        <v>45303.90694444445</v>
      </c>
      <c r="P745" s="46" t="n">
        <v>45303</v>
      </c>
      <c r="Q745" s="44" t="n">
        <v>2527</v>
      </c>
      <c r="R745" s="44" t="inlineStr">
        <is>
          <t>No Video ID yet</t>
        </is>
      </c>
      <c r="S745" s="46" t="n"/>
      <c r="T745" s="46" t="n"/>
      <c r="U745" s="44" t="n"/>
      <c r="V745" s="44">
        <f>IF(AND(P745&gt;=Calendar!$K$2,P745&lt;EDATE(Calendar!$K$2,1),OR(Calendar!$K$4="*",N745=Calendar!$K$4)),P745*100+COUNTIFS($P$6:$P$3271,P745,$Q$6:$Q$3271,"&lt;="&amp;Q745,$N$6:$N$3271,Calendar!$K$4),"")</f>
        <v/>
      </c>
      <c r="W745" s="44">
        <f>IF(AND(B745=Queue!$C$4,OR(Queue!$K$4="*",N745=Queue!$K$4)),Q745,"")</f>
        <v/>
      </c>
    </row>
    <row r="746">
      <c r="A746" s="35">
        <f>IF(M746="","",HYPERLINK("https://www.youtube.com/watch?v="&amp;M746,"▶"))</f>
        <v/>
      </c>
      <c r="B746" s="36">
        <f>IF(C746&lt;&gt;"",C746,IF(P746&lt;=IFERROR(INDEX(tblChannels[Watched Through],MATCH(N746,tblChannels[Channel ID],0)),0),"Watched","Unwatched"))</f>
        <v/>
      </c>
      <c r="C746" s="37" t="n"/>
      <c r="D746" s="38" t="n"/>
      <c r="E746" s="39" t="n">
        <v>45303.41666666666</v>
      </c>
      <c r="F746" s="40" t="inlineStr">
        <is>
          <t>Popcorn Culture</t>
        </is>
      </c>
      <c r="G746" t="inlineStr">
        <is>
          <t>Google Embarrassment | Popcorn Culture</t>
        </is>
      </c>
      <c r="H746" s="41" t="n">
        <v>0.05267361111111111</v>
      </c>
      <c r="I746" s="42" t="n">
        <v>5750</v>
      </c>
      <c r="J746" s="42" t="n">
        <v>250</v>
      </c>
      <c r="K746" s="42" t="n">
        <v>51</v>
      </c>
      <c r="L746" s="43" t="n"/>
      <c r="M746" s="44" t="n"/>
      <c r="N746" s="44" t="inlineStr">
        <is>
          <t>UCHfIbq9thHPC8yrKjAdJgDA</t>
        </is>
      </c>
      <c r="O746" s="45" t="n">
        <v>45303.625</v>
      </c>
      <c r="P746" s="46" t="n">
        <v>45303</v>
      </c>
      <c r="Q746" s="44" t="n">
        <v>2526</v>
      </c>
      <c r="R746" s="44" t="inlineStr">
        <is>
          <t>No Video ID yet</t>
        </is>
      </c>
      <c r="S746" s="46" t="n"/>
      <c r="T746" s="46" t="n"/>
      <c r="U746" s="44" t="n"/>
      <c r="V746" s="44">
        <f>IF(AND(P746&gt;=Calendar!$K$2,P746&lt;EDATE(Calendar!$K$2,1),OR(Calendar!$K$4="*",N746=Calendar!$K$4)),P746*100+COUNTIFS($P$6:$P$3271,P746,$Q$6:$Q$3271,"&lt;="&amp;Q746,$N$6:$N$3271,Calendar!$K$4),"")</f>
        <v/>
      </c>
      <c r="W746" s="44">
        <f>IF(AND(B746=Queue!$C$4,OR(Queue!$K$4="*",N746=Queue!$K$4)),Q746,"")</f>
        <v/>
      </c>
    </row>
    <row r="747">
      <c r="A747" s="35">
        <f>IF(M747="","",HYPERLINK("https://www.youtube.com/watch?v="&amp;M747,"▶"))</f>
        <v/>
      </c>
      <c r="B747" s="36">
        <f>IF(C747&lt;&gt;"",C747,IF(P747&lt;=IFERROR(INDEX(tblChannels[Watched Through],MATCH(N747,tblChannels[Channel ID],0)),0),"Watched","Unwatched"))</f>
        <v/>
      </c>
      <c r="C747" s="37" t="n"/>
      <c r="D747" s="38" t="n"/>
      <c r="E747" s="39" t="n">
        <v>45301.70763888889</v>
      </c>
      <c r="F747" s="47" t="inlineStr">
        <is>
          <t>Super Carlin Brothers</t>
        </is>
      </c>
      <c r="G747" t="inlineStr">
        <is>
          <t>Harry Potter is JUST Star Wars | Harry Potter Film Theory</t>
        </is>
      </c>
      <c r="H747" s="41" t="n">
        <v>0.00869212962962963</v>
      </c>
      <c r="I747" s="42" t="n">
        <v>81813</v>
      </c>
      <c r="J747" s="42" t="n">
        <v>4274</v>
      </c>
      <c r="K747" s="42" t="n">
        <v>655</v>
      </c>
      <c r="L747" s="43" t="n"/>
      <c r="M747" s="44" t="n"/>
      <c r="N747" s="44" t="inlineStr">
        <is>
          <t>UCKZo4N0lVPccBkSiuyVh4yg</t>
        </is>
      </c>
      <c r="O747" s="45" t="n">
        <v>45301.91597222222</v>
      </c>
      <c r="P747" s="46" t="n">
        <v>45301</v>
      </c>
      <c r="Q747" s="44" t="n">
        <v>2525</v>
      </c>
      <c r="R747" s="44" t="inlineStr">
        <is>
          <t>No Video ID yet</t>
        </is>
      </c>
      <c r="S747" s="46" t="n"/>
      <c r="T747" s="46" t="n"/>
      <c r="U747" s="44" t="n"/>
      <c r="V747" s="44">
        <f>IF(AND(P747&gt;=Calendar!$K$2,P747&lt;EDATE(Calendar!$K$2,1),OR(Calendar!$K$4="*",N747=Calendar!$K$4)),P747*100+COUNTIFS($P$6:$P$3271,P747,$Q$6:$Q$3271,"&lt;="&amp;Q747,$N$6:$N$3271,Calendar!$K$4),"")</f>
        <v/>
      </c>
      <c r="W747" s="44">
        <f>IF(AND(B747=Queue!$C$4,OR(Queue!$K$4="*",N747=Queue!$K$4)),Q747,"")</f>
        <v/>
      </c>
    </row>
    <row r="748">
      <c r="A748" s="35">
        <f>IF(M748="","",HYPERLINK("https://www.youtube.com/watch?v="&amp;M748,"▶"))</f>
        <v/>
      </c>
      <c r="B748" s="36">
        <f>IF(C748&lt;&gt;"",C748,IF(P748&lt;=IFERROR(INDEX(tblChannels[Watched Through],MATCH(N748,tblChannels[Channel ID],0)),0),"Watched","Unwatched"))</f>
        <v/>
      </c>
      <c r="C748" s="37" t="n"/>
      <c r="D748" s="38" t="n"/>
      <c r="E748" s="39" t="n">
        <v>45300.77083333334</v>
      </c>
      <c r="F748" s="49" t="inlineStr">
        <is>
          <t>Super Carlin Gaming</t>
        </is>
      </c>
      <c r="G748" t="inlineStr">
        <is>
          <t>A NEW LEADER IS CROWNED | Carlin Brothers Box Breakers S8E9</t>
        </is>
      </c>
      <c r="H748" s="41" t="n">
        <v>0.03354166666666666</v>
      </c>
      <c r="I748" s="42" t="n">
        <v>1528</v>
      </c>
      <c r="J748" s="42" t="n">
        <v>103</v>
      </c>
      <c r="K748" s="42" t="n">
        <v>12</v>
      </c>
      <c r="L748" s="43" t="n"/>
      <c r="M748" s="44" t="n"/>
      <c r="N748" s="44" t="inlineStr">
        <is>
          <t>UCor_9jRnNNZVzTuQ92PKsaQ</t>
        </is>
      </c>
      <c r="O748" s="45" t="n">
        <v>45300.97916666666</v>
      </c>
      <c r="P748" s="46" t="n">
        <v>45300</v>
      </c>
      <c r="Q748" s="44" t="n">
        <v>2524</v>
      </c>
      <c r="R748" s="44" t="inlineStr">
        <is>
          <t>No Video ID yet</t>
        </is>
      </c>
      <c r="S748" s="46" t="n"/>
      <c r="T748" s="46" t="n"/>
      <c r="U748" s="44" t="n"/>
      <c r="V748" s="44">
        <f>IF(AND(P748&gt;=Calendar!$K$2,P748&lt;EDATE(Calendar!$K$2,1),OR(Calendar!$K$4="*",N748=Calendar!$K$4)),P748*100+COUNTIFS($P$6:$P$3271,P748,$Q$6:$Q$3271,"&lt;="&amp;Q748,$N$6:$N$3271,Calendar!$K$4),"")</f>
        <v/>
      </c>
      <c r="W748" s="44">
        <f>IF(AND(B748=Queue!$C$4,OR(Queue!$K$4="*",N748=Queue!$K$4)),Q748,"")</f>
        <v/>
      </c>
    </row>
    <row r="749">
      <c r="A749" s="35">
        <f>IF(M749="","",HYPERLINK("https://www.youtube.com/watch?v="&amp;M749,"▶"))</f>
        <v/>
      </c>
      <c r="B749" s="36">
        <f>IF(C749&lt;&gt;"",C749,IF(P749&lt;=IFERROR(INDEX(tblChannels[Watched Through],MATCH(N749,tblChannels[Channel ID],0)),0),"Watched","Unwatched"))</f>
        <v/>
      </c>
      <c r="C749" s="37" t="n"/>
      <c r="D749" s="38" t="n"/>
      <c r="E749" s="39" t="n">
        <v>45298.41666666666</v>
      </c>
      <c r="F749" s="48" t="inlineStr">
        <is>
          <t>Through The Griffin Door</t>
        </is>
      </c>
      <c r="G749" t="inlineStr">
        <is>
          <t>Chapter 17: The Man with Two Faces | Philosopher's Stone</t>
        </is>
      </c>
      <c r="H749" s="41" t="n">
        <v>0.04724537037037037</v>
      </c>
      <c r="I749" s="42" t="n">
        <v>76562</v>
      </c>
      <c r="J749" s="42" t="n">
        <v>2579</v>
      </c>
      <c r="K749" s="42" t="n">
        <v>457</v>
      </c>
      <c r="L749" s="43" t="n"/>
      <c r="M749" s="44" t="n"/>
      <c r="N749" s="44" t="inlineStr">
        <is>
          <t>UCEscP6ETYXWSSvsNrDHekMQ</t>
        </is>
      </c>
      <c r="O749" s="45" t="n">
        <v>45298.625</v>
      </c>
      <c r="P749" s="46" t="n">
        <v>45298</v>
      </c>
      <c r="Q749" s="44" t="n">
        <v>2523</v>
      </c>
      <c r="R749" s="44" t="inlineStr">
        <is>
          <t>No Video ID yet</t>
        </is>
      </c>
      <c r="S749" s="46" t="n"/>
      <c r="T749" s="46" t="n"/>
      <c r="U749" s="44" t="n"/>
      <c r="V749" s="44">
        <f>IF(AND(P749&gt;=Calendar!$K$2,P749&lt;EDATE(Calendar!$K$2,1),OR(Calendar!$K$4="*",N749=Calendar!$K$4)),P749*100+COUNTIFS($P$6:$P$3271,P749,$Q$6:$Q$3271,"&lt;="&amp;Q749,$N$6:$N$3271,Calendar!$K$4),"")</f>
        <v/>
      </c>
      <c r="W749" s="44">
        <f>IF(AND(B749=Queue!$C$4,OR(Queue!$K$4="*",N749=Queue!$K$4)),Q749,"")</f>
        <v/>
      </c>
    </row>
    <row r="750">
      <c r="A750" s="35">
        <f>IF(M750="","",HYPERLINK("https://www.youtube.com/watch?v="&amp;M750,"▶"))</f>
        <v/>
      </c>
      <c r="B750" s="36">
        <f>IF(C750&lt;&gt;"",C750,IF(P750&lt;=IFERROR(INDEX(tblChannels[Watched Through],MATCH(N750,tblChannels[Channel ID],0)),0),"Watched","Unwatched"))</f>
        <v/>
      </c>
      <c r="C750" s="37" t="n"/>
      <c r="D750" s="38" t="n"/>
      <c r="E750" s="39" t="n">
        <v>45296.67291666667</v>
      </c>
      <c r="F750" s="47" t="inlineStr">
        <is>
          <t>Super Carlin Brothers</t>
        </is>
      </c>
      <c r="G750" t="inlineStr">
        <is>
          <t>Why Voldemort ACTUALLY Fears Dumbledore | Harry Potter Film Theory</t>
        </is>
      </c>
      <c r="H750" s="41" t="n">
        <v>0.009722222222222222</v>
      </c>
      <c r="I750" s="42" t="n">
        <v>385567</v>
      </c>
      <c r="J750" s="42" t="n">
        <v>13260</v>
      </c>
      <c r="K750" s="42" t="n">
        <v>865</v>
      </c>
      <c r="L750" s="43" t="n"/>
      <c r="M750" s="44" t="n"/>
      <c r="N750" s="44" t="inlineStr">
        <is>
          <t>UCKZo4N0lVPccBkSiuyVh4yg</t>
        </is>
      </c>
      <c r="O750" s="45" t="n">
        <v>45296.88125</v>
      </c>
      <c r="P750" s="46" t="n">
        <v>45296</v>
      </c>
      <c r="Q750" s="44" t="n">
        <v>2522</v>
      </c>
      <c r="R750" s="44" t="inlineStr">
        <is>
          <t>No Video ID yet</t>
        </is>
      </c>
      <c r="S750" s="46" t="n"/>
      <c r="T750" s="46" t="n"/>
      <c r="U750" s="44" t="n"/>
      <c r="V750" s="44">
        <f>IF(AND(P750&gt;=Calendar!$K$2,P750&lt;EDATE(Calendar!$K$2,1),OR(Calendar!$K$4="*",N750=Calendar!$K$4)),P750*100+COUNTIFS($P$6:$P$3271,P750,$Q$6:$Q$3271,"&lt;="&amp;Q750,$N$6:$N$3271,Calendar!$K$4),"")</f>
        <v/>
      </c>
      <c r="W750" s="44">
        <f>IF(AND(B750=Queue!$C$4,OR(Queue!$K$4="*",N750=Queue!$K$4)),Q750,"")</f>
        <v/>
      </c>
    </row>
    <row r="751">
      <c r="A751" s="35">
        <f>IF(M751="","",HYPERLINK("https://www.youtube.com/watch?v="&amp;M751,"▶"))</f>
        <v/>
      </c>
      <c r="B751" s="36">
        <f>IF(C751&lt;&gt;"",C751,IF(P751&lt;=IFERROR(INDEX(tblChannels[Watched Through],MATCH(N751,tblChannels[Channel ID],0)),0),"Watched","Unwatched"))</f>
        <v/>
      </c>
      <c r="C751" s="37" t="n"/>
      <c r="D751" s="38" t="n"/>
      <c r="E751" s="39" t="n">
        <v>45296.41666666666</v>
      </c>
      <c r="F751" s="40" t="inlineStr">
        <is>
          <t>Popcorn Culture</t>
        </is>
      </c>
      <c r="G751" t="inlineStr">
        <is>
          <t>Smoothies are Cheating | Popcorn Culture</t>
        </is>
      </c>
      <c r="H751" s="41" t="n">
        <v>0.05251157407407407</v>
      </c>
      <c r="I751" s="42" t="n">
        <v>5340</v>
      </c>
      <c r="J751" s="42" t="n">
        <v>256</v>
      </c>
      <c r="K751" s="42" t="n">
        <v>34</v>
      </c>
      <c r="L751" s="43" t="n"/>
      <c r="M751" s="44" t="n"/>
      <c r="N751" s="44" t="inlineStr">
        <is>
          <t>UCHfIbq9thHPC8yrKjAdJgDA</t>
        </is>
      </c>
      <c r="O751" s="45" t="n">
        <v>45296.625</v>
      </c>
      <c r="P751" s="46" t="n">
        <v>45296</v>
      </c>
      <c r="Q751" s="44" t="n">
        <v>2521</v>
      </c>
      <c r="R751" s="44" t="inlineStr">
        <is>
          <t>No Video ID yet</t>
        </is>
      </c>
      <c r="S751" s="46" t="n"/>
      <c r="T751" s="46" t="n"/>
      <c r="U751" s="44" t="n"/>
      <c r="V751" s="44">
        <f>IF(AND(P751&gt;=Calendar!$K$2,P751&lt;EDATE(Calendar!$K$2,1),OR(Calendar!$K$4="*",N751=Calendar!$K$4)),P751*100+COUNTIFS($P$6:$P$3271,P751,$Q$6:$Q$3271,"&lt;="&amp;Q751,$N$6:$N$3271,Calendar!$K$4),"")</f>
        <v/>
      </c>
      <c r="W751" s="44">
        <f>IF(AND(B751=Queue!$C$4,OR(Queue!$K$4="*",N751=Queue!$K$4)),Q751,"")</f>
        <v/>
      </c>
    </row>
    <row r="752">
      <c r="A752" s="35">
        <f>IF(M752="","",HYPERLINK("https://www.youtube.com/watch?v="&amp;M752,"▶"))</f>
        <v/>
      </c>
      <c r="B752" s="36">
        <f>IF(C752&lt;&gt;"",C752,IF(P752&lt;=IFERROR(INDEX(tblChannels[Watched Through],MATCH(N752,tblChannels[Channel ID],0)),0),"Watched","Unwatched"))</f>
        <v/>
      </c>
      <c r="C752" s="37" t="n"/>
      <c r="D752" s="38" t="n"/>
      <c r="E752" s="39" t="n">
        <v>45294.71736111111</v>
      </c>
      <c r="F752" s="47" t="inlineStr">
        <is>
          <t>Super Carlin Brothers</t>
        </is>
      </c>
      <c r="G752" t="inlineStr">
        <is>
          <t>J vs Ben: Getting SORTED Into Hogwarts Houses By YOU</t>
        </is>
      </c>
      <c r="H752" s="41" t="n">
        <v>0.03972222222222222</v>
      </c>
      <c r="I752" s="42" t="n">
        <v>139819</v>
      </c>
      <c r="J752" s="42" t="n">
        <v>5045</v>
      </c>
      <c r="K752" s="42" t="n">
        <v>534</v>
      </c>
      <c r="L752" s="43" t="n"/>
      <c r="M752" s="44" t="n"/>
      <c r="N752" s="44" t="inlineStr">
        <is>
          <t>UCKZo4N0lVPccBkSiuyVh4yg</t>
        </is>
      </c>
      <c r="O752" s="45" t="n">
        <v>45294.92569444444</v>
      </c>
      <c r="P752" s="46" t="n">
        <v>45294</v>
      </c>
      <c r="Q752" s="44" t="n">
        <v>2520</v>
      </c>
      <c r="R752" s="44" t="inlineStr">
        <is>
          <t>No Video ID yet</t>
        </is>
      </c>
      <c r="S752" s="46" t="n"/>
      <c r="T752" s="46" t="n"/>
      <c r="U752" s="44" t="n"/>
      <c r="V752" s="44">
        <f>IF(AND(P752&gt;=Calendar!$K$2,P752&lt;EDATE(Calendar!$K$2,1),OR(Calendar!$K$4="*",N752=Calendar!$K$4)),P752*100+COUNTIFS($P$6:$P$3271,P752,$Q$6:$Q$3271,"&lt;="&amp;Q752,$N$6:$N$3271,Calendar!$K$4),"")</f>
        <v/>
      </c>
      <c r="W752" s="44">
        <f>IF(AND(B752=Queue!$C$4,OR(Queue!$K$4="*",N752=Queue!$K$4)),Q752,"")</f>
        <v/>
      </c>
    </row>
    <row r="753">
      <c r="A753" s="35">
        <f>IF(M753="","",HYPERLINK("https://www.youtube.com/watch?v="&amp;M753,"▶"))</f>
        <v/>
      </c>
      <c r="B753" s="36">
        <f>IF(C753&lt;&gt;"",C753,IF(P753&lt;=IFERROR(INDEX(tblChannels[Watched Through],MATCH(N753,tblChannels[Channel ID],0)),0),"Watched","Unwatched"))</f>
        <v/>
      </c>
      <c r="C753" s="37" t="n"/>
      <c r="D753" s="38" t="n"/>
      <c r="E753" s="39" t="n">
        <v>45291.41666666666</v>
      </c>
      <c r="F753" s="48" t="inlineStr">
        <is>
          <t>Through The Griffin Door</t>
        </is>
      </c>
      <c r="G753" t="inlineStr">
        <is>
          <t>Chapter 16: Through the Trap Door | Philosopher's Stone</t>
        </is>
      </c>
      <c r="H753" s="41" t="n">
        <v>0.05818287037037037</v>
      </c>
      <c r="I753" s="42" t="n">
        <v>82394</v>
      </c>
      <c r="J753" s="42" t="n">
        <v>2442</v>
      </c>
      <c r="K753" s="42" t="n">
        <v>461</v>
      </c>
      <c r="L753" s="43" t="n"/>
      <c r="M753" s="44" t="n"/>
      <c r="N753" s="44" t="inlineStr">
        <is>
          <t>UCEscP6ETYXWSSvsNrDHekMQ</t>
        </is>
      </c>
      <c r="O753" s="45" t="n">
        <v>45291.625</v>
      </c>
      <c r="P753" s="46" t="n">
        <v>45291</v>
      </c>
      <c r="Q753" s="44" t="n">
        <v>2519</v>
      </c>
      <c r="R753" s="44" t="inlineStr">
        <is>
          <t>No Video ID yet</t>
        </is>
      </c>
      <c r="S753" s="46" t="n"/>
      <c r="T753" s="46" t="n"/>
      <c r="U753" s="44" t="n"/>
      <c r="V753" s="44">
        <f>IF(AND(P753&gt;=Calendar!$K$2,P753&lt;EDATE(Calendar!$K$2,1),OR(Calendar!$K$4="*",N753=Calendar!$K$4)),P753*100+COUNTIFS($P$6:$P$3271,P753,$Q$6:$Q$3271,"&lt;="&amp;Q753,$N$6:$N$3271,Calendar!$K$4),"")</f>
        <v/>
      </c>
      <c r="W753" s="44">
        <f>IF(AND(B753=Queue!$C$4,OR(Queue!$K$4="*",N753=Queue!$K$4)),Q753,"")</f>
        <v/>
      </c>
    </row>
    <row r="754">
      <c r="A754" s="35">
        <f>IF(M754="","",HYPERLINK("https://www.youtube.com/watch?v="&amp;M754,"▶"))</f>
        <v/>
      </c>
      <c r="B754" s="36">
        <f>IF(C754&lt;&gt;"",C754,IF(P754&lt;=IFERROR(INDEX(tblChannels[Watched Through],MATCH(N754,tblChannels[Channel ID],0)),0),"Watched","Unwatched"))</f>
        <v/>
      </c>
      <c r="C754" s="37" t="n"/>
      <c r="D754" s="38" t="n"/>
      <c r="E754" s="39" t="n">
        <v>45290.41666666666</v>
      </c>
      <c r="F754" s="47" t="inlineStr">
        <is>
          <t>Super Carlin Brothers</t>
        </is>
      </c>
      <c r="G754" t="inlineStr">
        <is>
          <t>Through the Griffin Door Supercut: Chapters 13-15 | Philosopher’s Stone Supercut</t>
        </is>
      </c>
      <c r="H754" s="41" t="n">
        <v>0.1395833333333333</v>
      </c>
      <c r="I754" s="42" t="n">
        <v>115394</v>
      </c>
      <c r="J754" s="42" t="n">
        <v>1211</v>
      </c>
      <c r="K754" s="42" t="n">
        <v>159</v>
      </c>
      <c r="L754" s="43" t="n"/>
      <c r="M754" s="44" t="n"/>
      <c r="N754" s="44" t="inlineStr">
        <is>
          <t>UCKZo4N0lVPccBkSiuyVh4yg</t>
        </is>
      </c>
      <c r="O754" s="45" t="n">
        <v>45290.625</v>
      </c>
      <c r="P754" s="46" t="n">
        <v>45290</v>
      </c>
      <c r="Q754" s="44" t="n">
        <v>2518</v>
      </c>
      <c r="R754" s="44" t="inlineStr">
        <is>
          <t>No Video ID yet</t>
        </is>
      </c>
      <c r="S754" s="46" t="n"/>
      <c r="T754" s="46" t="n"/>
      <c r="U754" s="44" t="n"/>
      <c r="V754" s="44">
        <f>IF(AND(P754&gt;=Calendar!$K$2,P754&lt;EDATE(Calendar!$K$2,1),OR(Calendar!$K$4="*",N754=Calendar!$K$4)),P754*100+COUNTIFS($P$6:$P$3271,P754,$Q$6:$Q$3271,"&lt;="&amp;Q754,$N$6:$N$3271,Calendar!$K$4),"")</f>
        <v/>
      </c>
      <c r="W754" s="44">
        <f>IF(AND(B754=Queue!$C$4,OR(Queue!$K$4="*",N754=Queue!$K$4)),Q754,"")</f>
        <v/>
      </c>
    </row>
    <row r="755">
      <c r="A755" s="35">
        <f>IF(M755="","",HYPERLINK("https://www.youtube.com/watch?v="&amp;M755,"▶"))</f>
        <v/>
      </c>
      <c r="B755" s="36">
        <f>IF(C755&lt;&gt;"",C755,IF(P755&lt;=IFERROR(INDEX(tblChannels[Watched Through],MATCH(N755,tblChannels[Channel ID],0)),0),"Watched","Unwatched"))</f>
        <v/>
      </c>
      <c r="C755" s="37" t="n"/>
      <c r="D755" s="38" t="n"/>
      <c r="E755" s="39" t="n">
        <v>45289.625</v>
      </c>
      <c r="F755" s="49" t="inlineStr">
        <is>
          <t>Super Carlin Gaming</t>
        </is>
      </c>
      <c r="G755" t="inlineStr">
        <is>
          <t>No One In Last?? | Carlin Brothers Box Breakers S8E8</t>
        </is>
      </c>
      <c r="H755" s="41" t="n">
        <v>0.02503472222222222</v>
      </c>
      <c r="I755" s="42" t="n">
        <v>1334</v>
      </c>
      <c r="J755" s="42" t="n">
        <v>87</v>
      </c>
      <c r="K755" s="42" t="n">
        <v>5</v>
      </c>
      <c r="L755" s="43" t="n"/>
      <c r="M755" s="44" t="n"/>
      <c r="N755" s="44" t="inlineStr">
        <is>
          <t>UCor_9jRnNNZVzTuQ92PKsaQ</t>
        </is>
      </c>
      <c r="O755" s="45" t="n">
        <v>45289.83333333334</v>
      </c>
      <c r="P755" s="46" t="n">
        <v>45289</v>
      </c>
      <c r="Q755" s="44" t="n">
        <v>2517</v>
      </c>
      <c r="R755" s="44" t="inlineStr">
        <is>
          <t>No Video ID yet</t>
        </is>
      </c>
      <c r="S755" s="46" t="n"/>
      <c r="T755" s="46" t="n"/>
      <c r="U755" s="44" t="n"/>
      <c r="V755" s="44">
        <f>IF(AND(P755&gt;=Calendar!$K$2,P755&lt;EDATE(Calendar!$K$2,1),OR(Calendar!$K$4="*",N755=Calendar!$K$4)),P755*100+COUNTIFS($P$6:$P$3271,P755,$Q$6:$Q$3271,"&lt;="&amp;Q755,$N$6:$N$3271,Calendar!$K$4),"")</f>
        <v/>
      </c>
      <c r="W755" s="44">
        <f>IF(AND(B755=Queue!$C$4,OR(Queue!$K$4="*",N755=Queue!$K$4)),Q755,"")</f>
        <v/>
      </c>
    </row>
    <row r="756">
      <c r="A756" s="35">
        <f>IF(M756="","",HYPERLINK("https://www.youtube.com/watch?v="&amp;M756,"▶"))</f>
        <v/>
      </c>
      <c r="B756" s="36">
        <f>IF(C756&lt;&gt;"",C756,IF(P756&lt;=IFERROR(INDEX(tblChannels[Watched Through],MATCH(N756,tblChannels[Channel ID],0)),0),"Watched","Unwatched"))</f>
        <v/>
      </c>
      <c r="C756" s="37" t="n"/>
      <c r="D756" s="38" t="n"/>
      <c r="E756" s="39" t="n">
        <v>45289.41666666666</v>
      </c>
      <c r="F756" s="40" t="inlineStr">
        <is>
          <t>Popcorn Culture</t>
        </is>
      </c>
      <c r="G756" t="inlineStr">
        <is>
          <t>Pringle Poisoning  | Popcorn Culture</t>
        </is>
      </c>
      <c r="H756" s="41" t="n">
        <v>0.04869212962962963</v>
      </c>
      <c r="I756" s="42" t="n">
        <v>4738</v>
      </c>
      <c r="J756" s="42" t="n">
        <v>240</v>
      </c>
      <c r="K756" s="42" t="n">
        <v>34</v>
      </c>
      <c r="L756" s="43" t="n"/>
      <c r="M756" s="44" t="n"/>
      <c r="N756" s="44" t="inlineStr">
        <is>
          <t>UCHfIbq9thHPC8yrKjAdJgDA</t>
        </is>
      </c>
      <c r="O756" s="45" t="n">
        <v>45289.625</v>
      </c>
      <c r="P756" s="46" t="n">
        <v>45289</v>
      </c>
      <c r="Q756" s="44" t="n">
        <v>2516</v>
      </c>
      <c r="R756" s="44" t="inlineStr">
        <is>
          <t>No Video ID yet</t>
        </is>
      </c>
      <c r="S756" s="46" t="n"/>
      <c r="T756" s="46" t="n"/>
      <c r="U756" s="44" t="n"/>
      <c r="V756" s="44">
        <f>IF(AND(P756&gt;=Calendar!$K$2,P756&lt;EDATE(Calendar!$K$2,1),OR(Calendar!$K$4="*",N756=Calendar!$K$4)),P756*100+COUNTIFS($P$6:$P$3271,P756,$Q$6:$Q$3271,"&lt;="&amp;Q756,$N$6:$N$3271,Calendar!$K$4),"")</f>
        <v/>
      </c>
      <c r="W756" s="44">
        <f>IF(AND(B756=Queue!$C$4,OR(Queue!$K$4="*",N756=Queue!$K$4)),Q756,"")</f>
        <v/>
      </c>
    </row>
    <row r="757">
      <c r="A757" s="35">
        <f>IF(M757="","",HYPERLINK("https://www.youtube.com/watch?v="&amp;M757,"▶"))</f>
        <v/>
      </c>
      <c r="B757" s="36">
        <f>IF(C757&lt;&gt;"",C757,IF(P757&lt;=IFERROR(INDEX(tblChannels[Watched Through],MATCH(N757,tblChannels[Channel ID],0)),0),"Watched","Unwatched"))</f>
        <v/>
      </c>
      <c r="C757" s="37" t="n"/>
      <c r="D757" s="38" t="n"/>
      <c r="E757" s="39" t="n">
        <v>45285.5</v>
      </c>
      <c r="F757" s="47" t="inlineStr">
        <is>
          <t>Super Carlin Brothers</t>
        </is>
      </c>
      <c r="G757" t="inlineStr">
        <is>
          <t>J vs Ben: FULL YEAR SHOWDOWN - Who is the Ultimate Champion of 2023?</t>
        </is>
      </c>
      <c r="H757" s="41" t="n">
        <v>0.4996412037037037</v>
      </c>
      <c r="I757" s="42" t="n">
        <v>282679</v>
      </c>
      <c r="J757" s="42" t="n">
        <v>4863</v>
      </c>
      <c r="K757" s="42" t="n">
        <v>816</v>
      </c>
      <c r="L757" s="43" t="n"/>
      <c r="M757" s="44" t="n"/>
      <c r="N757" s="44" t="inlineStr">
        <is>
          <t>UCKZo4N0lVPccBkSiuyVh4yg</t>
        </is>
      </c>
      <c r="O757" s="45" t="n">
        <v>45285.70833333334</v>
      </c>
      <c r="P757" s="46" t="n">
        <v>45285</v>
      </c>
      <c r="Q757" s="44" t="n">
        <v>2515</v>
      </c>
      <c r="R757" s="44" t="inlineStr">
        <is>
          <t>No Video ID yet</t>
        </is>
      </c>
      <c r="S757" s="46" t="n"/>
      <c r="T757" s="46" t="n"/>
      <c r="U757" s="44" t="n"/>
      <c r="V757" s="44">
        <f>IF(AND(P757&gt;=Calendar!$K$2,P757&lt;EDATE(Calendar!$K$2,1),OR(Calendar!$K$4="*",N757=Calendar!$K$4)),P757*100+COUNTIFS($P$6:$P$3271,P757,$Q$6:$Q$3271,"&lt;="&amp;Q757,$N$6:$N$3271,Calendar!$K$4),"")</f>
        <v/>
      </c>
      <c r="W757" s="44">
        <f>IF(AND(B757=Queue!$C$4,OR(Queue!$K$4="*",N757=Queue!$K$4)),Q757,"")</f>
        <v/>
      </c>
    </row>
    <row r="758">
      <c r="A758" s="35">
        <f>IF(M758="","",HYPERLINK("https://www.youtube.com/watch?v="&amp;M758,"▶"))</f>
        <v/>
      </c>
      <c r="B758" s="36">
        <f>IF(C758&lt;&gt;"",C758,IF(P758&lt;=IFERROR(INDEX(tblChannels[Watched Through],MATCH(N758,tblChannels[Channel ID],0)),0),"Watched","Unwatched"))</f>
        <v/>
      </c>
      <c r="C758" s="37" t="n"/>
      <c r="D758" s="38" t="n"/>
      <c r="E758" s="39" t="n">
        <v>45284.41666666666</v>
      </c>
      <c r="F758" s="48" t="inlineStr">
        <is>
          <t>Through The Griffin Door</t>
        </is>
      </c>
      <c r="G758" t="inlineStr">
        <is>
          <t>Chapter 15: The Forbidden Forest | Philosopher's Stone</t>
        </is>
      </c>
      <c r="H758" s="41" t="n">
        <v>0.05164351851851852</v>
      </c>
      <c r="I758" s="42" t="n">
        <v>74383</v>
      </c>
      <c r="J758" s="42" t="n">
        <v>2529</v>
      </c>
      <c r="K758" s="42" t="n">
        <v>359</v>
      </c>
      <c r="L758" s="43" t="n"/>
      <c r="M758" s="44" t="n"/>
      <c r="N758" s="44" t="inlineStr">
        <is>
          <t>UCEscP6ETYXWSSvsNrDHekMQ</t>
        </is>
      </c>
      <c r="O758" s="45" t="n">
        <v>45284.625</v>
      </c>
      <c r="P758" s="46" t="n">
        <v>45284</v>
      </c>
      <c r="Q758" s="44" t="n">
        <v>2514</v>
      </c>
      <c r="R758" s="44" t="inlineStr">
        <is>
          <t>No Video ID yet</t>
        </is>
      </c>
      <c r="S758" s="46" t="n"/>
      <c r="T758" s="46" t="n"/>
      <c r="U758" s="44" t="n"/>
      <c r="V758" s="44">
        <f>IF(AND(P758&gt;=Calendar!$K$2,P758&lt;EDATE(Calendar!$K$2,1),OR(Calendar!$K$4="*",N758=Calendar!$K$4)),P758*100+COUNTIFS($P$6:$P$3271,P758,$Q$6:$Q$3271,"&lt;="&amp;Q758,$N$6:$N$3271,Calendar!$K$4),"")</f>
        <v/>
      </c>
      <c r="W758" s="44">
        <f>IF(AND(B758=Queue!$C$4,OR(Queue!$K$4="*",N758=Queue!$K$4)),Q758,"")</f>
        <v/>
      </c>
    </row>
    <row r="759">
      <c r="A759" s="35">
        <f>IF(M759="","",HYPERLINK("https://www.youtube.com/watch?v="&amp;M759,"▶"))</f>
        <v/>
      </c>
      <c r="B759" s="36">
        <f>IF(C759&lt;&gt;"",C759,IF(P759&lt;=IFERROR(INDEX(tblChannels[Watched Through],MATCH(N759,tblChannels[Channel ID],0)),0),"Watched","Unwatched"))</f>
        <v/>
      </c>
      <c r="C759" s="37" t="n"/>
      <c r="D759" s="38" t="n"/>
      <c r="E759" s="39" t="n">
        <v>45282.77083333334</v>
      </c>
      <c r="F759" s="49" t="inlineStr">
        <is>
          <t>Super Carlin Gaming</t>
        </is>
      </c>
      <c r="G759" t="inlineStr">
        <is>
          <t>It's Moving Day! | Carlin Brothers Box Breakers S8E7</t>
        </is>
      </c>
      <c r="H759" s="41" t="n">
        <v>0.02709490740740741</v>
      </c>
      <c r="I759" s="42" t="n">
        <v>1413</v>
      </c>
      <c r="J759" s="42" t="n">
        <v>85</v>
      </c>
      <c r="K759" s="42" t="n">
        <v>10</v>
      </c>
      <c r="L759" s="43" t="n"/>
      <c r="M759" s="44" t="n"/>
      <c r="N759" s="44" t="inlineStr">
        <is>
          <t>UCor_9jRnNNZVzTuQ92PKsaQ</t>
        </is>
      </c>
      <c r="O759" s="45" t="n">
        <v>45282.97916666666</v>
      </c>
      <c r="P759" s="46" t="n">
        <v>45282</v>
      </c>
      <c r="Q759" s="44" t="n">
        <v>2513</v>
      </c>
      <c r="R759" s="44" t="inlineStr">
        <is>
          <t>No Video ID yet</t>
        </is>
      </c>
      <c r="S759" s="46" t="n"/>
      <c r="T759" s="46" t="n"/>
      <c r="U759" s="44" t="n"/>
      <c r="V759" s="44">
        <f>IF(AND(P759&gt;=Calendar!$K$2,P759&lt;EDATE(Calendar!$K$2,1),OR(Calendar!$K$4="*",N759=Calendar!$K$4)),P759*100+COUNTIFS($P$6:$P$3271,P759,$Q$6:$Q$3271,"&lt;="&amp;Q759,$N$6:$N$3271,Calendar!$K$4),"")</f>
        <v/>
      </c>
      <c r="W759" s="44">
        <f>IF(AND(B759=Queue!$C$4,OR(Queue!$K$4="*",N759=Queue!$K$4)),Q759,"")</f>
        <v/>
      </c>
    </row>
    <row r="760">
      <c r="A760" s="35">
        <f>IF(M760="","",HYPERLINK("https://www.youtube.com/watch?v="&amp;M760,"▶"))</f>
        <v/>
      </c>
      <c r="B760" s="36">
        <f>IF(C760&lt;&gt;"",C760,IF(P760&lt;=IFERROR(INDEX(tblChannels[Watched Through],MATCH(N760,tblChannels[Channel ID],0)),0),"Watched","Unwatched"))</f>
        <v/>
      </c>
      <c r="C760" s="37" t="n"/>
      <c r="D760" s="38" t="n"/>
      <c r="E760" s="39" t="n">
        <v>45282.58125</v>
      </c>
      <c r="F760" s="47" t="inlineStr">
        <is>
          <t>Super Carlin Brothers</t>
        </is>
      </c>
      <c r="G760" t="inlineStr">
        <is>
          <t>Kristoff’s SECRET Magic Power Revealed | Frozen Disney Film Theory</t>
        </is>
      </c>
      <c r="H760" s="41" t="n">
        <v>0.00798611111111111</v>
      </c>
      <c r="I760" s="42" t="n">
        <v>50060</v>
      </c>
      <c r="J760" s="42" t="n">
        <v>2945</v>
      </c>
      <c r="K760" s="42" t="n">
        <v>156</v>
      </c>
      <c r="L760" s="43" t="n"/>
      <c r="M760" s="44" t="n"/>
      <c r="N760" s="44" t="inlineStr">
        <is>
          <t>UCKZo4N0lVPccBkSiuyVh4yg</t>
        </is>
      </c>
      <c r="O760" s="45" t="n">
        <v>45282.78958333333</v>
      </c>
      <c r="P760" s="46" t="n">
        <v>45282</v>
      </c>
      <c r="Q760" s="44" t="n">
        <v>2512</v>
      </c>
      <c r="R760" s="44" t="inlineStr">
        <is>
          <t>No Video ID yet</t>
        </is>
      </c>
      <c r="S760" s="46" t="n"/>
      <c r="T760" s="46" t="n"/>
      <c r="U760" s="44" t="n"/>
      <c r="V760" s="44">
        <f>IF(AND(P760&gt;=Calendar!$K$2,P760&lt;EDATE(Calendar!$K$2,1),OR(Calendar!$K$4="*",N760=Calendar!$K$4)),P760*100+COUNTIFS($P$6:$P$3271,P760,$Q$6:$Q$3271,"&lt;="&amp;Q760,$N$6:$N$3271,Calendar!$K$4),"")</f>
        <v/>
      </c>
      <c r="W760" s="44">
        <f>IF(AND(B760=Queue!$C$4,OR(Queue!$K$4="*",N760=Queue!$K$4)),Q760,"")</f>
        <v/>
      </c>
    </row>
    <row r="761">
      <c r="A761" s="35">
        <f>IF(M761="","",HYPERLINK("https://www.youtube.com/watch?v="&amp;M761,"▶"))</f>
        <v/>
      </c>
      <c r="B761" s="36">
        <f>IF(C761&lt;&gt;"",C761,IF(P761&lt;=IFERROR(INDEX(tblChannels[Watched Through],MATCH(N761,tblChannels[Channel ID],0)),0),"Watched","Unwatched"))</f>
        <v/>
      </c>
      <c r="C761" s="37" t="n"/>
      <c r="D761" s="38" t="n"/>
      <c r="E761" s="39" t="n">
        <v>45282.41666666666</v>
      </c>
      <c r="F761" s="40" t="inlineStr">
        <is>
          <t>Popcorn Culture</t>
        </is>
      </c>
      <c r="G761" t="inlineStr">
        <is>
          <t>Huck A Kid | Popcorn Culture</t>
        </is>
      </c>
      <c r="H761" s="41" t="n">
        <v>0.04890046296296297</v>
      </c>
      <c r="I761" s="42" t="n">
        <v>4869</v>
      </c>
      <c r="J761" s="42" t="n">
        <v>234</v>
      </c>
      <c r="K761" s="42" t="n">
        <v>25</v>
      </c>
      <c r="L761" s="43" t="n"/>
      <c r="M761" s="44" t="n"/>
      <c r="N761" s="44" t="inlineStr">
        <is>
          <t>UCHfIbq9thHPC8yrKjAdJgDA</t>
        </is>
      </c>
      <c r="O761" s="45" t="n">
        <v>45282.625</v>
      </c>
      <c r="P761" s="46" t="n">
        <v>45282</v>
      </c>
      <c r="Q761" s="44" t="n">
        <v>2511</v>
      </c>
      <c r="R761" s="44" t="inlineStr">
        <is>
          <t>No Video ID yet</t>
        </is>
      </c>
      <c r="S761" s="46" t="n"/>
      <c r="T761" s="46" t="n"/>
      <c r="U761" s="44" t="n"/>
      <c r="V761" s="44">
        <f>IF(AND(P761&gt;=Calendar!$K$2,P761&lt;EDATE(Calendar!$K$2,1),OR(Calendar!$K$4="*",N761=Calendar!$K$4)),P761*100+COUNTIFS($P$6:$P$3271,P761,$Q$6:$Q$3271,"&lt;="&amp;Q761,$N$6:$N$3271,Calendar!$K$4),"")</f>
        <v/>
      </c>
      <c r="W761" s="44">
        <f>IF(AND(B761=Queue!$C$4,OR(Queue!$K$4="*",N761=Queue!$K$4)),Q761,"")</f>
        <v/>
      </c>
    </row>
    <row r="762">
      <c r="A762" s="35">
        <f>IF(M762="","",HYPERLINK("https://www.youtube.com/watch?v="&amp;M762,"▶"))</f>
        <v/>
      </c>
      <c r="B762" s="36">
        <f>IF(C762&lt;&gt;"",C762,IF(P762&lt;=IFERROR(INDEX(tblChannels[Watched Through],MATCH(N762,tblChannels[Channel ID],0)),0),"Watched","Unwatched"))</f>
        <v/>
      </c>
      <c r="C762" s="37" t="n"/>
      <c r="D762" s="38" t="n"/>
      <c r="E762" s="39" t="n">
        <v>45280.70972222222</v>
      </c>
      <c r="F762" s="47" t="inlineStr">
        <is>
          <t>Super Carlin Brothers</t>
        </is>
      </c>
      <c r="G762" t="inlineStr">
        <is>
          <t>J vs Ben: HARDEST Harry Potter Christmas Break Trivia Quiz EVER</t>
        </is>
      </c>
      <c r="H762" s="41" t="n">
        <v>0.02417824074074074</v>
      </c>
      <c r="I762" s="42" t="n">
        <v>137603</v>
      </c>
      <c r="J762" s="42" t="n">
        <v>5405</v>
      </c>
      <c r="K762" s="42" t="n">
        <v>523</v>
      </c>
      <c r="L762" s="43" t="n"/>
      <c r="M762" s="44" t="n"/>
      <c r="N762" s="44" t="inlineStr">
        <is>
          <t>UCKZo4N0lVPccBkSiuyVh4yg</t>
        </is>
      </c>
      <c r="O762" s="45" t="n">
        <v>45280.91805555556</v>
      </c>
      <c r="P762" s="46" t="n">
        <v>45280</v>
      </c>
      <c r="Q762" s="44" t="n">
        <v>2510</v>
      </c>
      <c r="R762" s="44" t="inlineStr">
        <is>
          <t>No Video ID yet</t>
        </is>
      </c>
      <c r="S762" s="46" t="n"/>
      <c r="T762" s="46" t="n"/>
      <c r="U762" s="44" t="n"/>
      <c r="V762" s="44">
        <f>IF(AND(P762&gt;=Calendar!$K$2,P762&lt;EDATE(Calendar!$K$2,1),OR(Calendar!$K$4="*",N762=Calendar!$K$4)),P762*100+COUNTIFS($P$6:$P$3271,P762,$Q$6:$Q$3271,"&lt;="&amp;Q762,$N$6:$N$3271,Calendar!$K$4),"")</f>
        <v/>
      </c>
      <c r="W762" s="44">
        <f>IF(AND(B762=Queue!$C$4,OR(Queue!$K$4="*",N762=Queue!$K$4)),Q762,"")</f>
        <v/>
      </c>
    </row>
    <row r="763">
      <c r="A763" s="35">
        <f>IF(M763="","",HYPERLINK("https://www.youtube.com/watch?v="&amp;M763,"▶"))</f>
        <v/>
      </c>
      <c r="B763" s="36">
        <f>IF(C763&lt;&gt;"",C763,IF(P763&lt;=IFERROR(INDEX(tblChannels[Watched Through],MATCH(N763,tblChannels[Channel ID],0)),0),"Watched","Unwatched"))</f>
        <v/>
      </c>
      <c r="C763" s="37" t="n"/>
      <c r="D763" s="38" t="n"/>
      <c r="E763" s="39" t="n">
        <v>45278.54166666666</v>
      </c>
      <c r="F763" s="49" t="inlineStr">
        <is>
          <t>Super Carlin Gaming</t>
        </is>
      </c>
      <c r="G763" t="inlineStr">
        <is>
          <t>ALL GOLD EVERYTHING | Carlin Brothers Box Breakers S8E6</t>
        </is>
      </c>
      <c r="H763" s="41" t="n">
        <v>0.02831018518518518</v>
      </c>
      <c r="I763" s="42" t="n">
        <v>1341</v>
      </c>
      <c r="J763" s="42" t="n">
        <v>91</v>
      </c>
      <c r="K763" s="42" t="n">
        <v>6</v>
      </c>
      <c r="L763" s="43" t="n"/>
      <c r="M763" s="44" t="n"/>
      <c r="N763" s="44" t="inlineStr">
        <is>
          <t>UCor_9jRnNNZVzTuQ92PKsaQ</t>
        </is>
      </c>
      <c r="O763" s="45" t="n">
        <v>45278.75</v>
      </c>
      <c r="P763" s="46" t="n">
        <v>45278</v>
      </c>
      <c r="Q763" s="44" t="n">
        <v>2509</v>
      </c>
      <c r="R763" s="44" t="inlineStr">
        <is>
          <t>No Video ID yet</t>
        </is>
      </c>
      <c r="S763" s="46" t="n"/>
      <c r="T763" s="46" t="n"/>
      <c r="U763" s="44" t="n"/>
      <c r="V763" s="44">
        <f>IF(AND(P763&gt;=Calendar!$K$2,P763&lt;EDATE(Calendar!$K$2,1),OR(Calendar!$K$4="*",N763=Calendar!$K$4)),P763*100+COUNTIFS($P$6:$P$3271,P763,$Q$6:$Q$3271,"&lt;="&amp;Q763,$N$6:$N$3271,Calendar!$K$4),"")</f>
        <v/>
      </c>
      <c r="W763" s="44">
        <f>IF(AND(B763=Queue!$C$4,OR(Queue!$K$4="*",N763=Queue!$K$4)),Q763,"")</f>
        <v/>
      </c>
    </row>
    <row r="764">
      <c r="A764" s="35">
        <f>IF(M764="","",HYPERLINK("https://www.youtube.com/watch?v="&amp;M764,"▶"))</f>
        <v/>
      </c>
      <c r="B764" s="36">
        <f>IF(C764&lt;&gt;"",C764,IF(P764&lt;=IFERROR(INDEX(tblChannels[Watched Through],MATCH(N764,tblChannels[Channel ID],0)),0),"Watched","Unwatched"))</f>
        <v/>
      </c>
      <c r="C764" s="37" t="n"/>
      <c r="D764" s="38" t="n"/>
      <c r="E764" s="39" t="n">
        <v>45277.41666666666</v>
      </c>
      <c r="F764" s="48" t="inlineStr">
        <is>
          <t>Through The Griffin Door</t>
        </is>
      </c>
      <c r="G764" t="inlineStr">
        <is>
          <t>Chapter 14: Norbert the Norwegian Ridgeback | Philosopher's Stone</t>
        </is>
      </c>
      <c r="H764" s="41" t="n">
        <v>0.03891203703703704</v>
      </c>
      <c r="I764" s="42" t="n">
        <v>66334</v>
      </c>
      <c r="J764" s="42" t="n">
        <v>2187</v>
      </c>
      <c r="K764" s="42" t="n">
        <v>331</v>
      </c>
      <c r="L764" s="43" t="n"/>
      <c r="M764" s="44" t="n"/>
      <c r="N764" s="44" t="inlineStr">
        <is>
          <t>UCEscP6ETYXWSSvsNrDHekMQ</t>
        </is>
      </c>
      <c r="O764" s="45" t="n">
        <v>45277.625</v>
      </c>
      <c r="P764" s="46" t="n">
        <v>45277</v>
      </c>
      <c r="Q764" s="44" t="n">
        <v>2508</v>
      </c>
      <c r="R764" s="44" t="inlineStr">
        <is>
          <t>No Video ID yet</t>
        </is>
      </c>
      <c r="S764" s="46" t="n"/>
      <c r="T764" s="46" t="n"/>
      <c r="U764" s="44" t="n"/>
      <c r="V764" s="44">
        <f>IF(AND(P764&gt;=Calendar!$K$2,P764&lt;EDATE(Calendar!$K$2,1),OR(Calendar!$K$4="*",N764=Calendar!$K$4)),P764*100+COUNTIFS($P$6:$P$3271,P764,$Q$6:$Q$3271,"&lt;="&amp;Q764,$N$6:$N$3271,Calendar!$K$4),"")</f>
        <v/>
      </c>
      <c r="W764" s="44">
        <f>IF(AND(B764=Queue!$C$4,OR(Queue!$K$4="*",N764=Queue!$K$4)),Q764,"")</f>
        <v/>
      </c>
    </row>
    <row r="765">
      <c r="A765" s="35">
        <f>IF(M765="","",HYPERLINK("https://www.youtube.com/watch?v="&amp;M765,"▶"))</f>
        <v/>
      </c>
      <c r="B765" s="36">
        <f>IF(C765&lt;&gt;"",C765,IF(P765&lt;=IFERROR(INDEX(tblChannels[Watched Through],MATCH(N765,tblChannels[Channel ID],0)),0),"Watched","Unwatched"))</f>
        <v/>
      </c>
      <c r="C765" s="37" t="n"/>
      <c r="D765" s="38" t="n"/>
      <c r="E765" s="39" t="n">
        <v>45276.41666666666</v>
      </c>
      <c r="F765" s="47" t="inlineStr">
        <is>
          <t>Super Carlin Brothers</t>
        </is>
      </c>
      <c r="G765" t="inlineStr">
        <is>
          <t>Through the Griffin Door Supercut: Chapters 10-12 | Philosopher’s Stone</t>
        </is>
      </c>
      <c r="H765" s="41" t="n">
        <v>0.148599537037037</v>
      </c>
      <c r="I765" s="42" t="n">
        <v>139594</v>
      </c>
      <c r="J765" s="42" t="n">
        <v>1213</v>
      </c>
      <c r="K765" s="42" t="n">
        <v>211</v>
      </c>
      <c r="L765" s="43" t="n"/>
      <c r="M765" s="44" t="n"/>
      <c r="N765" s="44" t="inlineStr">
        <is>
          <t>UCKZo4N0lVPccBkSiuyVh4yg</t>
        </is>
      </c>
      <c r="O765" s="45" t="n">
        <v>45276.625</v>
      </c>
      <c r="P765" s="46" t="n">
        <v>45276</v>
      </c>
      <c r="Q765" s="44" t="n">
        <v>2507</v>
      </c>
      <c r="R765" s="44" t="inlineStr">
        <is>
          <t>No Video ID yet</t>
        </is>
      </c>
      <c r="S765" s="46" t="n"/>
      <c r="T765" s="46" t="n"/>
      <c r="U765" s="44" t="n"/>
      <c r="V765" s="44">
        <f>IF(AND(P765&gt;=Calendar!$K$2,P765&lt;EDATE(Calendar!$K$2,1),OR(Calendar!$K$4="*",N765=Calendar!$K$4)),P765*100+COUNTIFS($P$6:$P$3271,P765,$Q$6:$Q$3271,"&lt;="&amp;Q765,$N$6:$N$3271,Calendar!$K$4),"")</f>
        <v/>
      </c>
      <c r="W765" s="44">
        <f>IF(AND(B765=Queue!$C$4,OR(Queue!$K$4="*",N765=Queue!$K$4)),Q765,"")</f>
        <v/>
      </c>
    </row>
    <row r="766">
      <c r="A766" s="35">
        <f>IF(M766="","",HYPERLINK("https://www.youtube.com/watch?v="&amp;M766,"▶"))</f>
        <v/>
      </c>
      <c r="B766" s="36">
        <f>IF(C766&lt;&gt;"",C766,IF(P766&lt;=IFERROR(INDEX(tblChannels[Watched Through],MATCH(N766,tblChannels[Channel ID],0)),0),"Watched","Unwatched"))</f>
        <v/>
      </c>
      <c r="C766" s="37" t="n"/>
      <c r="D766" s="38" t="n"/>
      <c r="E766" s="39" t="n">
        <v>45275.7125</v>
      </c>
      <c r="F766" s="47" t="inlineStr">
        <is>
          <t>Super Carlin Brothers</t>
        </is>
      </c>
      <c r="G766" t="inlineStr">
        <is>
          <t>In Defense of HAGRID | Harry Potter Film Theory</t>
        </is>
      </c>
      <c r="H766" s="41" t="n">
        <v>0.0112037037037037</v>
      </c>
      <c r="I766" s="42" t="n">
        <v>142729</v>
      </c>
      <c r="J766" s="42" t="n">
        <v>6625</v>
      </c>
      <c r="K766" s="42" t="n">
        <v>616</v>
      </c>
      <c r="L766" s="43" t="n"/>
      <c r="M766" s="44" t="n"/>
      <c r="N766" s="44" t="inlineStr">
        <is>
          <t>UCKZo4N0lVPccBkSiuyVh4yg</t>
        </is>
      </c>
      <c r="O766" s="45" t="n">
        <v>45275.92083333333</v>
      </c>
      <c r="P766" s="46" t="n">
        <v>45275</v>
      </c>
      <c r="Q766" s="44" t="n">
        <v>2506</v>
      </c>
      <c r="R766" s="44" t="inlineStr">
        <is>
          <t>No Video ID yet</t>
        </is>
      </c>
      <c r="S766" s="46" t="n"/>
      <c r="T766" s="46" t="n"/>
      <c r="U766" s="44" t="n"/>
      <c r="V766" s="44">
        <f>IF(AND(P766&gt;=Calendar!$K$2,P766&lt;EDATE(Calendar!$K$2,1),OR(Calendar!$K$4="*",N766=Calendar!$K$4)),P766*100+COUNTIFS($P$6:$P$3271,P766,$Q$6:$Q$3271,"&lt;="&amp;Q766,$N$6:$N$3271,Calendar!$K$4),"")</f>
        <v/>
      </c>
      <c r="W766" s="44">
        <f>IF(AND(B766=Queue!$C$4,OR(Queue!$K$4="*",N766=Queue!$K$4)),Q766,"")</f>
        <v/>
      </c>
    </row>
    <row r="767">
      <c r="A767" s="35">
        <f>IF(M767="","",HYPERLINK("https://www.youtube.com/watch?v="&amp;M767,"▶"))</f>
        <v/>
      </c>
      <c r="B767" s="36">
        <f>IF(C767&lt;&gt;"",C767,IF(P767&lt;=IFERROR(INDEX(tblChannels[Watched Through],MATCH(N767,tblChannels[Channel ID],0)),0),"Watched","Unwatched"))</f>
        <v/>
      </c>
      <c r="C767" s="37" t="n"/>
      <c r="D767" s="38" t="n"/>
      <c r="E767" s="39" t="n">
        <v>45275.41666666666</v>
      </c>
      <c r="F767" s="40" t="inlineStr">
        <is>
          <t>Popcorn Culture</t>
        </is>
      </c>
      <c r="G767" t="inlineStr">
        <is>
          <t>These Lights Need Subtitles | Popcorn Culture</t>
        </is>
      </c>
      <c r="H767" s="41" t="n">
        <v>0.05146990740740741</v>
      </c>
      <c r="I767" s="42" t="n">
        <v>4787</v>
      </c>
      <c r="J767" s="42" t="n">
        <v>228</v>
      </c>
      <c r="K767" s="42" t="n">
        <v>37</v>
      </c>
      <c r="L767" s="43" t="n"/>
      <c r="M767" s="44" t="n"/>
      <c r="N767" s="44" t="inlineStr">
        <is>
          <t>UCHfIbq9thHPC8yrKjAdJgDA</t>
        </is>
      </c>
      <c r="O767" s="45" t="n">
        <v>45275.625</v>
      </c>
      <c r="P767" s="46" t="n">
        <v>45275</v>
      </c>
      <c r="Q767" s="44" t="n">
        <v>2505</v>
      </c>
      <c r="R767" s="44" t="inlineStr">
        <is>
          <t>No Video ID yet</t>
        </is>
      </c>
      <c r="S767" s="46" t="n"/>
      <c r="T767" s="46" t="n"/>
      <c r="U767" s="44" t="n"/>
      <c r="V767" s="44">
        <f>IF(AND(P767&gt;=Calendar!$K$2,P767&lt;EDATE(Calendar!$K$2,1),OR(Calendar!$K$4="*",N767=Calendar!$K$4)),P767*100+COUNTIFS($P$6:$P$3271,P767,$Q$6:$Q$3271,"&lt;="&amp;Q767,$N$6:$N$3271,Calendar!$K$4),"")</f>
        <v/>
      </c>
      <c r="W767" s="44">
        <f>IF(AND(B767=Queue!$C$4,OR(Queue!$K$4="*",N767=Queue!$K$4)),Q767,"")</f>
        <v/>
      </c>
    </row>
    <row r="768">
      <c r="A768" s="35">
        <f>IF(M768="","",HYPERLINK("https://www.youtube.com/watch?v="&amp;M768,"▶"))</f>
        <v/>
      </c>
      <c r="B768" s="36">
        <f>IF(C768&lt;&gt;"",C768,IF(P768&lt;=IFERROR(INDEX(tblChannels[Watched Through],MATCH(N768,tblChannels[Channel ID],0)),0),"Watched","Unwatched"))</f>
        <v/>
      </c>
      <c r="C768" s="37" t="n"/>
      <c r="D768" s="38" t="n"/>
      <c r="E768" s="39" t="n">
        <v>45273.75277777778</v>
      </c>
      <c r="F768" s="47" t="inlineStr">
        <is>
          <t>Super Carlin Brothers</t>
        </is>
      </c>
      <c r="G768" t="inlineStr">
        <is>
          <t>How The Centaurs Predicted Harry’s Death | Harry Potter Film Theory</t>
        </is>
      </c>
      <c r="H768" s="41" t="n">
        <v>0.01165509259259259</v>
      </c>
      <c r="I768" s="42" t="n">
        <v>157831</v>
      </c>
      <c r="J768" s="42" t="n">
        <v>7239</v>
      </c>
      <c r="K768" s="42" t="n">
        <v>400</v>
      </c>
      <c r="L768" s="43" t="n"/>
      <c r="M768" s="44" t="n"/>
      <c r="N768" s="44" t="inlineStr">
        <is>
          <t>UCKZo4N0lVPccBkSiuyVh4yg</t>
        </is>
      </c>
      <c r="O768" s="45" t="n">
        <v>45273.96111111111</v>
      </c>
      <c r="P768" s="46" t="n">
        <v>45273</v>
      </c>
      <c r="Q768" s="44" t="n">
        <v>2504</v>
      </c>
      <c r="R768" s="44" t="inlineStr">
        <is>
          <t>No Video ID yet</t>
        </is>
      </c>
      <c r="S768" s="46" t="n"/>
      <c r="T768" s="46" t="n"/>
      <c r="U768" s="44" t="n"/>
      <c r="V768" s="44">
        <f>IF(AND(P768&gt;=Calendar!$K$2,P768&lt;EDATE(Calendar!$K$2,1),OR(Calendar!$K$4="*",N768=Calendar!$K$4)),P768*100+COUNTIFS($P$6:$P$3271,P768,$Q$6:$Q$3271,"&lt;="&amp;Q768,$N$6:$N$3271,Calendar!$K$4),"")</f>
        <v/>
      </c>
      <c r="W768" s="44">
        <f>IF(AND(B768=Queue!$C$4,OR(Queue!$K$4="*",N768=Queue!$K$4)),Q768,"")</f>
        <v/>
      </c>
    </row>
    <row r="769">
      <c r="A769" s="35">
        <f>IF(M769="","",HYPERLINK("https://www.youtube.com/watch?v="&amp;M769,"▶"))</f>
        <v/>
      </c>
      <c r="B769" s="36">
        <f>IF(C769&lt;&gt;"",C769,IF(P769&lt;=IFERROR(INDEX(tblChannels[Watched Through],MATCH(N769,tblChannels[Channel ID],0)),0),"Watched","Unwatched"))</f>
        <v/>
      </c>
      <c r="C769" s="37" t="n"/>
      <c r="D769" s="38" t="n"/>
      <c r="E769" s="39" t="n">
        <v>45270.41666666666</v>
      </c>
      <c r="F769" s="48" t="inlineStr">
        <is>
          <t>Through The Griffin Door</t>
        </is>
      </c>
      <c r="G769" t="inlineStr">
        <is>
          <t>Chapter 13: Nicholas Flamel | Philosopher's Stone</t>
        </is>
      </c>
      <c r="H769" s="41" t="n">
        <v>0.04903935185185185</v>
      </c>
      <c r="I769" s="42" t="n">
        <v>76765</v>
      </c>
      <c r="J769" s="42" t="n">
        <v>2894</v>
      </c>
      <c r="K769" s="42" t="n">
        <v>377</v>
      </c>
      <c r="L769" s="43" t="n"/>
      <c r="M769" s="44" t="n"/>
      <c r="N769" s="44" t="inlineStr">
        <is>
          <t>UCEscP6ETYXWSSvsNrDHekMQ</t>
        </is>
      </c>
      <c r="O769" s="45" t="n">
        <v>45270.625</v>
      </c>
      <c r="P769" s="46" t="n">
        <v>45270</v>
      </c>
      <c r="Q769" s="44" t="n">
        <v>2503</v>
      </c>
      <c r="R769" s="44" t="inlineStr">
        <is>
          <t>No Video ID yet</t>
        </is>
      </c>
      <c r="S769" s="46" t="n"/>
      <c r="T769" s="46" t="n"/>
      <c r="U769" s="44" t="n"/>
      <c r="V769" s="44">
        <f>IF(AND(P769&gt;=Calendar!$K$2,P769&lt;EDATE(Calendar!$K$2,1),OR(Calendar!$K$4="*",N769=Calendar!$K$4)),P769*100+COUNTIFS($P$6:$P$3271,P769,$Q$6:$Q$3271,"&lt;="&amp;Q769,$N$6:$N$3271,Calendar!$K$4),"")</f>
        <v/>
      </c>
      <c r="W769" s="44">
        <f>IF(AND(B769=Queue!$C$4,OR(Queue!$K$4="*",N769=Queue!$K$4)),Q769,"")</f>
        <v/>
      </c>
    </row>
    <row r="770">
      <c r="A770" s="35">
        <f>IF(M770="","",HYPERLINK("https://www.youtube.com/watch?v="&amp;M770,"▶"))</f>
        <v/>
      </c>
      <c r="B770" s="36">
        <f>IF(C770&lt;&gt;"",C770,IF(P770&lt;=IFERROR(INDEX(tblChannels[Watched Through],MATCH(N770,tblChannels[Channel ID],0)),0),"Watched","Unwatched"))</f>
        <v/>
      </c>
      <c r="C770" s="37" t="n"/>
      <c r="D770" s="38" t="n"/>
      <c r="E770" s="39" t="n">
        <v>45268.69166666667</v>
      </c>
      <c r="F770" s="47" t="inlineStr">
        <is>
          <t>Super Carlin Brothers</t>
        </is>
      </c>
      <c r="G770" t="inlineStr">
        <is>
          <t>What’s The Point of Harry Potter | Harry Potter Film Theory</t>
        </is>
      </c>
      <c r="H770" s="41" t="n">
        <v>0.01032407407407407</v>
      </c>
      <c r="I770" s="42" t="n">
        <v>129990</v>
      </c>
      <c r="J770" s="42" t="n">
        <v>6112</v>
      </c>
      <c r="K770" s="42" t="n">
        <v>421</v>
      </c>
      <c r="L770" s="43" t="n"/>
      <c r="M770" s="44" t="n"/>
      <c r="N770" s="44" t="inlineStr">
        <is>
          <t>UCKZo4N0lVPccBkSiuyVh4yg</t>
        </is>
      </c>
      <c r="O770" s="45" t="n">
        <v>45268.9</v>
      </c>
      <c r="P770" s="46" t="n">
        <v>45268</v>
      </c>
      <c r="Q770" s="44" t="n">
        <v>2502</v>
      </c>
      <c r="R770" s="44" t="inlineStr">
        <is>
          <t>No Video ID yet</t>
        </is>
      </c>
      <c r="S770" s="46" t="n"/>
      <c r="T770" s="46" t="n"/>
      <c r="U770" s="44" t="n"/>
      <c r="V770" s="44">
        <f>IF(AND(P770&gt;=Calendar!$K$2,P770&lt;EDATE(Calendar!$K$2,1),OR(Calendar!$K$4="*",N770=Calendar!$K$4)),P770*100+COUNTIFS($P$6:$P$3271,P770,$Q$6:$Q$3271,"&lt;="&amp;Q770,$N$6:$N$3271,Calendar!$K$4),"")</f>
        <v/>
      </c>
      <c r="W770" s="44">
        <f>IF(AND(B770=Queue!$C$4,OR(Queue!$K$4="*",N770=Queue!$K$4)),Q770,"")</f>
        <v/>
      </c>
    </row>
    <row r="771">
      <c r="A771" s="35">
        <f>IF(M771="","",HYPERLINK("https://www.youtube.com/watch?v="&amp;M771,"▶"))</f>
        <v/>
      </c>
      <c r="B771" s="36">
        <f>IF(C771&lt;&gt;"",C771,IF(P771&lt;=IFERROR(INDEX(tblChannels[Watched Through],MATCH(N771,tblChannels[Channel ID],0)),0),"Watched","Unwatched"))</f>
        <v/>
      </c>
      <c r="C771" s="37" t="n"/>
      <c r="D771" s="38" t="n"/>
      <c r="E771" s="39" t="n">
        <v>45268.625</v>
      </c>
      <c r="F771" s="49" t="inlineStr">
        <is>
          <t>Super Carlin Gaming</t>
        </is>
      </c>
      <c r="G771" t="inlineStr">
        <is>
          <t>Big Changes Across The Board | Carlin Brothers Box Breakers S8E5</t>
        </is>
      </c>
      <c r="H771" s="41" t="n">
        <v>0.02864583333333333</v>
      </c>
      <c r="I771" s="42" t="n">
        <v>1562</v>
      </c>
      <c r="J771" s="42" t="n">
        <v>89</v>
      </c>
      <c r="K771" s="42" t="n">
        <v>17</v>
      </c>
      <c r="L771" s="43" t="n"/>
      <c r="M771" s="44" t="n"/>
      <c r="N771" s="44" t="inlineStr">
        <is>
          <t>UCor_9jRnNNZVzTuQ92PKsaQ</t>
        </is>
      </c>
      <c r="O771" s="45" t="n">
        <v>45268.83333333334</v>
      </c>
      <c r="P771" s="46" t="n">
        <v>45268</v>
      </c>
      <c r="Q771" s="44" t="n">
        <v>2501</v>
      </c>
      <c r="R771" s="44" t="inlineStr">
        <is>
          <t>No Video ID yet</t>
        </is>
      </c>
      <c r="S771" s="46" t="n"/>
      <c r="T771" s="46" t="n"/>
      <c r="U771" s="44" t="n"/>
      <c r="V771" s="44">
        <f>IF(AND(P771&gt;=Calendar!$K$2,P771&lt;EDATE(Calendar!$K$2,1),OR(Calendar!$K$4="*",N771=Calendar!$K$4)),P771*100+COUNTIFS($P$6:$P$3271,P771,$Q$6:$Q$3271,"&lt;="&amp;Q771,$N$6:$N$3271,Calendar!$K$4),"")</f>
        <v/>
      </c>
      <c r="W771" s="44">
        <f>IF(AND(B771=Queue!$C$4,OR(Queue!$K$4="*",N771=Queue!$K$4)),Q771,"")</f>
        <v/>
      </c>
    </row>
    <row r="772">
      <c r="A772" s="35">
        <f>IF(M772="","",HYPERLINK("https://www.youtube.com/watch?v="&amp;M772,"▶"))</f>
        <v/>
      </c>
      <c r="B772" s="36">
        <f>IF(C772&lt;&gt;"",C772,IF(P772&lt;=IFERROR(INDEX(tblChannels[Watched Through],MATCH(N772,tblChannels[Channel ID],0)),0),"Watched","Unwatched"))</f>
        <v/>
      </c>
      <c r="C772" s="37" t="n"/>
      <c r="D772" s="38" t="n"/>
      <c r="E772" s="39" t="n">
        <v>45268.41666666666</v>
      </c>
      <c r="F772" s="40" t="inlineStr">
        <is>
          <t>Popcorn Culture</t>
        </is>
      </c>
      <c r="G772" t="inlineStr">
        <is>
          <t>1,000 Tootsie Rolls | Popcorn Culture</t>
        </is>
      </c>
      <c r="H772" s="41" t="n">
        <v>0.05356481481481482</v>
      </c>
      <c r="I772" s="42" t="n">
        <v>4429</v>
      </c>
      <c r="J772" s="42" t="n">
        <v>207</v>
      </c>
      <c r="K772" s="42" t="n">
        <v>17</v>
      </c>
      <c r="L772" s="43" t="n"/>
      <c r="M772" s="44" t="n"/>
      <c r="N772" s="44" t="inlineStr">
        <is>
          <t>UCHfIbq9thHPC8yrKjAdJgDA</t>
        </is>
      </c>
      <c r="O772" s="45" t="n">
        <v>45268.625</v>
      </c>
      <c r="P772" s="46" t="n">
        <v>45268</v>
      </c>
      <c r="Q772" s="44" t="n">
        <v>2500</v>
      </c>
      <c r="R772" s="44" t="inlineStr">
        <is>
          <t>No Video ID yet</t>
        </is>
      </c>
      <c r="S772" s="46" t="n"/>
      <c r="T772" s="46" t="n"/>
      <c r="U772" s="44" t="n"/>
      <c r="V772" s="44">
        <f>IF(AND(P772&gt;=Calendar!$K$2,P772&lt;EDATE(Calendar!$K$2,1),OR(Calendar!$K$4="*",N772=Calendar!$K$4)),P772*100+COUNTIFS($P$6:$P$3271,P772,$Q$6:$Q$3271,"&lt;="&amp;Q772,$N$6:$N$3271,Calendar!$K$4),"")</f>
        <v/>
      </c>
      <c r="W772" s="44">
        <f>IF(AND(B772=Queue!$C$4,OR(Queue!$K$4="*",N772=Queue!$K$4)),Q772,"")</f>
        <v/>
      </c>
    </row>
    <row r="773">
      <c r="A773" s="35">
        <f>IF(M773="","",HYPERLINK("https://www.youtube.com/watch?v="&amp;M773,"▶"))</f>
        <v/>
      </c>
      <c r="B773" s="36">
        <f>IF(C773&lt;&gt;"",C773,IF(P773&lt;=IFERROR(INDEX(tblChannels[Watched Through],MATCH(N773,tblChannels[Channel ID],0)),0),"Watched","Unwatched"))</f>
        <v/>
      </c>
      <c r="C773" s="37" t="n"/>
      <c r="D773" s="38" t="n"/>
      <c r="E773" s="39" t="n">
        <v>45266.68958333333</v>
      </c>
      <c r="F773" s="47" t="inlineStr">
        <is>
          <t>Super Carlin Brothers</t>
        </is>
      </c>
      <c r="G773" t="inlineStr">
        <is>
          <t>J vs Ben: ULTIMATE 100 Years of Disney TRIVIA Quiz</t>
        </is>
      </c>
      <c r="H773" s="41" t="n">
        <v>0.02586805555555555</v>
      </c>
      <c r="I773" s="42" t="n">
        <v>92157</v>
      </c>
      <c r="J773" s="42" t="n">
        <v>3733</v>
      </c>
      <c r="K773" s="42" t="n">
        <v>476</v>
      </c>
      <c r="L773" s="43" t="n"/>
      <c r="M773" s="44" t="n"/>
      <c r="N773" s="44" t="inlineStr">
        <is>
          <t>UCKZo4N0lVPccBkSiuyVh4yg</t>
        </is>
      </c>
      <c r="O773" s="45" t="n">
        <v>45266.89791666667</v>
      </c>
      <c r="P773" s="46" t="n">
        <v>45266</v>
      </c>
      <c r="Q773" s="44" t="n">
        <v>2499</v>
      </c>
      <c r="R773" s="44" t="inlineStr">
        <is>
          <t>No Video ID yet</t>
        </is>
      </c>
      <c r="S773" s="46" t="n"/>
      <c r="T773" s="46" t="n"/>
      <c r="U773" s="44" t="n"/>
      <c r="V773" s="44">
        <f>IF(AND(P773&gt;=Calendar!$K$2,P773&lt;EDATE(Calendar!$K$2,1),OR(Calendar!$K$4="*",N773=Calendar!$K$4)),P773*100+COUNTIFS($P$6:$P$3271,P773,$Q$6:$Q$3271,"&lt;="&amp;Q773,$N$6:$N$3271,Calendar!$K$4),"")</f>
        <v/>
      </c>
      <c r="W773" s="44">
        <f>IF(AND(B773=Queue!$C$4,OR(Queue!$K$4="*",N773=Queue!$K$4)),Q773,"")</f>
        <v/>
      </c>
    </row>
    <row r="774">
      <c r="A774" s="35">
        <f>IF(M774="","",HYPERLINK("https://www.youtube.com/watch?v="&amp;M774,"▶"))</f>
        <v/>
      </c>
      <c r="B774" s="36">
        <f>IF(C774&lt;&gt;"",C774,IF(P774&lt;=IFERROR(INDEX(tblChannels[Watched Through],MATCH(N774,tblChannels[Channel ID],0)),0),"Watched","Unwatched"))</f>
        <v/>
      </c>
      <c r="C774" s="37" t="n"/>
      <c r="D774" s="38" t="n"/>
      <c r="E774" s="39" t="n">
        <v>45263.41666666666</v>
      </c>
      <c r="F774" s="48" t="inlineStr">
        <is>
          <t>Through The Griffin Door</t>
        </is>
      </c>
      <c r="G774" t="inlineStr">
        <is>
          <t>Chapter 12: The Mirror of Erised | Philosopher's Stone</t>
        </is>
      </c>
      <c r="H774" s="41" t="n">
        <v>0.05988425925925926</v>
      </c>
      <c r="I774" s="42" t="n">
        <v>89147</v>
      </c>
      <c r="J774" s="42" t="n">
        <v>2505</v>
      </c>
      <c r="K774" s="42" t="n">
        <v>494</v>
      </c>
      <c r="L774" s="43" t="n"/>
      <c r="M774" s="44" t="n"/>
      <c r="N774" s="44" t="inlineStr">
        <is>
          <t>UCEscP6ETYXWSSvsNrDHekMQ</t>
        </is>
      </c>
      <c r="O774" s="45" t="n">
        <v>45263.625</v>
      </c>
      <c r="P774" s="46" t="n">
        <v>45263</v>
      </c>
      <c r="Q774" s="44" t="n">
        <v>2498</v>
      </c>
      <c r="R774" s="44" t="inlineStr">
        <is>
          <t>No Video ID yet</t>
        </is>
      </c>
      <c r="S774" s="46" t="n"/>
      <c r="T774" s="46" t="n"/>
      <c r="U774" s="44" t="n"/>
      <c r="V774" s="44">
        <f>IF(AND(P774&gt;=Calendar!$K$2,P774&lt;EDATE(Calendar!$K$2,1),OR(Calendar!$K$4="*",N774=Calendar!$K$4)),P774*100+COUNTIFS($P$6:$P$3271,P774,$Q$6:$Q$3271,"&lt;="&amp;Q774,$N$6:$N$3271,Calendar!$K$4),"")</f>
        <v/>
      </c>
      <c r="W774" s="44">
        <f>IF(AND(B774=Queue!$C$4,OR(Queue!$K$4="*",N774=Queue!$K$4)),Q774,"")</f>
        <v/>
      </c>
    </row>
    <row r="775">
      <c r="A775" s="35">
        <f>IF(M775="","",HYPERLINK("https://www.youtube.com/watch?v="&amp;M775,"▶"))</f>
        <v/>
      </c>
      <c r="B775" s="36">
        <f>IF(C775&lt;&gt;"",C775,IF(P775&lt;=IFERROR(INDEX(tblChannels[Watched Through],MATCH(N775,tblChannels[Channel ID],0)),0),"Watched","Unwatched"))</f>
        <v/>
      </c>
      <c r="C775" s="37" t="n"/>
      <c r="D775" s="38" t="n"/>
      <c r="E775" s="39" t="n">
        <v>45261.71666666667</v>
      </c>
      <c r="F775" s="47" t="inlineStr">
        <is>
          <t>Super Carlin Brothers</t>
        </is>
      </c>
      <c r="G775" t="inlineStr">
        <is>
          <t>Why Does Dumbledore GOOGLE AUTOFILL | Harry Potter Film Theory</t>
        </is>
      </c>
      <c r="H775" s="41" t="n">
        <v>0.01423611111111111</v>
      </c>
      <c r="I775" s="42" t="n">
        <v>201449</v>
      </c>
      <c r="J775" s="42" t="n">
        <v>8387</v>
      </c>
      <c r="K775" s="42" t="n">
        <v>689</v>
      </c>
      <c r="L775" s="43" t="n"/>
      <c r="M775" s="44" t="n"/>
      <c r="N775" s="44" t="inlineStr">
        <is>
          <t>UCKZo4N0lVPccBkSiuyVh4yg</t>
        </is>
      </c>
      <c r="O775" s="45" t="n">
        <v>45261.925</v>
      </c>
      <c r="P775" s="46" t="n">
        <v>45261</v>
      </c>
      <c r="Q775" s="44" t="n">
        <v>2497</v>
      </c>
      <c r="R775" s="44" t="inlineStr">
        <is>
          <t>No Video ID yet</t>
        </is>
      </c>
      <c r="S775" s="46" t="n"/>
      <c r="T775" s="46" t="n"/>
      <c r="U775" s="44" t="n"/>
      <c r="V775" s="44">
        <f>IF(AND(P775&gt;=Calendar!$K$2,P775&lt;EDATE(Calendar!$K$2,1),OR(Calendar!$K$4="*",N775=Calendar!$K$4)),P775*100+COUNTIFS($P$6:$P$3271,P775,$Q$6:$Q$3271,"&lt;="&amp;Q775,$N$6:$N$3271,Calendar!$K$4),"")</f>
        <v/>
      </c>
      <c r="W775" s="44">
        <f>IF(AND(B775=Queue!$C$4,OR(Queue!$K$4="*",N775=Queue!$K$4)),Q775,"")</f>
        <v/>
      </c>
    </row>
    <row r="776">
      <c r="A776" s="35">
        <f>IF(M776="","",HYPERLINK("https://www.youtube.com/watch?v="&amp;M776,"▶"))</f>
        <v/>
      </c>
      <c r="B776" s="36">
        <f>IF(C776&lt;&gt;"",C776,IF(P776&lt;=IFERROR(INDEX(tblChannels[Watched Through],MATCH(N776,tblChannels[Channel ID],0)),0),"Watched","Unwatched"))</f>
        <v/>
      </c>
      <c r="C776" s="37" t="n"/>
      <c r="D776" s="38" t="n"/>
      <c r="E776" s="39" t="n">
        <v>45261.41666666666</v>
      </c>
      <c r="F776" s="40" t="inlineStr">
        <is>
          <t>Popcorn Culture</t>
        </is>
      </c>
      <c r="G776" t="inlineStr">
        <is>
          <t>DEATH CAT | Popcorn Culture</t>
        </is>
      </c>
      <c r="H776" s="41" t="n">
        <v>0.04423611111111111</v>
      </c>
      <c r="I776" s="42" t="n">
        <v>4202</v>
      </c>
      <c r="J776" s="42" t="n">
        <v>215</v>
      </c>
      <c r="K776" s="42" t="n">
        <v>35</v>
      </c>
      <c r="L776" s="43" t="n"/>
      <c r="M776" s="44" t="n"/>
      <c r="N776" s="44" t="inlineStr">
        <is>
          <t>UCHfIbq9thHPC8yrKjAdJgDA</t>
        </is>
      </c>
      <c r="O776" s="45" t="n">
        <v>45261.625</v>
      </c>
      <c r="P776" s="46" t="n">
        <v>45261</v>
      </c>
      <c r="Q776" s="44" t="n">
        <v>2496</v>
      </c>
      <c r="R776" s="44" t="inlineStr">
        <is>
          <t>No Video ID yet</t>
        </is>
      </c>
      <c r="S776" s="46" t="n"/>
      <c r="T776" s="46" t="n"/>
      <c r="U776" s="44" t="n"/>
      <c r="V776" s="44">
        <f>IF(AND(P776&gt;=Calendar!$K$2,P776&lt;EDATE(Calendar!$K$2,1),OR(Calendar!$K$4="*",N776=Calendar!$K$4)),P776*100+COUNTIFS($P$6:$P$3271,P776,$Q$6:$Q$3271,"&lt;="&amp;Q776,$N$6:$N$3271,Calendar!$K$4),"")</f>
        <v/>
      </c>
      <c r="W776" s="44">
        <f>IF(AND(B776=Queue!$C$4,OR(Queue!$K$4="*",N776=Queue!$K$4)),Q776,"")</f>
        <v/>
      </c>
    </row>
    <row r="777">
      <c r="A777" s="35">
        <f>IF(M777="","",HYPERLINK("https://www.youtube.com/watch?v="&amp;M777,"▶"))</f>
        <v/>
      </c>
      <c r="B777" s="36">
        <f>IF(C777&lt;&gt;"",C777,IF(P777&lt;=IFERROR(INDEX(tblChannels[Watched Through],MATCH(N777,tblChannels[Channel ID],0)),0),"Watched","Unwatched"))</f>
        <v/>
      </c>
      <c r="C777" s="37" t="n"/>
      <c r="D777" s="38" t="n"/>
      <c r="E777" s="39" t="n">
        <v>45260.77083333334</v>
      </c>
      <c r="F777" s="49" t="inlineStr">
        <is>
          <t>Super Carlin Gaming</t>
        </is>
      </c>
      <c r="G777" t="inlineStr">
        <is>
          <t>It's Time To Get Raucuous | Carlin Brothers Box Breakers S8E4</t>
        </is>
      </c>
      <c r="H777" s="41" t="n">
        <v>0.02519675925925926</v>
      </c>
      <c r="I777" s="42" t="n">
        <v>1400</v>
      </c>
      <c r="J777" s="42" t="n">
        <v>74</v>
      </c>
      <c r="K777" s="42" t="n">
        <v>10</v>
      </c>
      <c r="L777" s="43" t="n"/>
      <c r="M777" s="44" t="n"/>
      <c r="N777" s="44" t="inlineStr">
        <is>
          <t>UCor_9jRnNNZVzTuQ92PKsaQ</t>
        </is>
      </c>
      <c r="O777" s="45" t="n">
        <v>45260.97916666666</v>
      </c>
      <c r="P777" s="46" t="n">
        <v>45260</v>
      </c>
      <c r="Q777" s="44" t="n">
        <v>2495</v>
      </c>
      <c r="R777" s="44" t="inlineStr">
        <is>
          <t>No Video ID yet</t>
        </is>
      </c>
      <c r="S777" s="46" t="n"/>
      <c r="T777" s="46" t="n"/>
      <c r="U777" s="44" t="n"/>
      <c r="V777" s="44">
        <f>IF(AND(P777&gt;=Calendar!$K$2,P777&lt;EDATE(Calendar!$K$2,1),OR(Calendar!$K$4="*",N777=Calendar!$K$4)),P777*100+COUNTIFS($P$6:$P$3271,P777,$Q$6:$Q$3271,"&lt;="&amp;Q777,$N$6:$N$3271,Calendar!$K$4),"")</f>
        <v/>
      </c>
      <c r="W777" s="44">
        <f>IF(AND(B777=Queue!$C$4,OR(Queue!$K$4="*",N777=Queue!$K$4)),Q777,"")</f>
        <v/>
      </c>
    </row>
    <row r="778">
      <c r="A778" s="35">
        <f>IF(M778="","",HYPERLINK("https://www.youtube.com/watch?v="&amp;M778,"▶"))</f>
        <v/>
      </c>
      <c r="B778" s="36">
        <f>IF(C778&lt;&gt;"",C778,IF(P778&lt;=IFERROR(INDEX(tblChannels[Watched Through],MATCH(N778,tblChannels[Channel ID],0)),0),"Watched","Unwatched"))</f>
        <v/>
      </c>
      <c r="C778" s="37" t="n"/>
      <c r="D778" s="38" t="n"/>
      <c r="E778" s="39" t="n">
        <v>45259.71527777778</v>
      </c>
      <c r="F778" s="47" t="inlineStr">
        <is>
          <t>Super Carlin Brothers</t>
        </is>
      </c>
      <c r="G778" t="inlineStr">
        <is>
          <t>Olaf Is Always Right?! | Frozen Disney Film Theory</t>
        </is>
      </c>
      <c r="H778" s="41" t="n">
        <v>0.01275462962962963</v>
      </c>
      <c r="I778" s="42" t="n">
        <v>71830</v>
      </c>
      <c r="J778" s="42" t="n">
        <v>4068</v>
      </c>
      <c r="K778" s="42" t="n">
        <v>265</v>
      </c>
      <c r="L778" s="43" t="n"/>
      <c r="M778" s="44" t="n"/>
      <c r="N778" s="44" t="inlineStr">
        <is>
          <t>UCKZo4N0lVPccBkSiuyVh4yg</t>
        </is>
      </c>
      <c r="O778" s="45" t="n">
        <v>45259.92361111111</v>
      </c>
      <c r="P778" s="46" t="n">
        <v>45259</v>
      </c>
      <c r="Q778" s="44" t="n">
        <v>2494</v>
      </c>
      <c r="R778" s="44" t="inlineStr">
        <is>
          <t>No Video ID yet</t>
        </is>
      </c>
      <c r="S778" s="46" t="n"/>
      <c r="T778" s="46" t="n"/>
      <c r="U778" s="44" t="n"/>
      <c r="V778" s="44">
        <f>IF(AND(P778&gt;=Calendar!$K$2,P778&lt;EDATE(Calendar!$K$2,1),OR(Calendar!$K$4="*",N778=Calendar!$K$4)),P778*100+COUNTIFS($P$6:$P$3271,P778,$Q$6:$Q$3271,"&lt;="&amp;Q778,$N$6:$N$3271,Calendar!$K$4),"")</f>
        <v/>
      </c>
      <c r="W778" s="44">
        <f>IF(AND(B778=Queue!$C$4,OR(Queue!$K$4="*",N778=Queue!$K$4)),Q778,"")</f>
        <v/>
      </c>
    </row>
    <row r="779">
      <c r="A779" s="35">
        <f>IF(M779="","",HYPERLINK("https://www.youtube.com/watch?v="&amp;M779,"▶"))</f>
        <v/>
      </c>
      <c r="B779" s="36">
        <f>IF(C779&lt;&gt;"",C779,IF(P779&lt;=IFERROR(INDEX(tblChannels[Watched Through],MATCH(N779,tblChannels[Channel ID],0)),0),"Watched","Unwatched"))</f>
        <v/>
      </c>
      <c r="C779" s="37" t="n"/>
      <c r="D779" s="38" t="n"/>
      <c r="E779" s="39" t="n">
        <v>45256.41666666666</v>
      </c>
      <c r="F779" s="48" t="inlineStr">
        <is>
          <t>Through The Griffin Door</t>
        </is>
      </c>
      <c r="G779" t="inlineStr">
        <is>
          <t>Chapter 11: Quidditch | Philosopher's Stone</t>
        </is>
      </c>
      <c r="H779" s="41" t="n">
        <v>0.04322916666666667</v>
      </c>
      <c r="I779" s="42" t="n">
        <v>75553</v>
      </c>
      <c r="J779" s="42" t="n">
        <v>2322</v>
      </c>
      <c r="K779" s="42" t="n">
        <v>410</v>
      </c>
      <c r="L779" s="43" t="n"/>
      <c r="M779" s="44" t="n"/>
      <c r="N779" s="44" t="inlineStr">
        <is>
          <t>UCEscP6ETYXWSSvsNrDHekMQ</t>
        </is>
      </c>
      <c r="O779" s="45" t="n">
        <v>45256.625</v>
      </c>
      <c r="P779" s="46" t="n">
        <v>45256</v>
      </c>
      <c r="Q779" s="44" t="n">
        <v>2493</v>
      </c>
      <c r="R779" s="44" t="inlineStr">
        <is>
          <t>No Video ID yet</t>
        </is>
      </c>
      <c r="S779" s="46" t="n"/>
      <c r="T779" s="46" t="n"/>
      <c r="U779" s="44" t="n"/>
      <c r="V779" s="44">
        <f>IF(AND(P779&gt;=Calendar!$K$2,P779&lt;EDATE(Calendar!$K$2,1),OR(Calendar!$K$4="*",N779=Calendar!$K$4)),P779*100+COUNTIFS($P$6:$P$3271,P779,$Q$6:$Q$3271,"&lt;="&amp;Q779,$N$6:$N$3271,Calendar!$K$4),"")</f>
        <v/>
      </c>
      <c r="W779" s="44">
        <f>IF(AND(B779=Queue!$C$4,OR(Queue!$K$4="*",N779=Queue!$K$4)),Q779,"")</f>
        <v/>
      </c>
    </row>
    <row r="780">
      <c r="A780" s="35">
        <f>IF(M780="","",HYPERLINK("https://www.youtube.com/watch?v="&amp;M780,"▶"))</f>
        <v/>
      </c>
      <c r="B780" s="36">
        <f>IF(C780&lt;&gt;"",C780,IF(P780&lt;=IFERROR(INDEX(tblChannels[Watched Through],MATCH(N780,tblChannels[Channel ID],0)),0),"Watched","Unwatched"))</f>
        <v/>
      </c>
      <c r="C780" s="37" t="n"/>
      <c r="D780" s="38" t="n"/>
      <c r="E780" s="39" t="n">
        <v>45254.625</v>
      </c>
      <c r="F780" s="49" t="inlineStr">
        <is>
          <t>Super Carlin Gaming</t>
        </is>
      </c>
      <c r="G780" t="inlineStr">
        <is>
          <t>FROM FIRST TO LAST |  Carlin Brothers Box Breakers S8E3</t>
        </is>
      </c>
      <c r="H780" s="41" t="n">
        <v>0.02700231481481482</v>
      </c>
      <c r="I780" s="42" t="n">
        <v>1848</v>
      </c>
      <c r="J780" s="42" t="n">
        <v>87</v>
      </c>
      <c r="K780" s="42" t="n">
        <v>6</v>
      </c>
      <c r="L780" s="43" t="n"/>
      <c r="M780" s="44" t="n"/>
      <c r="N780" s="44" t="inlineStr">
        <is>
          <t>UCor_9jRnNNZVzTuQ92PKsaQ</t>
        </is>
      </c>
      <c r="O780" s="45" t="n">
        <v>45254.83333333334</v>
      </c>
      <c r="P780" s="46" t="n">
        <v>45254</v>
      </c>
      <c r="Q780" s="44" t="n">
        <v>2492</v>
      </c>
      <c r="R780" s="44" t="inlineStr">
        <is>
          <t>No Video ID yet</t>
        </is>
      </c>
      <c r="S780" s="46" t="n"/>
      <c r="T780" s="46" t="n"/>
      <c r="U780" s="44" t="n"/>
      <c r="V780" s="44">
        <f>IF(AND(P780&gt;=Calendar!$K$2,P780&lt;EDATE(Calendar!$K$2,1),OR(Calendar!$K$4="*",N780=Calendar!$K$4)),P780*100+COUNTIFS($P$6:$P$3271,P780,$Q$6:$Q$3271,"&lt;="&amp;Q780,$N$6:$N$3271,Calendar!$K$4),"")</f>
        <v/>
      </c>
      <c r="W780" s="44">
        <f>IF(AND(B780=Queue!$C$4,OR(Queue!$K$4="*",N780=Queue!$K$4)),Q780,"")</f>
        <v/>
      </c>
    </row>
    <row r="781">
      <c r="A781" s="35">
        <f>IF(M781="","",HYPERLINK("https://www.youtube.com/watch?v="&amp;M781,"▶"))</f>
        <v/>
      </c>
      <c r="B781" s="36">
        <f>IF(C781&lt;&gt;"",C781,IF(P781&lt;=IFERROR(INDEX(tblChannels[Watched Through],MATCH(N781,tblChannels[Channel ID],0)),0),"Watched","Unwatched"))</f>
        <v/>
      </c>
      <c r="C781" s="37" t="n"/>
      <c r="D781" s="38" t="n"/>
      <c r="E781" s="39" t="n">
        <v>45254.41666666666</v>
      </c>
      <c r="F781" s="40" t="inlineStr">
        <is>
          <t>Popcorn Culture</t>
        </is>
      </c>
      <c r="G781" t="inlineStr">
        <is>
          <t>The Never Before Popped Special! | Popcorn Culture</t>
        </is>
      </c>
      <c r="H781" s="41" t="n">
        <v>0.05863425925925926</v>
      </c>
      <c r="I781" s="42" t="n">
        <v>4876</v>
      </c>
      <c r="J781" s="42" t="n">
        <v>226</v>
      </c>
      <c r="K781" s="42" t="n">
        <v>14</v>
      </c>
      <c r="L781" s="43" t="n"/>
      <c r="M781" s="44" t="n"/>
      <c r="N781" s="44" t="inlineStr">
        <is>
          <t>UCHfIbq9thHPC8yrKjAdJgDA</t>
        </is>
      </c>
      <c r="O781" s="45" t="n">
        <v>45254.625</v>
      </c>
      <c r="P781" s="46" t="n">
        <v>45254</v>
      </c>
      <c r="Q781" s="44" t="n">
        <v>2491</v>
      </c>
      <c r="R781" s="44" t="inlineStr">
        <is>
          <t>No Video ID yet</t>
        </is>
      </c>
      <c r="S781" s="46" t="n"/>
      <c r="T781" s="46" t="n"/>
      <c r="U781" s="44" t="n"/>
      <c r="V781" s="44">
        <f>IF(AND(P781&gt;=Calendar!$K$2,P781&lt;EDATE(Calendar!$K$2,1),OR(Calendar!$K$4="*",N781=Calendar!$K$4)),P781*100+COUNTIFS($P$6:$P$3271,P781,$Q$6:$Q$3271,"&lt;="&amp;Q781,$N$6:$N$3271,Calendar!$K$4),"")</f>
        <v/>
      </c>
      <c r="W781" s="44">
        <f>IF(AND(B781=Queue!$C$4,OR(Queue!$K$4="*",N781=Queue!$K$4)),Q781,"")</f>
        <v/>
      </c>
    </row>
    <row r="782">
      <c r="A782" s="35">
        <f>IF(M782="","",HYPERLINK("https://www.youtube.com/watch?v="&amp;M782,"▶"))</f>
        <v/>
      </c>
      <c r="B782" s="36">
        <f>IF(C782&lt;&gt;"",C782,IF(P782&lt;=IFERROR(INDEX(tblChannels[Watched Through],MATCH(N782,tblChannels[Channel ID],0)),0),"Watched","Unwatched"))</f>
        <v/>
      </c>
      <c r="C782" s="37" t="n"/>
      <c r="D782" s="38" t="n"/>
      <c r="E782" s="39" t="n">
        <v>45253.625</v>
      </c>
      <c r="F782" s="47" t="inlineStr">
        <is>
          <t>Super Carlin Brothers</t>
        </is>
      </c>
      <c r="G782" t="inlineStr">
        <is>
          <t>J vs Ben: HOTTEST Goblet of Fire Harry Potter Trivia Quiz EVER</t>
        </is>
      </c>
      <c r="H782" s="41" t="n">
        <v>0.03104166666666667</v>
      </c>
      <c r="I782" s="42" t="n">
        <v>208257</v>
      </c>
      <c r="J782" s="42" t="n">
        <v>7393</v>
      </c>
      <c r="K782" s="42" t="n">
        <v>685</v>
      </c>
      <c r="L782" s="43" t="n"/>
      <c r="M782" s="44" t="n"/>
      <c r="N782" s="44" t="inlineStr">
        <is>
          <t>UCKZo4N0lVPccBkSiuyVh4yg</t>
        </is>
      </c>
      <c r="O782" s="45" t="n">
        <v>45253.83333333334</v>
      </c>
      <c r="P782" s="46" t="n">
        <v>45253</v>
      </c>
      <c r="Q782" s="44" t="n">
        <v>2490</v>
      </c>
      <c r="R782" s="44" t="inlineStr">
        <is>
          <t>No Video ID yet</t>
        </is>
      </c>
      <c r="S782" s="46" t="n"/>
      <c r="T782" s="46" t="n"/>
      <c r="U782" s="44" t="n"/>
      <c r="V782" s="44">
        <f>IF(AND(P782&gt;=Calendar!$K$2,P782&lt;EDATE(Calendar!$K$2,1),OR(Calendar!$K$4="*",N782=Calendar!$K$4)),P782*100+COUNTIFS($P$6:$P$3271,P782,$Q$6:$Q$3271,"&lt;="&amp;Q782,$N$6:$N$3271,Calendar!$K$4),"")</f>
        <v/>
      </c>
      <c r="W782" s="44">
        <f>IF(AND(B782=Queue!$C$4,OR(Queue!$K$4="*",N782=Queue!$K$4)),Q782,"")</f>
        <v/>
      </c>
    </row>
    <row r="783">
      <c r="A783" s="35">
        <f>IF(M783="","",HYPERLINK("https://www.youtube.com/watch?v="&amp;M783,"▶"))</f>
        <v/>
      </c>
      <c r="B783" s="36">
        <f>IF(C783&lt;&gt;"",C783,IF(P783&lt;=IFERROR(INDEX(tblChannels[Watched Through],MATCH(N783,tblChannels[Channel ID],0)),0),"Watched","Unwatched"))</f>
        <v/>
      </c>
      <c r="C783" s="37" t="n"/>
      <c r="D783" s="38" t="n"/>
      <c r="E783" s="39" t="n">
        <v>45252.74513888889</v>
      </c>
      <c r="F783" s="47" t="inlineStr">
        <is>
          <t>Super Carlin Brothers</t>
        </is>
      </c>
      <c r="G783" t="inlineStr">
        <is>
          <t>What If Fudge Had BELIEVED Harry? | Harry Potter Film Theory</t>
        </is>
      </c>
      <c r="H783" s="41" t="n">
        <v>0.01386574074074074</v>
      </c>
      <c r="I783" s="42" t="n">
        <v>397507</v>
      </c>
      <c r="J783" s="42" t="n">
        <v>11933</v>
      </c>
      <c r="K783" s="42" t="n">
        <v>891</v>
      </c>
      <c r="L783" s="43" t="n"/>
      <c r="M783" s="44" t="n"/>
      <c r="N783" s="44" t="inlineStr">
        <is>
          <t>UCKZo4N0lVPccBkSiuyVh4yg</t>
        </is>
      </c>
      <c r="O783" s="45" t="n">
        <v>45252.95347222222</v>
      </c>
      <c r="P783" s="46" t="n">
        <v>45252</v>
      </c>
      <c r="Q783" s="44" t="n">
        <v>2489</v>
      </c>
      <c r="R783" s="44" t="inlineStr">
        <is>
          <t>No Video ID yet</t>
        </is>
      </c>
      <c r="S783" s="46" t="n"/>
      <c r="T783" s="46" t="n"/>
      <c r="U783" s="44" t="n"/>
      <c r="V783" s="44">
        <f>IF(AND(P783&gt;=Calendar!$K$2,P783&lt;EDATE(Calendar!$K$2,1),OR(Calendar!$K$4="*",N783=Calendar!$K$4)),P783*100+COUNTIFS($P$6:$P$3271,P783,$Q$6:$Q$3271,"&lt;="&amp;Q783,$N$6:$N$3271,Calendar!$K$4),"")</f>
        <v/>
      </c>
      <c r="W783" s="44">
        <f>IF(AND(B783=Queue!$C$4,OR(Queue!$K$4="*",N783=Queue!$K$4)),Q783,"")</f>
        <v/>
      </c>
    </row>
    <row r="784">
      <c r="A784" s="35">
        <f>IF(M784="","",HYPERLINK("https://www.youtube.com/watch?v="&amp;M784,"▶"))</f>
        <v/>
      </c>
      <c r="B784" s="36">
        <f>IF(C784&lt;&gt;"",C784,IF(P784&lt;=IFERROR(INDEX(tblChannels[Watched Through],MATCH(N784,tblChannels[Channel ID],0)),0),"Watched","Unwatched"))</f>
        <v/>
      </c>
      <c r="C784" s="37" t="n"/>
      <c r="D784" s="38" t="n"/>
      <c r="E784" s="39" t="n">
        <v>45249.41666666666</v>
      </c>
      <c r="F784" s="48" t="inlineStr">
        <is>
          <t>Through The Griffin Door</t>
        </is>
      </c>
      <c r="G784" t="inlineStr">
        <is>
          <t>Chapter 10: Halloween | Philosopher's Stone</t>
        </is>
      </c>
      <c r="H784" s="41" t="n">
        <v>0.04549768518518518</v>
      </c>
      <c r="I784" s="42" t="n">
        <v>81905</v>
      </c>
      <c r="J784" s="42" t="n">
        <v>2423</v>
      </c>
      <c r="K784" s="42" t="n">
        <v>493</v>
      </c>
      <c r="L784" s="43" t="n"/>
      <c r="M784" s="44" t="n"/>
      <c r="N784" s="44" t="inlineStr">
        <is>
          <t>UCEscP6ETYXWSSvsNrDHekMQ</t>
        </is>
      </c>
      <c r="O784" s="45" t="n">
        <v>45249.625</v>
      </c>
      <c r="P784" s="46" t="n">
        <v>45249</v>
      </c>
      <c r="Q784" s="44" t="n">
        <v>2488</v>
      </c>
      <c r="R784" s="44" t="inlineStr">
        <is>
          <t>No Video ID yet</t>
        </is>
      </c>
      <c r="S784" s="46" t="n"/>
      <c r="T784" s="46" t="n"/>
      <c r="U784" s="44" t="n"/>
      <c r="V784" s="44">
        <f>IF(AND(P784&gt;=Calendar!$K$2,P784&lt;EDATE(Calendar!$K$2,1),OR(Calendar!$K$4="*",N784=Calendar!$K$4)),P784*100+COUNTIFS($P$6:$P$3271,P784,$Q$6:$Q$3271,"&lt;="&amp;Q784,$N$6:$N$3271,Calendar!$K$4),"")</f>
        <v/>
      </c>
      <c r="W784" s="44">
        <f>IF(AND(B784=Queue!$C$4,OR(Queue!$K$4="*",N784=Queue!$K$4)),Q784,"")</f>
        <v/>
      </c>
    </row>
    <row r="785">
      <c r="A785" s="35">
        <f>IF(M785="","",HYPERLINK("https://www.youtube.com/watch?v="&amp;M785,"▶"))</f>
        <v/>
      </c>
      <c r="B785" s="36">
        <f>IF(C785&lt;&gt;"",C785,IF(P785&lt;=IFERROR(INDEX(tblChannels[Watched Through],MATCH(N785,tblChannels[Channel ID],0)),0),"Watched","Unwatched"))</f>
        <v/>
      </c>
      <c r="C785" s="37" t="n"/>
      <c r="D785" s="38" t="n"/>
      <c r="E785" s="39" t="n">
        <v>45249.29166666666</v>
      </c>
      <c r="F785" s="47" t="inlineStr">
        <is>
          <t>Super Carlin Brothers</t>
        </is>
      </c>
      <c r="G785" t="inlineStr">
        <is>
          <t>Through the Griffin Door Supercut: Chapter 7-9 | Philosopher’s Stone</t>
        </is>
      </c>
      <c r="H785" s="41" t="n">
        <v>0.1408680555555556</v>
      </c>
      <c r="I785" s="42" t="n">
        <v>142237</v>
      </c>
      <c r="J785" s="42" t="n">
        <v>1434</v>
      </c>
      <c r="K785" s="42" t="n">
        <v>287</v>
      </c>
      <c r="L785" s="43" t="n"/>
      <c r="M785" s="44" t="n"/>
      <c r="N785" s="44" t="inlineStr">
        <is>
          <t>UCKZo4N0lVPccBkSiuyVh4yg</t>
        </is>
      </c>
      <c r="O785" s="45" t="n">
        <v>45249.5</v>
      </c>
      <c r="P785" s="46" t="n">
        <v>45249</v>
      </c>
      <c r="Q785" s="44" t="n">
        <v>2487</v>
      </c>
      <c r="R785" s="44" t="inlineStr">
        <is>
          <t>No Video ID yet</t>
        </is>
      </c>
      <c r="S785" s="46" t="n"/>
      <c r="T785" s="46" t="n"/>
      <c r="U785" s="44" t="n"/>
      <c r="V785" s="44">
        <f>IF(AND(P785&gt;=Calendar!$K$2,P785&lt;EDATE(Calendar!$K$2,1),OR(Calendar!$K$4="*",N785=Calendar!$K$4)),P785*100+COUNTIFS($P$6:$P$3271,P785,$Q$6:$Q$3271,"&lt;="&amp;Q785,$N$6:$N$3271,Calendar!$K$4),"")</f>
        <v/>
      </c>
      <c r="W785" s="44">
        <f>IF(AND(B785=Queue!$C$4,OR(Queue!$K$4="*",N785=Queue!$K$4)),Q785,"")</f>
        <v/>
      </c>
    </row>
    <row r="786">
      <c r="A786" s="35">
        <f>IF(M786="","",HYPERLINK("https://www.youtube.com/watch?v="&amp;M786,"▶"))</f>
        <v/>
      </c>
      <c r="B786" s="36">
        <f>IF(C786&lt;&gt;"",C786,IF(P786&lt;=IFERROR(INDEX(tblChannels[Watched Through],MATCH(N786,tblChannels[Channel ID],0)),0),"Watched","Unwatched"))</f>
        <v/>
      </c>
      <c r="C786" s="37" t="n"/>
      <c r="D786" s="38" t="n"/>
      <c r="E786" s="39" t="n">
        <v>45248.625</v>
      </c>
      <c r="F786" s="47" t="inlineStr">
        <is>
          <t>Super Carlin Brothers</t>
        </is>
      </c>
      <c r="G786" t="inlineStr">
        <is>
          <t>The Ballad Of Songbirds and Snakes REVIEW | Hunger Games</t>
        </is>
      </c>
      <c r="H786" s="41" t="n">
        <v>0.04175925925925926</v>
      </c>
      <c r="I786" s="42" t="n">
        <v>158908</v>
      </c>
      <c r="J786" s="42" t="n">
        <v>4554</v>
      </c>
      <c r="K786" s="42" t="n">
        <v>528</v>
      </c>
      <c r="L786" s="43" t="n"/>
      <c r="M786" s="44" t="n"/>
      <c r="N786" s="44" t="inlineStr">
        <is>
          <t>UCKZo4N0lVPccBkSiuyVh4yg</t>
        </is>
      </c>
      <c r="O786" s="45" t="n">
        <v>45248.83333333334</v>
      </c>
      <c r="P786" s="46" t="n">
        <v>45248</v>
      </c>
      <c r="Q786" s="44" t="n">
        <v>2486</v>
      </c>
      <c r="R786" s="44" t="inlineStr">
        <is>
          <t>No Video ID yet</t>
        </is>
      </c>
      <c r="S786" s="46" t="n"/>
      <c r="T786" s="46" t="n"/>
      <c r="U786" s="44" t="n"/>
      <c r="V786" s="44">
        <f>IF(AND(P786&gt;=Calendar!$K$2,P786&lt;EDATE(Calendar!$K$2,1),OR(Calendar!$K$4="*",N786=Calendar!$K$4)),P786*100+COUNTIFS($P$6:$P$3271,P786,$Q$6:$Q$3271,"&lt;="&amp;Q786,$N$6:$N$3271,Calendar!$K$4),"")</f>
        <v/>
      </c>
      <c r="W786" s="44">
        <f>IF(AND(B786=Queue!$C$4,OR(Queue!$K$4="*",N786=Queue!$K$4)),Q786,"")</f>
        <v/>
      </c>
    </row>
    <row r="787">
      <c r="A787" s="35">
        <f>IF(M787="","",HYPERLINK("https://www.youtube.com/watch?v="&amp;M787,"▶"))</f>
        <v/>
      </c>
      <c r="B787" s="36">
        <f>IF(C787&lt;&gt;"",C787,IF(P787&lt;=IFERROR(INDEX(tblChannels[Watched Through],MATCH(N787,tblChannels[Channel ID],0)),0),"Watched","Unwatched"))</f>
        <v/>
      </c>
      <c r="C787" s="37" t="n"/>
      <c r="D787" s="38" t="n"/>
      <c r="E787" s="39" t="n">
        <v>45247.84583333333</v>
      </c>
      <c r="F787" s="47" t="inlineStr">
        <is>
          <t>Super Carlin Brothers</t>
        </is>
      </c>
      <c r="G787" t="inlineStr">
        <is>
          <t>ALL FANDOM TRIVIA! 11/17/2023</t>
        </is>
      </c>
      <c r="H787" s="41" t="n">
        <v>0.0915162037037037</v>
      </c>
      <c r="I787" s="42" t="n">
        <v>23488</v>
      </c>
      <c r="J787" s="42" t="n">
        <v>712</v>
      </c>
      <c r="K787" s="42" t="n">
        <v>42</v>
      </c>
      <c r="L787" s="43" t="n"/>
      <c r="M787" s="44" t="n"/>
      <c r="N787" s="44" t="inlineStr">
        <is>
          <t>UCKZo4N0lVPccBkSiuyVh4yg</t>
        </is>
      </c>
      <c r="O787" s="45" t="n">
        <v>45248.05416666667</v>
      </c>
      <c r="P787" s="46" t="n">
        <v>45247</v>
      </c>
      <c r="Q787" s="44" t="n">
        <v>2485</v>
      </c>
      <c r="R787" s="44" t="inlineStr">
        <is>
          <t>No Video ID yet</t>
        </is>
      </c>
      <c r="S787" s="46" t="n"/>
      <c r="T787" s="46" t="n"/>
      <c r="U787" s="44" t="n"/>
      <c r="V787" s="44">
        <f>IF(AND(P787&gt;=Calendar!$K$2,P787&lt;EDATE(Calendar!$K$2,1),OR(Calendar!$K$4="*",N787=Calendar!$K$4)),P787*100+COUNTIFS($P$6:$P$3271,P787,$Q$6:$Q$3271,"&lt;="&amp;Q787,$N$6:$N$3271,Calendar!$K$4),"")</f>
        <v/>
      </c>
      <c r="W787" s="44">
        <f>IF(AND(B787=Queue!$C$4,OR(Queue!$K$4="*",N787=Queue!$K$4)),Q787,"")</f>
        <v/>
      </c>
    </row>
    <row r="788">
      <c r="A788" s="35">
        <f>IF(M788="","",HYPERLINK("https://www.youtube.com/watch?v="&amp;M788,"▶"))</f>
        <v/>
      </c>
      <c r="B788" s="36">
        <f>IF(C788&lt;&gt;"",C788,IF(P788&lt;=IFERROR(INDEX(tblChannels[Watched Through],MATCH(N788,tblChannels[Channel ID],0)),0),"Watched","Unwatched"))</f>
        <v/>
      </c>
      <c r="C788" s="37" t="n"/>
      <c r="D788" s="38" t="n"/>
      <c r="E788" s="39" t="n">
        <v>45247.8125</v>
      </c>
      <c r="F788" s="49" t="inlineStr">
        <is>
          <t>Super Carlin Gaming</t>
        </is>
      </c>
      <c r="G788" t="inlineStr">
        <is>
          <t>Critical Hits Galore! | Carlin Brothers Box Breakers S8E2</t>
        </is>
      </c>
      <c r="H788" s="41" t="n">
        <v>0.02615740740740741</v>
      </c>
      <c r="I788" s="42" t="n">
        <v>1578</v>
      </c>
      <c r="J788" s="42" t="n">
        <v>84</v>
      </c>
      <c r="K788" s="42" t="n">
        <v>7</v>
      </c>
      <c r="L788" s="43" t="n"/>
      <c r="M788" s="44" t="n"/>
      <c r="N788" s="44" t="inlineStr">
        <is>
          <t>UCor_9jRnNNZVzTuQ92PKsaQ</t>
        </is>
      </c>
      <c r="O788" s="45" t="n">
        <v>45248.02083333334</v>
      </c>
      <c r="P788" s="46" t="n">
        <v>45247</v>
      </c>
      <c r="Q788" s="44" t="n">
        <v>2484</v>
      </c>
      <c r="R788" s="44" t="inlineStr">
        <is>
          <t>No Video ID yet</t>
        </is>
      </c>
      <c r="S788" s="46" t="n"/>
      <c r="T788" s="46" t="n"/>
      <c r="U788" s="44" t="n"/>
      <c r="V788" s="44">
        <f>IF(AND(P788&gt;=Calendar!$K$2,P788&lt;EDATE(Calendar!$K$2,1),OR(Calendar!$K$4="*",N788=Calendar!$K$4)),P788*100+COUNTIFS($P$6:$P$3271,P788,$Q$6:$Q$3271,"&lt;="&amp;Q788,$N$6:$N$3271,Calendar!$K$4),"")</f>
        <v/>
      </c>
      <c r="W788" s="44">
        <f>IF(AND(B788=Queue!$C$4,OR(Queue!$K$4="*",N788=Queue!$K$4)),Q788,"")</f>
        <v/>
      </c>
    </row>
    <row r="789">
      <c r="A789" s="35">
        <f>IF(M789="","",HYPERLINK("https://www.youtube.com/watch?v="&amp;M789,"▶"))</f>
        <v/>
      </c>
      <c r="B789" s="36">
        <f>IF(C789&lt;&gt;"",C789,IF(P789&lt;=IFERROR(INDEX(tblChannels[Watched Through],MATCH(N789,tblChannels[Channel ID],0)),0),"Watched","Unwatched"))</f>
        <v/>
      </c>
      <c r="C789" s="37" t="n"/>
      <c r="D789" s="38" t="n"/>
      <c r="E789" s="39" t="n">
        <v>45247.71458333333</v>
      </c>
      <c r="F789" s="47" t="inlineStr">
        <is>
          <t>Super Carlin Brothers</t>
        </is>
      </c>
      <c r="G789" t="inlineStr">
        <is>
          <t>Riley's SECRET 10th Emotion | Inside Out Pixar Film Theory</t>
        </is>
      </c>
      <c r="H789" s="41" t="n">
        <v>0.01189814814814815</v>
      </c>
      <c r="I789" s="42" t="n">
        <v>128510</v>
      </c>
      <c r="J789" s="42" t="n">
        <v>5689</v>
      </c>
      <c r="K789" s="42" t="n">
        <v>523</v>
      </c>
      <c r="L789" s="43" t="n"/>
      <c r="M789" s="44" t="n"/>
      <c r="N789" s="44" t="inlineStr">
        <is>
          <t>UCKZo4N0lVPccBkSiuyVh4yg</t>
        </is>
      </c>
      <c r="O789" s="45" t="n">
        <v>45247.92291666667</v>
      </c>
      <c r="P789" s="46" t="n">
        <v>45247</v>
      </c>
      <c r="Q789" s="44" t="n">
        <v>2483</v>
      </c>
      <c r="R789" s="44" t="inlineStr">
        <is>
          <t>No Video ID yet</t>
        </is>
      </c>
      <c r="S789" s="46" t="n"/>
      <c r="T789" s="46" t="n"/>
      <c r="U789" s="44" t="n"/>
      <c r="V789" s="44">
        <f>IF(AND(P789&gt;=Calendar!$K$2,P789&lt;EDATE(Calendar!$K$2,1),OR(Calendar!$K$4="*",N789=Calendar!$K$4)),P789*100+COUNTIFS($P$6:$P$3271,P789,$Q$6:$Q$3271,"&lt;="&amp;Q789,$N$6:$N$3271,Calendar!$K$4),"")</f>
        <v/>
      </c>
      <c r="W789" s="44">
        <f>IF(AND(B789=Queue!$C$4,OR(Queue!$K$4="*",N789=Queue!$K$4)),Q789,"")</f>
        <v/>
      </c>
    </row>
    <row r="790">
      <c r="A790" s="35">
        <f>IF(M790="","",HYPERLINK("https://www.youtube.com/watch?v="&amp;M790,"▶"))</f>
        <v/>
      </c>
      <c r="B790" s="36">
        <f>IF(C790&lt;&gt;"",C790,IF(P790&lt;=IFERROR(INDEX(tblChannels[Watched Through],MATCH(N790,tblChannels[Channel ID],0)),0),"Watched","Unwatched"))</f>
        <v/>
      </c>
      <c r="C790" s="37" t="n"/>
      <c r="D790" s="38" t="n"/>
      <c r="E790" s="39" t="n">
        <v>45247.41666666666</v>
      </c>
      <c r="F790" s="40" t="inlineStr">
        <is>
          <t>Popcorn Culture</t>
        </is>
      </c>
      <c r="G790" t="inlineStr">
        <is>
          <t>Dopamine Detox | Popcorn Culture</t>
        </is>
      </c>
      <c r="H790" s="41" t="n">
        <v>0.0458912037037037</v>
      </c>
      <c r="I790" s="42" t="n">
        <v>4283</v>
      </c>
      <c r="J790" s="42" t="n">
        <v>232</v>
      </c>
      <c r="K790" s="42" t="n">
        <v>11</v>
      </c>
      <c r="L790" s="43" t="n"/>
      <c r="M790" s="44" t="n"/>
      <c r="N790" s="44" t="inlineStr">
        <is>
          <t>UCHfIbq9thHPC8yrKjAdJgDA</t>
        </is>
      </c>
      <c r="O790" s="45" t="n">
        <v>45247.625</v>
      </c>
      <c r="P790" s="46" t="n">
        <v>45247</v>
      </c>
      <c r="Q790" s="44" t="n">
        <v>2482</v>
      </c>
      <c r="R790" s="44" t="inlineStr">
        <is>
          <t>No Video ID yet</t>
        </is>
      </c>
      <c r="S790" s="46" t="n"/>
      <c r="T790" s="46" t="n"/>
      <c r="U790" s="44" t="n"/>
      <c r="V790" s="44">
        <f>IF(AND(P790&gt;=Calendar!$K$2,P790&lt;EDATE(Calendar!$K$2,1),OR(Calendar!$K$4="*",N790=Calendar!$K$4)),P790*100+COUNTIFS($P$6:$P$3271,P790,$Q$6:$Q$3271,"&lt;="&amp;Q790,$N$6:$N$3271,Calendar!$K$4),"")</f>
        <v/>
      </c>
      <c r="W790" s="44">
        <f>IF(AND(B790=Queue!$C$4,OR(Queue!$K$4="*",N790=Queue!$K$4)),Q790,"")</f>
        <v/>
      </c>
    </row>
    <row r="791">
      <c r="A791" s="35">
        <f>IF(M791="","",HYPERLINK("https://www.youtube.com/watch?v="&amp;M791,"▶"))</f>
        <v/>
      </c>
      <c r="B791" s="36">
        <f>IF(C791&lt;&gt;"",C791,IF(P791&lt;=IFERROR(INDEX(tblChannels[Watched Through],MATCH(N791,tblChannels[Channel ID],0)),0),"Watched","Unwatched"))</f>
        <v/>
      </c>
      <c r="C791" s="37" t="n"/>
      <c r="D791" s="38" t="n"/>
      <c r="E791" s="39" t="n">
        <v>45246.67986111111</v>
      </c>
      <c r="F791" s="47" t="inlineStr">
        <is>
          <t>Super Carlin Brothers</t>
        </is>
      </c>
      <c r="G791" t="inlineStr">
        <is>
          <t>TOP 4 Songbirds &amp; Snakes Theories | Hunger Games Film Theory</t>
        </is>
      </c>
      <c r="H791" s="41" t="n">
        <v>0.07217592592592592</v>
      </c>
      <c r="I791" s="42" t="n">
        <v>367424</v>
      </c>
      <c r="J791" s="42" t="n">
        <v>7606</v>
      </c>
      <c r="K791" s="42" t="n">
        <v>637</v>
      </c>
      <c r="L791" s="43" t="n"/>
      <c r="M791" s="44" t="n"/>
      <c r="N791" s="44" t="inlineStr">
        <is>
          <t>UCKZo4N0lVPccBkSiuyVh4yg</t>
        </is>
      </c>
      <c r="O791" s="45" t="n">
        <v>45246.88819444444</v>
      </c>
      <c r="P791" s="46" t="n">
        <v>45246</v>
      </c>
      <c r="Q791" s="44" t="n">
        <v>2481</v>
      </c>
      <c r="R791" s="44" t="inlineStr">
        <is>
          <t>No Video ID yet</t>
        </is>
      </c>
      <c r="S791" s="46" t="n"/>
      <c r="T791" s="46" t="n"/>
      <c r="U791" s="44" t="n"/>
      <c r="V791" s="44">
        <f>IF(AND(P791&gt;=Calendar!$K$2,P791&lt;EDATE(Calendar!$K$2,1),OR(Calendar!$K$4="*",N791=Calendar!$K$4)),P791*100+COUNTIFS($P$6:$P$3271,P791,$Q$6:$Q$3271,"&lt;="&amp;Q791,$N$6:$N$3271,Calendar!$K$4),"")</f>
        <v/>
      </c>
      <c r="W791" s="44">
        <f>IF(AND(B791=Queue!$C$4,OR(Queue!$K$4="*",N791=Queue!$K$4)),Q791,"")</f>
        <v/>
      </c>
    </row>
    <row r="792">
      <c r="A792" s="35">
        <f>IF(M792="","",HYPERLINK("https://www.youtube.com/watch?v="&amp;M792,"▶"))</f>
        <v/>
      </c>
      <c r="B792" s="36">
        <f>IF(C792&lt;&gt;"",C792,IF(P792&lt;=IFERROR(INDEX(tblChannels[Watched Through],MATCH(N792,tblChannels[Channel ID],0)),0),"Watched","Unwatched"))</f>
        <v/>
      </c>
      <c r="C792" s="37" t="n"/>
      <c r="D792" s="38" t="n"/>
      <c r="E792" s="39" t="n">
        <v>45245.73611111111</v>
      </c>
      <c r="F792" s="47" t="inlineStr">
        <is>
          <t>Super Carlin Brothers</t>
        </is>
      </c>
      <c r="G792" t="inlineStr">
        <is>
          <t>Why Don’t Riley’s Parents Have ANXIETY?! | Inside Out Pixar Film Theory</t>
        </is>
      </c>
      <c r="H792" s="41" t="n">
        <v>0.009328703703703704</v>
      </c>
      <c r="I792" s="42" t="n">
        <v>218050</v>
      </c>
      <c r="J792" s="42" t="n">
        <v>8908</v>
      </c>
      <c r="K792" s="42" t="n">
        <v>701</v>
      </c>
      <c r="L792" s="43" t="n"/>
      <c r="M792" s="44" t="n"/>
      <c r="N792" s="44" t="inlineStr">
        <is>
          <t>UCKZo4N0lVPccBkSiuyVh4yg</t>
        </is>
      </c>
      <c r="O792" s="45" t="n">
        <v>45245.94444444445</v>
      </c>
      <c r="P792" s="46" t="n">
        <v>45245</v>
      </c>
      <c r="Q792" s="44" t="n">
        <v>2480</v>
      </c>
      <c r="R792" s="44" t="inlineStr">
        <is>
          <t>No Video ID yet</t>
        </is>
      </c>
      <c r="S792" s="46" t="n"/>
      <c r="T792" s="46" t="n"/>
      <c r="U792" s="44" t="n"/>
      <c r="V792" s="44">
        <f>IF(AND(P792&gt;=Calendar!$K$2,P792&lt;EDATE(Calendar!$K$2,1),OR(Calendar!$K$4="*",N792=Calendar!$K$4)),P792*100+COUNTIFS($P$6:$P$3271,P792,$Q$6:$Q$3271,"&lt;="&amp;Q792,$N$6:$N$3271,Calendar!$K$4),"")</f>
        <v/>
      </c>
      <c r="W792" s="44">
        <f>IF(AND(B792=Queue!$C$4,OR(Queue!$K$4="*",N792=Queue!$K$4)),Q792,"")</f>
        <v/>
      </c>
    </row>
    <row r="793">
      <c r="A793" s="35">
        <f>IF(M793="","",HYPERLINK("https://www.youtube.com/watch?v="&amp;M793,"▶"))</f>
        <v/>
      </c>
      <c r="B793" s="36">
        <f>IF(C793&lt;&gt;"",C793,IF(P793&lt;=IFERROR(INDEX(tblChannels[Watched Through],MATCH(N793,tblChannels[Channel ID],0)),0),"Watched","Unwatched"))</f>
        <v/>
      </c>
      <c r="C793" s="37" t="n"/>
      <c r="D793" s="38" t="n"/>
      <c r="E793" s="39" t="n">
        <v>45242.41666666666</v>
      </c>
      <c r="F793" s="48" t="inlineStr">
        <is>
          <t>Through The Griffin Door</t>
        </is>
      </c>
      <c r="G793" t="inlineStr">
        <is>
          <t>Chapter 9: The Midnight Duel | Philosopher's Stone</t>
        </is>
      </c>
      <c r="H793" s="41" t="n">
        <v>0.05215277777777778</v>
      </c>
      <c r="I793" s="42" t="n">
        <v>90265</v>
      </c>
      <c r="J793" s="42" t="n">
        <v>2675</v>
      </c>
      <c r="K793" s="42" t="n">
        <v>641</v>
      </c>
      <c r="L793" s="43" t="n"/>
      <c r="M793" s="44" t="n"/>
      <c r="N793" s="44" t="inlineStr">
        <is>
          <t>UCEscP6ETYXWSSvsNrDHekMQ</t>
        </is>
      </c>
      <c r="O793" s="45" t="n">
        <v>45242.625</v>
      </c>
      <c r="P793" s="46" t="n">
        <v>45242</v>
      </c>
      <c r="Q793" s="44" t="n">
        <v>2479</v>
      </c>
      <c r="R793" s="44" t="inlineStr">
        <is>
          <t>No Video ID yet</t>
        </is>
      </c>
      <c r="S793" s="46" t="n"/>
      <c r="T793" s="46" t="n"/>
      <c r="U793" s="44" t="n"/>
      <c r="V793" s="44">
        <f>IF(AND(P793&gt;=Calendar!$K$2,P793&lt;EDATE(Calendar!$K$2,1),OR(Calendar!$K$4="*",N793=Calendar!$K$4)),P793*100+COUNTIFS($P$6:$P$3271,P793,$Q$6:$Q$3271,"&lt;="&amp;Q793,$N$6:$N$3271,Calendar!$K$4),"")</f>
        <v/>
      </c>
      <c r="W793" s="44">
        <f>IF(AND(B793=Queue!$C$4,OR(Queue!$K$4="*",N793=Queue!$K$4)),Q793,"")</f>
        <v/>
      </c>
    </row>
    <row r="794">
      <c r="A794" s="35">
        <f>IF(M794="","",HYPERLINK("https://www.youtube.com/watch?v="&amp;M794,"▶"))</f>
        <v/>
      </c>
      <c r="B794" s="36">
        <f>IF(C794&lt;&gt;"",C794,IF(P794&lt;=IFERROR(INDEX(tblChannels[Watched Through],MATCH(N794,tblChannels[Channel ID],0)),0),"Watched","Unwatched"))</f>
        <v/>
      </c>
      <c r="C794" s="37" t="n"/>
      <c r="D794" s="38" t="n"/>
      <c r="E794" s="39" t="n">
        <v>45240.77083333334</v>
      </c>
      <c r="F794" s="49" t="inlineStr">
        <is>
          <t>Super Carlin Gaming</t>
        </is>
      </c>
      <c r="G794" t="inlineStr">
        <is>
          <t>Paradox Rift Is Here | Carlin Brothers Box Breakers S8E1</t>
        </is>
      </c>
      <c r="H794" s="41" t="n">
        <v>0.03335648148148148</v>
      </c>
      <c r="I794" s="42" t="n">
        <v>2143</v>
      </c>
      <c r="J794" s="42" t="n">
        <v>109</v>
      </c>
      <c r="K794" s="42" t="n">
        <v>14</v>
      </c>
      <c r="L794" s="43" t="n"/>
      <c r="M794" s="44" t="n"/>
      <c r="N794" s="44" t="inlineStr">
        <is>
          <t>UCor_9jRnNNZVzTuQ92PKsaQ</t>
        </is>
      </c>
      <c r="O794" s="45" t="n">
        <v>45240.97916666666</v>
      </c>
      <c r="P794" s="46" t="n">
        <v>45240</v>
      </c>
      <c r="Q794" s="44" t="n">
        <v>2478</v>
      </c>
      <c r="R794" s="44" t="inlineStr">
        <is>
          <t>No Video ID yet</t>
        </is>
      </c>
      <c r="S794" s="46" t="n"/>
      <c r="T794" s="46" t="n"/>
      <c r="U794" s="44" t="n"/>
      <c r="V794" s="44">
        <f>IF(AND(P794&gt;=Calendar!$K$2,P794&lt;EDATE(Calendar!$K$2,1),OR(Calendar!$K$4="*",N794=Calendar!$K$4)),P794*100+COUNTIFS($P$6:$P$3271,P794,$Q$6:$Q$3271,"&lt;="&amp;Q794,$N$6:$N$3271,Calendar!$K$4),"")</f>
        <v/>
      </c>
      <c r="W794" s="44">
        <f>IF(AND(B794=Queue!$C$4,OR(Queue!$K$4="*",N794=Queue!$K$4)),Q794,"")</f>
        <v/>
      </c>
    </row>
    <row r="795">
      <c r="A795" s="35">
        <f>IF(M795="","",HYPERLINK("https://www.youtube.com/watch?v="&amp;M795,"▶"))</f>
        <v/>
      </c>
      <c r="B795" s="36">
        <f>IF(C795&lt;&gt;"",C795,IF(P795&lt;=IFERROR(INDEX(tblChannels[Watched Through],MATCH(N795,tblChannels[Channel ID],0)),0),"Watched","Unwatched"))</f>
        <v/>
      </c>
      <c r="C795" s="37" t="n"/>
      <c r="D795" s="38" t="n"/>
      <c r="E795" s="39" t="n">
        <v>45240.72986111111</v>
      </c>
      <c r="F795" s="47" t="inlineStr">
        <is>
          <t>Super Carlin Brothers</t>
        </is>
      </c>
      <c r="G795" t="inlineStr">
        <is>
          <t>In Defense of James Potter | Harry Potter Film Theory</t>
        </is>
      </c>
      <c r="H795" s="41" t="n">
        <v>0.01138888888888889</v>
      </c>
      <c r="I795" s="42" t="n">
        <v>197744</v>
      </c>
      <c r="J795" s="42" t="n">
        <v>8854</v>
      </c>
      <c r="K795" s="42" t="n">
        <v>1277</v>
      </c>
      <c r="L795" s="43" t="n"/>
      <c r="M795" s="44" t="n"/>
      <c r="N795" s="44" t="inlineStr">
        <is>
          <t>UCKZo4N0lVPccBkSiuyVh4yg</t>
        </is>
      </c>
      <c r="O795" s="45" t="n">
        <v>45240.93819444445</v>
      </c>
      <c r="P795" s="46" t="n">
        <v>45240</v>
      </c>
      <c r="Q795" s="44" t="n">
        <v>2477</v>
      </c>
      <c r="R795" s="44" t="inlineStr">
        <is>
          <t>No Video ID yet</t>
        </is>
      </c>
      <c r="S795" s="46" t="n"/>
      <c r="T795" s="46" t="n"/>
      <c r="U795" s="44" t="n"/>
      <c r="V795" s="44">
        <f>IF(AND(P795&gt;=Calendar!$K$2,P795&lt;EDATE(Calendar!$K$2,1),OR(Calendar!$K$4="*",N795=Calendar!$K$4)),P795*100+COUNTIFS($P$6:$P$3271,P795,$Q$6:$Q$3271,"&lt;="&amp;Q795,$N$6:$N$3271,Calendar!$K$4),"")</f>
        <v/>
      </c>
      <c r="W795" s="44">
        <f>IF(AND(B795=Queue!$C$4,OR(Queue!$K$4="*",N795=Queue!$K$4)),Q795,"")</f>
        <v/>
      </c>
    </row>
    <row r="796">
      <c r="A796" s="35">
        <f>IF(M796="","",HYPERLINK("https://www.youtube.com/watch?v="&amp;M796,"▶"))</f>
        <v/>
      </c>
      <c r="B796" s="36">
        <f>IF(C796&lt;&gt;"",C796,IF(P796&lt;=IFERROR(INDEX(tblChannels[Watched Through],MATCH(N796,tblChannels[Channel ID],0)),0),"Watched","Unwatched"))</f>
        <v/>
      </c>
      <c r="C796" s="37" t="n"/>
      <c r="D796" s="38" t="n"/>
      <c r="E796" s="39" t="n">
        <v>45240.41666666666</v>
      </c>
      <c r="F796" s="40" t="inlineStr">
        <is>
          <t>Popcorn Culture</t>
        </is>
      </c>
      <c r="G796" t="inlineStr">
        <is>
          <t>Popcuterie Board | Popcorn Culture</t>
        </is>
      </c>
      <c r="H796" s="41" t="n">
        <v>0.04553240740740741</v>
      </c>
      <c r="I796" s="42" t="n">
        <v>4449</v>
      </c>
      <c r="J796" s="42" t="n">
        <v>233</v>
      </c>
      <c r="K796" s="42" t="n">
        <v>26</v>
      </c>
      <c r="L796" s="43" t="n"/>
      <c r="M796" s="44" t="n"/>
      <c r="N796" s="44" t="inlineStr">
        <is>
          <t>UCHfIbq9thHPC8yrKjAdJgDA</t>
        </is>
      </c>
      <c r="O796" s="45" t="n">
        <v>45240.625</v>
      </c>
      <c r="P796" s="46" t="n">
        <v>45240</v>
      </c>
      <c r="Q796" s="44" t="n">
        <v>2476</v>
      </c>
      <c r="R796" s="44" t="inlineStr">
        <is>
          <t>No Video ID yet</t>
        </is>
      </c>
      <c r="S796" s="46" t="n"/>
      <c r="T796" s="46" t="n"/>
      <c r="U796" s="44" t="n"/>
      <c r="V796" s="44">
        <f>IF(AND(P796&gt;=Calendar!$K$2,P796&lt;EDATE(Calendar!$K$2,1),OR(Calendar!$K$4="*",N796=Calendar!$K$4)),P796*100+COUNTIFS($P$6:$P$3271,P796,$Q$6:$Q$3271,"&lt;="&amp;Q796,$N$6:$N$3271,Calendar!$K$4),"")</f>
        <v/>
      </c>
      <c r="W796" s="44">
        <f>IF(AND(B796=Queue!$C$4,OR(Queue!$K$4="*",N796=Queue!$K$4)),Q796,"")</f>
        <v/>
      </c>
    </row>
    <row r="797">
      <c r="A797" s="35">
        <f>IF(M797="","",HYPERLINK("https://www.youtube.com/watch?v="&amp;M797,"▶"))</f>
        <v/>
      </c>
      <c r="B797" s="36">
        <f>IF(C797&lt;&gt;"",C797,IF(P797&lt;=IFERROR(INDEX(tblChannels[Watched Through],MATCH(N797,tblChannels[Channel ID],0)),0),"Watched","Unwatched"))</f>
        <v/>
      </c>
      <c r="C797" s="37" t="n"/>
      <c r="D797" s="38" t="n"/>
      <c r="E797" s="39" t="n">
        <v>45238.68888888889</v>
      </c>
      <c r="F797" s="47" t="inlineStr">
        <is>
          <t>Super Carlin Brothers</t>
        </is>
      </c>
      <c r="G797" t="inlineStr">
        <is>
          <t>J vs Ben: HARDEST Hogwarts Grounds Harry Potter TRIVIA Quiz</t>
        </is>
      </c>
      <c r="H797" s="41" t="n">
        <v>0.02226851851851852</v>
      </c>
      <c r="I797" s="42" t="n">
        <v>192004</v>
      </c>
      <c r="J797" s="42" t="n">
        <v>6301</v>
      </c>
      <c r="K797" s="42" t="n">
        <v>669</v>
      </c>
      <c r="L797" s="43" t="n"/>
      <c r="M797" s="44" t="n"/>
      <c r="N797" s="44" t="inlineStr">
        <is>
          <t>UCKZo4N0lVPccBkSiuyVh4yg</t>
        </is>
      </c>
      <c r="O797" s="45" t="n">
        <v>45238.89722222222</v>
      </c>
      <c r="P797" s="46" t="n">
        <v>45238</v>
      </c>
      <c r="Q797" s="44" t="n">
        <v>2475</v>
      </c>
      <c r="R797" s="44" t="inlineStr">
        <is>
          <t>No Video ID yet</t>
        </is>
      </c>
      <c r="S797" s="46" t="n"/>
      <c r="T797" s="46" t="n"/>
      <c r="U797" s="44" t="n"/>
      <c r="V797" s="44">
        <f>IF(AND(P797&gt;=Calendar!$K$2,P797&lt;EDATE(Calendar!$K$2,1),OR(Calendar!$K$4="*",N797=Calendar!$K$4)),P797*100+COUNTIFS($P$6:$P$3271,P797,$Q$6:$Q$3271,"&lt;="&amp;Q797,$N$6:$N$3271,Calendar!$K$4),"")</f>
        <v/>
      </c>
      <c r="W797" s="44">
        <f>IF(AND(B797=Queue!$C$4,OR(Queue!$K$4="*",N797=Queue!$K$4)),Q797,"")</f>
        <v/>
      </c>
    </row>
    <row r="798">
      <c r="A798" s="35">
        <f>IF(M798="","",HYPERLINK("https://www.youtube.com/watch?v="&amp;M798,"▶"))</f>
        <v/>
      </c>
      <c r="B798" s="36">
        <f>IF(C798&lt;&gt;"",C798,IF(P798&lt;=IFERROR(INDEX(tblChannels[Watched Through],MATCH(N798,tblChannels[Channel ID],0)),0),"Watched","Unwatched"))</f>
        <v/>
      </c>
      <c r="C798" s="37" t="n"/>
      <c r="D798" s="38" t="n"/>
      <c r="E798" s="39" t="n">
        <v>45235.41666666666</v>
      </c>
      <c r="F798" s="48" t="inlineStr">
        <is>
          <t>Through The Griffin Door</t>
        </is>
      </c>
      <c r="G798" t="inlineStr">
        <is>
          <t>Chapter 8: The Potions Master | Philosopher's Stone</t>
        </is>
      </c>
      <c r="H798" s="41" t="n">
        <v>0.0403587962962963</v>
      </c>
      <c r="I798" s="42" t="n">
        <v>82864</v>
      </c>
      <c r="J798" s="42" t="n">
        <v>2706</v>
      </c>
      <c r="K798" s="42" t="n">
        <v>556</v>
      </c>
      <c r="L798" s="43" t="n"/>
      <c r="M798" s="44" t="n"/>
      <c r="N798" s="44" t="inlineStr">
        <is>
          <t>UCEscP6ETYXWSSvsNrDHekMQ</t>
        </is>
      </c>
      <c r="O798" s="45" t="n">
        <v>45235.625</v>
      </c>
      <c r="P798" s="46" t="n">
        <v>45235</v>
      </c>
      <c r="Q798" s="44" t="n">
        <v>2474</v>
      </c>
      <c r="R798" s="44" t="inlineStr">
        <is>
          <t>No Video ID yet</t>
        </is>
      </c>
      <c r="S798" s="46" t="n"/>
      <c r="T798" s="46" t="n"/>
      <c r="U798" s="44" t="n"/>
      <c r="V798" s="44">
        <f>IF(AND(P798&gt;=Calendar!$K$2,P798&lt;EDATE(Calendar!$K$2,1),OR(Calendar!$K$4="*",N798=Calendar!$K$4)),P798*100+COUNTIFS($P$6:$P$3271,P798,$Q$6:$Q$3271,"&lt;="&amp;Q798,$N$6:$N$3271,Calendar!$K$4),"")</f>
        <v/>
      </c>
      <c r="W798" s="44">
        <f>IF(AND(B798=Queue!$C$4,OR(Queue!$K$4="*",N798=Queue!$K$4)),Q798,"")</f>
        <v/>
      </c>
    </row>
    <row r="799">
      <c r="A799" s="35">
        <f>IF(M799="","",HYPERLINK("https://www.youtube.com/watch?v="&amp;M799,"▶"))</f>
        <v/>
      </c>
      <c r="B799" s="36">
        <f>IF(C799&lt;&gt;"",C799,IF(P799&lt;=IFERROR(INDEX(tblChannels[Watched Through],MATCH(N799,tblChannels[Channel ID],0)),0),"Watched","Unwatched"))</f>
        <v/>
      </c>
      <c r="C799" s="37" t="n"/>
      <c r="D799" s="38" t="n"/>
      <c r="E799" s="39" t="n">
        <v>45233.70486111111</v>
      </c>
      <c r="F799" s="47" t="inlineStr">
        <is>
          <t>Super Carlin Brothers</t>
        </is>
      </c>
      <c r="G799" t="inlineStr">
        <is>
          <t>Can Dumbledore REALLY Be Trusted? | Harry Potter Film Theory</t>
        </is>
      </c>
      <c r="H799" s="41" t="n">
        <v>0.01353009259259259</v>
      </c>
      <c r="I799" s="42" t="n">
        <v>280658</v>
      </c>
      <c r="J799" s="42" t="n">
        <v>10062</v>
      </c>
      <c r="K799" s="42" t="n">
        <v>757</v>
      </c>
      <c r="L799" s="43" t="n"/>
      <c r="M799" s="44" t="n"/>
      <c r="N799" s="44" t="inlineStr">
        <is>
          <t>UCKZo4N0lVPccBkSiuyVh4yg</t>
        </is>
      </c>
      <c r="O799" s="45" t="n">
        <v>45233.87152777778</v>
      </c>
      <c r="P799" s="46" t="n">
        <v>45233</v>
      </c>
      <c r="Q799" s="44" t="n">
        <v>2473</v>
      </c>
      <c r="R799" s="44" t="inlineStr">
        <is>
          <t>No Video ID yet</t>
        </is>
      </c>
      <c r="S799" s="46" t="n"/>
      <c r="T799" s="46" t="n"/>
      <c r="U799" s="44" t="n"/>
      <c r="V799" s="44">
        <f>IF(AND(P799&gt;=Calendar!$K$2,P799&lt;EDATE(Calendar!$K$2,1),OR(Calendar!$K$4="*",N799=Calendar!$K$4)),P799*100+COUNTIFS($P$6:$P$3271,P799,$Q$6:$Q$3271,"&lt;="&amp;Q799,$N$6:$N$3271,Calendar!$K$4),"")</f>
        <v/>
      </c>
      <c r="W799" s="44">
        <f>IF(AND(B799=Queue!$C$4,OR(Queue!$K$4="*",N799=Queue!$K$4)),Q799,"")</f>
        <v/>
      </c>
    </row>
    <row r="800">
      <c r="A800" s="35">
        <f>IF(M800="","",HYPERLINK("https://www.youtube.com/watch?v="&amp;M800,"▶"))</f>
        <v/>
      </c>
      <c r="B800" s="36">
        <f>IF(C800&lt;&gt;"",C800,IF(P800&lt;=IFERROR(INDEX(tblChannels[Watched Through],MATCH(N800,tblChannels[Channel ID],0)),0),"Watched","Unwatched"))</f>
        <v/>
      </c>
      <c r="C800" s="37" t="n"/>
      <c r="D800" s="38" t="n"/>
      <c r="E800" s="39" t="n">
        <v>45233.41666666666</v>
      </c>
      <c r="F800" s="40" t="inlineStr">
        <is>
          <t>Popcorn Culture</t>
        </is>
      </c>
      <c r="G800" t="inlineStr">
        <is>
          <t>POG-Corn Culture| Popcorn Culture</t>
        </is>
      </c>
      <c r="H800" s="41" t="n">
        <v>0.05549768518518518</v>
      </c>
      <c r="I800" s="42" t="n">
        <v>4827</v>
      </c>
      <c r="J800" s="42" t="n">
        <v>249</v>
      </c>
      <c r="K800" s="42" t="n">
        <v>48</v>
      </c>
      <c r="L800" s="43" t="n"/>
      <c r="M800" s="44" t="n"/>
      <c r="N800" s="44" t="inlineStr">
        <is>
          <t>UCHfIbq9thHPC8yrKjAdJgDA</t>
        </is>
      </c>
      <c r="O800" s="45" t="n">
        <v>45233.58333333334</v>
      </c>
      <c r="P800" s="46" t="n">
        <v>45233</v>
      </c>
      <c r="Q800" s="44" t="n">
        <v>2472</v>
      </c>
      <c r="R800" s="44" t="inlineStr">
        <is>
          <t>No Video ID yet</t>
        </is>
      </c>
      <c r="S800" s="46" t="n"/>
      <c r="T800" s="46" t="n"/>
      <c r="U800" s="44" t="n"/>
      <c r="V800" s="44">
        <f>IF(AND(P800&gt;=Calendar!$K$2,P800&lt;EDATE(Calendar!$K$2,1),OR(Calendar!$K$4="*",N800=Calendar!$K$4)),P800*100+COUNTIFS($P$6:$P$3271,P800,$Q$6:$Q$3271,"&lt;="&amp;Q800,$N$6:$N$3271,Calendar!$K$4),"")</f>
        <v/>
      </c>
      <c r="W800" s="44">
        <f>IF(AND(B800=Queue!$C$4,OR(Queue!$K$4="*",N800=Queue!$K$4)),Q800,"")</f>
        <v/>
      </c>
    </row>
    <row r="801">
      <c r="A801" s="35">
        <f>IF(M801="","",HYPERLINK("https://www.youtube.com/watch?v="&amp;M801,"▶"))</f>
        <v/>
      </c>
      <c r="B801" s="36">
        <f>IF(C801&lt;&gt;"",C801,IF(P801&lt;=IFERROR(INDEX(tblChannels[Watched Through],MATCH(N801,tblChannels[Channel ID],0)),0),"Watched","Unwatched"))</f>
        <v/>
      </c>
      <c r="C801" s="37" t="n"/>
      <c r="D801" s="38" t="n"/>
      <c r="E801" s="39" t="n">
        <v>45231.67430555556</v>
      </c>
      <c r="F801" s="47" t="inlineStr">
        <is>
          <t>Super Carlin Brothers</t>
        </is>
      </c>
      <c r="G801" t="inlineStr">
        <is>
          <t>How Fred and George Solved The Marauders Map | Harry Potter Film Theory</t>
        </is>
      </c>
      <c r="H801" s="41" t="n">
        <v>0.01045138888888889</v>
      </c>
      <c r="I801" s="42" t="n">
        <v>375948</v>
      </c>
      <c r="J801" s="42" t="n">
        <v>12354</v>
      </c>
      <c r="K801" s="42" t="n">
        <v>949</v>
      </c>
      <c r="L801" s="43" t="n"/>
      <c r="M801" s="44" t="n"/>
      <c r="N801" s="44" t="inlineStr">
        <is>
          <t>UCKZo4N0lVPccBkSiuyVh4yg</t>
        </is>
      </c>
      <c r="O801" s="45" t="n">
        <v>45231.84097222222</v>
      </c>
      <c r="P801" s="46" t="n">
        <v>45231</v>
      </c>
      <c r="Q801" s="44" t="n">
        <v>2471</v>
      </c>
      <c r="R801" s="44" t="inlineStr">
        <is>
          <t>No Video ID yet</t>
        </is>
      </c>
      <c r="S801" s="46" t="n"/>
      <c r="T801" s="46" t="n"/>
      <c r="U801" s="44" t="n"/>
      <c r="V801" s="44">
        <f>IF(AND(P801&gt;=Calendar!$K$2,P801&lt;EDATE(Calendar!$K$2,1),OR(Calendar!$K$4="*",N801=Calendar!$K$4)),P801*100+COUNTIFS($P$6:$P$3271,P801,$Q$6:$Q$3271,"&lt;="&amp;Q801,$N$6:$N$3271,Calendar!$K$4),"")</f>
        <v/>
      </c>
      <c r="W801" s="44">
        <f>IF(AND(B801=Queue!$C$4,OR(Queue!$K$4="*",N801=Queue!$K$4)),Q801,"")</f>
        <v/>
      </c>
    </row>
    <row r="802">
      <c r="A802" s="35">
        <f>IF(M802="","",HYPERLINK("https://www.youtube.com/watch?v="&amp;M802,"▶"))</f>
        <v/>
      </c>
      <c r="B802" s="36">
        <f>IF(C802&lt;&gt;"",C802,IF(P802&lt;=IFERROR(INDEX(tblChannels[Watched Through],MATCH(N802,tblChannels[Channel ID],0)),0),"Watched","Unwatched"))</f>
        <v/>
      </c>
      <c r="C802" s="37" t="n"/>
      <c r="D802" s="38" t="n"/>
      <c r="E802" s="39" t="n">
        <v>45228.41666666666</v>
      </c>
      <c r="F802" s="48" t="inlineStr">
        <is>
          <t>Through The Griffin Door</t>
        </is>
      </c>
      <c r="G802" t="inlineStr">
        <is>
          <t>Chapter 7: The Sorting Hat | Philosopher's Stone</t>
        </is>
      </c>
      <c r="H802" s="41" t="n">
        <v>0.04836805555555555</v>
      </c>
      <c r="I802" s="42" t="n">
        <v>97549</v>
      </c>
      <c r="J802" s="42" t="n">
        <v>2863</v>
      </c>
      <c r="K802" s="42" t="n">
        <v>565</v>
      </c>
      <c r="L802" s="43" t="n"/>
      <c r="M802" s="44" t="n"/>
      <c r="N802" s="44" t="inlineStr">
        <is>
          <t>UCEscP6ETYXWSSvsNrDHekMQ</t>
        </is>
      </c>
      <c r="O802" s="45" t="n">
        <v>45228.58333333334</v>
      </c>
      <c r="P802" s="46" t="n">
        <v>45228</v>
      </c>
      <c r="Q802" s="44" t="n">
        <v>2470</v>
      </c>
      <c r="R802" s="44" t="inlineStr">
        <is>
          <t>No Video ID yet</t>
        </is>
      </c>
      <c r="S802" s="46" t="n"/>
      <c r="T802" s="46" t="n"/>
      <c r="U802" s="44" t="n"/>
      <c r="V802" s="44">
        <f>IF(AND(P802&gt;=Calendar!$K$2,P802&lt;EDATE(Calendar!$K$2,1),OR(Calendar!$K$4="*",N802=Calendar!$K$4)),P802*100+COUNTIFS($P$6:$P$3271,P802,$Q$6:$Q$3271,"&lt;="&amp;Q802,$N$6:$N$3271,Calendar!$K$4),"")</f>
        <v/>
      </c>
      <c r="W802" s="44">
        <f>IF(AND(B802=Queue!$C$4,OR(Queue!$K$4="*",N802=Queue!$K$4)),Q802,"")</f>
        <v/>
      </c>
    </row>
    <row r="803">
      <c r="A803" s="35">
        <f>IF(M803="","",HYPERLINK("https://www.youtube.com/watch?v="&amp;M803,"▶"))</f>
        <v/>
      </c>
      <c r="B803" s="36">
        <f>IF(C803&lt;&gt;"",C803,IF(P803&lt;=IFERROR(INDEX(tblChannels[Watched Through],MATCH(N803,tblChannels[Channel ID],0)),0),"Watched","Unwatched"))</f>
        <v/>
      </c>
      <c r="C803" s="37" t="n"/>
      <c r="D803" s="38" t="n"/>
      <c r="E803" s="39" t="n">
        <v>45227.41666666666</v>
      </c>
      <c r="F803" s="47" t="inlineStr">
        <is>
          <t>Super Carlin Brothers</t>
        </is>
      </c>
      <c r="G803" t="inlineStr">
        <is>
          <t>Through the Griffin Door Supercut: Chapters 4-6 | Philosopher’s Stone</t>
        </is>
      </c>
      <c r="H803" s="41" t="n">
        <v>0.1409027777777778</v>
      </c>
      <c r="I803" s="42" t="n">
        <v>289367</v>
      </c>
      <c r="J803" s="42" t="n">
        <v>2408</v>
      </c>
      <c r="K803" s="42" t="n">
        <v>562</v>
      </c>
      <c r="L803" s="43" t="n"/>
      <c r="M803" s="44" t="n"/>
      <c r="N803" s="44" t="inlineStr">
        <is>
          <t>UCKZo4N0lVPccBkSiuyVh4yg</t>
        </is>
      </c>
      <c r="O803" s="45" t="n">
        <v>45227.58333333334</v>
      </c>
      <c r="P803" s="46" t="n">
        <v>45227</v>
      </c>
      <c r="Q803" s="44" t="n">
        <v>2469</v>
      </c>
      <c r="R803" s="44" t="inlineStr">
        <is>
          <t>No Video ID yet</t>
        </is>
      </c>
      <c r="S803" s="46" t="n"/>
      <c r="T803" s="46" t="n"/>
      <c r="U803" s="44" t="n"/>
      <c r="V803" s="44">
        <f>IF(AND(P803&gt;=Calendar!$K$2,P803&lt;EDATE(Calendar!$K$2,1),OR(Calendar!$K$4="*",N803=Calendar!$K$4)),P803*100+COUNTIFS($P$6:$P$3271,P803,$Q$6:$Q$3271,"&lt;="&amp;Q803,$N$6:$N$3271,Calendar!$K$4),"")</f>
        <v/>
      </c>
      <c r="W803" s="44">
        <f>IF(AND(B803=Queue!$C$4,OR(Queue!$K$4="*",N803=Queue!$K$4)),Q803,"")</f>
        <v/>
      </c>
    </row>
    <row r="804">
      <c r="A804" s="35">
        <f>IF(M804="","",HYPERLINK("https://www.youtube.com/watch?v="&amp;M804,"▶"))</f>
        <v/>
      </c>
      <c r="B804" s="36">
        <f>IF(C804&lt;&gt;"",C804,IF(P804&lt;=IFERROR(INDEX(tblChannels[Watched Through],MATCH(N804,tblChannels[Channel ID],0)),0),"Watched","Unwatched"))</f>
        <v/>
      </c>
      <c r="C804" s="37" t="n"/>
      <c r="D804" s="38" t="n"/>
      <c r="E804" s="39" t="n">
        <v>45226.77083333334</v>
      </c>
      <c r="F804" s="49" t="inlineStr">
        <is>
          <t>Super Carlin Gaming</t>
        </is>
      </c>
      <c r="G804" t="inlineStr">
        <is>
          <t>WHAT A FINALE | Carlin Brothers Box Breakers S7E4</t>
        </is>
      </c>
      <c r="H804" s="41" t="n">
        <v>0.02960648148148148</v>
      </c>
      <c r="I804" s="42" t="n">
        <v>1771</v>
      </c>
      <c r="J804" s="42" t="n">
        <v>105</v>
      </c>
      <c r="K804" s="42" t="n">
        <v>10</v>
      </c>
      <c r="L804" s="43" t="n"/>
      <c r="M804" s="44" t="n"/>
      <c r="N804" s="44" t="inlineStr">
        <is>
          <t>UCor_9jRnNNZVzTuQ92PKsaQ</t>
        </is>
      </c>
      <c r="O804" s="45" t="n">
        <v>45226.9375</v>
      </c>
      <c r="P804" s="46" t="n">
        <v>45226</v>
      </c>
      <c r="Q804" s="44" t="n">
        <v>2468</v>
      </c>
      <c r="R804" s="44" t="inlineStr">
        <is>
          <t>No Video ID yet</t>
        </is>
      </c>
      <c r="S804" s="46" t="n"/>
      <c r="T804" s="46" t="n"/>
      <c r="U804" s="44" t="n"/>
      <c r="V804" s="44">
        <f>IF(AND(P804&gt;=Calendar!$K$2,P804&lt;EDATE(Calendar!$K$2,1),OR(Calendar!$K$4="*",N804=Calendar!$K$4)),P804*100+COUNTIFS($P$6:$P$3271,P804,$Q$6:$Q$3271,"&lt;="&amp;Q804,$N$6:$N$3271,Calendar!$K$4),"")</f>
        <v/>
      </c>
      <c r="W804" s="44">
        <f>IF(AND(B804=Queue!$C$4,OR(Queue!$K$4="*",N804=Queue!$K$4)),Q804,"")</f>
        <v/>
      </c>
    </row>
    <row r="805">
      <c r="A805" s="35">
        <f>IF(M805="","",HYPERLINK("https://www.youtube.com/watch?v="&amp;M805,"▶"))</f>
        <v/>
      </c>
      <c r="B805" s="36">
        <f>IF(C805&lt;&gt;"",C805,IF(P805&lt;=IFERROR(INDEX(tblChannels[Watched Through],MATCH(N805,tblChannels[Channel ID],0)),0),"Watched","Unwatched"))</f>
        <v/>
      </c>
      <c r="C805" s="37" t="n"/>
      <c r="D805" s="38" t="n"/>
      <c r="E805" s="39" t="n">
        <v>45226.68055555555</v>
      </c>
      <c r="F805" s="47" t="inlineStr">
        <is>
          <t>Super Carlin Brothers</t>
        </is>
      </c>
      <c r="G805" t="inlineStr">
        <is>
          <t>What If Sirius Took Harry As A Baby? | Harry Potter Film Theory</t>
        </is>
      </c>
      <c r="H805" s="41" t="n">
        <v>0.01471064814814815</v>
      </c>
      <c r="I805" s="42" t="n">
        <v>433286</v>
      </c>
      <c r="J805" s="42" t="n">
        <v>13332</v>
      </c>
      <c r="K805" s="42" t="n">
        <v>1433</v>
      </c>
      <c r="L805" s="43" t="n"/>
      <c r="M805" s="44" t="n"/>
      <c r="N805" s="44" t="inlineStr">
        <is>
          <t>UCKZo4N0lVPccBkSiuyVh4yg</t>
        </is>
      </c>
      <c r="O805" s="45" t="n">
        <v>45226.84722222222</v>
      </c>
      <c r="P805" s="46" t="n">
        <v>45226</v>
      </c>
      <c r="Q805" s="44" t="n">
        <v>2467</v>
      </c>
      <c r="R805" s="44" t="inlineStr">
        <is>
          <t>No Video ID yet</t>
        </is>
      </c>
      <c r="S805" s="46" t="n"/>
      <c r="T805" s="46" t="n"/>
      <c r="U805" s="44" t="n"/>
      <c r="V805" s="44">
        <f>IF(AND(P805&gt;=Calendar!$K$2,P805&lt;EDATE(Calendar!$K$2,1),OR(Calendar!$K$4="*",N805=Calendar!$K$4)),P805*100+COUNTIFS($P$6:$P$3271,P805,$Q$6:$Q$3271,"&lt;="&amp;Q805,$N$6:$N$3271,Calendar!$K$4),"")</f>
        <v/>
      </c>
      <c r="W805" s="44">
        <f>IF(AND(B805=Queue!$C$4,OR(Queue!$K$4="*",N805=Queue!$K$4)),Q805,"")</f>
        <v/>
      </c>
    </row>
    <row r="806">
      <c r="A806" s="35">
        <f>IF(M806="","",HYPERLINK("https://www.youtube.com/watch?v="&amp;M806,"▶"))</f>
        <v/>
      </c>
      <c r="B806" s="36">
        <f>IF(C806&lt;&gt;"",C806,IF(P806&lt;=IFERROR(INDEX(tblChannels[Watched Through],MATCH(N806,tblChannels[Channel ID],0)),0),"Watched","Unwatched"))</f>
        <v/>
      </c>
      <c r="C806" s="37" t="n"/>
      <c r="D806" s="38" t="n"/>
      <c r="E806" s="39" t="n">
        <v>45226.41666666666</v>
      </c>
      <c r="F806" s="40" t="inlineStr">
        <is>
          <t>Popcorn Culture</t>
        </is>
      </c>
      <c r="G806" t="inlineStr">
        <is>
          <t>Slytherin Wins the House Cup | Popcorn Culture</t>
        </is>
      </c>
      <c r="H806" s="41" t="n">
        <v>0.04733796296296296</v>
      </c>
      <c r="I806" s="42" t="n">
        <v>5268</v>
      </c>
      <c r="J806" s="42" t="n">
        <v>261</v>
      </c>
      <c r="K806" s="42" t="n">
        <v>31</v>
      </c>
      <c r="L806" s="43" t="n"/>
      <c r="M806" s="44" t="n"/>
      <c r="N806" s="44" t="inlineStr">
        <is>
          <t>UCHfIbq9thHPC8yrKjAdJgDA</t>
        </is>
      </c>
      <c r="O806" s="45" t="n">
        <v>45226.58333333334</v>
      </c>
      <c r="P806" s="46" t="n">
        <v>45226</v>
      </c>
      <c r="Q806" s="44" t="n">
        <v>2466</v>
      </c>
      <c r="R806" s="44" t="inlineStr">
        <is>
          <t>No Video ID yet</t>
        </is>
      </c>
      <c r="S806" s="46" t="n"/>
      <c r="T806" s="46" t="n"/>
      <c r="U806" s="44" t="n"/>
      <c r="V806" s="44">
        <f>IF(AND(P806&gt;=Calendar!$K$2,P806&lt;EDATE(Calendar!$K$2,1),OR(Calendar!$K$4="*",N806=Calendar!$K$4)),P806*100+COUNTIFS($P$6:$P$3271,P806,$Q$6:$Q$3271,"&lt;="&amp;Q806,$N$6:$N$3271,Calendar!$K$4),"")</f>
        <v/>
      </c>
      <c r="W806" s="44">
        <f>IF(AND(B806=Queue!$C$4,OR(Queue!$K$4="*",N806=Queue!$K$4)),Q806,"")</f>
        <v/>
      </c>
    </row>
    <row r="807">
      <c r="A807" s="35">
        <f>IF(M807="","",HYPERLINK("https://www.youtube.com/watch?v="&amp;M807,"▶"))</f>
        <v/>
      </c>
      <c r="B807" s="36">
        <f>IF(C807&lt;&gt;"",C807,IF(P807&lt;=IFERROR(INDEX(tblChannels[Watched Through],MATCH(N807,tblChannels[Channel ID],0)),0),"Watched","Unwatched"))</f>
        <v/>
      </c>
      <c r="C807" s="37" t="n"/>
      <c r="D807" s="38" t="n"/>
      <c r="E807" s="39" t="n">
        <v>45224.70555555556</v>
      </c>
      <c r="F807" s="47" t="inlineStr">
        <is>
          <t>Super Carlin Brothers</t>
        </is>
      </c>
      <c r="G807" t="inlineStr">
        <is>
          <t>J vs Ben: ULTIMATE Harry Potter TRICKS Trivia Quiz | WHEEL OF PUNISHMENT</t>
        </is>
      </c>
      <c r="H807" s="41" t="n">
        <v>0.03636574074074074</v>
      </c>
      <c r="I807" s="42" t="n">
        <v>249278</v>
      </c>
      <c r="J807" s="42" t="n">
        <v>6719</v>
      </c>
      <c r="K807" s="42" t="n">
        <v>608</v>
      </c>
      <c r="L807" s="43" t="n"/>
      <c r="M807" s="44" t="n"/>
      <c r="N807" s="44" t="inlineStr">
        <is>
          <t>UCKZo4N0lVPccBkSiuyVh4yg</t>
        </is>
      </c>
      <c r="O807" s="45" t="n">
        <v>45224.87222222222</v>
      </c>
      <c r="P807" s="46" t="n">
        <v>45224</v>
      </c>
      <c r="Q807" s="44" t="n">
        <v>2465</v>
      </c>
      <c r="R807" s="44" t="inlineStr">
        <is>
          <t>No Video ID yet</t>
        </is>
      </c>
      <c r="S807" s="46" t="n"/>
      <c r="T807" s="46" t="n"/>
      <c r="U807" s="44" t="n"/>
      <c r="V807" s="44">
        <f>IF(AND(P807&gt;=Calendar!$K$2,P807&lt;EDATE(Calendar!$K$2,1),OR(Calendar!$K$4="*",N807=Calendar!$K$4)),P807*100+COUNTIFS($P$6:$P$3271,P807,$Q$6:$Q$3271,"&lt;="&amp;Q807,$N$6:$N$3271,Calendar!$K$4),"")</f>
        <v/>
      </c>
      <c r="W807" s="44">
        <f>IF(AND(B807=Queue!$C$4,OR(Queue!$K$4="*",N807=Queue!$K$4)),Q807,"")</f>
        <v/>
      </c>
    </row>
    <row r="808">
      <c r="A808" s="35">
        <f>IF(M808="","",HYPERLINK("https://www.youtube.com/watch?v="&amp;M808,"▶"))</f>
        <v/>
      </c>
      <c r="B808" s="36">
        <f>IF(C808&lt;&gt;"",C808,IF(P808&lt;=IFERROR(INDEX(tblChannels[Watched Through],MATCH(N808,tblChannels[Channel ID],0)),0),"Watched","Unwatched"))</f>
        <v/>
      </c>
      <c r="C808" s="37" t="n"/>
      <c r="D808" s="38" t="n"/>
      <c r="E808" s="39" t="n">
        <v>45221.41666666666</v>
      </c>
      <c r="F808" s="48" t="inlineStr">
        <is>
          <t>Through The Griffin Door</t>
        </is>
      </c>
      <c r="G808" t="inlineStr">
        <is>
          <t>Chapter 6: The Journey From Platform Nine and Three-Quarters | Philosopher's Stone</t>
        </is>
      </c>
      <c r="H808" s="41" t="n">
        <v>0.05611111111111111</v>
      </c>
      <c r="I808" s="42" t="n">
        <v>101847</v>
      </c>
      <c r="J808" s="42" t="n">
        <v>2858</v>
      </c>
      <c r="K808" s="42" t="n">
        <v>794</v>
      </c>
      <c r="L808" s="43" t="n"/>
      <c r="M808" s="44" t="n"/>
      <c r="N808" s="44" t="inlineStr">
        <is>
          <t>UCEscP6ETYXWSSvsNrDHekMQ</t>
        </is>
      </c>
      <c r="O808" s="45" t="n">
        <v>45221.58333333334</v>
      </c>
      <c r="P808" s="46" t="n">
        <v>45221</v>
      </c>
      <c r="Q808" s="44" t="n">
        <v>2464</v>
      </c>
      <c r="R808" s="44" t="inlineStr">
        <is>
          <t>No Video ID yet</t>
        </is>
      </c>
      <c r="S808" s="46" t="n"/>
      <c r="T808" s="46" t="n"/>
      <c r="U808" s="44" t="n"/>
      <c r="V808" s="44">
        <f>IF(AND(P808&gt;=Calendar!$K$2,P808&lt;EDATE(Calendar!$K$2,1),OR(Calendar!$K$4="*",N808=Calendar!$K$4)),P808*100+COUNTIFS($P$6:$P$3271,P808,$Q$6:$Q$3271,"&lt;="&amp;Q808,$N$6:$N$3271,Calendar!$K$4),"")</f>
        <v/>
      </c>
      <c r="W808" s="44">
        <f>IF(AND(B808=Queue!$C$4,OR(Queue!$K$4="*",N808=Queue!$K$4)),Q808,"")</f>
        <v/>
      </c>
    </row>
    <row r="809">
      <c r="A809" s="35">
        <f>IF(M809="","",HYPERLINK("https://www.youtube.com/watch?v="&amp;M809,"▶"))</f>
        <v/>
      </c>
      <c r="B809" s="36">
        <f>IF(C809&lt;&gt;"",C809,IF(P809&lt;=IFERROR(INDEX(tblChannels[Watched Through],MATCH(N809,tblChannels[Channel ID],0)),0),"Watched","Unwatched"))</f>
        <v/>
      </c>
      <c r="C809" s="37" t="n"/>
      <c r="D809" s="38" t="n"/>
      <c r="E809" s="39" t="n">
        <v>45219.64583333334</v>
      </c>
      <c r="F809" s="49" t="inlineStr">
        <is>
          <t>Super Carlin Gaming</t>
        </is>
      </c>
      <c r="G809" t="inlineStr">
        <is>
          <t>A Mew-tiful Episode | Carlin Brothers Box Breakers S7E3</t>
        </is>
      </c>
      <c r="H809" s="41" t="n">
        <v>0.02873842592592592</v>
      </c>
      <c r="I809" s="42" t="n">
        <v>1693</v>
      </c>
      <c r="J809" s="42" t="n">
        <v>90</v>
      </c>
      <c r="K809" s="42" t="n">
        <v>11</v>
      </c>
      <c r="L809" s="43" t="n"/>
      <c r="M809" s="44" t="n"/>
      <c r="N809" s="44" t="inlineStr">
        <is>
          <t>UCor_9jRnNNZVzTuQ92PKsaQ</t>
        </is>
      </c>
      <c r="O809" s="45" t="n">
        <v>45219.8125</v>
      </c>
      <c r="P809" s="46" t="n">
        <v>45219</v>
      </c>
      <c r="Q809" s="44" t="n">
        <v>2463</v>
      </c>
      <c r="R809" s="44" t="inlineStr">
        <is>
          <t>No Video ID yet</t>
        </is>
      </c>
      <c r="S809" s="46" t="n"/>
      <c r="T809" s="46" t="n"/>
      <c r="U809" s="44" t="n"/>
      <c r="V809" s="44">
        <f>IF(AND(P809&gt;=Calendar!$K$2,P809&lt;EDATE(Calendar!$K$2,1),OR(Calendar!$K$4="*",N809=Calendar!$K$4)),P809*100+COUNTIFS($P$6:$P$3271,P809,$Q$6:$Q$3271,"&lt;="&amp;Q809,$N$6:$N$3271,Calendar!$K$4),"")</f>
        <v/>
      </c>
      <c r="W809" s="44">
        <f>IF(AND(B809=Queue!$C$4,OR(Queue!$K$4="*",N809=Queue!$K$4)),Q809,"")</f>
        <v/>
      </c>
    </row>
    <row r="810">
      <c r="A810" s="35">
        <f>IF(M810="","",HYPERLINK("https://www.youtube.com/watch?v="&amp;M810,"▶"))</f>
        <v/>
      </c>
      <c r="B810" s="36">
        <f>IF(C810&lt;&gt;"",C810,IF(P810&lt;=IFERROR(INDEX(tblChannels[Watched Through],MATCH(N810,tblChannels[Channel ID],0)),0),"Watched","Unwatched"))</f>
        <v/>
      </c>
      <c r="C810" s="37" t="n"/>
      <c r="D810" s="38" t="n"/>
      <c r="E810" s="39" t="n">
        <v>45219.625</v>
      </c>
      <c r="F810" s="47" t="inlineStr">
        <is>
          <t>Super Carlin Brothers</t>
        </is>
      </c>
      <c r="G810" t="inlineStr">
        <is>
          <t>Grindelwald Was NEVER Master of the Elder Wand | Harry Potter Film Theory</t>
        </is>
      </c>
      <c r="H810" s="41" t="n">
        <v>0.01020833333333333</v>
      </c>
      <c r="I810" s="42" t="n">
        <v>157677</v>
      </c>
      <c r="J810" s="42" t="n">
        <v>6988</v>
      </c>
      <c r="K810" s="42" t="n">
        <v>549</v>
      </c>
      <c r="L810" s="43" t="n"/>
      <c r="M810" s="44" t="n"/>
      <c r="N810" s="44" t="inlineStr">
        <is>
          <t>UCKZo4N0lVPccBkSiuyVh4yg</t>
        </is>
      </c>
      <c r="O810" s="45" t="n">
        <v>45219.79166666666</v>
      </c>
      <c r="P810" s="46" t="n">
        <v>45219</v>
      </c>
      <c r="Q810" s="44" t="n">
        <v>2462</v>
      </c>
      <c r="R810" s="44" t="inlineStr">
        <is>
          <t>No Video ID yet</t>
        </is>
      </c>
      <c r="S810" s="46" t="n"/>
      <c r="T810" s="46" t="n"/>
      <c r="U810" s="44" t="n"/>
      <c r="V810" s="44">
        <f>IF(AND(P810&gt;=Calendar!$K$2,P810&lt;EDATE(Calendar!$K$2,1),OR(Calendar!$K$4="*",N810=Calendar!$K$4)),P810*100+COUNTIFS($P$6:$P$3271,P810,$Q$6:$Q$3271,"&lt;="&amp;Q810,$N$6:$N$3271,Calendar!$K$4),"")</f>
        <v/>
      </c>
      <c r="W810" s="44">
        <f>IF(AND(B810=Queue!$C$4,OR(Queue!$K$4="*",N810=Queue!$K$4)),Q810,"")</f>
        <v/>
      </c>
    </row>
    <row r="811">
      <c r="A811" s="35">
        <f>IF(M811="","",HYPERLINK("https://www.youtube.com/watch?v="&amp;M811,"▶"))</f>
        <v/>
      </c>
      <c r="B811" s="36">
        <f>IF(C811&lt;&gt;"",C811,IF(P811&lt;=IFERROR(INDEX(tblChannels[Watched Through],MATCH(N811,tblChannels[Channel ID],0)),0),"Watched","Unwatched"))</f>
        <v/>
      </c>
      <c r="C811" s="37" t="n"/>
      <c r="D811" s="38" t="n"/>
      <c r="E811" s="39" t="n">
        <v>45219.41666666666</v>
      </c>
      <c r="F811" s="40" t="inlineStr">
        <is>
          <t>Popcorn Culture</t>
        </is>
      </c>
      <c r="G811" t="inlineStr">
        <is>
          <t>LIVE POP 2023 | Popcorn Culture</t>
        </is>
      </c>
      <c r="H811" s="41" t="n">
        <v>0.04149305555555555</v>
      </c>
      <c r="I811" s="42" t="n">
        <v>4052</v>
      </c>
      <c r="J811" s="42" t="n">
        <v>251</v>
      </c>
      <c r="K811" s="42" t="n">
        <v>18</v>
      </c>
      <c r="L811" s="43" t="n"/>
      <c r="M811" s="44" t="n"/>
      <c r="N811" s="44" t="inlineStr">
        <is>
          <t>UCHfIbq9thHPC8yrKjAdJgDA</t>
        </is>
      </c>
      <c r="O811" s="45" t="n">
        <v>45219.58333333334</v>
      </c>
      <c r="P811" s="46" t="n">
        <v>45219</v>
      </c>
      <c r="Q811" s="44" t="n">
        <v>2461</v>
      </c>
      <c r="R811" s="44" t="inlineStr">
        <is>
          <t>No Video ID yet</t>
        </is>
      </c>
      <c r="S811" s="46" t="n"/>
      <c r="T811" s="46" t="n"/>
      <c r="U811" s="44" t="n"/>
      <c r="V811" s="44">
        <f>IF(AND(P811&gt;=Calendar!$K$2,P811&lt;EDATE(Calendar!$K$2,1),OR(Calendar!$K$4="*",N811=Calendar!$K$4)),P811*100+COUNTIFS($P$6:$P$3271,P811,$Q$6:$Q$3271,"&lt;="&amp;Q811,$N$6:$N$3271,Calendar!$K$4),"")</f>
        <v/>
      </c>
      <c r="W811" s="44">
        <f>IF(AND(B811=Queue!$C$4,OR(Queue!$K$4="*",N811=Queue!$K$4)),Q811,"")</f>
        <v/>
      </c>
    </row>
    <row r="812">
      <c r="A812" s="35">
        <f>IF(M812="","",HYPERLINK("https://www.youtube.com/watch?v="&amp;M812,"▶"))</f>
        <v/>
      </c>
      <c r="B812" s="36">
        <f>IF(C812&lt;&gt;"",C812,IF(P812&lt;=IFERROR(INDEX(tblChannels[Watched Through],MATCH(N812,tblChannels[Channel ID],0)),0),"Watched","Unwatched"))</f>
        <v/>
      </c>
      <c r="C812" s="37" t="n"/>
      <c r="D812" s="38" t="n"/>
      <c r="E812" s="39" t="n">
        <v>45217.71736111111</v>
      </c>
      <c r="F812" s="47" t="inlineStr">
        <is>
          <t>Super Carlin Brothers</t>
        </is>
      </c>
      <c r="G812" t="inlineStr">
        <is>
          <t>The TRUTH About Hogwarts Origins | Harry Potter Film Theory</t>
        </is>
      </c>
      <c r="H812" s="41" t="n">
        <v>0.01346064814814815</v>
      </c>
      <c r="I812" s="42" t="n">
        <v>230443</v>
      </c>
      <c r="J812" s="42" t="n">
        <v>10148</v>
      </c>
      <c r="K812" s="42" t="n">
        <v>811</v>
      </c>
      <c r="L812" s="43" t="n"/>
      <c r="M812" s="44" t="n"/>
      <c r="N812" s="44" t="inlineStr">
        <is>
          <t>UCKZo4N0lVPccBkSiuyVh4yg</t>
        </is>
      </c>
      <c r="O812" s="45" t="n">
        <v>45217.88402777778</v>
      </c>
      <c r="P812" s="46" t="n">
        <v>45217</v>
      </c>
      <c r="Q812" s="44" t="n">
        <v>2460</v>
      </c>
      <c r="R812" s="44" t="inlineStr">
        <is>
          <t>No Video ID yet</t>
        </is>
      </c>
      <c r="S812" s="46" t="n"/>
      <c r="T812" s="46" t="n"/>
      <c r="U812" s="44" t="n"/>
      <c r="V812" s="44">
        <f>IF(AND(P812&gt;=Calendar!$K$2,P812&lt;EDATE(Calendar!$K$2,1),OR(Calendar!$K$4="*",N812=Calendar!$K$4)),P812*100+COUNTIFS($P$6:$P$3271,P812,$Q$6:$Q$3271,"&lt;="&amp;Q812,$N$6:$N$3271,Calendar!$K$4),"")</f>
        <v/>
      </c>
      <c r="W812" s="44">
        <f>IF(AND(B812=Queue!$C$4,OR(Queue!$K$4="*",N812=Queue!$K$4)),Q812,"")</f>
        <v/>
      </c>
    </row>
    <row r="813">
      <c r="A813" s="35">
        <f>IF(M813="","",HYPERLINK("https://www.youtube.com/watch?v="&amp;M813,"▶"))</f>
        <v/>
      </c>
      <c r="B813" s="36">
        <f>IF(C813&lt;&gt;"",C813,IF(P813&lt;=IFERROR(INDEX(tblChannels[Watched Through],MATCH(N813,tblChannels[Channel ID],0)),0),"Watched","Unwatched"))</f>
        <v/>
      </c>
      <c r="C813" s="37" t="n"/>
      <c r="D813" s="38" t="n"/>
      <c r="E813" s="39" t="n">
        <v>45214.41666666666</v>
      </c>
      <c r="F813" s="48" t="inlineStr">
        <is>
          <t>Through The Griffin Door</t>
        </is>
      </c>
      <c r="G813" t="inlineStr">
        <is>
          <t>Chapter 5: Diagon Alley | Philosopher's Stone</t>
        </is>
      </c>
      <c r="H813" s="41" t="n">
        <v>0.05077546296296296</v>
      </c>
      <c r="I813" s="42" t="n">
        <v>106653</v>
      </c>
      <c r="J813" s="42" t="n">
        <v>3233</v>
      </c>
      <c r="K813" s="42" t="n">
        <v>818</v>
      </c>
      <c r="L813" s="43" t="n"/>
      <c r="M813" s="44" t="n"/>
      <c r="N813" s="44" t="inlineStr">
        <is>
          <t>UCEscP6ETYXWSSvsNrDHekMQ</t>
        </is>
      </c>
      <c r="O813" s="45" t="n">
        <v>45214.58333333334</v>
      </c>
      <c r="P813" s="46" t="n">
        <v>45214</v>
      </c>
      <c r="Q813" s="44" t="n">
        <v>2459</v>
      </c>
      <c r="R813" s="44" t="inlineStr">
        <is>
          <t>No Video ID yet</t>
        </is>
      </c>
      <c r="S813" s="46" t="n"/>
      <c r="T813" s="46" t="n"/>
      <c r="U813" s="44" t="n"/>
      <c r="V813" s="44">
        <f>IF(AND(P813&gt;=Calendar!$K$2,P813&lt;EDATE(Calendar!$K$2,1),OR(Calendar!$K$4="*",N813=Calendar!$K$4)),P813*100+COUNTIFS($P$6:$P$3271,P813,$Q$6:$Q$3271,"&lt;="&amp;Q813,$N$6:$N$3271,Calendar!$K$4),"")</f>
        <v/>
      </c>
      <c r="W813" s="44">
        <f>IF(AND(B813=Queue!$C$4,OR(Queue!$K$4="*",N813=Queue!$K$4)),Q813,"")</f>
        <v/>
      </c>
    </row>
    <row r="814">
      <c r="A814" s="35">
        <f>IF(M814="","",HYPERLINK("https://www.youtube.com/watch?v="&amp;M814,"▶"))</f>
        <v/>
      </c>
      <c r="B814" s="36">
        <f>IF(C814&lt;&gt;"",C814,IF(P814&lt;=IFERROR(INDEX(tblChannels[Watched Through],MATCH(N814,tblChannels[Channel ID],0)),0),"Watched","Unwatched"))</f>
        <v/>
      </c>
      <c r="C814" s="37" t="n"/>
      <c r="D814" s="38" t="n"/>
      <c r="E814" s="39" t="n">
        <v>45212.64583333334</v>
      </c>
      <c r="F814" s="49" t="inlineStr">
        <is>
          <t>Super Carlin Gaming</t>
        </is>
      </c>
      <c r="G814" t="inlineStr">
        <is>
          <t>Pokemon 151 Delivers The Heat | Carlin Brothers Box Breakers S7E2</t>
        </is>
      </c>
      <c r="H814" s="41" t="n">
        <v>0.02740740740740741</v>
      </c>
      <c r="I814" s="42" t="n">
        <v>1935</v>
      </c>
      <c r="J814" s="42" t="n">
        <v>105</v>
      </c>
      <c r="K814" s="42" t="n">
        <v>7</v>
      </c>
      <c r="L814" s="43" t="n"/>
      <c r="M814" s="44" t="n"/>
      <c r="N814" s="44" t="inlineStr">
        <is>
          <t>UCor_9jRnNNZVzTuQ92PKsaQ</t>
        </is>
      </c>
      <c r="O814" s="45" t="n">
        <v>45212.8125</v>
      </c>
      <c r="P814" s="46" t="n">
        <v>45212</v>
      </c>
      <c r="Q814" s="44" t="n">
        <v>2458</v>
      </c>
      <c r="R814" s="44" t="inlineStr">
        <is>
          <t>No Video ID yet</t>
        </is>
      </c>
      <c r="S814" s="46" t="n"/>
      <c r="T814" s="46" t="n"/>
      <c r="U814" s="44" t="n"/>
      <c r="V814" s="44">
        <f>IF(AND(P814&gt;=Calendar!$K$2,P814&lt;EDATE(Calendar!$K$2,1),OR(Calendar!$K$4="*",N814=Calendar!$K$4)),P814*100+COUNTIFS($P$6:$P$3271,P814,$Q$6:$Q$3271,"&lt;="&amp;Q814,$N$6:$N$3271,Calendar!$K$4),"")</f>
        <v/>
      </c>
      <c r="W814" s="44">
        <f>IF(AND(B814=Queue!$C$4,OR(Queue!$K$4="*",N814=Queue!$K$4)),Q814,"")</f>
        <v/>
      </c>
    </row>
    <row r="815">
      <c r="A815" s="35">
        <f>IF(M815="","",HYPERLINK("https://www.youtube.com/watch?v="&amp;M815,"▶"))</f>
        <v/>
      </c>
      <c r="B815" s="36">
        <f>IF(C815&lt;&gt;"",C815,IF(P815&lt;=IFERROR(INDEX(tblChannels[Watched Through],MATCH(N815,tblChannels[Channel ID],0)),0),"Watched","Unwatched"))</f>
        <v/>
      </c>
      <c r="C815" s="37" t="n"/>
      <c r="D815" s="38" t="n"/>
      <c r="E815" s="39" t="n">
        <v>45212.56666666667</v>
      </c>
      <c r="F815" s="47" t="inlineStr">
        <is>
          <t>Super Carlin Brothers</t>
        </is>
      </c>
      <c r="G815" t="inlineStr">
        <is>
          <t>The TRUTH About Alcohol in Butter Beer | Harry Potter Film Theory</t>
        </is>
      </c>
      <c r="H815" s="41" t="n">
        <v>0.009131944444444444</v>
      </c>
      <c r="I815" s="42" t="n">
        <v>202996</v>
      </c>
      <c r="J815" s="42" t="n">
        <v>8970</v>
      </c>
      <c r="K815" s="42" t="n">
        <v>1004</v>
      </c>
      <c r="L815" s="43" t="n"/>
      <c r="M815" s="44" t="n"/>
      <c r="N815" s="44" t="inlineStr">
        <is>
          <t>UCKZo4N0lVPccBkSiuyVh4yg</t>
        </is>
      </c>
      <c r="O815" s="45" t="n">
        <v>45212.73333333333</v>
      </c>
      <c r="P815" s="46" t="n">
        <v>45212</v>
      </c>
      <c r="Q815" s="44" t="n">
        <v>2457</v>
      </c>
      <c r="R815" s="44" t="inlineStr">
        <is>
          <t>No Video ID yet</t>
        </is>
      </c>
      <c r="S815" s="46" t="n"/>
      <c r="T815" s="46" t="n"/>
      <c r="U815" s="44" t="n"/>
      <c r="V815" s="44">
        <f>IF(AND(P815&gt;=Calendar!$K$2,P815&lt;EDATE(Calendar!$K$2,1),OR(Calendar!$K$4="*",N815=Calendar!$K$4)),P815*100+COUNTIFS($P$6:$P$3271,P815,$Q$6:$Q$3271,"&lt;="&amp;Q815,$N$6:$N$3271,Calendar!$K$4),"")</f>
        <v/>
      </c>
      <c r="W815" s="44">
        <f>IF(AND(B815=Queue!$C$4,OR(Queue!$K$4="*",N815=Queue!$K$4)),Q815,"")</f>
        <v/>
      </c>
    </row>
    <row r="816">
      <c r="A816" s="35">
        <f>IF(M816="","",HYPERLINK("https://www.youtube.com/watch?v="&amp;M816,"▶"))</f>
        <v/>
      </c>
      <c r="B816" s="36">
        <f>IF(C816&lt;&gt;"",C816,IF(P816&lt;=IFERROR(INDEX(tblChannels[Watched Through],MATCH(N816,tblChannels[Channel ID],0)),0),"Watched","Unwatched"))</f>
        <v/>
      </c>
      <c r="C816" s="37" t="n"/>
      <c r="D816" s="38" t="n"/>
      <c r="E816" s="39" t="n">
        <v>45212.41666666666</v>
      </c>
      <c r="F816" s="40" t="inlineStr">
        <is>
          <t>Popcorn Culture</t>
        </is>
      </c>
      <c r="G816" t="inlineStr">
        <is>
          <t>Sidewalk Climbing  | Popcorn Culture</t>
        </is>
      </c>
      <c r="H816" s="41" t="n">
        <v>0.05290509259259259</v>
      </c>
      <c r="I816" s="42" t="n">
        <v>4577</v>
      </c>
      <c r="J816" s="42" t="n">
        <v>209</v>
      </c>
      <c r="K816" s="42" t="n">
        <v>58</v>
      </c>
      <c r="L816" s="43" t="n"/>
      <c r="M816" s="44" t="n"/>
      <c r="N816" s="44" t="inlineStr">
        <is>
          <t>UCHfIbq9thHPC8yrKjAdJgDA</t>
        </is>
      </c>
      <c r="O816" s="45" t="n">
        <v>45212.58333333334</v>
      </c>
      <c r="P816" s="46" t="n">
        <v>45212</v>
      </c>
      <c r="Q816" s="44" t="n">
        <v>2456</v>
      </c>
      <c r="R816" s="44" t="inlineStr">
        <is>
          <t>No Video ID yet</t>
        </is>
      </c>
      <c r="S816" s="46" t="n"/>
      <c r="T816" s="46" t="n"/>
      <c r="U816" s="44" t="n"/>
      <c r="V816" s="44">
        <f>IF(AND(P816&gt;=Calendar!$K$2,P816&lt;EDATE(Calendar!$K$2,1),OR(Calendar!$K$4="*",N816=Calendar!$K$4)),P816*100+COUNTIFS($P$6:$P$3271,P816,$Q$6:$Q$3271,"&lt;="&amp;Q816,$N$6:$N$3271,Calendar!$K$4),"")</f>
        <v/>
      </c>
      <c r="W816" s="44">
        <f>IF(AND(B816=Queue!$C$4,OR(Queue!$K$4="*",N816=Queue!$K$4)),Q816,"")</f>
        <v/>
      </c>
    </row>
    <row r="817">
      <c r="A817" s="35">
        <f>IF(M817="","",HYPERLINK("https://www.youtube.com/watch?v="&amp;M817,"▶"))</f>
        <v/>
      </c>
      <c r="B817" s="36">
        <f>IF(C817&lt;&gt;"",C817,IF(P817&lt;=IFERROR(INDEX(tblChannels[Watched Through],MATCH(N817,tblChannels[Channel ID],0)),0),"Watched","Unwatched"))</f>
        <v/>
      </c>
      <c r="C817" s="37" t="n"/>
      <c r="D817" s="38" t="n"/>
      <c r="E817" s="39" t="n">
        <v>45210.70555555556</v>
      </c>
      <c r="F817" s="47" t="inlineStr">
        <is>
          <t>Super Carlin Brothers</t>
        </is>
      </c>
      <c r="G817" t="inlineStr">
        <is>
          <t>J vs Ben: ULTIMATE COZIEST Harry Potter Trivia Quiz</t>
        </is>
      </c>
      <c r="H817" s="41" t="n">
        <v>0.02402777777777778</v>
      </c>
      <c r="I817" s="42" t="n">
        <v>160806</v>
      </c>
      <c r="J817" s="42" t="n">
        <v>5345</v>
      </c>
      <c r="K817" s="42" t="n">
        <v>565</v>
      </c>
      <c r="L817" s="43" t="n"/>
      <c r="M817" s="44" t="n"/>
      <c r="N817" s="44" t="inlineStr">
        <is>
          <t>UCKZo4N0lVPccBkSiuyVh4yg</t>
        </is>
      </c>
      <c r="O817" s="45" t="n">
        <v>45210.87222222222</v>
      </c>
      <c r="P817" s="46" t="n">
        <v>45210</v>
      </c>
      <c r="Q817" s="44" t="n">
        <v>2455</v>
      </c>
      <c r="R817" s="44" t="inlineStr">
        <is>
          <t>No Video ID yet</t>
        </is>
      </c>
      <c r="S817" s="46" t="n"/>
      <c r="T817" s="46" t="n"/>
      <c r="U817" s="44" t="n"/>
      <c r="V817" s="44">
        <f>IF(AND(P817&gt;=Calendar!$K$2,P817&lt;EDATE(Calendar!$K$2,1),OR(Calendar!$K$4="*",N817=Calendar!$K$4)),P817*100+COUNTIFS($P$6:$P$3271,P817,$Q$6:$Q$3271,"&lt;="&amp;Q817,$N$6:$N$3271,Calendar!$K$4),"")</f>
        <v/>
      </c>
      <c r="W817" s="44">
        <f>IF(AND(B817=Queue!$C$4,OR(Queue!$K$4="*",N817=Queue!$K$4)),Q817,"")</f>
        <v/>
      </c>
    </row>
    <row r="818">
      <c r="A818" s="35">
        <f>IF(M818="","",HYPERLINK("https://www.youtube.com/watch?v="&amp;M818,"▶"))</f>
        <v/>
      </c>
      <c r="B818" s="36">
        <f>IF(C818&lt;&gt;"",C818,IF(P818&lt;=IFERROR(INDEX(tblChannels[Watched Through],MATCH(N818,tblChannels[Channel ID],0)),0),"Watched","Unwatched"))</f>
        <v/>
      </c>
      <c r="C818" s="37" t="n"/>
      <c r="D818" s="38" t="n"/>
      <c r="E818" s="39" t="n">
        <v>45207.41666666666</v>
      </c>
      <c r="F818" s="48" t="inlineStr">
        <is>
          <t>Through The Griffin Door</t>
        </is>
      </c>
      <c r="G818" t="inlineStr">
        <is>
          <t>Chapter 4: The Keeper of the Keys | Philosopher's Stone</t>
        </is>
      </c>
      <c r="H818" s="41" t="n">
        <v>0.03402777777777777</v>
      </c>
      <c r="I818" s="42" t="n">
        <v>91229</v>
      </c>
      <c r="J818" s="42" t="n">
        <v>2976</v>
      </c>
      <c r="K818" s="42" t="n">
        <v>426</v>
      </c>
      <c r="L818" s="43" t="n"/>
      <c r="M818" s="44" t="n"/>
      <c r="N818" s="44" t="inlineStr">
        <is>
          <t>UCEscP6ETYXWSSvsNrDHekMQ</t>
        </is>
      </c>
      <c r="O818" s="45" t="n">
        <v>45207.58333333334</v>
      </c>
      <c r="P818" s="46" t="n">
        <v>45207</v>
      </c>
      <c r="Q818" s="44" t="n">
        <v>2454</v>
      </c>
      <c r="R818" s="44" t="inlineStr">
        <is>
          <t>No Video ID yet</t>
        </is>
      </c>
      <c r="S818" s="46" t="n"/>
      <c r="T818" s="46" t="n"/>
      <c r="U818" s="44" t="n"/>
      <c r="V818" s="44">
        <f>IF(AND(P818&gt;=Calendar!$K$2,P818&lt;EDATE(Calendar!$K$2,1),OR(Calendar!$K$4="*",N818=Calendar!$K$4)),P818*100+COUNTIFS($P$6:$P$3271,P818,$Q$6:$Q$3271,"&lt;="&amp;Q818,$N$6:$N$3271,Calendar!$K$4),"")</f>
        <v/>
      </c>
      <c r="W818" s="44">
        <f>IF(AND(B818=Queue!$C$4,OR(Queue!$K$4="*",N818=Queue!$K$4)),Q818,"")</f>
        <v/>
      </c>
    </row>
    <row r="819">
      <c r="A819" s="35">
        <f>IF(M819="","",HYPERLINK("https://www.youtube.com/watch?v="&amp;M819,"▶"))</f>
        <v/>
      </c>
      <c r="B819" s="36">
        <f>IF(C819&lt;&gt;"",C819,IF(P819&lt;=IFERROR(INDEX(tblChannels[Watched Through],MATCH(N819,tblChannels[Channel ID],0)),0),"Watched","Unwatched"))</f>
        <v/>
      </c>
      <c r="C819" s="37" t="n"/>
      <c r="D819" s="38" t="n"/>
      <c r="E819" s="39" t="n">
        <v>45205.77083333334</v>
      </c>
      <c r="F819" s="49" t="inlineStr">
        <is>
          <t>Super Carlin Gaming</t>
        </is>
      </c>
      <c r="G819" t="inlineStr">
        <is>
          <t>POKEMON 151 IS HERE | Carlin Brothers Box Breakers S7E1</t>
        </is>
      </c>
      <c r="H819" s="41" t="n">
        <v>0.035</v>
      </c>
      <c r="I819" s="42" t="n">
        <v>2624</v>
      </c>
      <c r="J819" s="42" t="n">
        <v>120</v>
      </c>
      <c r="K819" s="42" t="n">
        <v>10</v>
      </c>
      <c r="L819" s="43" t="n"/>
      <c r="M819" s="44" t="n"/>
      <c r="N819" s="44" t="inlineStr">
        <is>
          <t>UCor_9jRnNNZVzTuQ92PKsaQ</t>
        </is>
      </c>
      <c r="O819" s="45" t="n">
        <v>45205.9375</v>
      </c>
      <c r="P819" s="46" t="n">
        <v>45205</v>
      </c>
      <c r="Q819" s="44" t="n">
        <v>2453</v>
      </c>
      <c r="R819" s="44" t="inlineStr">
        <is>
          <t>No Video ID yet</t>
        </is>
      </c>
      <c r="S819" s="46" t="n"/>
      <c r="T819" s="46" t="n"/>
      <c r="U819" s="44" t="n"/>
      <c r="V819" s="44">
        <f>IF(AND(P819&gt;=Calendar!$K$2,P819&lt;EDATE(Calendar!$K$2,1),OR(Calendar!$K$4="*",N819=Calendar!$K$4)),P819*100+COUNTIFS($P$6:$P$3271,P819,$Q$6:$Q$3271,"&lt;="&amp;Q819,$N$6:$N$3271,Calendar!$K$4),"")</f>
        <v/>
      </c>
      <c r="W819" s="44">
        <f>IF(AND(B819=Queue!$C$4,OR(Queue!$K$4="*",N819=Queue!$K$4)),Q819,"")</f>
        <v/>
      </c>
    </row>
    <row r="820">
      <c r="A820" s="35">
        <f>IF(M820="","",HYPERLINK("https://www.youtube.com/watch?v="&amp;M820,"▶"))</f>
        <v/>
      </c>
      <c r="B820" s="36">
        <f>IF(C820&lt;&gt;"",C820,IF(P820&lt;=IFERROR(INDEX(tblChannels[Watched Through],MATCH(N820,tblChannels[Channel ID],0)),0),"Watched","Unwatched"))</f>
        <v/>
      </c>
      <c r="C820" s="37" t="n"/>
      <c r="D820" s="38" t="n"/>
      <c r="E820" s="39" t="n">
        <v>45205.5875</v>
      </c>
      <c r="F820" s="47" t="inlineStr">
        <is>
          <t>Super Carlin Brothers</t>
        </is>
      </c>
      <c r="G820" t="inlineStr">
        <is>
          <t>SHOULD Harry Have Been In Slytherin? | Harry Potter Film Theory</t>
        </is>
      </c>
      <c r="H820" s="41" t="n">
        <v>0.01162037037037037</v>
      </c>
      <c r="I820" s="42" t="n">
        <v>139041</v>
      </c>
      <c r="J820" s="42" t="n">
        <v>6325</v>
      </c>
      <c r="K820" s="42" t="n">
        <v>480</v>
      </c>
      <c r="L820" s="43" t="n"/>
      <c r="M820" s="44" t="n"/>
      <c r="N820" s="44" t="inlineStr">
        <is>
          <t>UCKZo4N0lVPccBkSiuyVh4yg</t>
        </is>
      </c>
      <c r="O820" s="45" t="n">
        <v>45205.75416666667</v>
      </c>
      <c r="P820" s="46" t="n">
        <v>45205</v>
      </c>
      <c r="Q820" s="44" t="n">
        <v>2452</v>
      </c>
      <c r="R820" s="44" t="inlineStr">
        <is>
          <t>No Video ID yet</t>
        </is>
      </c>
      <c r="S820" s="46" t="n"/>
      <c r="T820" s="46" t="n"/>
      <c r="U820" s="44" t="n"/>
      <c r="V820" s="44">
        <f>IF(AND(P820&gt;=Calendar!$K$2,P820&lt;EDATE(Calendar!$K$2,1),OR(Calendar!$K$4="*",N820=Calendar!$K$4)),P820*100+COUNTIFS($P$6:$P$3271,P820,$Q$6:$Q$3271,"&lt;="&amp;Q820,$N$6:$N$3271,Calendar!$K$4),"")</f>
        <v/>
      </c>
      <c r="W820" s="44">
        <f>IF(AND(B820=Queue!$C$4,OR(Queue!$K$4="*",N820=Queue!$K$4)),Q820,"")</f>
        <v/>
      </c>
    </row>
    <row r="821">
      <c r="A821" s="35">
        <f>IF(M821="","",HYPERLINK("https://www.youtube.com/watch?v="&amp;M821,"▶"))</f>
        <v/>
      </c>
      <c r="B821" s="36">
        <f>IF(C821&lt;&gt;"",C821,IF(P821&lt;=IFERROR(INDEX(tblChannels[Watched Through],MATCH(N821,tblChannels[Channel ID],0)),0),"Watched","Unwatched"))</f>
        <v/>
      </c>
      <c r="C821" s="37" t="n"/>
      <c r="D821" s="38" t="n"/>
      <c r="E821" s="39" t="n">
        <v>45205.41666666666</v>
      </c>
      <c r="F821" s="40" t="inlineStr">
        <is>
          <t>Popcorn Culture</t>
        </is>
      </c>
      <c r="G821" t="inlineStr">
        <is>
          <t>TWO HUNDRED!!  | Popcorn Culture</t>
        </is>
      </c>
      <c r="H821" s="41" t="n">
        <v>0.04818287037037037</v>
      </c>
      <c r="I821" s="42" t="n">
        <v>4815</v>
      </c>
      <c r="J821" s="42" t="n">
        <v>265</v>
      </c>
      <c r="K821" s="42" t="n">
        <v>66</v>
      </c>
      <c r="L821" s="43" t="n"/>
      <c r="M821" s="44" t="n"/>
      <c r="N821" s="44" t="inlineStr">
        <is>
          <t>UCHfIbq9thHPC8yrKjAdJgDA</t>
        </is>
      </c>
      <c r="O821" s="45" t="n">
        <v>45205.58333333334</v>
      </c>
      <c r="P821" s="46" t="n">
        <v>45205</v>
      </c>
      <c r="Q821" s="44" t="n">
        <v>2451</v>
      </c>
      <c r="R821" s="44" t="inlineStr">
        <is>
          <t>No Video ID yet</t>
        </is>
      </c>
      <c r="S821" s="46" t="n"/>
      <c r="T821" s="46" t="n"/>
      <c r="U821" s="44" t="n"/>
      <c r="V821" s="44">
        <f>IF(AND(P821&gt;=Calendar!$K$2,P821&lt;EDATE(Calendar!$K$2,1),OR(Calendar!$K$4="*",N821=Calendar!$K$4)),P821*100+COUNTIFS($P$6:$P$3271,P821,$Q$6:$Q$3271,"&lt;="&amp;Q821,$N$6:$N$3271,Calendar!$K$4),"")</f>
        <v/>
      </c>
      <c r="W821" s="44">
        <f>IF(AND(B821=Queue!$C$4,OR(Queue!$K$4="*",N821=Queue!$K$4)),Q821,"")</f>
        <v/>
      </c>
    </row>
    <row r="822">
      <c r="A822" s="35">
        <f>IF(M822="","",HYPERLINK("https://www.youtube.com/watch?v="&amp;M822,"▶"))</f>
        <v/>
      </c>
      <c r="B822" s="36">
        <f>IF(C822&lt;&gt;"",C822,IF(P822&lt;=IFERROR(INDEX(tblChannels[Watched Through],MATCH(N822,tblChannels[Channel ID],0)),0),"Watched","Unwatched"))</f>
        <v/>
      </c>
      <c r="C822" s="37" t="n"/>
      <c r="D822" s="38" t="n"/>
      <c r="E822" s="39" t="n">
        <v>45203.67430555556</v>
      </c>
      <c r="F822" s="47" t="inlineStr">
        <is>
          <t>Super Carlin Brothers</t>
        </is>
      </c>
      <c r="G822" t="inlineStr">
        <is>
          <t>Harry’s WORST FEAR Explained | Harry Potter Film Theory</t>
        </is>
      </c>
      <c r="H822" s="41" t="n">
        <v>0.01059027777777778</v>
      </c>
      <c r="I822" s="42" t="n">
        <v>167714</v>
      </c>
      <c r="J822" s="42" t="n">
        <v>7282</v>
      </c>
      <c r="K822" s="42" t="n">
        <v>475</v>
      </c>
      <c r="L822" s="43" t="n"/>
      <c r="M822" s="44" t="n"/>
      <c r="N822" s="44" t="inlineStr">
        <is>
          <t>UCKZo4N0lVPccBkSiuyVh4yg</t>
        </is>
      </c>
      <c r="O822" s="45" t="n">
        <v>45203.84097222222</v>
      </c>
      <c r="P822" s="46" t="n">
        <v>45203</v>
      </c>
      <c r="Q822" s="44" t="n">
        <v>2450</v>
      </c>
      <c r="R822" s="44" t="inlineStr">
        <is>
          <t>No Video ID yet</t>
        </is>
      </c>
      <c r="S822" s="46" t="n"/>
      <c r="T822" s="46" t="n"/>
      <c r="U822" s="44" t="n"/>
      <c r="V822" s="44">
        <f>IF(AND(P822&gt;=Calendar!$K$2,P822&lt;EDATE(Calendar!$K$2,1),OR(Calendar!$K$4="*",N822=Calendar!$K$4)),P822*100+COUNTIFS($P$6:$P$3271,P822,$Q$6:$Q$3271,"&lt;="&amp;Q822,$N$6:$N$3271,Calendar!$K$4),"")</f>
        <v/>
      </c>
      <c r="W822" s="44">
        <f>IF(AND(B822=Queue!$C$4,OR(Queue!$K$4="*",N822=Queue!$K$4)),Q822,"")</f>
        <v/>
      </c>
    </row>
    <row r="823">
      <c r="A823" s="35">
        <f>IF(M823="","",HYPERLINK("https://www.youtube.com/watch?v="&amp;M823,"▶"))</f>
        <v/>
      </c>
      <c r="B823" s="36">
        <f>IF(C823&lt;&gt;"",C823,IF(P823&lt;=IFERROR(INDEX(tblChannels[Watched Through],MATCH(N823,tblChannels[Channel ID],0)),0),"Watched","Unwatched"))</f>
        <v/>
      </c>
      <c r="C823" s="37" t="n"/>
      <c r="D823" s="38" t="n"/>
      <c r="E823" s="39" t="n">
        <v>45200.42708333334</v>
      </c>
      <c r="F823" s="48" t="inlineStr">
        <is>
          <t>Through The Griffin Door</t>
        </is>
      </c>
      <c r="G823" t="inlineStr">
        <is>
          <t>Chapter 2: The Vanishing Glass | Philosopher's Stone</t>
        </is>
      </c>
      <c r="H823" s="41" t="n">
        <v>0.04112268518518519</v>
      </c>
      <c r="I823" s="42" t="n">
        <v>73897</v>
      </c>
      <c r="J823" s="42" t="n">
        <v>1975</v>
      </c>
      <c r="K823" s="42" t="n">
        <v>263</v>
      </c>
      <c r="L823" s="43" t="n"/>
      <c r="M823" s="44" t="n"/>
      <c r="N823" s="44" t="inlineStr">
        <is>
          <t>UCEscP6ETYXWSSvsNrDHekMQ</t>
        </is>
      </c>
      <c r="O823" s="45" t="n">
        <v>45200.59375</v>
      </c>
      <c r="P823" s="46" t="n">
        <v>45200</v>
      </c>
      <c r="Q823" s="44" t="n">
        <v>2449</v>
      </c>
      <c r="R823" s="44" t="inlineStr">
        <is>
          <t>No Video ID yet</t>
        </is>
      </c>
      <c r="S823" s="46" t="n"/>
      <c r="T823" s="46" t="n"/>
      <c r="U823" s="44" t="n"/>
      <c r="V823" s="44">
        <f>IF(AND(P823&gt;=Calendar!$K$2,P823&lt;EDATE(Calendar!$K$2,1),OR(Calendar!$K$4="*",N823=Calendar!$K$4)),P823*100+COUNTIFS($P$6:$P$3271,P823,$Q$6:$Q$3271,"&lt;="&amp;Q823,$N$6:$N$3271,Calendar!$K$4),"")</f>
        <v/>
      </c>
      <c r="W823" s="44">
        <f>IF(AND(B823=Queue!$C$4,OR(Queue!$K$4="*",N823=Queue!$K$4)),Q823,"")</f>
        <v/>
      </c>
    </row>
    <row r="824">
      <c r="A824" s="35">
        <f>IF(M824="","",HYPERLINK("https://www.youtube.com/watch?v="&amp;M824,"▶"))</f>
        <v/>
      </c>
      <c r="B824" s="36">
        <f>IF(C824&lt;&gt;"",C824,IF(P824&lt;=IFERROR(INDEX(tblChannels[Watched Through],MATCH(N824,tblChannels[Channel ID],0)),0),"Watched","Unwatched"))</f>
        <v/>
      </c>
      <c r="C824" s="37" t="n"/>
      <c r="D824" s="38" t="n"/>
      <c r="E824" s="39" t="n">
        <v>45200.41666666666</v>
      </c>
      <c r="F824" s="47" t="inlineStr">
        <is>
          <t>Super Carlin Brothers</t>
        </is>
      </c>
      <c r="G824" t="inlineStr">
        <is>
          <t>Through the Griffin Door Supercut: Chapter 1-3 | Philosopher’s Stone</t>
        </is>
      </c>
      <c r="H824" s="41" t="n">
        <v>0.1184259259259259</v>
      </c>
      <c r="I824" s="42" t="n">
        <v>444963</v>
      </c>
      <c r="J824" s="42" t="n">
        <v>7955</v>
      </c>
      <c r="K824" s="42" t="n">
        <v>1436</v>
      </c>
      <c r="L824" s="43" t="n"/>
      <c r="M824" s="44" t="n"/>
      <c r="N824" s="44" t="inlineStr">
        <is>
          <t>UCKZo4N0lVPccBkSiuyVh4yg</t>
        </is>
      </c>
      <c r="O824" s="45" t="n">
        <v>45200.58333333334</v>
      </c>
      <c r="P824" s="46" t="n">
        <v>45200</v>
      </c>
      <c r="Q824" s="44" t="n">
        <v>2448</v>
      </c>
      <c r="R824" s="44" t="inlineStr">
        <is>
          <t>No Video ID yet</t>
        </is>
      </c>
      <c r="S824" s="46" t="n"/>
      <c r="T824" s="46" t="n"/>
      <c r="U824" s="44" t="n"/>
      <c r="V824" s="44">
        <f>IF(AND(P824&gt;=Calendar!$K$2,P824&lt;EDATE(Calendar!$K$2,1),OR(Calendar!$K$4="*",N824=Calendar!$K$4)),P824*100+COUNTIFS($P$6:$P$3271,P824,$Q$6:$Q$3271,"&lt;="&amp;Q824,$N$6:$N$3271,Calendar!$K$4),"")</f>
        <v/>
      </c>
      <c r="W824" s="44">
        <f>IF(AND(B824=Queue!$C$4,OR(Queue!$K$4="*",N824=Queue!$K$4)),Q824,"")</f>
        <v/>
      </c>
    </row>
    <row r="825">
      <c r="A825" s="35">
        <f>IF(M825="","",HYPERLINK("https://www.youtube.com/watch?v="&amp;M825,"▶"))</f>
        <v/>
      </c>
      <c r="B825" s="36">
        <f>IF(C825&lt;&gt;"",C825,IF(P825&lt;=IFERROR(INDEX(tblChannels[Watched Through],MATCH(N825,tblChannels[Channel ID],0)),0),"Watched","Unwatched"))</f>
        <v/>
      </c>
      <c r="C825" s="37" t="n"/>
      <c r="D825" s="38" t="n"/>
      <c r="E825" s="39" t="n">
        <v>45200.41666666666</v>
      </c>
      <c r="F825" s="48" t="inlineStr">
        <is>
          <t>Through The Griffin Door</t>
        </is>
      </c>
      <c r="G825" t="inlineStr">
        <is>
          <t>Chapter 1: The Boy Who Lived | Philosopher's Stone</t>
        </is>
      </c>
      <c r="H825" s="41" t="n">
        <v>0.0459375</v>
      </c>
      <c r="I825" s="42" t="n">
        <v>118376</v>
      </c>
      <c r="J825" s="42" t="n">
        <v>3396</v>
      </c>
      <c r="K825" s="42" t="n">
        <v>435</v>
      </c>
      <c r="L825" s="43" t="n"/>
      <c r="M825" s="44" t="n"/>
      <c r="N825" s="44" t="inlineStr">
        <is>
          <t>UCEscP6ETYXWSSvsNrDHekMQ</t>
        </is>
      </c>
      <c r="O825" s="45" t="n">
        <v>45200.58333333334</v>
      </c>
      <c r="P825" s="46" t="n">
        <v>45200</v>
      </c>
      <c r="Q825" s="44" t="n">
        <v>2447</v>
      </c>
      <c r="R825" s="44" t="inlineStr">
        <is>
          <t>No Video ID yet</t>
        </is>
      </c>
      <c r="S825" s="46" t="n"/>
      <c r="T825" s="46" t="n"/>
      <c r="U825" s="44" t="n"/>
      <c r="V825" s="44">
        <f>IF(AND(P825&gt;=Calendar!$K$2,P825&lt;EDATE(Calendar!$K$2,1),OR(Calendar!$K$4="*",N825=Calendar!$K$4)),P825*100+COUNTIFS($P$6:$P$3271,P825,$Q$6:$Q$3271,"&lt;="&amp;Q825,$N$6:$N$3271,Calendar!$K$4),"")</f>
        <v/>
      </c>
      <c r="W825" s="44">
        <f>IF(AND(B825=Queue!$C$4,OR(Queue!$K$4="*",N825=Queue!$K$4)),Q825,"")</f>
        <v/>
      </c>
    </row>
    <row r="826">
      <c r="A826" s="35">
        <f>IF(M826="","",HYPERLINK("https://www.youtube.com/watch?v="&amp;M826,"▶"))</f>
        <v/>
      </c>
      <c r="B826" s="36">
        <f>IF(C826&lt;&gt;"",C826,IF(P826&lt;=IFERROR(INDEX(tblChannels[Watched Through],MATCH(N826,tblChannels[Channel ID],0)),0),"Watched","Unwatched"))</f>
        <v/>
      </c>
      <c r="C826" s="37" t="n"/>
      <c r="D826" s="38" t="n"/>
      <c r="E826" s="39" t="n">
        <v>45199.4375</v>
      </c>
      <c r="F826" s="48" t="inlineStr">
        <is>
          <t>Through The Griffin Door</t>
        </is>
      </c>
      <c r="G826" t="inlineStr">
        <is>
          <t>Chapter 3: Letters From No One | Philosopher's Stone</t>
        </is>
      </c>
      <c r="H826" s="41" t="n">
        <v>0.03111111111111111</v>
      </c>
      <c r="I826" s="42" t="n">
        <v>62980</v>
      </c>
      <c r="J826" s="42" t="n">
        <v>1802</v>
      </c>
      <c r="K826" s="42" t="n">
        <v>255</v>
      </c>
      <c r="L826" s="43" t="n"/>
      <c r="M826" s="44" t="n"/>
      <c r="N826" s="44" t="inlineStr">
        <is>
          <t>UCEscP6ETYXWSSvsNrDHekMQ</t>
        </is>
      </c>
      <c r="O826" s="45" t="n">
        <v>45199.60416666666</v>
      </c>
      <c r="P826" s="46" t="n">
        <v>45199</v>
      </c>
      <c r="Q826" s="44" t="n">
        <v>2446</v>
      </c>
      <c r="R826" s="44" t="inlineStr">
        <is>
          <t>No Video ID yet</t>
        </is>
      </c>
      <c r="S826" s="46" t="n"/>
      <c r="T826" s="46" t="n"/>
      <c r="U826" s="44" t="n"/>
      <c r="V826" s="44">
        <f>IF(AND(P826&gt;=Calendar!$K$2,P826&lt;EDATE(Calendar!$K$2,1),OR(Calendar!$K$4="*",N826=Calendar!$K$4)),P826*100+COUNTIFS($P$6:$P$3271,P826,$Q$6:$Q$3271,"&lt;="&amp;Q826,$N$6:$N$3271,Calendar!$K$4),"")</f>
        <v/>
      </c>
      <c r="W826" s="44">
        <f>IF(AND(B826=Queue!$C$4,OR(Queue!$K$4="*",N826=Queue!$K$4)),Q826,"")</f>
        <v/>
      </c>
    </row>
    <row r="827">
      <c r="A827" s="35">
        <f>IF(M827="","",HYPERLINK("https://www.youtube.com/watch?v="&amp;M827,"▶"))</f>
        <v/>
      </c>
      <c r="B827" s="36">
        <f>IF(C827&lt;&gt;"",C827,IF(P827&lt;=IFERROR(INDEX(tblChannels[Watched Through],MATCH(N827,tblChannels[Channel ID],0)),0),"Watched","Unwatched"))</f>
        <v/>
      </c>
      <c r="C827" s="37" t="n"/>
      <c r="D827" s="38" t="n"/>
      <c r="E827" s="39" t="n">
        <v>45198.67291666667</v>
      </c>
      <c r="F827" s="47" t="inlineStr">
        <is>
          <t>Super Carlin Brothers</t>
        </is>
      </c>
      <c r="G827" t="inlineStr">
        <is>
          <t>Albus Dumbledore's COMPLETE Life Story | Harry Potter Film Theory</t>
        </is>
      </c>
      <c r="H827" s="41" t="n">
        <v>0.01993055555555556</v>
      </c>
      <c r="I827" s="42" t="n">
        <v>310537</v>
      </c>
      <c r="J827" s="42" t="n">
        <v>9771</v>
      </c>
      <c r="K827" s="42" t="n">
        <v>563</v>
      </c>
      <c r="L827" s="43" t="n"/>
      <c r="M827" s="44" t="n"/>
      <c r="N827" s="44" t="inlineStr">
        <is>
          <t>UCKZo4N0lVPccBkSiuyVh4yg</t>
        </is>
      </c>
      <c r="O827" s="45" t="n">
        <v>45198.83958333333</v>
      </c>
      <c r="P827" s="46" t="n">
        <v>45198</v>
      </c>
      <c r="Q827" s="44" t="n">
        <v>2445</v>
      </c>
      <c r="R827" s="44" t="inlineStr">
        <is>
          <t>No Video ID yet</t>
        </is>
      </c>
      <c r="S827" s="46" t="n"/>
      <c r="T827" s="46" t="n"/>
      <c r="U827" s="44" t="n"/>
      <c r="V827" s="44">
        <f>IF(AND(P827&gt;=Calendar!$K$2,P827&lt;EDATE(Calendar!$K$2,1),OR(Calendar!$K$4="*",N827=Calendar!$K$4)),P827*100+COUNTIFS($P$6:$P$3271,P827,$Q$6:$Q$3271,"&lt;="&amp;Q827,$N$6:$N$3271,Calendar!$K$4),"")</f>
        <v/>
      </c>
      <c r="W827" s="44">
        <f>IF(AND(B827=Queue!$C$4,OR(Queue!$K$4="*",N827=Queue!$K$4)),Q827,"")</f>
        <v/>
      </c>
    </row>
    <row r="828">
      <c r="A828" s="35">
        <f>IF(M828="","",HYPERLINK("https://www.youtube.com/watch?v="&amp;M828,"▶"))</f>
        <v/>
      </c>
      <c r="B828" s="36">
        <f>IF(C828&lt;&gt;"",C828,IF(P828&lt;=IFERROR(INDEX(tblChannels[Watched Through],MATCH(N828,tblChannels[Channel ID],0)),0),"Watched","Unwatched"))</f>
        <v/>
      </c>
      <c r="C828" s="37" t="n"/>
      <c r="D828" s="38" t="n"/>
      <c r="E828" s="39" t="n">
        <v>45198.41666666666</v>
      </c>
      <c r="F828" s="40" t="inlineStr">
        <is>
          <t>Popcorn Culture</t>
        </is>
      </c>
      <c r="G828" t="inlineStr">
        <is>
          <t>The Mysterious Thumping Noise | Popcorn Culture</t>
        </is>
      </c>
      <c r="H828" s="41" t="n">
        <v>0.05356481481481482</v>
      </c>
      <c r="I828" s="42" t="n">
        <v>4162</v>
      </c>
      <c r="J828" s="42" t="n">
        <v>232</v>
      </c>
      <c r="K828" s="42" t="n">
        <v>22</v>
      </c>
      <c r="L828" s="43" t="n"/>
      <c r="M828" s="44" t="n"/>
      <c r="N828" s="44" t="inlineStr">
        <is>
          <t>UCHfIbq9thHPC8yrKjAdJgDA</t>
        </is>
      </c>
      <c r="O828" s="45" t="n">
        <v>45198.58333333334</v>
      </c>
      <c r="P828" s="46" t="n">
        <v>45198</v>
      </c>
      <c r="Q828" s="44" t="n">
        <v>2444</v>
      </c>
      <c r="R828" s="44" t="inlineStr">
        <is>
          <t>No Video ID yet</t>
        </is>
      </c>
      <c r="S828" s="46" t="n"/>
      <c r="T828" s="46" t="n"/>
      <c r="U828" s="44" t="n"/>
      <c r="V828" s="44">
        <f>IF(AND(P828&gt;=Calendar!$K$2,P828&lt;EDATE(Calendar!$K$2,1),OR(Calendar!$K$4="*",N828=Calendar!$K$4)),P828*100+COUNTIFS($P$6:$P$3271,P828,$Q$6:$Q$3271,"&lt;="&amp;Q828,$N$6:$N$3271,Calendar!$K$4),"")</f>
        <v/>
      </c>
      <c r="W828" s="44">
        <f>IF(AND(B828=Queue!$C$4,OR(Queue!$K$4="*",N828=Queue!$K$4)),Q828,"")</f>
        <v/>
      </c>
    </row>
    <row r="829">
      <c r="A829" s="35">
        <f>IF(M829="","",HYPERLINK("https://www.youtube.com/watch?v="&amp;M829,"▶"))</f>
        <v/>
      </c>
      <c r="B829" s="36">
        <f>IF(C829&lt;&gt;"",C829,IF(P829&lt;=IFERROR(INDEX(tblChannels[Watched Through],MATCH(N829,tblChannels[Channel ID],0)),0),"Watched","Unwatched"))</f>
        <v/>
      </c>
      <c r="C829" s="37" t="n"/>
      <c r="D829" s="38" t="n"/>
      <c r="E829" s="39" t="n">
        <v>45197.65694444445</v>
      </c>
      <c r="F829" s="48" t="inlineStr">
        <is>
          <t>Through The Griffin Door</t>
        </is>
      </c>
      <c r="G829" t="inlineStr">
        <is>
          <t>Episode 0 - Through The Griffin Door</t>
        </is>
      </c>
      <c r="H829" s="41" t="n">
        <v>0.01141203703703704</v>
      </c>
      <c r="I829" s="42" t="n">
        <v>29039</v>
      </c>
      <c r="J829" s="42" t="n">
        <v>1533</v>
      </c>
      <c r="K829" s="42" t="n">
        <v>139</v>
      </c>
      <c r="L829" s="43" t="n"/>
      <c r="M829" s="44" t="n"/>
      <c r="N829" s="44" t="inlineStr">
        <is>
          <t>UCEscP6ETYXWSSvsNrDHekMQ</t>
        </is>
      </c>
      <c r="O829" s="45" t="n">
        <v>45197.82361111111</v>
      </c>
      <c r="P829" s="46" t="n">
        <v>45197</v>
      </c>
      <c r="Q829" s="44" t="n">
        <v>2443</v>
      </c>
      <c r="R829" s="44" t="inlineStr">
        <is>
          <t>No Video ID yet</t>
        </is>
      </c>
      <c r="S829" s="46" t="n"/>
      <c r="T829" s="46" t="n"/>
      <c r="U829" s="44" t="n"/>
      <c r="V829" s="44">
        <f>IF(AND(P829&gt;=Calendar!$K$2,P829&lt;EDATE(Calendar!$K$2,1),OR(Calendar!$K$4="*",N829=Calendar!$K$4)),P829*100+COUNTIFS($P$6:$P$3271,P829,$Q$6:$Q$3271,"&lt;="&amp;Q829,$N$6:$N$3271,Calendar!$K$4),"")</f>
        <v/>
      </c>
      <c r="W829" s="44">
        <f>IF(AND(B829=Queue!$C$4,OR(Queue!$K$4="*",N829=Queue!$K$4)),Q829,"")</f>
        <v/>
      </c>
    </row>
    <row r="830">
      <c r="A830" s="35">
        <f>IF(M830="","",HYPERLINK("https://www.youtube.com/watch?v="&amp;M830,"▶"))</f>
        <v/>
      </c>
      <c r="B830" s="36">
        <f>IF(C830&lt;&gt;"",C830,IF(P830&lt;=IFERROR(INDEX(tblChannels[Watched Through],MATCH(N830,tblChannels[Channel ID],0)),0),"Watched","Unwatched"))</f>
        <v/>
      </c>
      <c r="C830" s="37" t="n"/>
      <c r="D830" s="38" t="n"/>
      <c r="E830" s="39" t="n">
        <v>45196.66180555556</v>
      </c>
      <c r="F830" s="47" t="inlineStr">
        <is>
          <t>Super Carlin Brothers</t>
        </is>
      </c>
      <c r="G830" t="inlineStr">
        <is>
          <t>J vs Ben: ULTIMATE Boy Who LIED Harry Potter Trivia Quiz</t>
        </is>
      </c>
      <c r="H830" s="41" t="n">
        <v>0.02407407407407407</v>
      </c>
      <c r="I830" s="42" t="n">
        <v>206959</v>
      </c>
      <c r="J830" s="42" t="n">
        <v>6229</v>
      </c>
      <c r="K830" s="42" t="n">
        <v>546</v>
      </c>
      <c r="L830" s="43" t="n"/>
      <c r="M830" s="44" t="n"/>
      <c r="N830" s="44" t="inlineStr">
        <is>
          <t>UCKZo4N0lVPccBkSiuyVh4yg</t>
        </is>
      </c>
      <c r="O830" s="45" t="n">
        <v>45196.82847222222</v>
      </c>
      <c r="P830" s="46" t="n">
        <v>45196</v>
      </c>
      <c r="Q830" s="44" t="n">
        <v>2442</v>
      </c>
      <c r="R830" s="44" t="inlineStr">
        <is>
          <t>No Video ID yet</t>
        </is>
      </c>
      <c r="S830" s="46" t="n"/>
      <c r="T830" s="46" t="n"/>
      <c r="U830" s="44" t="n"/>
      <c r="V830" s="44">
        <f>IF(AND(P830&gt;=Calendar!$K$2,P830&lt;EDATE(Calendar!$K$2,1),OR(Calendar!$K$4="*",N830=Calendar!$K$4)),P830*100+COUNTIFS($P$6:$P$3271,P830,$Q$6:$Q$3271,"&lt;="&amp;Q830,$N$6:$N$3271,Calendar!$K$4),"")</f>
        <v/>
      </c>
      <c r="W830" s="44">
        <f>IF(AND(B830=Queue!$C$4,OR(Queue!$K$4="*",N830=Queue!$K$4)),Q830,"")</f>
        <v/>
      </c>
    </row>
    <row r="831">
      <c r="A831" s="35">
        <f>IF(M831="","",HYPERLINK("https://www.youtube.com/watch?v="&amp;M831,"▶"))</f>
        <v/>
      </c>
      <c r="B831" s="36">
        <f>IF(C831&lt;&gt;"",C831,IF(P831&lt;=IFERROR(INDEX(tblChannels[Watched Through],MATCH(N831,tblChannels[Channel ID],0)),0),"Watched","Unwatched"))</f>
        <v/>
      </c>
      <c r="C831" s="37" t="n"/>
      <c r="D831" s="38" t="n"/>
      <c r="E831" s="39" t="n">
        <v>45191.77083333334</v>
      </c>
      <c r="F831" s="49" t="inlineStr">
        <is>
          <t>Super Carlin Gaming</t>
        </is>
      </c>
      <c r="G831" t="inlineStr">
        <is>
          <t>Paldea Evolved is FINISHED | Carlin Brothers Box Breakers S6E12</t>
        </is>
      </c>
      <c r="H831" s="41" t="n">
        <v>0.02972222222222222</v>
      </c>
      <c r="I831" s="42" t="n">
        <v>1609</v>
      </c>
      <c r="J831" s="42" t="n">
        <v>94</v>
      </c>
      <c r="K831" s="42" t="n">
        <v>5</v>
      </c>
      <c r="L831" s="43" t="n"/>
      <c r="M831" s="44" t="n"/>
      <c r="N831" s="44" t="inlineStr">
        <is>
          <t>UCor_9jRnNNZVzTuQ92PKsaQ</t>
        </is>
      </c>
      <c r="O831" s="45" t="n">
        <v>45191.9375</v>
      </c>
      <c r="P831" s="46" t="n">
        <v>45191</v>
      </c>
      <c r="Q831" s="44" t="n">
        <v>2441</v>
      </c>
      <c r="R831" s="44" t="inlineStr">
        <is>
          <t>No Video ID yet</t>
        </is>
      </c>
      <c r="S831" s="46" t="n"/>
      <c r="T831" s="46" t="n"/>
      <c r="U831" s="44" t="n"/>
      <c r="V831" s="44">
        <f>IF(AND(P831&gt;=Calendar!$K$2,P831&lt;EDATE(Calendar!$K$2,1),OR(Calendar!$K$4="*",N831=Calendar!$K$4)),P831*100+COUNTIFS($P$6:$P$3271,P831,$Q$6:$Q$3271,"&lt;="&amp;Q831,$N$6:$N$3271,Calendar!$K$4),"")</f>
        <v/>
      </c>
      <c r="W831" s="44">
        <f>IF(AND(B831=Queue!$C$4,OR(Queue!$K$4="*",N831=Queue!$K$4)),Q831,"")</f>
        <v/>
      </c>
    </row>
    <row r="832">
      <c r="A832" s="35">
        <f>IF(M832="","",HYPERLINK("https://www.youtube.com/watch?v="&amp;M832,"▶"))</f>
        <v/>
      </c>
      <c r="B832" s="36">
        <f>IF(C832&lt;&gt;"",C832,IF(P832&lt;=IFERROR(INDEX(tblChannels[Watched Through],MATCH(N832,tblChannels[Channel ID],0)),0),"Watched","Unwatched"))</f>
        <v/>
      </c>
      <c r="C832" s="37" t="n"/>
      <c r="D832" s="38" t="n"/>
      <c r="E832" s="39" t="n">
        <v>45191.58472222222</v>
      </c>
      <c r="F832" s="47" t="inlineStr">
        <is>
          <t>Super Carlin Brothers</t>
        </is>
      </c>
      <c r="G832" t="inlineStr">
        <is>
          <t>What If The Weasley’s NEVER Won The Lottery? | Harry Potter Film Theory</t>
        </is>
      </c>
      <c r="H832" s="41" t="n">
        <v>0.01081018518518518</v>
      </c>
      <c r="I832" s="42" t="n">
        <v>254207</v>
      </c>
      <c r="J832" s="42" t="n">
        <v>8409</v>
      </c>
      <c r="K832" s="42" t="n">
        <v>712</v>
      </c>
      <c r="L832" s="43" t="n"/>
      <c r="M832" s="44" t="n"/>
      <c r="N832" s="44" t="inlineStr">
        <is>
          <t>UCKZo4N0lVPccBkSiuyVh4yg</t>
        </is>
      </c>
      <c r="O832" s="45" t="n">
        <v>45191.75138888889</v>
      </c>
      <c r="P832" s="46" t="n">
        <v>45191</v>
      </c>
      <c r="Q832" s="44" t="n">
        <v>2440</v>
      </c>
      <c r="R832" s="44" t="inlineStr">
        <is>
          <t>No Video ID yet</t>
        </is>
      </c>
      <c r="S832" s="46" t="n"/>
      <c r="T832" s="46" t="n"/>
      <c r="U832" s="44" t="n"/>
      <c r="V832" s="44">
        <f>IF(AND(P832&gt;=Calendar!$K$2,P832&lt;EDATE(Calendar!$K$2,1),OR(Calendar!$K$4="*",N832=Calendar!$K$4)),P832*100+COUNTIFS($P$6:$P$3271,P832,$Q$6:$Q$3271,"&lt;="&amp;Q832,$N$6:$N$3271,Calendar!$K$4),"")</f>
        <v/>
      </c>
      <c r="W832" s="44">
        <f>IF(AND(B832=Queue!$C$4,OR(Queue!$K$4="*",N832=Queue!$K$4)),Q832,"")</f>
        <v/>
      </c>
    </row>
    <row r="833">
      <c r="A833" s="35">
        <f>IF(M833="","",HYPERLINK("https://www.youtube.com/watch?v="&amp;M833,"▶"))</f>
        <v/>
      </c>
      <c r="B833" s="36">
        <f>IF(C833&lt;&gt;"",C833,IF(P833&lt;=IFERROR(INDEX(tblChannels[Watched Through],MATCH(N833,tblChannels[Channel ID],0)),0),"Watched","Unwatched"))</f>
        <v/>
      </c>
      <c r="C833" s="37" t="n"/>
      <c r="D833" s="38" t="n"/>
      <c r="E833" s="39" t="n">
        <v>45191.41666666666</v>
      </c>
      <c r="F833" s="40" t="inlineStr">
        <is>
          <t>Popcorn Culture</t>
        </is>
      </c>
      <c r="G833" t="inlineStr">
        <is>
          <t>The Chocolate Explosion | Popcorn Culture</t>
        </is>
      </c>
      <c r="H833" s="41" t="n">
        <v>0.05028935185185185</v>
      </c>
      <c r="I833" s="42" t="n">
        <v>4743</v>
      </c>
      <c r="J833" s="42" t="n">
        <v>221</v>
      </c>
      <c r="K833" s="42" t="n">
        <v>33</v>
      </c>
      <c r="L833" s="43" t="n"/>
      <c r="M833" s="44" t="n"/>
      <c r="N833" s="44" t="inlineStr">
        <is>
          <t>UCHfIbq9thHPC8yrKjAdJgDA</t>
        </is>
      </c>
      <c r="O833" s="45" t="n">
        <v>45191.58333333334</v>
      </c>
      <c r="P833" s="46" t="n">
        <v>45191</v>
      </c>
      <c r="Q833" s="44" t="n">
        <v>2439</v>
      </c>
      <c r="R833" s="44" t="inlineStr">
        <is>
          <t>No Video ID yet</t>
        </is>
      </c>
      <c r="S833" s="46" t="n"/>
      <c r="T833" s="46" t="n"/>
      <c r="U833" s="44" t="n"/>
      <c r="V833" s="44">
        <f>IF(AND(P833&gt;=Calendar!$K$2,P833&lt;EDATE(Calendar!$K$2,1),OR(Calendar!$K$4="*",N833=Calendar!$K$4)),P833*100+COUNTIFS($P$6:$P$3271,P833,$Q$6:$Q$3271,"&lt;="&amp;Q833,$N$6:$N$3271,Calendar!$K$4),"")</f>
        <v/>
      </c>
      <c r="W833" s="44">
        <f>IF(AND(B833=Queue!$C$4,OR(Queue!$K$4="*",N833=Queue!$K$4)),Q833,"")</f>
        <v/>
      </c>
    </row>
    <row r="834">
      <c r="A834" s="35">
        <f>IF(M834="","",HYPERLINK("https://www.youtube.com/watch?v="&amp;M834,"▶"))</f>
        <v/>
      </c>
      <c r="B834" s="36">
        <f>IF(C834&lt;&gt;"",C834,IF(P834&lt;=IFERROR(INDEX(tblChannels[Watched Through],MATCH(N834,tblChannels[Channel ID],0)),0),"Watched","Unwatched"))</f>
        <v/>
      </c>
      <c r="C834" s="37" t="n"/>
      <c r="D834" s="38" t="n"/>
      <c r="E834" s="39" t="n">
        <v>45189.69375</v>
      </c>
      <c r="F834" s="47" t="inlineStr">
        <is>
          <t>Super Carlin Brothers</t>
        </is>
      </c>
      <c r="G834" t="inlineStr">
        <is>
          <t>How Much Would a Big Mac Cost In The Wizarding World | Harry Potter Film Theory</t>
        </is>
      </c>
      <c r="H834" s="41" t="n">
        <v>0.01252314814814815</v>
      </c>
      <c r="I834" s="42" t="n">
        <v>112355</v>
      </c>
      <c r="J834" s="42" t="n">
        <v>5366</v>
      </c>
      <c r="K834" s="42" t="n">
        <v>605</v>
      </c>
      <c r="L834" s="43" t="n"/>
      <c r="M834" s="44" t="n"/>
      <c r="N834" s="44" t="inlineStr">
        <is>
          <t>UCKZo4N0lVPccBkSiuyVh4yg</t>
        </is>
      </c>
      <c r="O834" s="45" t="n">
        <v>45189.86041666667</v>
      </c>
      <c r="P834" s="46" t="n">
        <v>45189</v>
      </c>
      <c r="Q834" s="44" t="n">
        <v>2438</v>
      </c>
      <c r="R834" s="44" t="inlineStr">
        <is>
          <t>No Video ID yet</t>
        </is>
      </c>
      <c r="S834" s="46" t="n"/>
      <c r="T834" s="46" t="n"/>
      <c r="U834" s="44" t="n"/>
      <c r="V834" s="44">
        <f>IF(AND(P834&gt;=Calendar!$K$2,P834&lt;EDATE(Calendar!$K$2,1),OR(Calendar!$K$4="*",N834=Calendar!$K$4)),P834*100+COUNTIFS($P$6:$P$3271,P834,$Q$6:$Q$3271,"&lt;="&amp;Q834,$N$6:$N$3271,Calendar!$K$4),"")</f>
        <v/>
      </c>
      <c r="W834" s="44">
        <f>IF(AND(B834=Queue!$C$4,OR(Queue!$K$4="*",N834=Queue!$K$4)),Q834,"")</f>
        <v/>
      </c>
    </row>
    <row r="835">
      <c r="A835" s="35">
        <f>IF(M835="","",HYPERLINK("https://www.youtube.com/watch?v="&amp;M835,"▶"))</f>
        <v/>
      </c>
      <c r="B835" s="36">
        <f>IF(C835&lt;&gt;"",C835,IF(P835&lt;=IFERROR(INDEX(tblChannels[Watched Through],MATCH(N835,tblChannels[Channel ID],0)),0),"Watched","Unwatched"))</f>
        <v/>
      </c>
      <c r="C835" s="37" t="n"/>
      <c r="D835" s="38" t="n"/>
      <c r="E835" s="39" t="n">
        <v>45184.77083333334</v>
      </c>
      <c r="F835" s="49" t="inlineStr">
        <is>
          <t>Super Carlin Gaming</t>
        </is>
      </c>
      <c r="G835" t="inlineStr">
        <is>
          <t>DOWN TO THE WIRE | Carlin Brothers Box Breakers S6E11</t>
        </is>
      </c>
      <c r="H835" s="41" t="n">
        <v>0.02931712962962963</v>
      </c>
      <c r="I835" s="42" t="n">
        <v>1452</v>
      </c>
      <c r="J835" s="42" t="n">
        <v>85</v>
      </c>
      <c r="K835" s="42" t="n">
        <v>7</v>
      </c>
      <c r="L835" s="43" t="n"/>
      <c r="M835" s="44" t="n"/>
      <c r="N835" s="44" t="inlineStr">
        <is>
          <t>UCor_9jRnNNZVzTuQ92PKsaQ</t>
        </is>
      </c>
      <c r="O835" s="45" t="n">
        <v>45184.9375</v>
      </c>
      <c r="P835" s="46" t="n">
        <v>45184</v>
      </c>
      <c r="Q835" s="44" t="n">
        <v>2437</v>
      </c>
      <c r="R835" s="44" t="inlineStr">
        <is>
          <t>No Video ID yet</t>
        </is>
      </c>
      <c r="S835" s="46" t="n"/>
      <c r="T835" s="46" t="n"/>
      <c r="U835" s="44" t="n"/>
      <c r="V835" s="44">
        <f>IF(AND(P835&gt;=Calendar!$K$2,P835&lt;EDATE(Calendar!$K$2,1),OR(Calendar!$K$4="*",N835=Calendar!$K$4)),P835*100+COUNTIFS($P$6:$P$3271,P835,$Q$6:$Q$3271,"&lt;="&amp;Q835,$N$6:$N$3271,Calendar!$K$4),"")</f>
        <v/>
      </c>
      <c r="W835" s="44">
        <f>IF(AND(B835=Queue!$C$4,OR(Queue!$K$4="*",N835=Queue!$K$4)),Q835,"")</f>
        <v/>
      </c>
    </row>
    <row r="836">
      <c r="A836" s="35">
        <f>IF(M836="","",HYPERLINK("https://www.youtube.com/watch?v="&amp;M836,"▶"))</f>
        <v/>
      </c>
      <c r="B836" s="36">
        <f>IF(C836&lt;&gt;"",C836,IF(P836&lt;=IFERROR(INDEX(tblChannels[Watched Through],MATCH(N836,tblChannels[Channel ID],0)),0),"Watched","Unwatched"))</f>
        <v/>
      </c>
      <c r="C836" s="37" t="n"/>
      <c r="D836" s="38" t="n"/>
      <c r="E836" s="39" t="n">
        <v>45184.62708333333</v>
      </c>
      <c r="F836" s="47" t="inlineStr">
        <is>
          <t>Super Carlin Brothers</t>
        </is>
      </c>
      <c r="G836" t="inlineStr">
        <is>
          <t>J vs Ben: ULTIMATE Marauder's Quotes Harry Potter TRIVIA Quiz</t>
        </is>
      </c>
      <c r="H836" s="41" t="n">
        <v>0.02248842592592593</v>
      </c>
      <c r="I836" s="42" t="n">
        <v>181395</v>
      </c>
      <c r="J836" s="42" t="n">
        <v>6189</v>
      </c>
      <c r="K836" s="42" t="n">
        <v>536</v>
      </c>
      <c r="L836" s="43" t="n"/>
      <c r="M836" s="44" t="n"/>
      <c r="N836" s="44" t="inlineStr">
        <is>
          <t>UCKZo4N0lVPccBkSiuyVh4yg</t>
        </is>
      </c>
      <c r="O836" s="45" t="n">
        <v>45184.79375</v>
      </c>
      <c r="P836" s="46" t="n">
        <v>45184</v>
      </c>
      <c r="Q836" s="44" t="n">
        <v>2436</v>
      </c>
      <c r="R836" s="44" t="inlineStr">
        <is>
          <t>No Video ID yet</t>
        </is>
      </c>
      <c r="S836" s="46" t="n"/>
      <c r="T836" s="46" t="n"/>
      <c r="U836" s="44" t="n"/>
      <c r="V836" s="44">
        <f>IF(AND(P836&gt;=Calendar!$K$2,P836&lt;EDATE(Calendar!$K$2,1),OR(Calendar!$K$4="*",N836=Calendar!$K$4)),P836*100+COUNTIFS($P$6:$P$3271,P836,$Q$6:$Q$3271,"&lt;="&amp;Q836,$N$6:$N$3271,Calendar!$K$4),"")</f>
        <v/>
      </c>
      <c r="W836" s="44">
        <f>IF(AND(B836=Queue!$C$4,OR(Queue!$K$4="*",N836=Queue!$K$4)),Q836,"")</f>
        <v/>
      </c>
    </row>
    <row r="837">
      <c r="A837" s="35">
        <f>IF(M837="","",HYPERLINK("https://www.youtube.com/watch?v="&amp;M837,"▶"))</f>
        <v/>
      </c>
      <c r="B837" s="36">
        <f>IF(C837&lt;&gt;"",C837,IF(P837&lt;=IFERROR(INDEX(tblChannels[Watched Through],MATCH(N837,tblChannels[Channel ID],0)),0),"Watched","Unwatched"))</f>
        <v/>
      </c>
      <c r="C837" s="37" t="n"/>
      <c r="D837" s="38" t="n"/>
      <c r="E837" s="39" t="n">
        <v>45184.41666666666</v>
      </c>
      <c r="F837" s="40" t="inlineStr">
        <is>
          <t>Popcorn Culture</t>
        </is>
      </c>
      <c r="G837" t="inlineStr">
        <is>
          <t>Dripping Dragon | Popcorn Culture</t>
        </is>
      </c>
      <c r="H837" s="41" t="n">
        <v>0.04803240740740741</v>
      </c>
      <c r="I837" s="42" t="n">
        <v>3979</v>
      </c>
      <c r="J837" s="42" t="n">
        <v>204</v>
      </c>
      <c r="K837" s="42" t="n">
        <v>19</v>
      </c>
      <c r="L837" s="43" t="n"/>
      <c r="M837" s="44" t="n"/>
      <c r="N837" s="44" t="inlineStr">
        <is>
          <t>UCHfIbq9thHPC8yrKjAdJgDA</t>
        </is>
      </c>
      <c r="O837" s="45" t="n">
        <v>45184.58333333334</v>
      </c>
      <c r="P837" s="46" t="n">
        <v>45184</v>
      </c>
      <c r="Q837" s="44" t="n">
        <v>2435</v>
      </c>
      <c r="R837" s="44" t="inlineStr">
        <is>
          <t>No Video ID yet</t>
        </is>
      </c>
      <c r="S837" s="46" t="n"/>
      <c r="T837" s="46" t="n"/>
      <c r="U837" s="44" t="n"/>
      <c r="V837" s="44">
        <f>IF(AND(P837&gt;=Calendar!$K$2,P837&lt;EDATE(Calendar!$K$2,1),OR(Calendar!$K$4="*",N837=Calendar!$K$4)),P837*100+COUNTIFS($P$6:$P$3271,P837,$Q$6:$Q$3271,"&lt;="&amp;Q837,$N$6:$N$3271,Calendar!$K$4),"")</f>
        <v/>
      </c>
      <c r="W837" s="44">
        <f>IF(AND(B837=Queue!$C$4,OR(Queue!$K$4="*",N837=Queue!$K$4)),Q837,"")</f>
        <v/>
      </c>
    </row>
    <row r="838">
      <c r="A838" s="35">
        <f>IF(M838="","",HYPERLINK("https://www.youtube.com/watch?v="&amp;M838,"▶"))</f>
        <v/>
      </c>
      <c r="B838" s="36">
        <f>IF(C838&lt;&gt;"",C838,IF(P838&lt;=IFERROR(INDEX(tblChannels[Watched Through],MATCH(N838,tblChannels[Channel ID],0)),0),"Watched","Unwatched"))</f>
        <v/>
      </c>
      <c r="C838" s="37" t="n"/>
      <c r="D838" s="38" t="n"/>
      <c r="E838" s="39" t="n">
        <v>45182.62569444445</v>
      </c>
      <c r="F838" s="47" t="inlineStr">
        <is>
          <t>Super Carlin Brothers</t>
        </is>
      </c>
      <c r="G838" t="inlineStr">
        <is>
          <t>Voldemort’s MASTER PLAN Revealed! | Harry Potter Film Theory</t>
        </is>
      </c>
      <c r="H838" s="41" t="n">
        <v>0.008923611111111111</v>
      </c>
      <c r="I838" s="42" t="n">
        <v>380505</v>
      </c>
      <c r="J838" s="42" t="n">
        <v>12916</v>
      </c>
      <c r="K838" s="42" t="n">
        <v>837</v>
      </c>
      <c r="L838" s="43" t="n"/>
      <c r="M838" s="44" t="n"/>
      <c r="N838" s="44" t="inlineStr">
        <is>
          <t>UCKZo4N0lVPccBkSiuyVh4yg</t>
        </is>
      </c>
      <c r="O838" s="45" t="n">
        <v>45182.79236111111</v>
      </c>
      <c r="P838" s="46" t="n">
        <v>45182</v>
      </c>
      <c r="Q838" s="44" t="n">
        <v>2434</v>
      </c>
      <c r="R838" s="44" t="inlineStr">
        <is>
          <t>No Video ID yet</t>
        </is>
      </c>
      <c r="S838" s="46" t="n"/>
      <c r="T838" s="46" t="n"/>
      <c r="U838" s="44" t="n"/>
      <c r="V838" s="44">
        <f>IF(AND(P838&gt;=Calendar!$K$2,P838&lt;EDATE(Calendar!$K$2,1),OR(Calendar!$K$4="*",N838=Calendar!$K$4)),P838*100+COUNTIFS($P$6:$P$3271,P838,$Q$6:$Q$3271,"&lt;="&amp;Q838,$N$6:$N$3271,Calendar!$K$4),"")</f>
        <v/>
      </c>
      <c r="W838" s="44">
        <f>IF(AND(B838=Queue!$C$4,OR(Queue!$K$4="*",N838=Queue!$K$4)),Q838,"")</f>
        <v/>
      </c>
    </row>
    <row r="839">
      <c r="A839" s="35">
        <f>IF(M839="","",HYPERLINK("https://www.youtube.com/watch?v="&amp;M839,"▶"))</f>
        <v/>
      </c>
      <c r="B839" s="36">
        <f>IF(C839&lt;&gt;"",C839,IF(P839&lt;=IFERROR(INDEX(tblChannels[Watched Through],MATCH(N839,tblChannels[Channel ID],0)),0),"Watched","Unwatched"))</f>
        <v/>
      </c>
      <c r="C839" s="37" t="n"/>
      <c r="D839" s="38" t="n"/>
      <c r="E839" s="39" t="n">
        <v>45181.75</v>
      </c>
      <c r="F839" s="50" t="inlineStr">
        <is>
          <t>Jonathan Carlin</t>
        </is>
      </c>
      <c r="G839" t="inlineStr">
        <is>
          <t>Tennis Isn't Ready for These Kids</t>
        </is>
      </c>
      <c r="H839" s="41" t="n">
        <v>0.01395833333333333</v>
      </c>
      <c r="I839" s="42" t="n">
        <v>9229</v>
      </c>
      <c r="J839" s="42" t="n">
        <v>543</v>
      </c>
      <c r="K839" s="42" t="n">
        <v>40</v>
      </c>
      <c r="L839" s="43" t="n"/>
      <c r="M839" s="44" t="n"/>
      <c r="N839" s="44" t="inlineStr">
        <is>
          <t>UCYPKFe86e6nm4TVUYKLsFUQ</t>
        </is>
      </c>
      <c r="O839" s="45" t="n">
        <v>45181.91666666666</v>
      </c>
      <c r="P839" s="46" t="n">
        <v>45181</v>
      </c>
      <c r="Q839" s="44" t="n">
        <v>2433</v>
      </c>
      <c r="R839" s="44" t="inlineStr">
        <is>
          <t>No Video ID yet</t>
        </is>
      </c>
      <c r="S839" s="46" t="n"/>
      <c r="T839" s="46" t="n"/>
      <c r="U839" s="44" t="n"/>
      <c r="V839" s="44">
        <f>IF(AND(P839&gt;=Calendar!$K$2,P839&lt;EDATE(Calendar!$K$2,1),OR(Calendar!$K$4="*",N839=Calendar!$K$4)),P839*100+COUNTIFS($P$6:$P$3271,P839,$Q$6:$Q$3271,"&lt;="&amp;Q839,$N$6:$N$3271,Calendar!$K$4),"")</f>
        <v/>
      </c>
      <c r="W839" s="44">
        <f>IF(AND(B839=Queue!$C$4,OR(Queue!$K$4="*",N839=Queue!$K$4)),Q839,"")</f>
        <v/>
      </c>
    </row>
    <row r="840">
      <c r="A840" s="35">
        <f>IF(M840="","",HYPERLINK("https://www.youtube.com/watch?v="&amp;M840,"▶"))</f>
        <v/>
      </c>
      <c r="B840" s="36">
        <f>IF(C840&lt;&gt;"",C840,IF(P840&lt;=IFERROR(INDEX(tblChannels[Watched Through],MATCH(N840,tblChannels[Channel ID],0)),0),"Watched","Unwatched"))</f>
        <v/>
      </c>
      <c r="C840" s="37" t="n"/>
      <c r="D840" s="38" t="n"/>
      <c r="E840" s="39" t="n">
        <v>45177.77083333334</v>
      </c>
      <c r="F840" s="49" t="inlineStr">
        <is>
          <t>Super Carlin Gaming</t>
        </is>
      </c>
      <c r="G840" t="inlineStr">
        <is>
          <t>QUADRUPLE MULTIPLIER !! | Carlin Brothers Box Breakers S6E10</t>
        </is>
      </c>
      <c r="H840" s="41" t="n">
        <v>0.02947916666666667</v>
      </c>
      <c r="I840" s="42" t="n">
        <v>1724</v>
      </c>
      <c r="J840" s="42" t="n">
        <v>101</v>
      </c>
      <c r="K840" s="42" t="n">
        <v>6</v>
      </c>
      <c r="L840" s="43" t="n"/>
      <c r="M840" s="44" t="n"/>
      <c r="N840" s="44" t="inlineStr">
        <is>
          <t>UCor_9jRnNNZVzTuQ92PKsaQ</t>
        </is>
      </c>
      <c r="O840" s="45" t="n">
        <v>45177.9375</v>
      </c>
      <c r="P840" s="46" t="n">
        <v>45177</v>
      </c>
      <c r="Q840" s="44" t="n">
        <v>2432</v>
      </c>
      <c r="R840" s="44" t="inlineStr">
        <is>
          <t>No Video ID yet</t>
        </is>
      </c>
      <c r="S840" s="46" t="n"/>
      <c r="T840" s="46" t="n"/>
      <c r="U840" s="44" t="n"/>
      <c r="V840" s="44">
        <f>IF(AND(P840&gt;=Calendar!$K$2,P840&lt;EDATE(Calendar!$K$2,1),OR(Calendar!$K$4="*",N840=Calendar!$K$4)),P840*100+COUNTIFS($P$6:$P$3271,P840,$Q$6:$Q$3271,"&lt;="&amp;Q840,$N$6:$N$3271,Calendar!$K$4),"")</f>
        <v/>
      </c>
      <c r="W840" s="44">
        <f>IF(AND(B840=Queue!$C$4,OR(Queue!$K$4="*",N840=Queue!$K$4)),Q840,"")</f>
        <v/>
      </c>
    </row>
    <row r="841">
      <c r="A841" s="35">
        <f>IF(M841="","",HYPERLINK("https://www.youtube.com/watch?v="&amp;M841,"▶"))</f>
        <v/>
      </c>
      <c r="B841" s="36">
        <f>IF(C841&lt;&gt;"",C841,IF(P841&lt;=IFERROR(INDEX(tblChannels[Watched Through],MATCH(N841,tblChannels[Channel ID],0)),0),"Watched","Unwatched"))</f>
        <v/>
      </c>
      <c r="C841" s="37" t="n"/>
      <c r="D841" s="38" t="n"/>
      <c r="E841" s="39" t="n">
        <v>45177.67777777778</v>
      </c>
      <c r="F841" s="47" t="inlineStr">
        <is>
          <t>Super Carlin Brothers</t>
        </is>
      </c>
      <c r="G841" t="inlineStr">
        <is>
          <t>The TRUE Value of Wizard Gold REVEALED | Harry Potter Film Theory</t>
        </is>
      </c>
      <c r="H841" s="41" t="n">
        <v>0.0130787037037037</v>
      </c>
      <c r="I841" s="42" t="n">
        <v>250418</v>
      </c>
      <c r="J841" s="42" t="n">
        <v>9827</v>
      </c>
      <c r="K841" s="42" t="n">
        <v>1644</v>
      </c>
      <c r="L841" s="43" t="n"/>
      <c r="M841" s="44" t="n"/>
      <c r="N841" s="44" t="inlineStr">
        <is>
          <t>UCKZo4N0lVPccBkSiuyVh4yg</t>
        </is>
      </c>
      <c r="O841" s="45" t="n">
        <v>45177.84444444445</v>
      </c>
      <c r="P841" s="46" t="n">
        <v>45177</v>
      </c>
      <c r="Q841" s="44" t="n">
        <v>2431</v>
      </c>
      <c r="R841" s="44" t="inlineStr">
        <is>
          <t>No Video ID yet</t>
        </is>
      </c>
      <c r="S841" s="46" t="n"/>
      <c r="T841" s="46" t="n"/>
      <c r="U841" s="44" t="n"/>
      <c r="V841" s="44">
        <f>IF(AND(P841&gt;=Calendar!$K$2,P841&lt;EDATE(Calendar!$K$2,1),OR(Calendar!$K$4="*",N841=Calendar!$K$4)),P841*100+COUNTIFS($P$6:$P$3271,P841,$Q$6:$Q$3271,"&lt;="&amp;Q841,$N$6:$N$3271,Calendar!$K$4),"")</f>
        <v/>
      </c>
      <c r="W841" s="44">
        <f>IF(AND(B841=Queue!$C$4,OR(Queue!$K$4="*",N841=Queue!$K$4)),Q841,"")</f>
        <v/>
      </c>
    </row>
    <row r="842">
      <c r="A842" s="35">
        <f>IF(M842="","",HYPERLINK("https://www.youtube.com/watch?v="&amp;M842,"▶"))</f>
        <v/>
      </c>
      <c r="B842" s="36">
        <f>IF(C842&lt;&gt;"",C842,IF(P842&lt;=IFERROR(INDEX(tblChannels[Watched Through],MATCH(N842,tblChannels[Channel ID],0)),0),"Watched","Unwatched"))</f>
        <v/>
      </c>
      <c r="C842" s="37" t="n"/>
      <c r="D842" s="38" t="n"/>
      <c r="E842" s="39" t="n">
        <v>45177.41666666666</v>
      </c>
      <c r="F842" s="40" t="inlineStr">
        <is>
          <t>Popcorn Culture</t>
        </is>
      </c>
      <c r="G842" t="inlineStr">
        <is>
          <t>The Name of ReWind | Popcorn Culture</t>
        </is>
      </c>
      <c r="H842" s="41" t="n">
        <v>0.04212962962962963</v>
      </c>
      <c r="I842" s="42" t="n">
        <v>3975</v>
      </c>
      <c r="J842" s="42" t="n">
        <v>207</v>
      </c>
      <c r="K842" s="42" t="n">
        <v>16</v>
      </c>
      <c r="L842" s="43" t="n"/>
      <c r="M842" s="44" t="n"/>
      <c r="N842" s="44" t="inlineStr">
        <is>
          <t>UCHfIbq9thHPC8yrKjAdJgDA</t>
        </is>
      </c>
      <c r="O842" s="45" t="n">
        <v>45177.58333333334</v>
      </c>
      <c r="P842" s="46" t="n">
        <v>45177</v>
      </c>
      <c r="Q842" s="44" t="n">
        <v>2430</v>
      </c>
      <c r="R842" s="44" t="inlineStr">
        <is>
          <t>No Video ID yet</t>
        </is>
      </c>
      <c r="S842" s="46" t="n"/>
      <c r="T842" s="46" t="n"/>
      <c r="U842" s="44" t="n"/>
      <c r="V842" s="44">
        <f>IF(AND(P842&gt;=Calendar!$K$2,P842&lt;EDATE(Calendar!$K$2,1),OR(Calendar!$K$4="*",N842=Calendar!$K$4)),P842*100+COUNTIFS($P$6:$P$3271,P842,$Q$6:$Q$3271,"&lt;="&amp;Q842,$N$6:$N$3271,Calendar!$K$4),"")</f>
        <v/>
      </c>
      <c r="W842" s="44">
        <f>IF(AND(B842=Queue!$C$4,OR(Queue!$K$4="*",N842=Queue!$K$4)),Q842,"")</f>
        <v/>
      </c>
    </row>
    <row r="843">
      <c r="A843" s="35">
        <f>IF(M843="","",HYPERLINK("https://www.youtube.com/watch?v="&amp;M843,"▶"))</f>
        <v/>
      </c>
      <c r="B843" s="36">
        <f>IF(C843&lt;&gt;"",C843,IF(P843&lt;=IFERROR(INDEX(tblChannels[Watched Through],MATCH(N843,tblChannels[Channel ID],0)),0),"Watched","Unwatched"))</f>
        <v/>
      </c>
      <c r="C843" s="37" t="n"/>
      <c r="D843" s="38" t="n"/>
      <c r="E843" s="39" t="n">
        <v>45175.68402777778</v>
      </c>
      <c r="F843" s="47" t="inlineStr">
        <is>
          <t>Super Carlin Brothers</t>
        </is>
      </c>
      <c r="G843" t="inlineStr">
        <is>
          <t>Reacting to 45 MORE Sorcerer's Stone Covers | Harry Potter Film Theory</t>
        </is>
      </c>
      <c r="H843" s="41" t="n">
        <v>0.03225694444444444</v>
      </c>
      <c r="I843" s="42" t="n">
        <v>89745</v>
      </c>
      <c r="J843" s="42" t="n">
        <v>3389</v>
      </c>
      <c r="K843" s="42" t="n">
        <v>718</v>
      </c>
      <c r="L843" s="43" t="n"/>
      <c r="M843" s="44" t="n"/>
      <c r="N843" s="44" t="inlineStr">
        <is>
          <t>UCKZo4N0lVPccBkSiuyVh4yg</t>
        </is>
      </c>
      <c r="O843" s="45" t="n">
        <v>45175.85069444445</v>
      </c>
      <c r="P843" s="46" t="n">
        <v>45175</v>
      </c>
      <c r="Q843" s="44" t="n">
        <v>2429</v>
      </c>
      <c r="R843" s="44" t="inlineStr">
        <is>
          <t>No Video ID yet</t>
        </is>
      </c>
      <c r="S843" s="46" t="n"/>
      <c r="T843" s="46" t="n"/>
      <c r="U843" s="44" t="n"/>
      <c r="V843" s="44">
        <f>IF(AND(P843&gt;=Calendar!$K$2,P843&lt;EDATE(Calendar!$K$2,1),OR(Calendar!$K$4="*",N843=Calendar!$K$4)),P843*100+COUNTIFS($P$6:$P$3271,P843,$Q$6:$Q$3271,"&lt;="&amp;Q843,$N$6:$N$3271,Calendar!$K$4),"")</f>
        <v/>
      </c>
      <c r="W843" s="44">
        <f>IF(AND(B843=Queue!$C$4,OR(Queue!$K$4="*",N843=Queue!$K$4)),Q843,"")</f>
        <v/>
      </c>
    </row>
    <row r="844">
      <c r="A844" s="35">
        <f>IF(M844="","",HYPERLINK("https://www.youtube.com/watch?v="&amp;M844,"▶"))</f>
        <v/>
      </c>
      <c r="B844" s="36">
        <f>IF(C844&lt;&gt;"",C844,IF(P844&lt;=IFERROR(INDEX(tblChannels[Watched Through],MATCH(N844,tblChannels[Channel ID],0)),0),"Watched","Unwatched"))</f>
        <v/>
      </c>
      <c r="C844" s="37" t="n"/>
      <c r="D844" s="38" t="n"/>
      <c r="E844" s="39" t="n">
        <v>45174.4375</v>
      </c>
      <c r="F844" s="50" t="inlineStr">
        <is>
          <t>Jonathan Carlin</t>
        </is>
      </c>
      <c r="G844" t="inlineStr">
        <is>
          <t>THE TREASURE HUNT BEGINS!</t>
        </is>
      </c>
      <c r="H844" s="41" t="n">
        <v>0.01209490740740741</v>
      </c>
      <c r="I844" s="42" t="n">
        <v>9767</v>
      </c>
      <c r="J844" s="42" t="n">
        <v>633</v>
      </c>
      <c r="K844" s="42" t="n">
        <v>36</v>
      </c>
      <c r="L844" s="43" t="n"/>
      <c r="M844" s="44" t="n"/>
      <c r="N844" s="44" t="inlineStr">
        <is>
          <t>UCYPKFe86e6nm4TVUYKLsFUQ</t>
        </is>
      </c>
      <c r="O844" s="45" t="n">
        <v>45174.60416666666</v>
      </c>
      <c r="P844" s="46" t="n">
        <v>45174</v>
      </c>
      <c r="Q844" s="44" t="n">
        <v>2428</v>
      </c>
      <c r="R844" s="44" t="inlineStr">
        <is>
          <t>No Video ID yet</t>
        </is>
      </c>
      <c r="S844" s="46" t="n"/>
      <c r="T844" s="46" t="n"/>
      <c r="U844" s="44" t="n"/>
      <c r="V844" s="44">
        <f>IF(AND(P844&gt;=Calendar!$K$2,P844&lt;EDATE(Calendar!$K$2,1),OR(Calendar!$K$4="*",N844=Calendar!$K$4)),P844*100+COUNTIFS($P$6:$P$3271,P844,$Q$6:$Q$3271,"&lt;="&amp;Q844,$N$6:$N$3271,Calendar!$K$4),"")</f>
        <v/>
      </c>
      <c r="W844" s="44">
        <f>IF(AND(B844=Queue!$C$4,OR(Queue!$K$4="*",N844=Queue!$K$4)),Q844,"")</f>
        <v/>
      </c>
    </row>
    <row r="845">
      <c r="A845" s="35">
        <f>IF(M845="","",HYPERLINK("https://www.youtube.com/watch?v="&amp;M845,"▶"))</f>
        <v/>
      </c>
      <c r="B845" s="36">
        <f>IF(C845&lt;&gt;"",C845,IF(P845&lt;=IFERROR(INDEX(tblChannels[Watched Through],MATCH(N845,tblChannels[Channel ID],0)),0),"Watched","Unwatched"))</f>
        <v/>
      </c>
      <c r="C845" s="37" t="n"/>
      <c r="D845" s="38" t="n"/>
      <c r="E845" s="39" t="n">
        <v>45170.77083333334</v>
      </c>
      <c r="F845" s="49" t="inlineStr">
        <is>
          <t>Super Carlin Gaming</t>
        </is>
      </c>
      <c r="G845" t="inlineStr">
        <is>
          <t>The Fight For 8th Continues | Carlin Brothers Box Breakers S6E9</t>
        </is>
      </c>
      <c r="H845" s="41" t="n">
        <v>0.03369212962962963</v>
      </c>
      <c r="I845" s="42" t="n">
        <v>1814</v>
      </c>
      <c r="J845" s="42" t="n">
        <v>93</v>
      </c>
      <c r="K845" s="42" t="n">
        <v>9</v>
      </c>
      <c r="L845" s="43" t="n"/>
      <c r="M845" s="44" t="n"/>
      <c r="N845" s="44" t="inlineStr">
        <is>
          <t>UCor_9jRnNNZVzTuQ92PKsaQ</t>
        </is>
      </c>
      <c r="O845" s="45" t="n">
        <v>45170.9375</v>
      </c>
      <c r="P845" s="46" t="n">
        <v>45170</v>
      </c>
      <c r="Q845" s="44" t="n">
        <v>2427</v>
      </c>
      <c r="R845" s="44" t="inlineStr">
        <is>
          <t>No Video ID yet</t>
        </is>
      </c>
      <c r="S845" s="46" t="n"/>
      <c r="T845" s="46" t="n"/>
      <c r="U845" s="44" t="n"/>
      <c r="V845" s="44">
        <f>IF(AND(P845&gt;=Calendar!$K$2,P845&lt;EDATE(Calendar!$K$2,1),OR(Calendar!$K$4="*",N845=Calendar!$K$4)),P845*100+COUNTIFS($P$6:$P$3271,P845,$Q$6:$Q$3271,"&lt;="&amp;Q845,$N$6:$N$3271,Calendar!$K$4),"")</f>
        <v/>
      </c>
      <c r="W845" s="44">
        <f>IF(AND(B845=Queue!$C$4,OR(Queue!$K$4="*",N845=Queue!$K$4)),Q845,"")</f>
        <v/>
      </c>
    </row>
    <row r="846">
      <c r="A846" s="35">
        <f>IF(M846="","",HYPERLINK("https://www.youtube.com/watch?v="&amp;M846,"▶"))</f>
        <v/>
      </c>
      <c r="B846" s="36">
        <f>IF(C846&lt;&gt;"",C846,IF(P846&lt;=IFERROR(INDEX(tblChannels[Watched Through],MATCH(N846,tblChannels[Channel ID],0)),0),"Watched","Unwatched"))</f>
        <v/>
      </c>
      <c r="C846" s="37" t="n"/>
      <c r="D846" s="38" t="n"/>
      <c r="E846" s="39" t="n">
        <v>45170.67569444444</v>
      </c>
      <c r="F846" s="47" t="inlineStr">
        <is>
          <t>Super Carlin Brothers</t>
        </is>
      </c>
      <c r="G846" t="inlineStr">
        <is>
          <t>Luna Lovegood’s ALWAYS Right | Harry Potter Film Theory</t>
        </is>
      </c>
      <c r="H846" s="41" t="n">
        <v>0.01326388888888889</v>
      </c>
      <c r="I846" s="42" t="n">
        <v>360784</v>
      </c>
      <c r="J846" s="42" t="n">
        <v>13905</v>
      </c>
      <c r="K846" s="42" t="n">
        <v>1037</v>
      </c>
      <c r="L846" s="43" t="n"/>
      <c r="M846" s="44" t="n"/>
      <c r="N846" s="44" t="inlineStr">
        <is>
          <t>UCKZo4N0lVPccBkSiuyVh4yg</t>
        </is>
      </c>
      <c r="O846" s="45" t="n">
        <v>45170.84236111111</v>
      </c>
      <c r="P846" s="46" t="n">
        <v>45170</v>
      </c>
      <c r="Q846" s="44" t="n">
        <v>2426</v>
      </c>
      <c r="R846" s="44" t="inlineStr">
        <is>
          <t>No Video ID yet</t>
        </is>
      </c>
      <c r="S846" s="46" t="n"/>
      <c r="T846" s="46" t="n"/>
      <c r="U846" s="44" t="n"/>
      <c r="V846" s="44">
        <f>IF(AND(P846&gt;=Calendar!$K$2,P846&lt;EDATE(Calendar!$K$2,1),OR(Calendar!$K$4="*",N846=Calendar!$K$4)),P846*100+COUNTIFS($P$6:$P$3271,P846,$Q$6:$Q$3271,"&lt;="&amp;Q846,$N$6:$N$3271,Calendar!$K$4),"")</f>
        <v/>
      </c>
      <c r="W846" s="44">
        <f>IF(AND(B846=Queue!$C$4,OR(Queue!$K$4="*",N846=Queue!$K$4)),Q846,"")</f>
        <v/>
      </c>
    </row>
    <row r="847">
      <c r="A847" s="35">
        <f>IF(M847="","",HYPERLINK("https://www.youtube.com/watch?v="&amp;M847,"▶"))</f>
        <v/>
      </c>
      <c r="B847" s="36">
        <f>IF(C847&lt;&gt;"",C847,IF(P847&lt;=IFERROR(INDEX(tblChannels[Watched Through],MATCH(N847,tblChannels[Channel ID],0)),0),"Watched","Unwatched"))</f>
        <v/>
      </c>
      <c r="C847" s="37" t="n"/>
      <c r="D847" s="38" t="n"/>
      <c r="E847" s="39" t="n">
        <v>45170.41666666666</v>
      </c>
      <c r="F847" s="40" t="inlineStr">
        <is>
          <t>Popcorn Culture</t>
        </is>
      </c>
      <c r="G847" t="inlineStr">
        <is>
          <t>Aladdin is Harry Potter: Confirmed | Popcorn Culture</t>
        </is>
      </c>
      <c r="H847" s="41" t="n">
        <v>0.04298611111111111</v>
      </c>
      <c r="I847" s="42" t="n">
        <v>4999</v>
      </c>
      <c r="J847" s="42" t="n">
        <v>283</v>
      </c>
      <c r="K847" s="42" t="n">
        <v>27</v>
      </c>
      <c r="L847" s="43" t="n"/>
      <c r="M847" s="44" t="n"/>
      <c r="N847" s="44" t="inlineStr">
        <is>
          <t>UCHfIbq9thHPC8yrKjAdJgDA</t>
        </is>
      </c>
      <c r="O847" s="45" t="n">
        <v>45170.58333333334</v>
      </c>
      <c r="P847" s="46" t="n">
        <v>45170</v>
      </c>
      <c r="Q847" s="44" t="n">
        <v>2425</v>
      </c>
      <c r="R847" s="44" t="inlineStr">
        <is>
          <t>No Video ID yet</t>
        </is>
      </c>
      <c r="S847" s="46" t="n"/>
      <c r="T847" s="46" t="n"/>
      <c r="U847" s="44" t="n"/>
      <c r="V847" s="44">
        <f>IF(AND(P847&gt;=Calendar!$K$2,P847&lt;EDATE(Calendar!$K$2,1),OR(Calendar!$K$4="*",N847=Calendar!$K$4)),P847*100+COUNTIFS($P$6:$P$3271,P847,$Q$6:$Q$3271,"&lt;="&amp;Q847,$N$6:$N$3271,Calendar!$K$4),"")</f>
        <v/>
      </c>
      <c r="W847" s="44">
        <f>IF(AND(B847=Queue!$C$4,OR(Queue!$K$4="*",N847=Queue!$K$4)),Q847,"")</f>
        <v/>
      </c>
    </row>
    <row r="848">
      <c r="A848" s="35">
        <f>IF(M848="","",HYPERLINK("https://www.youtube.com/watch?v="&amp;M848,"▶"))</f>
        <v/>
      </c>
      <c r="B848" s="36">
        <f>IF(C848&lt;&gt;"",C848,IF(P848&lt;=IFERROR(INDEX(tblChannels[Watched Through],MATCH(N848,tblChannels[Channel ID],0)),0),"Watched","Unwatched"))</f>
        <v/>
      </c>
      <c r="C848" s="37" t="n"/>
      <c r="D848" s="38" t="n"/>
      <c r="E848" s="39" t="n">
        <v>45168.64722222222</v>
      </c>
      <c r="F848" s="47" t="inlineStr">
        <is>
          <t>Super Carlin Brothers</t>
        </is>
      </c>
      <c r="G848" t="inlineStr">
        <is>
          <t>J vs Ben: HARDEST Harry Potter MONSTER Trivia Quiz (feat. Jake the Viking)</t>
        </is>
      </c>
      <c r="H848" s="41" t="n">
        <v>0.03081018518518518</v>
      </c>
      <c r="I848" s="42" t="n">
        <v>196991</v>
      </c>
      <c r="J848" s="42" t="n">
        <v>6795</v>
      </c>
      <c r="K848" s="42" t="n">
        <v>703</v>
      </c>
      <c r="L848" s="43" t="n"/>
      <c r="M848" s="44" t="n"/>
      <c r="N848" s="44" t="inlineStr">
        <is>
          <t>UCKZo4N0lVPccBkSiuyVh4yg</t>
        </is>
      </c>
      <c r="O848" s="45" t="n">
        <v>45168.81388888889</v>
      </c>
      <c r="P848" s="46" t="n">
        <v>45168</v>
      </c>
      <c r="Q848" s="44" t="n">
        <v>2424</v>
      </c>
      <c r="R848" s="44" t="inlineStr">
        <is>
          <t>No Video ID yet</t>
        </is>
      </c>
      <c r="S848" s="46" t="n"/>
      <c r="T848" s="46" t="n"/>
      <c r="U848" s="44" t="n"/>
      <c r="V848" s="44">
        <f>IF(AND(P848&gt;=Calendar!$K$2,P848&lt;EDATE(Calendar!$K$2,1),OR(Calendar!$K$4="*",N848=Calendar!$K$4)),P848*100+COUNTIFS($P$6:$P$3271,P848,$Q$6:$Q$3271,"&lt;="&amp;Q848,$N$6:$N$3271,Calendar!$K$4),"")</f>
        <v/>
      </c>
      <c r="W848" s="44">
        <f>IF(AND(B848=Queue!$C$4,OR(Queue!$K$4="*",N848=Queue!$K$4)),Q848,"")</f>
        <v/>
      </c>
    </row>
    <row r="849">
      <c r="A849" s="35">
        <f>IF(M849="","",HYPERLINK("https://www.youtube.com/watch?v="&amp;M849,"▶"))</f>
        <v/>
      </c>
      <c r="B849" s="36">
        <f>IF(C849&lt;&gt;"",C849,IF(P849&lt;=IFERROR(INDEX(tblChannels[Watched Through],MATCH(N849,tblChannels[Channel ID],0)),0),"Watched","Unwatched"))</f>
        <v/>
      </c>
      <c r="C849" s="37" t="n"/>
      <c r="D849" s="38" t="n"/>
      <c r="E849" s="39" t="n">
        <v>45166.625</v>
      </c>
      <c r="F849" s="50" t="inlineStr">
        <is>
          <t>Jonathan Carlin</t>
        </is>
      </c>
      <c r="G849" t="inlineStr">
        <is>
          <t>LORCANA IS FINALLY HERE!</t>
        </is>
      </c>
      <c r="H849" s="41" t="n">
        <v>0.009513888888888889</v>
      </c>
      <c r="I849" s="42" t="n">
        <v>7481</v>
      </c>
      <c r="J849" s="42" t="n">
        <v>479</v>
      </c>
      <c r="K849" s="42" t="n">
        <v>44</v>
      </c>
      <c r="L849" s="43" t="n"/>
      <c r="M849" s="44" t="n"/>
      <c r="N849" s="44" t="inlineStr">
        <is>
          <t>UCYPKFe86e6nm4TVUYKLsFUQ</t>
        </is>
      </c>
      <c r="O849" s="45" t="n">
        <v>45166.79166666666</v>
      </c>
      <c r="P849" s="46" t="n">
        <v>45166</v>
      </c>
      <c r="Q849" s="44" t="n">
        <v>2423</v>
      </c>
      <c r="R849" s="44" t="inlineStr">
        <is>
          <t>No Video ID yet</t>
        </is>
      </c>
      <c r="S849" s="46" t="n"/>
      <c r="T849" s="46" t="n"/>
      <c r="U849" s="44" t="n"/>
      <c r="V849" s="44">
        <f>IF(AND(P849&gt;=Calendar!$K$2,P849&lt;EDATE(Calendar!$K$2,1),OR(Calendar!$K$4="*",N849=Calendar!$K$4)),P849*100+COUNTIFS($P$6:$P$3271,P849,$Q$6:$Q$3271,"&lt;="&amp;Q849,$N$6:$N$3271,Calendar!$K$4),"")</f>
        <v/>
      </c>
      <c r="W849" s="44">
        <f>IF(AND(B849=Queue!$C$4,OR(Queue!$K$4="*",N849=Queue!$K$4)),Q849,"")</f>
        <v/>
      </c>
    </row>
    <row r="850">
      <c r="A850" s="35">
        <f>IF(M850="","",HYPERLINK("https://www.youtube.com/watch?v="&amp;M850,"▶"))</f>
        <v/>
      </c>
      <c r="B850" s="36">
        <f>IF(C850&lt;&gt;"",C850,IF(P850&lt;=IFERROR(INDEX(tblChannels[Watched Through],MATCH(N850,tblChannels[Channel ID],0)),0),"Watched","Unwatched"))</f>
        <v/>
      </c>
      <c r="C850" s="37" t="n"/>
      <c r="D850" s="38" t="n"/>
      <c r="E850" s="39" t="n">
        <v>45163.575</v>
      </c>
      <c r="F850" s="47" t="inlineStr">
        <is>
          <t>Super Carlin Brothers</t>
        </is>
      </c>
      <c r="G850" t="inlineStr">
        <is>
          <t>Could The Veil KILL Voldemort | Harry Potter Film Theory</t>
        </is>
      </c>
      <c r="H850" s="41" t="n">
        <v>0.01125</v>
      </c>
      <c r="I850" s="42" t="n">
        <v>227714</v>
      </c>
      <c r="J850" s="42" t="n">
        <v>8651</v>
      </c>
      <c r="K850" s="42" t="n">
        <v>719</v>
      </c>
      <c r="L850" s="43" t="n"/>
      <c r="M850" s="44" t="n"/>
      <c r="N850" s="44" t="inlineStr">
        <is>
          <t>UCKZo4N0lVPccBkSiuyVh4yg</t>
        </is>
      </c>
      <c r="O850" s="45" t="n">
        <v>45163.74166666667</v>
      </c>
      <c r="P850" s="46" t="n">
        <v>45163</v>
      </c>
      <c r="Q850" s="44" t="n">
        <v>2422</v>
      </c>
      <c r="R850" s="44" t="inlineStr">
        <is>
          <t>No Video ID yet</t>
        </is>
      </c>
      <c r="S850" s="46" t="n"/>
      <c r="T850" s="46" t="n"/>
      <c r="U850" s="44" t="n"/>
      <c r="V850" s="44">
        <f>IF(AND(P850&gt;=Calendar!$K$2,P850&lt;EDATE(Calendar!$K$2,1),OR(Calendar!$K$4="*",N850=Calendar!$K$4)),P850*100+COUNTIFS($P$6:$P$3271,P850,$Q$6:$Q$3271,"&lt;="&amp;Q850,$N$6:$N$3271,Calendar!$K$4),"")</f>
        <v/>
      </c>
      <c r="W850" s="44">
        <f>IF(AND(B850=Queue!$C$4,OR(Queue!$K$4="*",N850=Queue!$K$4)),Q850,"")</f>
        <v/>
      </c>
    </row>
    <row r="851">
      <c r="A851" s="35">
        <f>IF(M851="","",HYPERLINK("https://www.youtube.com/watch?v="&amp;M851,"▶"))</f>
        <v/>
      </c>
      <c r="B851" s="36">
        <f>IF(C851&lt;&gt;"",C851,IF(P851&lt;=IFERROR(INDEX(tblChannels[Watched Through],MATCH(N851,tblChannels[Channel ID],0)),0),"Watched","Unwatched"))</f>
        <v/>
      </c>
      <c r="C851" s="37" t="n"/>
      <c r="D851" s="38" t="n"/>
      <c r="E851" s="39" t="n">
        <v>45163.41666666666</v>
      </c>
      <c r="F851" s="40" t="inlineStr">
        <is>
          <t>Popcorn Culture</t>
        </is>
      </c>
      <c r="G851" t="inlineStr">
        <is>
          <t>Cucumber Mania! | Popcorn Culture</t>
        </is>
      </c>
      <c r="H851" s="41" t="n">
        <v>0.04571759259259259</v>
      </c>
      <c r="I851" s="42" t="n">
        <v>4276</v>
      </c>
      <c r="J851" s="42" t="n">
        <v>217</v>
      </c>
      <c r="K851" s="42" t="n">
        <v>16</v>
      </c>
      <c r="L851" s="43" t="n"/>
      <c r="M851" s="44" t="n"/>
      <c r="N851" s="44" t="inlineStr">
        <is>
          <t>UCHfIbq9thHPC8yrKjAdJgDA</t>
        </is>
      </c>
      <c r="O851" s="45" t="n">
        <v>45163.58333333334</v>
      </c>
      <c r="P851" s="46" t="n">
        <v>45163</v>
      </c>
      <c r="Q851" s="44" t="n">
        <v>2421</v>
      </c>
      <c r="R851" s="44" t="inlineStr">
        <is>
          <t>No Video ID yet</t>
        </is>
      </c>
      <c r="S851" s="46" t="n"/>
      <c r="T851" s="46" t="n"/>
      <c r="U851" s="44" t="n"/>
      <c r="V851" s="44">
        <f>IF(AND(P851&gt;=Calendar!$K$2,P851&lt;EDATE(Calendar!$K$2,1),OR(Calendar!$K$4="*",N851=Calendar!$K$4)),P851*100+COUNTIFS($P$6:$P$3271,P851,$Q$6:$Q$3271,"&lt;="&amp;Q851,$N$6:$N$3271,Calendar!$K$4),"")</f>
        <v/>
      </c>
      <c r="W851" s="44">
        <f>IF(AND(B851=Queue!$C$4,OR(Queue!$K$4="*",N851=Queue!$K$4)),Q851,"")</f>
        <v/>
      </c>
    </row>
    <row r="852">
      <c r="A852" s="35">
        <f>IF(M852="","",HYPERLINK("https://www.youtube.com/watch?v="&amp;M852,"▶"))</f>
        <v/>
      </c>
      <c r="B852" s="36">
        <f>IF(C852&lt;&gt;"",C852,IF(P852&lt;=IFERROR(INDEX(tblChannels[Watched Through],MATCH(N852,tblChannels[Channel ID],0)),0),"Watched","Unwatched"))</f>
        <v/>
      </c>
      <c r="C852" s="37" t="n"/>
      <c r="D852" s="38" t="n"/>
      <c r="E852" s="39" t="n">
        <v>45162.77083333334</v>
      </c>
      <c r="F852" s="49" t="inlineStr">
        <is>
          <t>Super Carlin Gaming</t>
        </is>
      </c>
      <c r="G852" t="inlineStr">
        <is>
          <t>TONS of Critical Hits | Carlin Brothers Box Breakers S6E8</t>
        </is>
      </c>
      <c r="H852" s="41" t="n">
        <v>0.02827546296296296</v>
      </c>
      <c r="I852" s="42" t="n">
        <v>1768</v>
      </c>
      <c r="J852" s="42" t="n">
        <v>96</v>
      </c>
      <c r="K852" s="42" t="n">
        <v>19</v>
      </c>
      <c r="L852" s="43" t="n"/>
      <c r="M852" s="44" t="n"/>
      <c r="N852" s="44" t="inlineStr">
        <is>
          <t>UCor_9jRnNNZVzTuQ92PKsaQ</t>
        </is>
      </c>
      <c r="O852" s="45" t="n">
        <v>45162.9375</v>
      </c>
      <c r="P852" s="46" t="n">
        <v>45162</v>
      </c>
      <c r="Q852" s="44" t="n">
        <v>2420</v>
      </c>
      <c r="R852" s="44" t="inlineStr">
        <is>
          <t>No Video ID yet</t>
        </is>
      </c>
      <c r="S852" s="46" t="n"/>
      <c r="T852" s="46" t="n"/>
      <c r="U852" s="44" t="n"/>
      <c r="V852" s="44">
        <f>IF(AND(P852&gt;=Calendar!$K$2,P852&lt;EDATE(Calendar!$K$2,1),OR(Calendar!$K$4="*",N852=Calendar!$K$4)),P852*100+COUNTIFS($P$6:$P$3271,P852,$Q$6:$Q$3271,"&lt;="&amp;Q852,$N$6:$N$3271,Calendar!$K$4),"")</f>
        <v/>
      </c>
      <c r="W852" s="44">
        <f>IF(AND(B852=Queue!$C$4,OR(Queue!$K$4="*",N852=Queue!$K$4)),Q852,"")</f>
        <v/>
      </c>
    </row>
    <row r="853">
      <c r="A853" s="35">
        <f>IF(M853="","",HYPERLINK("https://www.youtube.com/watch?v="&amp;M853,"▶"))</f>
        <v/>
      </c>
      <c r="B853" s="36">
        <f>IF(C853&lt;&gt;"",C853,IF(P853&lt;=IFERROR(INDEX(tblChannels[Watched Through],MATCH(N853,tblChannels[Channel ID],0)),0),"Watched","Unwatched"))</f>
        <v/>
      </c>
      <c r="C853" s="37" t="n"/>
      <c r="D853" s="38" t="n"/>
      <c r="E853" s="39" t="n">
        <v>45161.63055555556</v>
      </c>
      <c r="F853" s="47" t="inlineStr">
        <is>
          <t>Super Carlin Brothers</t>
        </is>
      </c>
      <c r="G853" t="inlineStr">
        <is>
          <t>Reacting to EVERY Harry Potter Book Cover | Sorcerer’s Stone</t>
        </is>
      </c>
      <c r="H853" s="41" t="n">
        <v>0.0255787037037037</v>
      </c>
      <c r="I853" s="42" t="n">
        <v>156679</v>
      </c>
      <c r="J853" s="42" t="n">
        <v>6686</v>
      </c>
      <c r="K853" s="42" t="n">
        <v>1228</v>
      </c>
      <c r="L853" s="43" t="n"/>
      <c r="M853" s="44" t="n"/>
      <c r="N853" s="44" t="inlineStr">
        <is>
          <t>UCKZo4N0lVPccBkSiuyVh4yg</t>
        </is>
      </c>
      <c r="O853" s="45" t="n">
        <v>45161.79722222222</v>
      </c>
      <c r="P853" s="46" t="n">
        <v>45161</v>
      </c>
      <c r="Q853" s="44" t="n">
        <v>2419</v>
      </c>
      <c r="R853" s="44" t="inlineStr">
        <is>
          <t>No Video ID yet</t>
        </is>
      </c>
      <c r="S853" s="46" t="n"/>
      <c r="T853" s="46" t="n"/>
      <c r="U853" s="44" t="n"/>
      <c r="V853" s="44">
        <f>IF(AND(P853&gt;=Calendar!$K$2,P853&lt;EDATE(Calendar!$K$2,1),OR(Calendar!$K$4="*",N853=Calendar!$K$4)),P853*100+COUNTIFS($P$6:$P$3271,P853,$Q$6:$Q$3271,"&lt;="&amp;Q853,$N$6:$N$3271,Calendar!$K$4),"")</f>
        <v/>
      </c>
      <c r="W853" s="44">
        <f>IF(AND(B853=Queue!$C$4,OR(Queue!$K$4="*",N853=Queue!$K$4)),Q853,"")</f>
        <v/>
      </c>
    </row>
    <row r="854">
      <c r="A854" s="35">
        <f>IF(M854="","",HYPERLINK("https://www.youtube.com/watch?v="&amp;M854,"▶"))</f>
        <v/>
      </c>
      <c r="B854" s="36">
        <f>IF(C854&lt;&gt;"",C854,IF(P854&lt;=IFERROR(INDEX(tblChannels[Watched Through],MATCH(N854,tblChannels[Channel ID],0)),0),"Watched","Unwatched"))</f>
        <v/>
      </c>
      <c r="C854" s="37" t="n"/>
      <c r="D854" s="38" t="n"/>
      <c r="E854" s="39" t="n">
        <v>45159.625</v>
      </c>
      <c r="F854" s="50" t="inlineStr">
        <is>
          <t>Jonathan Carlin</t>
        </is>
      </c>
      <c r="G854" t="inlineStr">
        <is>
          <t>Luke's FIRST Day of Kindergarten!</t>
        </is>
      </c>
      <c r="H854" s="41" t="n">
        <v>0.01078703703703704</v>
      </c>
      <c r="I854" s="42" t="n">
        <v>12278</v>
      </c>
      <c r="J854" s="42" t="n">
        <v>860</v>
      </c>
      <c r="K854" s="42" t="n">
        <v>105</v>
      </c>
      <c r="L854" s="43" t="n"/>
      <c r="M854" s="44" t="n"/>
      <c r="N854" s="44" t="inlineStr">
        <is>
          <t>UCYPKFe86e6nm4TVUYKLsFUQ</t>
        </is>
      </c>
      <c r="O854" s="45" t="n">
        <v>45159.79166666666</v>
      </c>
      <c r="P854" s="46" t="n">
        <v>45159</v>
      </c>
      <c r="Q854" s="44" t="n">
        <v>2418</v>
      </c>
      <c r="R854" s="44" t="inlineStr">
        <is>
          <t>No Video ID yet</t>
        </is>
      </c>
      <c r="S854" s="46" t="n"/>
      <c r="T854" s="46" t="n"/>
      <c r="U854" s="44" t="n"/>
      <c r="V854" s="44">
        <f>IF(AND(P854&gt;=Calendar!$K$2,P854&lt;EDATE(Calendar!$K$2,1),OR(Calendar!$K$4="*",N854=Calendar!$K$4)),P854*100+COUNTIFS($P$6:$P$3271,P854,$Q$6:$Q$3271,"&lt;="&amp;Q854,$N$6:$N$3271,Calendar!$K$4),"")</f>
        <v/>
      </c>
      <c r="W854" s="44">
        <f>IF(AND(B854=Queue!$C$4,OR(Queue!$K$4="*",N854=Queue!$K$4)),Q854,"")</f>
        <v/>
      </c>
    </row>
    <row r="855">
      <c r="A855" s="35">
        <f>IF(M855="","",HYPERLINK("https://www.youtube.com/watch?v="&amp;M855,"▶"))</f>
        <v/>
      </c>
      <c r="B855" s="36">
        <f>IF(C855&lt;&gt;"",C855,IF(P855&lt;=IFERROR(INDEX(tblChannels[Watched Through],MATCH(N855,tblChannels[Channel ID],0)),0),"Watched","Unwatched"))</f>
        <v/>
      </c>
      <c r="C855" s="37" t="n"/>
      <c r="D855" s="38" t="n"/>
      <c r="E855" s="39" t="n">
        <v>45156.77083333334</v>
      </c>
      <c r="F855" s="49" t="inlineStr">
        <is>
          <t>Super Carlin Gaming</t>
        </is>
      </c>
      <c r="G855" t="inlineStr">
        <is>
          <t>BIG STANDING ENERGY | Carlin Brothers Box Breakers S6E7</t>
        </is>
      </c>
      <c r="H855" s="41" t="n">
        <v>0.02836805555555556</v>
      </c>
      <c r="I855" s="42" t="n">
        <v>1744</v>
      </c>
      <c r="J855" s="42" t="n">
        <v>92</v>
      </c>
      <c r="K855" s="42" t="n">
        <v>6</v>
      </c>
      <c r="L855" s="43" t="n"/>
      <c r="M855" s="44" t="n"/>
      <c r="N855" s="44" t="inlineStr">
        <is>
          <t>UCor_9jRnNNZVzTuQ92PKsaQ</t>
        </is>
      </c>
      <c r="O855" s="45" t="n">
        <v>45156.9375</v>
      </c>
      <c r="P855" s="46" t="n">
        <v>45156</v>
      </c>
      <c r="Q855" s="44" t="n">
        <v>2417</v>
      </c>
      <c r="R855" s="44" t="inlineStr">
        <is>
          <t>No Video ID yet</t>
        </is>
      </c>
      <c r="S855" s="46" t="n"/>
      <c r="T855" s="46" t="n"/>
      <c r="U855" s="44" t="n"/>
      <c r="V855" s="44">
        <f>IF(AND(P855&gt;=Calendar!$K$2,P855&lt;EDATE(Calendar!$K$2,1),OR(Calendar!$K$4="*",N855=Calendar!$K$4)),P855*100+COUNTIFS($P$6:$P$3271,P855,$Q$6:$Q$3271,"&lt;="&amp;Q855,$N$6:$N$3271,Calendar!$K$4),"")</f>
        <v/>
      </c>
      <c r="W855" s="44">
        <f>IF(AND(B855=Queue!$C$4,OR(Queue!$K$4="*",N855=Queue!$K$4)),Q855,"")</f>
        <v/>
      </c>
    </row>
    <row r="856">
      <c r="A856" s="35">
        <f>IF(M856="","",HYPERLINK("https://www.youtube.com/watch?v="&amp;M856,"▶"))</f>
        <v/>
      </c>
      <c r="B856" s="36">
        <f>IF(C856&lt;&gt;"",C856,IF(P856&lt;=IFERROR(INDEX(tblChannels[Watched Through],MATCH(N856,tblChannels[Channel ID],0)),0),"Watched","Unwatched"))</f>
        <v/>
      </c>
      <c r="C856" s="37" t="n"/>
      <c r="D856" s="38" t="n"/>
      <c r="E856" s="39" t="n">
        <v>45156.61111111111</v>
      </c>
      <c r="F856" s="47" t="inlineStr">
        <is>
          <t>Super Carlin Brothers</t>
        </is>
      </c>
      <c r="G856" t="inlineStr">
        <is>
          <t>What If Harry Never Read the Half-Blood Prince’s Book? | Harry Potter Film Theory</t>
        </is>
      </c>
      <c r="H856" s="41" t="n">
        <v>0.01578703703703704</v>
      </c>
      <c r="I856" s="42" t="n">
        <v>308109</v>
      </c>
      <c r="J856" s="42" t="n">
        <v>8703</v>
      </c>
      <c r="K856" s="42" t="n">
        <v>623</v>
      </c>
      <c r="L856" s="43" t="n"/>
      <c r="M856" s="44" t="n"/>
      <c r="N856" s="44" t="inlineStr">
        <is>
          <t>UCKZo4N0lVPccBkSiuyVh4yg</t>
        </is>
      </c>
      <c r="O856" s="45" t="n">
        <v>45156.77777777778</v>
      </c>
      <c r="P856" s="46" t="n">
        <v>45156</v>
      </c>
      <c r="Q856" s="44" t="n">
        <v>2416</v>
      </c>
      <c r="R856" s="44" t="inlineStr">
        <is>
          <t>No Video ID yet</t>
        </is>
      </c>
      <c r="S856" s="46" t="n"/>
      <c r="T856" s="46" t="n"/>
      <c r="U856" s="44" t="n"/>
      <c r="V856" s="44">
        <f>IF(AND(P856&gt;=Calendar!$K$2,P856&lt;EDATE(Calendar!$K$2,1),OR(Calendar!$K$4="*",N856=Calendar!$K$4)),P856*100+COUNTIFS($P$6:$P$3271,P856,$Q$6:$Q$3271,"&lt;="&amp;Q856,$N$6:$N$3271,Calendar!$K$4),"")</f>
        <v/>
      </c>
      <c r="W856" s="44">
        <f>IF(AND(B856=Queue!$C$4,OR(Queue!$K$4="*",N856=Queue!$K$4)),Q856,"")</f>
        <v/>
      </c>
    </row>
    <row r="857">
      <c r="A857" s="35">
        <f>IF(M857="","",HYPERLINK("https://www.youtube.com/watch?v="&amp;M857,"▶"))</f>
        <v/>
      </c>
      <c r="B857" s="36">
        <f>IF(C857&lt;&gt;"",C857,IF(P857&lt;=IFERROR(INDEX(tblChannels[Watched Through],MATCH(N857,tblChannels[Channel ID],0)),0),"Watched","Unwatched"))</f>
        <v/>
      </c>
      <c r="C857" s="37" t="n"/>
      <c r="D857" s="38" t="n"/>
      <c r="E857" s="39" t="n">
        <v>45156.60555555556</v>
      </c>
      <c r="F857" s="50" t="inlineStr">
        <is>
          <t>Jonathan Carlin</t>
        </is>
      </c>
      <c r="G857" t="inlineStr">
        <is>
          <t>We're BACK! And going to School! - Trailer</t>
        </is>
      </c>
      <c r="H857" s="41" t="n">
        <v>0.000625</v>
      </c>
      <c r="I857" s="42" t="n">
        <v>6637</v>
      </c>
      <c r="J857" s="42" t="n">
        <v>498</v>
      </c>
      <c r="K857" s="42" t="n">
        <v>36</v>
      </c>
      <c r="L857" s="43" t="n"/>
      <c r="M857" s="44" t="n"/>
      <c r="N857" s="44" t="inlineStr">
        <is>
          <t>UCYPKFe86e6nm4TVUYKLsFUQ</t>
        </is>
      </c>
      <c r="O857" s="45" t="n">
        <v>45156.77222222222</v>
      </c>
      <c r="P857" s="46" t="n">
        <v>45156</v>
      </c>
      <c r="Q857" s="44" t="n">
        <v>2415</v>
      </c>
      <c r="R857" s="44" t="inlineStr">
        <is>
          <t>No Video ID yet</t>
        </is>
      </c>
      <c r="S857" s="46" t="n"/>
      <c r="T857" s="46" t="n"/>
      <c r="U857" s="44" t="n"/>
      <c r="V857" s="44">
        <f>IF(AND(P857&gt;=Calendar!$K$2,P857&lt;EDATE(Calendar!$K$2,1),OR(Calendar!$K$4="*",N857=Calendar!$K$4)),P857*100+COUNTIFS($P$6:$P$3271,P857,$Q$6:$Q$3271,"&lt;="&amp;Q857,$N$6:$N$3271,Calendar!$K$4),"")</f>
        <v/>
      </c>
      <c r="W857" s="44">
        <f>IF(AND(B857=Queue!$C$4,OR(Queue!$K$4="*",N857=Queue!$K$4)),Q857,"")</f>
        <v/>
      </c>
    </row>
    <row r="858">
      <c r="A858" s="35">
        <f>IF(M858="","",HYPERLINK("https://www.youtube.com/watch?v="&amp;M858,"▶"))</f>
        <v/>
      </c>
      <c r="B858" s="36">
        <f>IF(C858&lt;&gt;"",C858,IF(P858&lt;=IFERROR(INDEX(tblChannels[Watched Through],MATCH(N858,tblChannels[Channel ID],0)),0),"Watched","Unwatched"))</f>
        <v/>
      </c>
      <c r="C858" s="37" t="n"/>
      <c r="D858" s="38" t="n"/>
      <c r="E858" s="39" t="n">
        <v>45156.41666666666</v>
      </c>
      <c r="F858" s="40" t="inlineStr">
        <is>
          <t>Popcorn Culture</t>
        </is>
      </c>
      <c r="G858" t="inlineStr">
        <is>
          <t>Butts and Boats | Popcorn Culture</t>
        </is>
      </c>
      <c r="H858" s="41" t="n">
        <v>0.04167824074074074</v>
      </c>
      <c r="I858" s="42" t="n">
        <v>3908</v>
      </c>
      <c r="J858" s="42" t="n">
        <v>208</v>
      </c>
      <c r="K858" s="42" t="n">
        <v>26</v>
      </c>
      <c r="L858" s="43" t="n"/>
      <c r="M858" s="44" t="n"/>
      <c r="N858" s="44" t="inlineStr">
        <is>
          <t>UCHfIbq9thHPC8yrKjAdJgDA</t>
        </is>
      </c>
      <c r="O858" s="45" t="n">
        <v>45156.58333333334</v>
      </c>
      <c r="P858" s="46" t="n">
        <v>45156</v>
      </c>
      <c r="Q858" s="44" t="n">
        <v>2414</v>
      </c>
      <c r="R858" s="44" t="inlineStr">
        <is>
          <t>No Video ID yet</t>
        </is>
      </c>
      <c r="S858" s="46" t="n"/>
      <c r="T858" s="46" t="n"/>
      <c r="U858" s="44" t="n"/>
      <c r="V858" s="44">
        <f>IF(AND(P858&gt;=Calendar!$K$2,P858&lt;EDATE(Calendar!$K$2,1),OR(Calendar!$K$4="*",N858=Calendar!$K$4)),P858*100+COUNTIFS($P$6:$P$3271,P858,$Q$6:$Q$3271,"&lt;="&amp;Q858,$N$6:$N$3271,Calendar!$K$4),"")</f>
        <v/>
      </c>
      <c r="W858" s="44">
        <f>IF(AND(B858=Queue!$C$4,OR(Queue!$K$4="*",N858=Queue!$K$4)),Q858,"")</f>
        <v/>
      </c>
    </row>
    <row r="859">
      <c r="A859" s="35">
        <f>IF(M859="","",HYPERLINK("https://www.youtube.com/watch?v="&amp;M859,"▶"))</f>
        <v/>
      </c>
      <c r="B859" s="36">
        <f>IF(C859&lt;&gt;"",C859,IF(P859&lt;=IFERROR(INDEX(tblChannels[Watched Through],MATCH(N859,tblChannels[Channel ID],0)),0),"Watched","Unwatched"))</f>
        <v/>
      </c>
      <c r="C859" s="37" t="n"/>
      <c r="D859" s="38" t="n"/>
      <c r="E859" s="39" t="n">
        <v>45155.43680555555</v>
      </c>
      <c r="F859" s="50" t="inlineStr">
        <is>
          <t>Jonathan Carlin</t>
        </is>
      </c>
      <c r="G859" t="inlineStr">
        <is>
          <t>The third kid is always up to something..</t>
        </is>
      </c>
      <c r="H859" s="41" t="n">
        <v>0.0001273148148148148</v>
      </c>
      <c r="I859" s="42" t="n">
        <v>3334</v>
      </c>
      <c r="J859" s="42" t="n">
        <v>226</v>
      </c>
      <c r="K859" s="42" t="n">
        <v>0</v>
      </c>
      <c r="L859" s="43" t="n"/>
      <c r="M859" s="44" t="n"/>
      <c r="N859" s="44" t="inlineStr">
        <is>
          <t>UCYPKFe86e6nm4TVUYKLsFUQ</t>
        </is>
      </c>
      <c r="O859" s="45" t="n">
        <v>45155.60347222222</v>
      </c>
      <c r="P859" s="46" t="n">
        <v>45155</v>
      </c>
      <c r="Q859" s="44" t="n">
        <v>2413</v>
      </c>
      <c r="R859" s="44" t="inlineStr">
        <is>
          <t>No Video ID yet</t>
        </is>
      </c>
      <c r="S859" s="46" t="n"/>
      <c r="T859" s="46" t="n"/>
      <c r="U859" s="44" t="n"/>
      <c r="V859" s="44">
        <f>IF(AND(P859&gt;=Calendar!$K$2,P859&lt;EDATE(Calendar!$K$2,1),OR(Calendar!$K$4="*",N859=Calendar!$K$4)),P859*100+COUNTIFS($P$6:$P$3271,P859,$Q$6:$Q$3271,"&lt;="&amp;Q859,$N$6:$N$3271,Calendar!$K$4),"")</f>
        <v/>
      </c>
      <c r="W859" s="44">
        <f>IF(AND(B859=Queue!$C$4,OR(Queue!$K$4="*",N859=Queue!$K$4)),Q859,"")</f>
        <v/>
      </c>
    </row>
    <row r="860">
      <c r="A860" s="35">
        <f>IF(M860="","",HYPERLINK("https://www.youtube.com/watch?v="&amp;M860,"▶"))</f>
        <v/>
      </c>
      <c r="B860" s="36">
        <f>IF(C860&lt;&gt;"",C860,IF(P860&lt;=IFERROR(INDEX(tblChannels[Watched Through],MATCH(N860,tblChannels[Channel ID],0)),0),"Watched","Unwatched"))</f>
        <v/>
      </c>
      <c r="C860" s="37" t="n"/>
      <c r="D860" s="38" t="n"/>
      <c r="E860" s="39" t="n">
        <v>45154.57361111111</v>
      </c>
      <c r="F860" s="47" t="inlineStr">
        <is>
          <t>Super Carlin Brothers</t>
        </is>
      </c>
      <c r="G860" t="inlineStr">
        <is>
          <t>J vs Ben: HARDEST Hunger Games TRIVIA Quiz</t>
        </is>
      </c>
      <c r="H860" s="41" t="n">
        <v>0.02642361111111111</v>
      </c>
      <c r="I860" s="42" t="n">
        <v>134259</v>
      </c>
      <c r="J860" s="42" t="n">
        <v>4462</v>
      </c>
      <c r="K860" s="42" t="n">
        <v>500</v>
      </c>
      <c r="L860" s="43" t="n"/>
      <c r="M860" s="44" t="n"/>
      <c r="N860" s="44" t="inlineStr">
        <is>
          <t>UCKZo4N0lVPccBkSiuyVh4yg</t>
        </is>
      </c>
      <c r="O860" s="45" t="n">
        <v>45154.74027777778</v>
      </c>
      <c r="P860" s="46" t="n">
        <v>45154</v>
      </c>
      <c r="Q860" s="44" t="n">
        <v>2412</v>
      </c>
      <c r="R860" s="44" t="inlineStr">
        <is>
          <t>No Video ID yet</t>
        </is>
      </c>
      <c r="S860" s="46" t="n"/>
      <c r="T860" s="46" t="n"/>
      <c r="U860" s="44" t="n"/>
      <c r="V860" s="44">
        <f>IF(AND(P860&gt;=Calendar!$K$2,P860&lt;EDATE(Calendar!$K$2,1),OR(Calendar!$K$4="*",N860=Calendar!$K$4)),P860*100+COUNTIFS($P$6:$P$3271,P860,$Q$6:$Q$3271,"&lt;="&amp;Q860,$N$6:$N$3271,Calendar!$K$4),"")</f>
        <v/>
      </c>
      <c r="W860" s="44">
        <f>IF(AND(B860=Queue!$C$4,OR(Queue!$K$4="*",N860=Queue!$K$4)),Q860,"")</f>
        <v/>
      </c>
    </row>
    <row r="861">
      <c r="A861" s="35">
        <f>IF(M861="","",HYPERLINK("https://www.youtube.com/watch?v="&amp;M861,"▶"))</f>
        <v/>
      </c>
      <c r="B861" s="36">
        <f>IF(C861&lt;&gt;"",C861,IF(P861&lt;=IFERROR(INDEX(tblChannels[Watched Through],MATCH(N861,tblChannels[Channel ID],0)),0),"Watched","Unwatched"))</f>
        <v/>
      </c>
      <c r="C861" s="37" t="n"/>
      <c r="D861" s="38" t="n"/>
      <c r="E861" s="39" t="n">
        <v>45149.77083333334</v>
      </c>
      <c r="F861" s="49" t="inlineStr">
        <is>
          <t>Super Carlin Gaming</t>
        </is>
      </c>
      <c r="G861" t="inlineStr">
        <is>
          <t>Crocodile Rock | Carlin Brothers Box Breakers S6E6</t>
        </is>
      </c>
      <c r="H861" s="41" t="n">
        <v>0.02909722222222222</v>
      </c>
      <c r="I861" s="42" t="n">
        <v>1741</v>
      </c>
      <c r="J861" s="42" t="n">
        <v>89</v>
      </c>
      <c r="K861" s="42" t="n">
        <v>9</v>
      </c>
      <c r="L861" s="43" t="n"/>
      <c r="M861" s="44" t="n"/>
      <c r="N861" s="44" t="inlineStr">
        <is>
          <t>UCor_9jRnNNZVzTuQ92PKsaQ</t>
        </is>
      </c>
      <c r="O861" s="45" t="n">
        <v>45149.9375</v>
      </c>
      <c r="P861" s="46" t="n">
        <v>45149</v>
      </c>
      <c r="Q861" s="44" t="n">
        <v>2411</v>
      </c>
      <c r="R861" s="44" t="inlineStr">
        <is>
          <t>No Video ID yet</t>
        </is>
      </c>
      <c r="S861" s="46" t="n"/>
      <c r="T861" s="46" t="n"/>
      <c r="U861" s="44" t="n"/>
      <c r="V861" s="44">
        <f>IF(AND(P861&gt;=Calendar!$K$2,P861&lt;EDATE(Calendar!$K$2,1),OR(Calendar!$K$4="*",N861=Calendar!$K$4)),P861*100+COUNTIFS($P$6:$P$3271,P861,$Q$6:$Q$3271,"&lt;="&amp;Q861,$N$6:$N$3271,Calendar!$K$4),"")</f>
        <v/>
      </c>
      <c r="W861" s="44">
        <f>IF(AND(B861=Queue!$C$4,OR(Queue!$K$4="*",N861=Queue!$K$4)),Q861,"")</f>
        <v/>
      </c>
    </row>
    <row r="862">
      <c r="A862" s="35">
        <f>IF(M862="","",HYPERLINK("https://www.youtube.com/watch?v="&amp;M862,"▶"))</f>
        <v/>
      </c>
      <c r="B862" s="36">
        <f>IF(C862&lt;&gt;"",C862,IF(P862&lt;=IFERROR(INDEX(tblChannels[Watched Through],MATCH(N862,tblChannels[Channel ID],0)),0),"Watched","Unwatched"))</f>
        <v/>
      </c>
      <c r="C862" s="37" t="n"/>
      <c r="D862" s="38" t="n"/>
      <c r="E862" s="39" t="n">
        <v>45149.54652777778</v>
      </c>
      <c r="F862" s="47" t="inlineStr">
        <is>
          <t>Super Carlin Brothers</t>
        </is>
      </c>
      <c r="G862" t="inlineStr">
        <is>
          <t>Finnick &amp; Tigris's BIG Secret | Hunger Games Film Theory</t>
        </is>
      </c>
      <c r="H862" s="41" t="n">
        <v>0.01271990740740741</v>
      </c>
      <c r="I862" s="42" t="n">
        <v>597073</v>
      </c>
      <c r="J862" s="42" t="n">
        <v>15000</v>
      </c>
      <c r="K862" s="42" t="n">
        <v>599</v>
      </c>
      <c r="L862" s="43" t="n"/>
      <c r="M862" s="44" t="n"/>
      <c r="N862" s="44" t="inlineStr">
        <is>
          <t>UCKZo4N0lVPccBkSiuyVh4yg</t>
        </is>
      </c>
      <c r="O862" s="45" t="n">
        <v>45149.71319444444</v>
      </c>
      <c r="P862" s="46" t="n">
        <v>45149</v>
      </c>
      <c r="Q862" s="44" t="n">
        <v>2410</v>
      </c>
      <c r="R862" s="44" t="inlineStr">
        <is>
          <t>No Video ID yet</t>
        </is>
      </c>
      <c r="S862" s="46" t="n"/>
      <c r="T862" s="46" t="n"/>
      <c r="U862" s="44" t="n"/>
      <c r="V862" s="44">
        <f>IF(AND(P862&gt;=Calendar!$K$2,P862&lt;EDATE(Calendar!$K$2,1),OR(Calendar!$K$4="*",N862=Calendar!$K$4)),P862*100+COUNTIFS($P$6:$P$3271,P862,$Q$6:$Q$3271,"&lt;="&amp;Q862,$N$6:$N$3271,Calendar!$K$4),"")</f>
        <v/>
      </c>
      <c r="W862" s="44">
        <f>IF(AND(B862=Queue!$C$4,OR(Queue!$K$4="*",N862=Queue!$K$4)),Q862,"")</f>
        <v/>
      </c>
    </row>
    <row r="863">
      <c r="A863" s="35">
        <f>IF(M863="","",HYPERLINK("https://www.youtube.com/watch?v="&amp;M863,"▶"))</f>
        <v/>
      </c>
      <c r="B863" s="36">
        <f>IF(C863&lt;&gt;"",C863,IF(P863&lt;=IFERROR(INDEX(tblChannels[Watched Through],MATCH(N863,tblChannels[Channel ID],0)),0),"Watched","Unwatched"))</f>
        <v/>
      </c>
      <c r="C863" s="37" t="n"/>
      <c r="D863" s="38" t="n"/>
      <c r="E863" s="39" t="n">
        <v>45149.42708333334</v>
      </c>
      <c r="F863" s="40" t="inlineStr">
        <is>
          <t>Popcorn Culture</t>
        </is>
      </c>
      <c r="G863" t="inlineStr">
        <is>
          <t>Luke’s a Kindergartener!  | Popcorn Culture</t>
        </is>
      </c>
      <c r="H863" s="41" t="n">
        <v>0.04745370370370371</v>
      </c>
      <c r="I863" s="42" t="n">
        <v>5021</v>
      </c>
      <c r="J863" s="42" t="n">
        <v>254</v>
      </c>
      <c r="K863" s="42" t="n">
        <v>35</v>
      </c>
      <c r="L863" s="43" t="n"/>
      <c r="M863" s="44" t="n"/>
      <c r="N863" s="44" t="inlineStr">
        <is>
          <t>UCHfIbq9thHPC8yrKjAdJgDA</t>
        </is>
      </c>
      <c r="O863" s="45" t="n">
        <v>45149.59375</v>
      </c>
      <c r="P863" s="46" t="n">
        <v>45149</v>
      </c>
      <c r="Q863" s="44" t="n">
        <v>2409</v>
      </c>
      <c r="R863" s="44" t="inlineStr">
        <is>
          <t>No Video ID yet</t>
        </is>
      </c>
      <c r="S863" s="46" t="n"/>
      <c r="T863" s="46" t="n"/>
      <c r="U863" s="44" t="n"/>
      <c r="V863" s="44">
        <f>IF(AND(P863&gt;=Calendar!$K$2,P863&lt;EDATE(Calendar!$K$2,1),OR(Calendar!$K$4="*",N863=Calendar!$K$4)),P863*100+COUNTIFS($P$6:$P$3271,P863,$Q$6:$Q$3271,"&lt;="&amp;Q863,$N$6:$N$3271,Calendar!$K$4),"")</f>
        <v/>
      </c>
      <c r="W863" s="44">
        <f>IF(AND(B863=Queue!$C$4,OR(Queue!$K$4="*",N863=Queue!$K$4)),Q863,"")</f>
        <v/>
      </c>
    </row>
    <row r="864">
      <c r="A864" s="35">
        <f>IF(M864="","",HYPERLINK("https://www.youtube.com/watch?v="&amp;M864,"▶"))</f>
        <v/>
      </c>
      <c r="B864" s="36">
        <f>IF(C864&lt;&gt;"",C864,IF(P864&lt;=IFERROR(INDEX(tblChannels[Watched Through],MATCH(N864,tblChannels[Channel ID],0)),0),"Watched","Unwatched"))</f>
        <v/>
      </c>
      <c r="C864" s="37" t="n"/>
      <c r="D864" s="38" t="n"/>
      <c r="E864" s="39" t="n">
        <v>45147.67777777778</v>
      </c>
      <c r="F864" s="47" t="inlineStr">
        <is>
          <t>Super Carlin Brothers</t>
        </is>
      </c>
      <c r="G864" t="inlineStr">
        <is>
          <t>Top 7 PLOT TWISTS in Harry Potter</t>
        </is>
      </c>
      <c r="H864" s="41" t="n">
        <v>0.01490740740740741</v>
      </c>
      <c r="I864" s="42" t="n">
        <v>412772</v>
      </c>
      <c r="J864" s="42" t="n">
        <v>12374</v>
      </c>
      <c r="K864" s="42" t="n">
        <v>1118</v>
      </c>
      <c r="L864" s="43" t="n"/>
      <c r="M864" s="44" t="n"/>
      <c r="N864" s="44" t="inlineStr">
        <is>
          <t>UCKZo4N0lVPccBkSiuyVh4yg</t>
        </is>
      </c>
      <c r="O864" s="45" t="n">
        <v>45147.84444444445</v>
      </c>
      <c r="P864" s="46" t="n">
        <v>45147</v>
      </c>
      <c r="Q864" s="44" t="n">
        <v>2408</v>
      </c>
      <c r="R864" s="44" t="inlineStr">
        <is>
          <t>No Video ID yet</t>
        </is>
      </c>
      <c r="S864" s="46" t="n"/>
      <c r="T864" s="46" t="n"/>
      <c r="U864" s="44" t="n"/>
      <c r="V864" s="44">
        <f>IF(AND(P864&gt;=Calendar!$K$2,P864&lt;EDATE(Calendar!$K$2,1),OR(Calendar!$K$4="*",N864=Calendar!$K$4)),P864*100+COUNTIFS($P$6:$P$3271,P864,$Q$6:$Q$3271,"&lt;="&amp;Q864,$N$6:$N$3271,Calendar!$K$4),"")</f>
        <v/>
      </c>
      <c r="W864" s="44">
        <f>IF(AND(B864=Queue!$C$4,OR(Queue!$K$4="*",N864=Queue!$K$4)),Q864,"")</f>
        <v/>
      </c>
    </row>
    <row r="865">
      <c r="A865" s="35">
        <f>IF(M865="","",HYPERLINK("https://www.youtube.com/watch?v="&amp;M865,"▶"))</f>
        <v/>
      </c>
      <c r="B865" s="36">
        <f>IF(C865&lt;&gt;"",C865,IF(P865&lt;=IFERROR(INDEX(tblChannels[Watched Through],MATCH(N865,tblChannels[Channel ID],0)),0),"Watched","Unwatched"))</f>
        <v/>
      </c>
      <c r="C865" s="37" t="n"/>
      <c r="D865" s="38" t="n"/>
      <c r="E865" s="39" t="n">
        <v>45145.41666666666</v>
      </c>
      <c r="F865" s="50" t="inlineStr">
        <is>
          <t>Jonathan Carlin</t>
        </is>
      </c>
      <c r="G865" t="inlineStr">
        <is>
          <t>The MISSING Disney Vlog!</t>
        </is>
      </c>
      <c r="H865" s="41" t="n">
        <v>0.01795138888888889</v>
      </c>
      <c r="I865" s="42" t="n">
        <v>13845</v>
      </c>
      <c r="J865" s="42" t="n">
        <v>816</v>
      </c>
      <c r="K865" s="42" t="n">
        <v>78</v>
      </c>
      <c r="L865" s="43" t="n"/>
      <c r="M865" s="44" t="n"/>
      <c r="N865" s="44" t="inlineStr">
        <is>
          <t>UCYPKFe86e6nm4TVUYKLsFUQ</t>
        </is>
      </c>
      <c r="O865" s="45" t="n">
        <v>45145.58333333334</v>
      </c>
      <c r="P865" s="46" t="n">
        <v>45145</v>
      </c>
      <c r="Q865" s="44" t="n">
        <v>2407</v>
      </c>
      <c r="R865" s="44" t="inlineStr">
        <is>
          <t>No Video ID yet</t>
        </is>
      </c>
      <c r="S865" s="46" t="n"/>
      <c r="T865" s="46" t="n"/>
      <c r="U865" s="44" t="n"/>
      <c r="V865" s="44">
        <f>IF(AND(P865&gt;=Calendar!$K$2,P865&lt;EDATE(Calendar!$K$2,1),OR(Calendar!$K$4="*",N865=Calendar!$K$4)),P865*100+COUNTIFS($P$6:$P$3271,P865,$Q$6:$Q$3271,"&lt;="&amp;Q865,$N$6:$N$3271,Calendar!$K$4),"")</f>
        <v/>
      </c>
      <c r="W865" s="44">
        <f>IF(AND(B865=Queue!$C$4,OR(Queue!$K$4="*",N865=Queue!$K$4)),Q865,"")</f>
        <v/>
      </c>
    </row>
    <row r="866">
      <c r="A866" s="35">
        <f>IF(M866="","",HYPERLINK("https://www.youtube.com/watch?v="&amp;M866,"▶"))</f>
        <v/>
      </c>
      <c r="B866" s="36">
        <f>IF(C866&lt;&gt;"",C866,IF(P866&lt;=IFERROR(INDEX(tblChannels[Watched Through],MATCH(N866,tblChannels[Channel ID],0)),0),"Watched","Unwatched"))</f>
        <v/>
      </c>
      <c r="C866" s="37" t="n"/>
      <c r="D866" s="38" t="n"/>
      <c r="E866" s="39" t="n">
        <v>45142.77083333334</v>
      </c>
      <c r="F866" s="49" t="inlineStr">
        <is>
          <t>Super Carlin Gaming</t>
        </is>
      </c>
      <c r="G866" t="inlineStr">
        <is>
          <t>Huge Day For Last Place! | Carlin Brothers Box Breakers S6E5</t>
        </is>
      </c>
      <c r="H866" s="41" t="n">
        <v>0.03072916666666667</v>
      </c>
      <c r="I866" s="42" t="n">
        <v>1836</v>
      </c>
      <c r="J866" s="42" t="n">
        <v>96</v>
      </c>
      <c r="K866" s="42" t="n">
        <v>10</v>
      </c>
      <c r="L866" s="43" t="n"/>
      <c r="M866" s="44" t="n"/>
      <c r="N866" s="44" t="inlineStr">
        <is>
          <t>UCor_9jRnNNZVzTuQ92PKsaQ</t>
        </is>
      </c>
      <c r="O866" s="45" t="n">
        <v>45142.9375</v>
      </c>
      <c r="P866" s="46" t="n">
        <v>45142</v>
      </c>
      <c r="Q866" s="44" t="n">
        <v>2406</v>
      </c>
      <c r="R866" s="44" t="inlineStr">
        <is>
          <t>No Video ID yet</t>
        </is>
      </c>
      <c r="S866" s="46" t="n"/>
      <c r="T866" s="46" t="n"/>
      <c r="U866" s="44" t="n"/>
      <c r="V866" s="44">
        <f>IF(AND(P866&gt;=Calendar!$K$2,P866&lt;EDATE(Calendar!$K$2,1),OR(Calendar!$K$4="*",N866=Calendar!$K$4)),P866*100+COUNTIFS($P$6:$P$3271,P866,$Q$6:$Q$3271,"&lt;="&amp;Q866,$N$6:$N$3271,Calendar!$K$4),"")</f>
        <v/>
      </c>
      <c r="W866" s="44">
        <f>IF(AND(B866=Queue!$C$4,OR(Queue!$K$4="*",N866=Queue!$K$4)),Q866,"")</f>
        <v/>
      </c>
    </row>
    <row r="867">
      <c r="A867" s="35">
        <f>IF(M867="","",HYPERLINK("https://www.youtube.com/watch?v="&amp;M867,"▶"))</f>
        <v/>
      </c>
      <c r="B867" s="36">
        <f>IF(C867&lt;&gt;"",C867,IF(P867&lt;=IFERROR(INDEX(tblChannels[Watched Through],MATCH(N867,tblChannels[Channel ID],0)),0),"Watched","Unwatched"))</f>
        <v/>
      </c>
      <c r="C867" s="37" t="n"/>
      <c r="D867" s="38" t="n"/>
      <c r="E867" s="39" t="n">
        <v>45142.68611111111</v>
      </c>
      <c r="F867" s="47" t="inlineStr">
        <is>
          <t>Super Carlin Brothers</t>
        </is>
      </c>
      <c r="G867" t="inlineStr">
        <is>
          <t>The TRUTH About Katniss and Lucy Gray | Hunger Games Film Theory</t>
        </is>
      </c>
      <c r="H867" s="41" t="n">
        <v>0.01357638888888889</v>
      </c>
      <c r="I867" s="42" t="n">
        <v>206590</v>
      </c>
      <c r="J867" s="42" t="n">
        <v>7840</v>
      </c>
      <c r="K867" s="42" t="n">
        <v>576</v>
      </c>
      <c r="L867" s="43" t="n"/>
      <c r="M867" s="44" t="n"/>
      <c r="N867" s="44" t="inlineStr">
        <is>
          <t>UCKZo4N0lVPccBkSiuyVh4yg</t>
        </is>
      </c>
      <c r="O867" s="45" t="n">
        <v>45142.85277777778</v>
      </c>
      <c r="P867" s="46" t="n">
        <v>45142</v>
      </c>
      <c r="Q867" s="44" t="n">
        <v>2405</v>
      </c>
      <c r="R867" s="44" t="inlineStr">
        <is>
          <t>No Video ID yet</t>
        </is>
      </c>
      <c r="S867" s="46" t="n"/>
      <c r="T867" s="46" t="n"/>
      <c r="U867" s="44" t="n"/>
      <c r="V867" s="44">
        <f>IF(AND(P867&gt;=Calendar!$K$2,P867&lt;EDATE(Calendar!$K$2,1),OR(Calendar!$K$4="*",N867=Calendar!$K$4)),P867*100+COUNTIFS($P$6:$P$3271,P867,$Q$6:$Q$3271,"&lt;="&amp;Q867,$N$6:$N$3271,Calendar!$K$4),"")</f>
        <v/>
      </c>
      <c r="W867" s="44">
        <f>IF(AND(B867=Queue!$C$4,OR(Queue!$K$4="*",N867=Queue!$K$4)),Q867,"")</f>
        <v/>
      </c>
    </row>
    <row r="868">
      <c r="A868" s="35">
        <f>IF(M868="","",HYPERLINK("https://www.youtube.com/watch?v="&amp;M868,"▶"))</f>
        <v/>
      </c>
      <c r="B868" s="36">
        <f>IF(C868&lt;&gt;"",C868,IF(P868&lt;=IFERROR(INDEX(tblChannels[Watched Through],MATCH(N868,tblChannels[Channel ID],0)),0),"Watched","Unwatched"))</f>
        <v/>
      </c>
      <c r="C868" s="37" t="n"/>
      <c r="D868" s="38" t="n"/>
      <c r="E868" s="39" t="n">
        <v>45142.41666666666</v>
      </c>
      <c r="F868" s="40" t="inlineStr">
        <is>
          <t>Popcorn Culture</t>
        </is>
      </c>
      <c r="G868" t="inlineStr">
        <is>
          <t>Ben Got a Tattoo - Not Clickbait | Popcorn Culture</t>
        </is>
      </c>
      <c r="H868" s="41" t="n">
        <v>0.04655092592592593</v>
      </c>
      <c r="I868" s="42" t="n">
        <v>7154</v>
      </c>
      <c r="J868" s="42" t="n">
        <v>349</v>
      </c>
      <c r="K868" s="42" t="n">
        <v>55</v>
      </c>
      <c r="L868" s="43" t="n"/>
      <c r="M868" s="44" t="n"/>
      <c r="N868" s="44" t="inlineStr">
        <is>
          <t>UCHfIbq9thHPC8yrKjAdJgDA</t>
        </is>
      </c>
      <c r="O868" s="45" t="n">
        <v>45142.58333333334</v>
      </c>
      <c r="P868" s="46" t="n">
        <v>45142</v>
      </c>
      <c r="Q868" s="44" t="n">
        <v>2404</v>
      </c>
      <c r="R868" s="44" t="inlineStr">
        <is>
          <t>No Video ID yet</t>
        </is>
      </c>
      <c r="S868" s="46" t="n"/>
      <c r="T868" s="46" t="n"/>
      <c r="U868" s="44" t="n"/>
      <c r="V868" s="44">
        <f>IF(AND(P868&gt;=Calendar!$K$2,P868&lt;EDATE(Calendar!$K$2,1),OR(Calendar!$K$4="*",N868=Calendar!$K$4)),P868*100+COUNTIFS($P$6:$P$3271,P868,$Q$6:$Q$3271,"&lt;="&amp;Q868,$N$6:$N$3271,Calendar!$K$4),"")</f>
        <v/>
      </c>
      <c r="W868" s="44">
        <f>IF(AND(B868=Queue!$C$4,OR(Queue!$K$4="*",N868=Queue!$K$4)),Q868,"")</f>
        <v/>
      </c>
    </row>
    <row r="869">
      <c r="A869" s="35">
        <f>IF(M869="","",HYPERLINK("https://www.youtube.com/watch?v="&amp;M869,"▶"))</f>
        <v/>
      </c>
      <c r="B869" s="36">
        <f>IF(C869&lt;&gt;"",C869,IF(P869&lt;=IFERROR(INDEX(tblChannels[Watched Through],MATCH(N869,tblChannels[Channel ID],0)),0),"Watched","Unwatched"))</f>
        <v/>
      </c>
      <c r="C869" s="37" t="n"/>
      <c r="D869" s="38" t="n"/>
      <c r="E869" s="39" t="n">
        <v>45140.66666666666</v>
      </c>
      <c r="F869" s="47" t="inlineStr">
        <is>
          <t>Super Carlin Brothers</t>
        </is>
      </c>
      <c r="G869" t="inlineStr">
        <is>
          <t>J vs Ben: ULTIMATE Tri-Wizard Task Harry Potter TRIVIA Quiz</t>
        </is>
      </c>
      <c r="H869" s="41" t="n">
        <v>0.02116898148148148</v>
      </c>
      <c r="I869" s="42" t="n">
        <v>183024</v>
      </c>
      <c r="J869" s="42" t="n">
        <v>6269</v>
      </c>
      <c r="K869" s="42" t="n">
        <v>784</v>
      </c>
      <c r="L869" s="43" t="n"/>
      <c r="M869" s="44" t="n"/>
      <c r="N869" s="44" t="inlineStr">
        <is>
          <t>UCKZo4N0lVPccBkSiuyVh4yg</t>
        </is>
      </c>
      <c r="O869" s="45" t="n">
        <v>45140.83333333334</v>
      </c>
      <c r="P869" s="46" t="n">
        <v>45140</v>
      </c>
      <c r="Q869" s="44" t="n">
        <v>2403</v>
      </c>
      <c r="R869" s="44" t="inlineStr">
        <is>
          <t>No Video ID yet</t>
        </is>
      </c>
      <c r="S869" s="46" t="n"/>
      <c r="T869" s="46" t="n"/>
      <c r="U869" s="44" t="n"/>
      <c r="V869" s="44">
        <f>IF(AND(P869&gt;=Calendar!$K$2,P869&lt;EDATE(Calendar!$K$2,1),OR(Calendar!$K$4="*",N869=Calendar!$K$4)),P869*100+COUNTIFS($P$6:$P$3271,P869,$Q$6:$Q$3271,"&lt;="&amp;Q869,$N$6:$N$3271,Calendar!$K$4),"")</f>
        <v/>
      </c>
      <c r="W869" s="44">
        <f>IF(AND(B869=Queue!$C$4,OR(Queue!$K$4="*",N869=Queue!$K$4)),Q869,"")</f>
        <v/>
      </c>
    </row>
    <row r="870">
      <c r="A870" s="35">
        <f>IF(M870="","",HYPERLINK("https://www.youtube.com/watch?v="&amp;M870,"▶"))</f>
        <v/>
      </c>
      <c r="B870" s="36">
        <f>IF(C870&lt;&gt;"",C870,IF(P870&lt;=IFERROR(INDEX(tblChannels[Watched Through],MATCH(N870,tblChannels[Channel ID],0)),0),"Watched","Unwatched"))</f>
        <v/>
      </c>
      <c r="C870" s="37" t="n"/>
      <c r="D870" s="38" t="n"/>
      <c r="E870" s="39" t="n">
        <v>45138.77083333334</v>
      </c>
      <c r="F870" s="49" t="inlineStr">
        <is>
          <t>Super Carlin Gaming</t>
        </is>
      </c>
      <c r="G870" t="inlineStr">
        <is>
          <t>THE KARP ARE CIRCLING | Carlin Brothers Box Breakers S6E4</t>
        </is>
      </c>
      <c r="H870" s="41" t="n">
        <v>0.03087962962962963</v>
      </c>
      <c r="I870" s="42" t="n">
        <v>2015</v>
      </c>
      <c r="J870" s="42" t="n">
        <v>99</v>
      </c>
      <c r="K870" s="42" t="n">
        <v>21</v>
      </c>
      <c r="L870" s="43" t="n"/>
      <c r="M870" s="44" t="n"/>
      <c r="N870" s="44" t="inlineStr">
        <is>
          <t>UCor_9jRnNNZVzTuQ92PKsaQ</t>
        </is>
      </c>
      <c r="O870" s="45" t="n">
        <v>45138.9375</v>
      </c>
      <c r="P870" s="46" t="n">
        <v>45138</v>
      </c>
      <c r="Q870" s="44" t="n">
        <v>2402</v>
      </c>
      <c r="R870" s="44" t="inlineStr">
        <is>
          <t>No Video ID yet</t>
        </is>
      </c>
      <c r="S870" s="46" t="n"/>
      <c r="T870" s="46" t="n"/>
      <c r="U870" s="44" t="n"/>
      <c r="V870" s="44">
        <f>IF(AND(P870&gt;=Calendar!$K$2,P870&lt;EDATE(Calendar!$K$2,1),OR(Calendar!$K$4="*",N870=Calendar!$K$4)),P870*100+COUNTIFS($P$6:$P$3271,P870,$Q$6:$Q$3271,"&lt;="&amp;Q870,$N$6:$N$3271,Calendar!$K$4),"")</f>
        <v/>
      </c>
      <c r="W870" s="44">
        <f>IF(AND(B870=Queue!$C$4,OR(Queue!$K$4="*",N870=Queue!$K$4)),Q870,"")</f>
        <v/>
      </c>
    </row>
    <row r="871">
      <c r="A871" s="35">
        <f>IF(M871="","",HYPERLINK("https://www.youtube.com/watch?v="&amp;M871,"▶"))</f>
        <v/>
      </c>
      <c r="B871" s="36">
        <f>IF(C871&lt;&gt;"",C871,IF(P871&lt;=IFERROR(INDEX(tblChannels[Watched Through],MATCH(N871,tblChannels[Channel ID],0)),0),"Watched","Unwatched"))</f>
        <v/>
      </c>
      <c r="C871" s="37" t="n"/>
      <c r="D871" s="38" t="n"/>
      <c r="E871" s="39" t="n">
        <v>45135.69930555556</v>
      </c>
      <c r="F871" s="47" t="inlineStr">
        <is>
          <t>Super Carlin Brothers</t>
        </is>
      </c>
      <c r="G871" t="inlineStr">
        <is>
          <t>President Coin Is ACTUALLY Lucy Grey Baird | Hunger Games Film Theory</t>
        </is>
      </c>
      <c r="H871" s="41" t="n">
        <v>0.01482638888888889</v>
      </c>
      <c r="I871" s="42" t="n">
        <v>631240</v>
      </c>
      <c r="J871" s="42" t="n">
        <v>13359</v>
      </c>
      <c r="K871" s="42" t="n">
        <v>1757</v>
      </c>
      <c r="L871" s="43" t="n"/>
      <c r="M871" s="44" t="n"/>
      <c r="N871" s="44" t="inlineStr">
        <is>
          <t>UCKZo4N0lVPccBkSiuyVh4yg</t>
        </is>
      </c>
      <c r="O871" s="45" t="n">
        <v>45135.86597222222</v>
      </c>
      <c r="P871" s="46" t="n">
        <v>45135</v>
      </c>
      <c r="Q871" s="44" t="n">
        <v>2401</v>
      </c>
      <c r="R871" s="44" t="inlineStr">
        <is>
          <t>No Video ID yet</t>
        </is>
      </c>
      <c r="S871" s="46" t="n"/>
      <c r="T871" s="46" t="n"/>
      <c r="U871" s="44" t="n"/>
      <c r="V871" s="44">
        <f>IF(AND(P871&gt;=Calendar!$K$2,P871&lt;EDATE(Calendar!$K$2,1),OR(Calendar!$K$4="*",N871=Calendar!$K$4)),P871*100+COUNTIFS($P$6:$P$3271,P871,$Q$6:$Q$3271,"&lt;="&amp;Q871,$N$6:$N$3271,Calendar!$K$4),"")</f>
        <v/>
      </c>
      <c r="W871" s="44">
        <f>IF(AND(B871=Queue!$C$4,OR(Queue!$K$4="*",N871=Queue!$K$4)),Q871,"")</f>
        <v/>
      </c>
    </row>
    <row r="872">
      <c r="A872" s="35">
        <f>IF(M872="","",HYPERLINK("https://www.youtube.com/watch?v="&amp;M872,"▶"))</f>
        <v/>
      </c>
      <c r="B872" s="36">
        <f>IF(C872&lt;&gt;"",C872,IF(P872&lt;=IFERROR(INDEX(tblChannels[Watched Through],MATCH(N872,tblChannels[Channel ID],0)),0),"Watched","Unwatched"))</f>
        <v/>
      </c>
      <c r="C872" s="37" t="n"/>
      <c r="D872" s="38" t="n"/>
      <c r="E872" s="39" t="n">
        <v>45135.41666666666</v>
      </c>
      <c r="F872" s="40" t="inlineStr">
        <is>
          <t>Popcorn Culture</t>
        </is>
      </c>
      <c r="G872" t="inlineStr">
        <is>
          <t>Ben's Mystery Trip to NYC - Not Clickbait | Popcorn Culture</t>
        </is>
      </c>
      <c r="H872" s="41" t="n">
        <v>0.04748842592592593</v>
      </c>
      <c r="I872" s="42" t="n">
        <v>4219</v>
      </c>
      <c r="J872" s="42" t="n">
        <v>217</v>
      </c>
      <c r="K872" s="42" t="n">
        <v>14</v>
      </c>
      <c r="L872" s="43" t="n"/>
      <c r="M872" s="44" t="n"/>
      <c r="N872" s="44" t="inlineStr">
        <is>
          <t>UCHfIbq9thHPC8yrKjAdJgDA</t>
        </is>
      </c>
      <c r="O872" s="45" t="n">
        <v>45135.58333333334</v>
      </c>
      <c r="P872" s="46" t="n">
        <v>45135</v>
      </c>
      <c r="Q872" s="44" t="n">
        <v>2400</v>
      </c>
      <c r="R872" s="44" t="inlineStr">
        <is>
          <t>No Video ID yet</t>
        </is>
      </c>
      <c r="S872" s="46" t="n"/>
      <c r="T872" s="46" t="n"/>
      <c r="U872" s="44" t="n"/>
      <c r="V872" s="44">
        <f>IF(AND(P872&gt;=Calendar!$K$2,P872&lt;EDATE(Calendar!$K$2,1),OR(Calendar!$K$4="*",N872=Calendar!$K$4)),P872*100+COUNTIFS($P$6:$P$3271,P872,$Q$6:$Q$3271,"&lt;="&amp;Q872,$N$6:$N$3271,Calendar!$K$4),"")</f>
        <v/>
      </c>
      <c r="W872" s="44">
        <f>IF(AND(B872=Queue!$C$4,OR(Queue!$K$4="*",N872=Queue!$K$4)),Q872,"")</f>
        <v/>
      </c>
    </row>
    <row r="873">
      <c r="A873" s="35">
        <f>IF(M873="","",HYPERLINK("https://www.youtube.com/watch?v="&amp;M873,"▶"))</f>
        <v/>
      </c>
      <c r="B873" s="36">
        <f>IF(C873&lt;&gt;"",C873,IF(P873&lt;=IFERROR(INDEX(tblChannels[Watched Through],MATCH(N873,tblChannels[Channel ID],0)),0),"Watched","Unwatched"))</f>
        <v/>
      </c>
      <c r="C873" s="37" t="n"/>
      <c r="D873" s="38" t="n"/>
      <c r="E873" s="39" t="n">
        <v>45133.68541666667</v>
      </c>
      <c r="F873" s="47" t="inlineStr">
        <is>
          <t>Super Carlin Brothers</t>
        </is>
      </c>
      <c r="G873" t="inlineStr">
        <is>
          <t>What If Dobby NEVER Interfered In Harry’s Life? | Harry Potter Film Theory</t>
        </is>
      </c>
      <c r="H873" s="41" t="n">
        <v>0.01430555555555556</v>
      </c>
      <c r="I873" s="42" t="n">
        <v>355047</v>
      </c>
      <c r="J873" s="42" t="n">
        <v>11589</v>
      </c>
      <c r="K873" s="42" t="n">
        <v>1170</v>
      </c>
      <c r="L873" s="43" t="n"/>
      <c r="M873" s="44" t="n"/>
      <c r="N873" s="44" t="inlineStr">
        <is>
          <t>UCKZo4N0lVPccBkSiuyVh4yg</t>
        </is>
      </c>
      <c r="O873" s="45" t="n">
        <v>45133.85208333333</v>
      </c>
      <c r="P873" s="46" t="n">
        <v>45133</v>
      </c>
      <c r="Q873" s="44" t="n">
        <v>2399</v>
      </c>
      <c r="R873" s="44" t="inlineStr">
        <is>
          <t>No Video ID yet</t>
        </is>
      </c>
      <c r="S873" s="46" t="n"/>
      <c r="T873" s="46" t="n"/>
      <c r="U873" s="44" t="n"/>
      <c r="V873" s="44">
        <f>IF(AND(P873&gt;=Calendar!$K$2,P873&lt;EDATE(Calendar!$K$2,1),OR(Calendar!$K$4="*",N873=Calendar!$K$4)),P873*100+COUNTIFS($P$6:$P$3271,P873,$Q$6:$Q$3271,"&lt;="&amp;Q873,$N$6:$N$3271,Calendar!$K$4),"")</f>
        <v/>
      </c>
      <c r="W873" s="44">
        <f>IF(AND(B873=Queue!$C$4,OR(Queue!$K$4="*",N873=Queue!$K$4)),Q873,"")</f>
        <v/>
      </c>
    </row>
    <row r="874">
      <c r="A874" s="35">
        <f>IF(M874="","",HYPERLINK("https://www.youtube.com/watch?v="&amp;M874,"▶"))</f>
        <v/>
      </c>
      <c r="B874" s="36">
        <f>IF(C874&lt;&gt;"",C874,IF(P874&lt;=IFERROR(INDEX(tblChannels[Watched Through],MATCH(N874,tblChannels[Channel ID],0)),0),"Watched","Unwatched"))</f>
        <v/>
      </c>
      <c r="C874" s="37" t="n"/>
      <c r="D874" s="38" t="n"/>
      <c r="E874" s="39" t="n">
        <v>45132.77083333334</v>
      </c>
      <c r="F874" s="49" t="inlineStr">
        <is>
          <t>Super Carlin Gaming</t>
        </is>
      </c>
      <c r="G874" t="inlineStr">
        <is>
          <t>NEW POWER-UP | Carlin Brothers Box Breakers S6E3</t>
        </is>
      </c>
      <c r="H874" s="41" t="n">
        <v>0.03091435185185185</v>
      </c>
      <c r="I874" s="42" t="n">
        <v>1977</v>
      </c>
      <c r="J874" s="42" t="n">
        <v>118</v>
      </c>
      <c r="K874" s="42" t="n">
        <v>9</v>
      </c>
      <c r="L874" s="43" t="n"/>
      <c r="M874" s="44" t="n"/>
      <c r="N874" s="44" t="inlineStr">
        <is>
          <t>UCor_9jRnNNZVzTuQ92PKsaQ</t>
        </is>
      </c>
      <c r="O874" s="45" t="n">
        <v>45132.9375</v>
      </c>
      <c r="P874" s="46" t="n">
        <v>45132</v>
      </c>
      <c r="Q874" s="44" t="n">
        <v>2398</v>
      </c>
      <c r="R874" s="44" t="inlineStr">
        <is>
          <t>No Video ID yet</t>
        </is>
      </c>
      <c r="S874" s="46" t="n"/>
      <c r="T874" s="46" t="n"/>
      <c r="U874" s="44" t="n"/>
      <c r="V874" s="44">
        <f>IF(AND(P874&gt;=Calendar!$K$2,P874&lt;EDATE(Calendar!$K$2,1),OR(Calendar!$K$4="*",N874=Calendar!$K$4)),P874*100+COUNTIFS($P$6:$P$3271,P874,$Q$6:$Q$3271,"&lt;="&amp;Q874,$N$6:$N$3271,Calendar!$K$4),"")</f>
        <v/>
      </c>
      <c r="W874" s="44">
        <f>IF(AND(B874=Queue!$C$4,OR(Queue!$K$4="*",N874=Queue!$K$4)),Q874,"")</f>
        <v/>
      </c>
    </row>
    <row r="875">
      <c r="A875" s="35">
        <f>IF(M875="","",HYPERLINK("https://www.youtube.com/watch?v="&amp;M875,"▶"))</f>
        <v/>
      </c>
      <c r="B875" s="36">
        <f>IF(C875&lt;&gt;"",C875,IF(P875&lt;=IFERROR(INDEX(tblChannels[Watched Through],MATCH(N875,tblChannels[Channel ID],0)),0),"Watched","Unwatched"))</f>
        <v/>
      </c>
      <c r="C875" s="37" t="n"/>
      <c r="D875" s="38" t="n"/>
      <c r="E875" s="39" t="n">
        <v>45129.21041666667</v>
      </c>
      <c r="F875" s="49" t="inlineStr">
        <is>
          <t>Super Carlin Gaming</t>
        </is>
      </c>
      <c r="G875" t="inlineStr">
        <is>
          <t>SUPER Friday Gaming Stream!</t>
        </is>
      </c>
      <c r="H875" s="41" t="n">
        <v>0.05697916666666666</v>
      </c>
      <c r="I875" s="42" t="n">
        <v>1751</v>
      </c>
      <c r="J875" s="42" t="n">
        <v>93</v>
      </c>
      <c r="K875" s="42" t="n">
        <v>8</v>
      </c>
      <c r="L875" s="43" t="n"/>
      <c r="M875" s="44" t="n"/>
      <c r="N875" s="44" t="inlineStr">
        <is>
          <t>UCor_9jRnNNZVzTuQ92PKsaQ</t>
        </is>
      </c>
      <c r="O875" s="45" t="n">
        <v>45129.37708333333</v>
      </c>
      <c r="P875" s="46" t="n">
        <v>45129</v>
      </c>
      <c r="Q875" s="44" t="n">
        <v>2397</v>
      </c>
      <c r="R875" s="44" t="inlineStr">
        <is>
          <t>No Video ID yet</t>
        </is>
      </c>
      <c r="S875" s="46" t="n"/>
      <c r="T875" s="46" t="n"/>
      <c r="U875" s="44" t="n"/>
      <c r="V875" s="44">
        <f>IF(AND(P875&gt;=Calendar!$K$2,P875&lt;EDATE(Calendar!$K$2,1),OR(Calendar!$K$4="*",N875=Calendar!$K$4)),P875*100+COUNTIFS($P$6:$P$3271,P875,$Q$6:$Q$3271,"&lt;="&amp;Q875,$N$6:$N$3271,Calendar!$K$4),"")</f>
        <v/>
      </c>
      <c r="W875" s="44">
        <f>IF(AND(B875=Queue!$C$4,OR(Queue!$K$4="*",N875=Queue!$K$4)),Q875,"")</f>
        <v/>
      </c>
    </row>
    <row r="876">
      <c r="A876" s="35">
        <f>IF(M876="","",HYPERLINK("https://www.youtube.com/watch?v="&amp;M876,"▶"))</f>
        <v/>
      </c>
      <c r="B876" s="36">
        <f>IF(C876&lt;&gt;"",C876,IF(P876&lt;=IFERROR(INDEX(tblChannels[Watched Through],MATCH(N876,tblChannels[Channel ID],0)),0),"Watched","Unwatched"))</f>
        <v/>
      </c>
      <c r="C876" s="37" t="n"/>
      <c r="D876" s="38" t="n"/>
      <c r="E876" s="39" t="n">
        <v>45128.77083333334</v>
      </c>
      <c r="F876" s="49" t="inlineStr">
        <is>
          <t>Super Carlin Gaming</t>
        </is>
      </c>
      <c r="G876" t="inlineStr">
        <is>
          <t>CRITICAL HIT | Carlin Brothers Box Breakers S6E2</t>
        </is>
      </c>
      <c r="H876" s="41" t="n">
        <v>0.03177083333333333</v>
      </c>
      <c r="I876" s="42" t="n">
        <v>2069</v>
      </c>
      <c r="J876" s="42" t="n">
        <v>115</v>
      </c>
      <c r="K876" s="42" t="n">
        <v>12</v>
      </c>
      <c r="L876" s="43" t="n"/>
      <c r="M876" s="44" t="n"/>
      <c r="N876" s="44" t="inlineStr">
        <is>
          <t>UCor_9jRnNNZVzTuQ92PKsaQ</t>
        </is>
      </c>
      <c r="O876" s="45" t="n">
        <v>45128.9375</v>
      </c>
      <c r="P876" s="46" t="n">
        <v>45128</v>
      </c>
      <c r="Q876" s="44" t="n">
        <v>2396</v>
      </c>
      <c r="R876" s="44" t="inlineStr">
        <is>
          <t>No Video ID yet</t>
        </is>
      </c>
      <c r="S876" s="46" t="n"/>
      <c r="T876" s="46" t="n"/>
      <c r="U876" s="44" t="n"/>
      <c r="V876" s="44">
        <f>IF(AND(P876&gt;=Calendar!$K$2,P876&lt;EDATE(Calendar!$K$2,1),OR(Calendar!$K$4="*",N876=Calendar!$K$4)),P876*100+COUNTIFS($P$6:$P$3271,P876,$Q$6:$Q$3271,"&lt;="&amp;Q876,$N$6:$N$3271,Calendar!$K$4),"")</f>
        <v/>
      </c>
      <c r="W876" s="44">
        <f>IF(AND(B876=Queue!$C$4,OR(Queue!$K$4="*",N876=Queue!$K$4)),Q876,"")</f>
        <v/>
      </c>
    </row>
    <row r="877">
      <c r="A877" s="35">
        <f>IF(M877="","",HYPERLINK("https://www.youtube.com/watch?v="&amp;M877,"▶"))</f>
        <v/>
      </c>
      <c r="B877" s="36">
        <f>IF(C877&lt;&gt;"",C877,IF(P877&lt;=IFERROR(INDEX(tblChannels[Watched Through],MATCH(N877,tblChannels[Channel ID],0)),0),"Watched","Unwatched"))</f>
        <v/>
      </c>
      <c r="C877" s="37" t="n"/>
      <c r="D877" s="38" t="n"/>
      <c r="E877" s="39" t="n">
        <v>45128.61944444444</v>
      </c>
      <c r="F877" s="47" t="inlineStr">
        <is>
          <t>Super Carlin Brothers</t>
        </is>
      </c>
      <c r="G877" t="inlineStr">
        <is>
          <t>The Hunger Games Master Plan | Hunger Games Film Theory</t>
        </is>
      </c>
      <c r="H877" s="41" t="n">
        <v>0.03673611111111111</v>
      </c>
      <c r="I877" s="42" t="n">
        <v>997545</v>
      </c>
      <c r="J877" s="42" t="n">
        <v>28060</v>
      </c>
      <c r="K877" s="42" t="n">
        <v>2162</v>
      </c>
      <c r="L877" s="43" t="n"/>
      <c r="M877" s="44" t="n"/>
      <c r="N877" s="44" t="inlineStr">
        <is>
          <t>UCKZo4N0lVPccBkSiuyVh4yg</t>
        </is>
      </c>
      <c r="O877" s="45" t="n">
        <v>45128.78611111111</v>
      </c>
      <c r="P877" s="46" t="n">
        <v>45128</v>
      </c>
      <c r="Q877" s="44" t="n">
        <v>2395</v>
      </c>
      <c r="R877" s="44" t="inlineStr">
        <is>
          <t>No Video ID yet</t>
        </is>
      </c>
      <c r="S877" s="46" t="n"/>
      <c r="T877" s="46" t="n"/>
      <c r="U877" s="44" t="n"/>
      <c r="V877" s="44">
        <f>IF(AND(P877&gt;=Calendar!$K$2,P877&lt;EDATE(Calendar!$K$2,1),OR(Calendar!$K$4="*",N877=Calendar!$K$4)),P877*100+COUNTIFS($P$6:$P$3271,P877,$Q$6:$Q$3271,"&lt;="&amp;Q877,$N$6:$N$3271,Calendar!$K$4),"")</f>
        <v/>
      </c>
      <c r="W877" s="44">
        <f>IF(AND(B877=Queue!$C$4,OR(Queue!$K$4="*",N877=Queue!$K$4)),Q877,"")</f>
        <v/>
      </c>
    </row>
    <row r="878">
      <c r="A878" s="35">
        <f>IF(M878="","",HYPERLINK("https://www.youtube.com/watch?v="&amp;M878,"▶"))</f>
        <v/>
      </c>
      <c r="B878" s="36">
        <f>IF(C878&lt;&gt;"",C878,IF(P878&lt;=IFERROR(INDEX(tblChannels[Watched Through],MATCH(N878,tblChannels[Channel ID],0)),0),"Watched","Unwatched"))</f>
        <v/>
      </c>
      <c r="C878" s="37" t="n"/>
      <c r="D878" s="38" t="n"/>
      <c r="E878" s="39" t="n">
        <v>45128.41666666666</v>
      </c>
      <c r="F878" s="40" t="inlineStr">
        <is>
          <t>Popcorn Culture</t>
        </is>
      </c>
      <c r="G878" t="inlineStr">
        <is>
          <t>The Bucketcast | Popcorn Culture</t>
        </is>
      </c>
      <c r="H878" s="41" t="n">
        <v>0.04778935185185185</v>
      </c>
      <c r="I878" s="42" t="n">
        <v>4051</v>
      </c>
      <c r="J878" s="42" t="n">
        <v>231</v>
      </c>
      <c r="K878" s="42" t="n">
        <v>20</v>
      </c>
      <c r="L878" s="43" t="n"/>
      <c r="M878" s="44" t="n"/>
      <c r="N878" s="44" t="inlineStr">
        <is>
          <t>UCHfIbq9thHPC8yrKjAdJgDA</t>
        </is>
      </c>
      <c r="O878" s="45" t="n">
        <v>45128.58333333334</v>
      </c>
      <c r="P878" s="46" t="n">
        <v>45128</v>
      </c>
      <c r="Q878" s="44" t="n">
        <v>2394</v>
      </c>
      <c r="R878" s="44" t="inlineStr">
        <is>
          <t>No Video ID yet</t>
        </is>
      </c>
      <c r="S878" s="46" t="n"/>
      <c r="T878" s="46" t="n"/>
      <c r="U878" s="44" t="n"/>
      <c r="V878" s="44">
        <f>IF(AND(P878&gt;=Calendar!$K$2,P878&lt;EDATE(Calendar!$K$2,1),OR(Calendar!$K$4="*",N878=Calendar!$K$4)),P878*100+COUNTIFS($P$6:$P$3271,P878,$Q$6:$Q$3271,"&lt;="&amp;Q878,$N$6:$N$3271,Calendar!$K$4),"")</f>
        <v/>
      </c>
      <c r="W878" s="44">
        <f>IF(AND(B878=Queue!$C$4,OR(Queue!$K$4="*",N878=Queue!$K$4)),Q878,"")</f>
        <v/>
      </c>
    </row>
    <row r="879">
      <c r="A879" s="35">
        <f>IF(M879="","",HYPERLINK("https://www.youtube.com/watch?v="&amp;M879,"▶"))</f>
        <v/>
      </c>
      <c r="B879" s="36">
        <f>IF(C879&lt;&gt;"",C879,IF(P879&lt;=IFERROR(INDEX(tblChannels[Watched Through],MATCH(N879,tblChannels[Channel ID],0)),0),"Watched","Unwatched"))</f>
        <v/>
      </c>
      <c r="C879" s="37" t="n"/>
      <c r="D879" s="38" t="n"/>
      <c r="E879" s="39" t="n">
        <v>45126.71388888889</v>
      </c>
      <c r="F879" s="47" t="inlineStr">
        <is>
          <t>Super Carlin Brothers</t>
        </is>
      </c>
      <c r="G879" t="inlineStr">
        <is>
          <t>J vs Ben: HARDEST Lightning Struck Tower Harry Potter TRIVIA Quiz</t>
        </is>
      </c>
      <c r="H879" s="41" t="n">
        <v>0.02077546296296296</v>
      </c>
      <c r="I879" s="42" t="n">
        <v>162294</v>
      </c>
      <c r="J879" s="42" t="n">
        <v>5789</v>
      </c>
      <c r="K879" s="42" t="n">
        <v>499</v>
      </c>
      <c r="L879" s="43" t="n"/>
      <c r="M879" s="44" t="n"/>
      <c r="N879" s="44" t="inlineStr">
        <is>
          <t>UCKZo4N0lVPccBkSiuyVh4yg</t>
        </is>
      </c>
      <c r="O879" s="45" t="n">
        <v>45126.88055555556</v>
      </c>
      <c r="P879" s="46" t="n">
        <v>45126</v>
      </c>
      <c r="Q879" s="44" t="n">
        <v>2393</v>
      </c>
      <c r="R879" s="44" t="inlineStr">
        <is>
          <t>No Video ID yet</t>
        </is>
      </c>
      <c r="S879" s="46" t="n"/>
      <c r="T879" s="46" t="n"/>
      <c r="U879" s="44" t="n"/>
      <c r="V879" s="44">
        <f>IF(AND(P879&gt;=Calendar!$K$2,P879&lt;EDATE(Calendar!$K$2,1),OR(Calendar!$K$4="*",N879=Calendar!$K$4)),P879*100+COUNTIFS($P$6:$P$3271,P879,$Q$6:$Q$3271,"&lt;="&amp;Q879,$N$6:$N$3271,Calendar!$K$4),"")</f>
        <v/>
      </c>
      <c r="W879" s="44">
        <f>IF(AND(B879=Queue!$C$4,OR(Queue!$K$4="*",N879=Queue!$K$4)),Q879,"")</f>
        <v/>
      </c>
    </row>
    <row r="880">
      <c r="A880" s="35">
        <f>IF(M880="","",HYPERLINK("https://www.youtube.com/watch?v="&amp;M880,"▶"))</f>
        <v/>
      </c>
      <c r="B880" s="36">
        <f>IF(C880&lt;&gt;"",C880,IF(P880&lt;=IFERROR(INDEX(tblChannels[Watched Through],MATCH(N880,tblChannels[Channel ID],0)),0),"Watched","Unwatched"))</f>
        <v/>
      </c>
      <c r="C880" s="37" t="n"/>
      <c r="D880" s="38" t="n"/>
      <c r="E880" s="39" t="n">
        <v>45121.77083333334</v>
      </c>
      <c r="F880" s="49" t="inlineStr">
        <is>
          <t>Super Carlin Gaming</t>
        </is>
      </c>
      <c r="G880" t="inlineStr">
        <is>
          <t>ENTER PALDEA EVOLVED | Carlin Brothers Box Breakers S6E1</t>
        </is>
      </c>
      <c r="H880" s="41" t="n">
        <v>0.03420138888888889</v>
      </c>
      <c r="I880" s="42" t="n">
        <v>2469</v>
      </c>
      <c r="J880" s="42" t="n">
        <v>120</v>
      </c>
      <c r="K880" s="42" t="n">
        <v>12</v>
      </c>
      <c r="L880" s="43" t="n"/>
      <c r="M880" s="44" t="n"/>
      <c r="N880" s="44" t="inlineStr">
        <is>
          <t>UCor_9jRnNNZVzTuQ92PKsaQ</t>
        </is>
      </c>
      <c r="O880" s="45" t="n">
        <v>45121.9375</v>
      </c>
      <c r="P880" s="46" t="n">
        <v>45121</v>
      </c>
      <c r="Q880" s="44" t="n">
        <v>2392</v>
      </c>
      <c r="R880" s="44" t="inlineStr">
        <is>
          <t>No Video ID yet</t>
        </is>
      </c>
      <c r="S880" s="46" t="n"/>
      <c r="T880" s="46" t="n"/>
      <c r="U880" s="44" t="n"/>
      <c r="V880" s="44">
        <f>IF(AND(P880&gt;=Calendar!$K$2,P880&lt;EDATE(Calendar!$K$2,1),OR(Calendar!$K$4="*",N880=Calendar!$K$4)),P880*100+COUNTIFS($P$6:$P$3271,P880,$Q$6:$Q$3271,"&lt;="&amp;Q880,$N$6:$N$3271,Calendar!$K$4),"")</f>
        <v/>
      </c>
      <c r="W880" s="44">
        <f>IF(AND(B880=Queue!$C$4,OR(Queue!$K$4="*",N880=Queue!$K$4)),Q880,"")</f>
        <v/>
      </c>
    </row>
    <row r="881">
      <c r="A881" s="35">
        <f>IF(M881="","",HYPERLINK("https://www.youtube.com/watch?v="&amp;M881,"▶"))</f>
        <v/>
      </c>
      <c r="B881" s="36">
        <f>IF(C881&lt;&gt;"",C881,IF(P881&lt;=IFERROR(INDEX(tblChannels[Watched Through],MATCH(N881,tblChannels[Channel ID],0)),0),"Watched","Unwatched"))</f>
        <v/>
      </c>
      <c r="C881" s="37" t="n"/>
      <c r="D881" s="38" t="n"/>
      <c r="E881" s="39" t="n">
        <v>45121.625</v>
      </c>
      <c r="F881" s="47" t="inlineStr">
        <is>
          <t>Super Carlin Brothers</t>
        </is>
      </c>
      <c r="G881" t="inlineStr">
        <is>
          <t>What Did Voldemort See In Kings Cross? SOLVED! | Harry Potter Film Theory</t>
        </is>
      </c>
      <c r="H881" s="41" t="n">
        <v>0.01237268518518518</v>
      </c>
      <c r="I881" s="42" t="n">
        <v>763861</v>
      </c>
      <c r="J881" s="42" t="n">
        <v>20823</v>
      </c>
      <c r="K881" s="42" t="n">
        <v>1231</v>
      </c>
      <c r="L881" s="43" t="n"/>
      <c r="M881" s="44" t="n"/>
      <c r="N881" s="44" t="inlineStr">
        <is>
          <t>UCKZo4N0lVPccBkSiuyVh4yg</t>
        </is>
      </c>
      <c r="O881" s="45" t="n">
        <v>45121.79166666666</v>
      </c>
      <c r="P881" s="46" t="n">
        <v>45121</v>
      </c>
      <c r="Q881" s="44" t="n">
        <v>2391</v>
      </c>
      <c r="R881" s="44" t="inlineStr">
        <is>
          <t>No Video ID yet</t>
        </is>
      </c>
      <c r="S881" s="46" t="n"/>
      <c r="T881" s="46" t="n"/>
      <c r="U881" s="44" t="n"/>
      <c r="V881" s="44">
        <f>IF(AND(P881&gt;=Calendar!$K$2,P881&lt;EDATE(Calendar!$K$2,1),OR(Calendar!$K$4="*",N881=Calendar!$K$4)),P881*100+COUNTIFS($P$6:$P$3271,P881,$Q$6:$Q$3271,"&lt;="&amp;Q881,$N$6:$N$3271,Calendar!$K$4),"")</f>
        <v/>
      </c>
      <c r="W881" s="44">
        <f>IF(AND(B881=Queue!$C$4,OR(Queue!$K$4="*",N881=Queue!$K$4)),Q881,"")</f>
        <v/>
      </c>
    </row>
    <row r="882">
      <c r="A882" s="35">
        <f>IF(M882="","",HYPERLINK("https://www.youtube.com/watch?v="&amp;M882,"▶"))</f>
        <v/>
      </c>
      <c r="B882" s="36">
        <f>IF(C882&lt;&gt;"",C882,IF(P882&lt;=IFERROR(INDEX(tblChannels[Watched Through],MATCH(N882,tblChannels[Channel ID],0)),0),"Watched","Unwatched"))</f>
        <v/>
      </c>
      <c r="C882" s="37" t="n"/>
      <c r="D882" s="38" t="n"/>
      <c r="E882" s="39" t="n">
        <v>45121.41666666666</v>
      </c>
      <c r="F882" s="40" t="inlineStr">
        <is>
          <t>Popcorn Culture</t>
        </is>
      </c>
      <c r="G882" t="inlineStr">
        <is>
          <t>TWITTER vs. THREADS| Popcorn Culture</t>
        </is>
      </c>
      <c r="H882" s="41" t="n">
        <v>0.05247685185185185</v>
      </c>
      <c r="I882" s="42" t="n">
        <v>4786</v>
      </c>
      <c r="J882" s="42" t="n">
        <v>231</v>
      </c>
      <c r="K882" s="42" t="n">
        <v>23</v>
      </c>
      <c r="L882" s="43" t="n"/>
      <c r="M882" s="44" t="n"/>
      <c r="N882" s="44" t="inlineStr">
        <is>
          <t>UCHfIbq9thHPC8yrKjAdJgDA</t>
        </is>
      </c>
      <c r="O882" s="45" t="n">
        <v>45121.58333333334</v>
      </c>
      <c r="P882" s="46" t="n">
        <v>45121</v>
      </c>
      <c r="Q882" s="44" t="n">
        <v>2390</v>
      </c>
      <c r="R882" s="44" t="inlineStr">
        <is>
          <t>No Video ID yet</t>
        </is>
      </c>
      <c r="S882" s="46" t="n"/>
      <c r="T882" s="46" t="n"/>
      <c r="U882" s="44" t="n"/>
      <c r="V882" s="44">
        <f>IF(AND(P882&gt;=Calendar!$K$2,P882&lt;EDATE(Calendar!$K$2,1),OR(Calendar!$K$4="*",N882=Calendar!$K$4)),P882*100+COUNTIFS($P$6:$P$3271,P882,$Q$6:$Q$3271,"&lt;="&amp;Q882,$N$6:$N$3271,Calendar!$K$4),"")</f>
        <v/>
      </c>
      <c r="W882" s="44">
        <f>IF(AND(B882=Queue!$C$4,OR(Queue!$K$4="*",N882=Queue!$K$4)),Q882,"")</f>
        <v/>
      </c>
    </row>
    <row r="883">
      <c r="A883" s="35">
        <f>IF(M883="","",HYPERLINK("https://www.youtube.com/watch?v="&amp;M883,"▶"))</f>
        <v/>
      </c>
      <c r="B883" s="36">
        <f>IF(C883&lt;&gt;"",C883,IF(P883&lt;=IFERROR(INDEX(tblChannels[Watched Through],MATCH(N883,tblChannels[Channel ID],0)),0),"Watched","Unwatched"))</f>
        <v/>
      </c>
      <c r="C883" s="37" t="n"/>
      <c r="D883" s="38" t="n"/>
      <c r="E883" s="39" t="n">
        <v>45119.72013888889</v>
      </c>
      <c r="F883" s="47" t="inlineStr">
        <is>
          <t>Super Carlin Brothers</t>
        </is>
      </c>
      <c r="G883" t="inlineStr">
        <is>
          <t>Why Ron &amp; Luna SHOULD Be Together! | Harry Potter Film Theory</t>
        </is>
      </c>
      <c r="H883" s="41" t="n">
        <v>0.01238425925925926</v>
      </c>
      <c r="I883" s="42" t="n">
        <v>267765</v>
      </c>
      <c r="J883" s="42" t="n">
        <v>11608</v>
      </c>
      <c r="K883" s="42" t="n">
        <v>1473</v>
      </c>
      <c r="L883" s="43" t="n"/>
      <c r="M883" s="44" t="n"/>
      <c r="N883" s="44" t="inlineStr">
        <is>
          <t>UCKZo4N0lVPccBkSiuyVh4yg</t>
        </is>
      </c>
      <c r="O883" s="45" t="n">
        <v>45119.88680555556</v>
      </c>
      <c r="P883" s="46" t="n">
        <v>45119</v>
      </c>
      <c r="Q883" s="44" t="n">
        <v>2389</v>
      </c>
      <c r="R883" s="44" t="inlineStr">
        <is>
          <t>No Video ID yet</t>
        </is>
      </c>
      <c r="S883" s="46" t="n"/>
      <c r="T883" s="46" t="n"/>
      <c r="U883" s="44" t="n"/>
      <c r="V883" s="44">
        <f>IF(AND(P883&gt;=Calendar!$K$2,P883&lt;EDATE(Calendar!$K$2,1),OR(Calendar!$K$4="*",N883=Calendar!$K$4)),P883*100+COUNTIFS($P$6:$P$3271,P883,$Q$6:$Q$3271,"&lt;="&amp;Q883,$N$6:$N$3271,Calendar!$K$4),"")</f>
        <v/>
      </c>
      <c r="W883" s="44">
        <f>IF(AND(B883=Queue!$C$4,OR(Queue!$K$4="*",N883=Queue!$K$4)),Q883,"")</f>
        <v/>
      </c>
    </row>
    <row r="884">
      <c r="A884" s="35">
        <f>IF(M884="","",HYPERLINK("https://www.youtube.com/watch?v="&amp;M884,"▶"))</f>
        <v/>
      </c>
      <c r="B884" s="36">
        <f>IF(C884&lt;&gt;"",C884,IF(P884&lt;=IFERROR(INDEX(tblChannels[Watched Through],MATCH(N884,tblChannels[Channel ID],0)),0),"Watched","Unwatched"))</f>
        <v/>
      </c>
      <c r="C884" s="37" t="n"/>
      <c r="D884" s="38" t="n"/>
      <c r="E884" s="39" t="n">
        <v>45114.41666666666</v>
      </c>
      <c r="F884" s="40" t="inlineStr">
        <is>
          <t>Popcorn Culture</t>
        </is>
      </c>
      <c r="G884" t="inlineStr">
        <is>
          <t>Thank God It's FriJ | Popcorn Culture</t>
        </is>
      </c>
      <c r="H884" s="41" t="n">
        <v>0.04662037037037037</v>
      </c>
      <c r="I884" s="42" t="n">
        <v>5080</v>
      </c>
      <c r="J884" s="42" t="n">
        <v>252</v>
      </c>
      <c r="K884" s="42" t="n">
        <v>28</v>
      </c>
      <c r="L884" s="43" t="n"/>
      <c r="M884" s="44" t="n"/>
      <c r="N884" s="44" t="inlineStr">
        <is>
          <t>UCHfIbq9thHPC8yrKjAdJgDA</t>
        </is>
      </c>
      <c r="O884" s="45" t="n">
        <v>45114.58333333334</v>
      </c>
      <c r="P884" s="46" t="n">
        <v>45114</v>
      </c>
      <c r="Q884" s="44" t="n">
        <v>2388</v>
      </c>
      <c r="R884" s="44" t="inlineStr">
        <is>
          <t>No Video ID yet</t>
        </is>
      </c>
      <c r="S884" s="46" t="n"/>
      <c r="T884" s="46" t="n"/>
      <c r="U884" s="44" t="n"/>
      <c r="V884" s="44">
        <f>IF(AND(P884&gt;=Calendar!$K$2,P884&lt;EDATE(Calendar!$K$2,1),OR(Calendar!$K$4="*",N884=Calendar!$K$4)),P884*100+COUNTIFS($P$6:$P$3271,P884,$Q$6:$Q$3271,"&lt;="&amp;Q884,$N$6:$N$3271,Calendar!$K$4),"")</f>
        <v/>
      </c>
      <c r="W884" s="44">
        <f>IF(AND(B884=Queue!$C$4,OR(Queue!$K$4="*",N884=Queue!$K$4)),Q884,"")</f>
        <v/>
      </c>
    </row>
    <row r="885">
      <c r="A885" s="35">
        <f>IF(M885="","",HYPERLINK("https://www.youtube.com/watch?v="&amp;M885,"▶"))</f>
        <v/>
      </c>
      <c r="B885" s="36">
        <f>IF(C885&lt;&gt;"",C885,IF(P885&lt;=IFERROR(INDEX(tblChannels[Watched Through],MATCH(N885,tblChannels[Channel ID],0)),0),"Watched","Unwatched"))</f>
        <v/>
      </c>
      <c r="C885" s="37" t="n"/>
      <c r="D885" s="38" t="n"/>
      <c r="E885" s="39" t="n">
        <v>45112.58333333334</v>
      </c>
      <c r="F885" s="47" t="inlineStr">
        <is>
          <t>Super Carlin Brothers</t>
        </is>
      </c>
      <c r="G885" t="inlineStr">
        <is>
          <t>What If Neville Was The Chosen One - FULL STORY | Harry Potter Film Theory</t>
        </is>
      </c>
      <c r="H885" s="41" t="n">
        <v>0.05890046296296296</v>
      </c>
      <c r="I885" s="42" t="n">
        <v>799328</v>
      </c>
      <c r="J885" s="42" t="n">
        <v>14605</v>
      </c>
      <c r="K885" s="42" t="n">
        <v>1508</v>
      </c>
      <c r="L885" s="43" t="n"/>
      <c r="M885" s="44" t="n"/>
      <c r="N885" s="44" t="inlineStr">
        <is>
          <t>UCKZo4N0lVPccBkSiuyVh4yg</t>
        </is>
      </c>
      <c r="O885" s="45" t="n">
        <v>45112.75</v>
      </c>
      <c r="P885" s="46" t="n">
        <v>45112</v>
      </c>
      <c r="Q885" s="44" t="n">
        <v>2387</v>
      </c>
      <c r="R885" s="44" t="inlineStr">
        <is>
          <t>No Video ID yet</t>
        </is>
      </c>
      <c r="S885" s="46" t="n"/>
      <c r="T885" s="46" t="n"/>
      <c r="U885" s="44" t="n"/>
      <c r="V885" s="44">
        <f>IF(AND(P885&gt;=Calendar!$K$2,P885&lt;EDATE(Calendar!$K$2,1),OR(Calendar!$K$4="*",N885=Calendar!$K$4)),P885*100+COUNTIFS($P$6:$P$3271,P885,$Q$6:$Q$3271,"&lt;="&amp;Q885,$N$6:$N$3271,Calendar!$K$4),"")</f>
        <v/>
      </c>
      <c r="W885" s="44">
        <f>IF(AND(B885=Queue!$C$4,OR(Queue!$K$4="*",N885=Queue!$K$4)),Q885,"")</f>
        <v/>
      </c>
    </row>
    <row r="886">
      <c r="A886" s="35">
        <f>IF(M886="","",HYPERLINK("https://www.youtube.com/watch?v="&amp;M886,"▶"))</f>
        <v/>
      </c>
      <c r="B886" s="36">
        <f>IF(C886&lt;&gt;"",C886,IF(P886&lt;=IFERROR(INDEX(tblChannels[Watched Through],MATCH(N886,tblChannels[Channel ID],0)),0),"Watched","Unwatched"))</f>
        <v/>
      </c>
      <c r="C886" s="37" t="n"/>
      <c r="D886" s="38" t="n"/>
      <c r="E886" s="39" t="n">
        <v>45107.77083333334</v>
      </c>
      <c r="F886" s="49" t="inlineStr">
        <is>
          <t>Super Carlin Gaming</t>
        </is>
      </c>
      <c r="G886" t="inlineStr">
        <is>
          <t>THE FINAL PACKS ARE HERE | Carlin Brothers Box Breakers S5E12</t>
        </is>
      </c>
      <c r="H886" s="41" t="n">
        <v>0.02989583333333333</v>
      </c>
      <c r="I886" s="42" t="n">
        <v>1954</v>
      </c>
      <c r="J886" s="42" t="n">
        <v>108</v>
      </c>
      <c r="K886" s="42" t="n">
        <v>9</v>
      </c>
      <c r="L886" s="43" t="n"/>
      <c r="M886" s="44" t="n"/>
      <c r="N886" s="44" t="inlineStr">
        <is>
          <t>UCor_9jRnNNZVzTuQ92PKsaQ</t>
        </is>
      </c>
      <c r="O886" s="45" t="n">
        <v>45107.9375</v>
      </c>
      <c r="P886" s="46" t="n">
        <v>45107</v>
      </c>
      <c r="Q886" s="44" t="n">
        <v>2386</v>
      </c>
      <c r="R886" s="44" t="inlineStr">
        <is>
          <t>No Video ID yet</t>
        </is>
      </c>
      <c r="S886" s="46" t="n"/>
      <c r="T886" s="46" t="n"/>
      <c r="U886" s="44" t="n"/>
      <c r="V886" s="44">
        <f>IF(AND(P886&gt;=Calendar!$K$2,P886&lt;EDATE(Calendar!$K$2,1),OR(Calendar!$K$4="*",N886=Calendar!$K$4)),P886*100+COUNTIFS($P$6:$P$3271,P886,$Q$6:$Q$3271,"&lt;="&amp;Q886,$N$6:$N$3271,Calendar!$K$4),"")</f>
        <v/>
      </c>
      <c r="W886" s="44">
        <f>IF(AND(B886=Queue!$C$4,OR(Queue!$K$4="*",N886=Queue!$K$4)),Q886,"")</f>
        <v/>
      </c>
    </row>
    <row r="887">
      <c r="A887" s="35">
        <f>IF(M887="","",HYPERLINK("https://www.youtube.com/watch?v="&amp;M887,"▶"))</f>
        <v/>
      </c>
      <c r="B887" s="36">
        <f>IF(C887&lt;&gt;"",C887,IF(P887&lt;=IFERROR(INDEX(tblChannels[Watched Through],MATCH(N887,tblChannels[Channel ID],0)),0),"Watched","Unwatched"))</f>
        <v/>
      </c>
      <c r="C887" s="37" t="n"/>
      <c r="D887" s="38" t="n"/>
      <c r="E887" s="39" t="n">
        <v>45107.70555555556</v>
      </c>
      <c r="F887" s="47" t="inlineStr">
        <is>
          <t>Super Carlin Brothers</t>
        </is>
      </c>
      <c r="G887" t="inlineStr">
        <is>
          <t>How Narcissa LIED to Voldemort REVEALED! | Harry Potter Film Theory</t>
        </is>
      </c>
      <c r="H887" s="41" t="n">
        <v>0.01298611111111111</v>
      </c>
      <c r="I887" s="42" t="n">
        <v>528900</v>
      </c>
      <c r="J887" s="42" t="n">
        <v>15172</v>
      </c>
      <c r="K887" s="42" t="n">
        <v>1094</v>
      </c>
      <c r="L887" s="43" t="n"/>
      <c r="M887" s="44" t="n"/>
      <c r="N887" s="44" t="inlineStr">
        <is>
          <t>UCKZo4N0lVPccBkSiuyVh4yg</t>
        </is>
      </c>
      <c r="O887" s="45" t="n">
        <v>45107.87222222222</v>
      </c>
      <c r="P887" s="46" t="n">
        <v>45107</v>
      </c>
      <c r="Q887" s="44" t="n">
        <v>2385</v>
      </c>
      <c r="R887" s="44" t="inlineStr">
        <is>
          <t>No Video ID yet</t>
        </is>
      </c>
      <c r="S887" s="46" t="n"/>
      <c r="T887" s="46" t="n"/>
      <c r="U887" s="44" t="n"/>
      <c r="V887" s="44">
        <f>IF(AND(P887&gt;=Calendar!$K$2,P887&lt;EDATE(Calendar!$K$2,1),OR(Calendar!$K$4="*",N887=Calendar!$K$4)),P887*100+COUNTIFS($P$6:$P$3271,P887,$Q$6:$Q$3271,"&lt;="&amp;Q887,$N$6:$N$3271,Calendar!$K$4),"")</f>
        <v/>
      </c>
      <c r="W887" s="44">
        <f>IF(AND(B887=Queue!$C$4,OR(Queue!$K$4="*",N887=Queue!$K$4)),Q887,"")</f>
        <v/>
      </c>
    </row>
    <row r="888">
      <c r="A888" s="35">
        <f>IF(M888="","",HYPERLINK("https://www.youtube.com/watch?v="&amp;M888,"▶"))</f>
        <v/>
      </c>
      <c r="B888" s="36">
        <f>IF(C888&lt;&gt;"",C888,IF(P888&lt;=IFERROR(INDEX(tblChannels[Watched Through],MATCH(N888,tblChannels[Channel ID],0)),0),"Watched","Unwatched"))</f>
        <v/>
      </c>
      <c r="C888" s="37" t="n"/>
      <c r="D888" s="38" t="n"/>
      <c r="E888" s="39" t="n">
        <v>45107.41666666666</v>
      </c>
      <c r="F888" s="40" t="inlineStr">
        <is>
          <t>Popcorn Culture</t>
        </is>
      </c>
      <c r="G888" t="inlineStr">
        <is>
          <t>The Video Game SPECIAL! | Popcorn Culture</t>
        </is>
      </c>
      <c r="H888" s="41" t="n">
        <v>0.05069444444444444</v>
      </c>
      <c r="I888" s="42" t="n">
        <v>4612</v>
      </c>
      <c r="J888" s="42" t="n">
        <v>220</v>
      </c>
      <c r="K888" s="42" t="n">
        <v>29</v>
      </c>
      <c r="L888" s="43" t="n"/>
      <c r="M888" s="44" t="n"/>
      <c r="N888" s="44" t="inlineStr">
        <is>
          <t>UCHfIbq9thHPC8yrKjAdJgDA</t>
        </is>
      </c>
      <c r="O888" s="45" t="n">
        <v>45107.58333333334</v>
      </c>
      <c r="P888" s="46" t="n">
        <v>45107</v>
      </c>
      <c r="Q888" s="44" t="n">
        <v>2384</v>
      </c>
      <c r="R888" s="44" t="inlineStr">
        <is>
          <t>No Video ID yet</t>
        </is>
      </c>
      <c r="S888" s="46" t="n"/>
      <c r="T888" s="46" t="n"/>
      <c r="U888" s="44" t="n"/>
      <c r="V888" s="44">
        <f>IF(AND(P888&gt;=Calendar!$K$2,P888&lt;EDATE(Calendar!$K$2,1),OR(Calendar!$K$4="*",N888=Calendar!$K$4)),P888*100+COUNTIFS($P$6:$P$3271,P888,$Q$6:$Q$3271,"&lt;="&amp;Q888,$N$6:$N$3271,Calendar!$K$4),"")</f>
        <v/>
      </c>
      <c r="W888" s="44">
        <f>IF(AND(B888=Queue!$C$4,OR(Queue!$K$4="*",N888=Queue!$K$4)),Q888,"")</f>
        <v/>
      </c>
    </row>
    <row r="889">
      <c r="A889" s="35">
        <f>IF(M889="","",HYPERLINK("https://www.youtube.com/watch?v="&amp;M889,"▶"))</f>
        <v/>
      </c>
      <c r="B889" s="36">
        <f>IF(C889&lt;&gt;"",C889,IF(P889&lt;=IFERROR(INDEX(tblChannels[Watched Through],MATCH(N889,tblChannels[Channel ID],0)),0),"Watched","Unwatched"))</f>
        <v/>
      </c>
      <c r="C889" s="37" t="n"/>
      <c r="D889" s="38" t="n"/>
      <c r="E889" s="39" t="n">
        <v>45105.65625</v>
      </c>
      <c r="F889" s="47" t="inlineStr">
        <is>
          <t>Super Carlin Brothers</t>
        </is>
      </c>
      <c r="G889" t="inlineStr">
        <is>
          <t>What Spell Did Molly Use to Kill Bellatrix SOLVED! | Harry Potter Film Theory</t>
        </is>
      </c>
      <c r="H889" s="41" t="n">
        <v>0.01064814814814815</v>
      </c>
      <c r="I889" s="42" t="n">
        <v>970471</v>
      </c>
      <c r="J889" s="42" t="n">
        <v>26636</v>
      </c>
      <c r="K889" s="42" t="n">
        <v>3047</v>
      </c>
      <c r="L889" s="43" t="n"/>
      <c r="M889" s="44" t="n"/>
      <c r="N889" s="44" t="inlineStr">
        <is>
          <t>UCKZo4N0lVPccBkSiuyVh4yg</t>
        </is>
      </c>
      <c r="O889" s="45" t="n">
        <v>45105.82291666666</v>
      </c>
      <c r="P889" s="46" t="n">
        <v>45105</v>
      </c>
      <c r="Q889" s="44" t="n">
        <v>2383</v>
      </c>
      <c r="R889" s="44" t="inlineStr">
        <is>
          <t>No Video ID yet</t>
        </is>
      </c>
      <c r="S889" s="46" t="n"/>
      <c r="T889" s="46" t="n"/>
      <c r="U889" s="44" t="n"/>
      <c r="V889" s="44">
        <f>IF(AND(P889&gt;=Calendar!$K$2,P889&lt;EDATE(Calendar!$K$2,1),OR(Calendar!$K$4="*",N889=Calendar!$K$4)),P889*100+COUNTIFS($P$6:$P$3271,P889,$Q$6:$Q$3271,"&lt;="&amp;Q889,$N$6:$N$3271,Calendar!$K$4),"")</f>
        <v/>
      </c>
      <c r="W889" s="44">
        <f>IF(AND(B889=Queue!$C$4,OR(Queue!$K$4="*",N889=Queue!$K$4)),Q889,"")</f>
        <v/>
      </c>
    </row>
    <row r="890">
      <c r="A890" s="35">
        <f>IF(M890="","",HYPERLINK("https://www.youtube.com/watch?v="&amp;M890,"▶"))</f>
        <v/>
      </c>
      <c r="B890" s="36">
        <f>IF(C890&lt;&gt;"",C890,IF(P890&lt;=IFERROR(INDEX(tblChannels[Watched Through],MATCH(N890,tblChannels[Channel ID],0)),0),"Watched","Unwatched"))</f>
        <v/>
      </c>
      <c r="C890" s="37" t="n"/>
      <c r="D890" s="38" t="n"/>
      <c r="E890" s="39" t="n">
        <v>45104.77083333334</v>
      </c>
      <c r="F890" s="49" t="inlineStr">
        <is>
          <t>Super Carlin Gaming</t>
        </is>
      </c>
      <c r="G890" t="inlineStr">
        <is>
          <t>LAST PACK MAGIC | Carlin Brothers Box Breakers S5E11</t>
        </is>
      </c>
      <c r="H890" s="41" t="n">
        <v>0.03109953703703704</v>
      </c>
      <c r="I890" s="42" t="n">
        <v>2231</v>
      </c>
      <c r="J890" s="42" t="n">
        <v>119</v>
      </c>
      <c r="K890" s="42" t="n">
        <v>17</v>
      </c>
      <c r="L890" s="43" t="n"/>
      <c r="M890" s="44" t="n"/>
      <c r="N890" s="44" t="inlineStr">
        <is>
          <t>UCor_9jRnNNZVzTuQ92PKsaQ</t>
        </is>
      </c>
      <c r="O890" s="45" t="n">
        <v>45104.9375</v>
      </c>
      <c r="P890" s="46" t="n">
        <v>45104</v>
      </c>
      <c r="Q890" s="44" t="n">
        <v>2382</v>
      </c>
      <c r="R890" s="44" t="inlineStr">
        <is>
          <t>No Video ID yet</t>
        </is>
      </c>
      <c r="S890" s="46" t="n"/>
      <c r="T890" s="46" t="n"/>
      <c r="U890" s="44" t="n"/>
      <c r="V890" s="44">
        <f>IF(AND(P890&gt;=Calendar!$K$2,P890&lt;EDATE(Calendar!$K$2,1),OR(Calendar!$K$4="*",N890=Calendar!$K$4)),P890*100+COUNTIFS($P$6:$P$3271,P890,$Q$6:$Q$3271,"&lt;="&amp;Q890,$N$6:$N$3271,Calendar!$K$4),"")</f>
        <v/>
      </c>
      <c r="W890" s="44">
        <f>IF(AND(B890=Queue!$C$4,OR(Queue!$K$4="*",N890=Queue!$K$4)),Q890,"")</f>
        <v/>
      </c>
    </row>
    <row r="891">
      <c r="A891" s="35">
        <f>IF(M891="","",HYPERLINK("https://www.youtube.com/watch?v="&amp;M891,"▶"))</f>
        <v/>
      </c>
      <c r="B891" s="36">
        <f>IF(C891&lt;&gt;"",C891,IF(P891&lt;=IFERROR(INDEX(tblChannels[Watched Through],MATCH(N891,tblChannels[Channel ID],0)),0),"Watched","Unwatched"))</f>
        <v/>
      </c>
      <c r="C891" s="37" t="n"/>
      <c r="D891" s="38" t="n"/>
      <c r="E891" s="39" t="n">
        <v>45100.83541666667</v>
      </c>
      <c r="F891" s="47" t="inlineStr">
        <is>
          <t>Super Carlin Brothers</t>
        </is>
      </c>
      <c r="G891" t="inlineStr">
        <is>
          <t>ALL FANDOM TRIVIA LIVE STREAM - JUNE 2023</t>
        </is>
      </c>
      <c r="H891" s="41" t="n">
        <v>0.07983796296296296</v>
      </c>
      <c r="I891" s="42" t="n">
        <v>29487</v>
      </c>
      <c r="J891" s="42" t="n">
        <v>786</v>
      </c>
      <c r="K891" s="42" t="n">
        <v>52</v>
      </c>
      <c r="L891" s="43" t="n"/>
      <c r="M891" s="44" t="n"/>
      <c r="N891" s="44" t="inlineStr">
        <is>
          <t>UCKZo4N0lVPccBkSiuyVh4yg</t>
        </is>
      </c>
      <c r="O891" s="45" t="n">
        <v>45101.00208333333</v>
      </c>
      <c r="P891" s="46" t="n">
        <v>45100</v>
      </c>
      <c r="Q891" s="44" t="n">
        <v>2381</v>
      </c>
      <c r="R891" s="44" t="inlineStr">
        <is>
          <t>No Video ID yet</t>
        </is>
      </c>
      <c r="S891" s="46" t="n"/>
      <c r="T891" s="46" t="n"/>
      <c r="U891" s="44" t="n"/>
      <c r="V891" s="44">
        <f>IF(AND(P891&gt;=Calendar!$K$2,P891&lt;EDATE(Calendar!$K$2,1),OR(Calendar!$K$4="*",N891=Calendar!$K$4)),P891*100+COUNTIFS($P$6:$P$3271,P891,$Q$6:$Q$3271,"&lt;="&amp;Q891,$N$6:$N$3271,Calendar!$K$4),"")</f>
        <v/>
      </c>
      <c r="W891" s="44">
        <f>IF(AND(B891=Queue!$C$4,OR(Queue!$K$4="*",N891=Queue!$K$4)),Q891,"")</f>
        <v/>
      </c>
    </row>
    <row r="892">
      <c r="A892" s="35">
        <f>IF(M892="","",HYPERLINK("https://www.youtube.com/watch?v="&amp;M892,"▶"))</f>
        <v/>
      </c>
      <c r="B892" s="36">
        <f>IF(C892&lt;&gt;"",C892,IF(P892&lt;=IFERROR(INDEX(tblChannels[Watched Through],MATCH(N892,tblChannels[Channel ID],0)),0),"Watched","Unwatched"))</f>
        <v/>
      </c>
      <c r="C892" s="37" t="n"/>
      <c r="D892" s="38" t="n"/>
      <c r="E892" s="39" t="n">
        <v>45100.66597222222</v>
      </c>
      <c r="F892" s="47" t="inlineStr">
        <is>
          <t>Super Carlin Brothers</t>
        </is>
      </c>
      <c r="G892" t="inlineStr">
        <is>
          <t>How ELEMENTAL Fits Into The Pixar Theory</t>
        </is>
      </c>
      <c r="H892" s="41" t="n">
        <v>0.01146990740740741</v>
      </c>
      <c r="I892" s="42" t="n">
        <v>255077</v>
      </c>
      <c r="J892" s="42" t="n">
        <v>9635</v>
      </c>
      <c r="K892" s="42" t="n">
        <v>779</v>
      </c>
      <c r="L892" s="43" t="n"/>
      <c r="M892" s="44" t="n"/>
      <c r="N892" s="44" t="inlineStr">
        <is>
          <t>UCKZo4N0lVPccBkSiuyVh4yg</t>
        </is>
      </c>
      <c r="O892" s="45" t="n">
        <v>45100.83263888889</v>
      </c>
      <c r="P892" s="46" t="n">
        <v>45100</v>
      </c>
      <c r="Q892" s="44" t="n">
        <v>2380</v>
      </c>
      <c r="R892" s="44" t="inlineStr">
        <is>
          <t>No Video ID yet</t>
        </is>
      </c>
      <c r="S892" s="46" t="n"/>
      <c r="T892" s="46" t="n"/>
      <c r="U892" s="44" t="n"/>
      <c r="V892" s="44">
        <f>IF(AND(P892&gt;=Calendar!$K$2,P892&lt;EDATE(Calendar!$K$2,1),OR(Calendar!$K$4="*",N892=Calendar!$K$4)),P892*100+COUNTIFS($P$6:$P$3271,P892,$Q$6:$Q$3271,"&lt;="&amp;Q892,$N$6:$N$3271,Calendar!$K$4),"")</f>
        <v/>
      </c>
      <c r="W892" s="44">
        <f>IF(AND(B892=Queue!$C$4,OR(Queue!$K$4="*",N892=Queue!$K$4)),Q892,"")</f>
        <v/>
      </c>
    </row>
    <row r="893">
      <c r="A893" s="35">
        <f>IF(M893="","",HYPERLINK("https://www.youtube.com/watch?v="&amp;M893,"▶"))</f>
        <v/>
      </c>
      <c r="B893" s="36">
        <f>IF(C893&lt;&gt;"",C893,IF(P893&lt;=IFERROR(INDEX(tblChannels[Watched Through],MATCH(N893,tblChannels[Channel ID],0)),0),"Watched","Unwatched"))</f>
        <v/>
      </c>
      <c r="C893" s="37" t="n"/>
      <c r="D893" s="38" t="n"/>
      <c r="E893" s="39" t="n">
        <v>45100.41666666666</v>
      </c>
      <c r="F893" s="40" t="inlineStr">
        <is>
          <t>Popcorn Culture</t>
        </is>
      </c>
      <c r="G893" t="inlineStr">
        <is>
          <t>JET SKIS! | Popcorn Culture</t>
        </is>
      </c>
      <c r="H893" s="41" t="n">
        <v>0.04063657407407407</v>
      </c>
      <c r="I893" s="42" t="n">
        <v>3796</v>
      </c>
      <c r="J893" s="42" t="n">
        <v>203</v>
      </c>
      <c r="K893" s="42" t="n">
        <v>12</v>
      </c>
      <c r="L893" s="43" t="n"/>
      <c r="M893" s="44" t="n"/>
      <c r="N893" s="44" t="inlineStr">
        <is>
          <t>UCHfIbq9thHPC8yrKjAdJgDA</t>
        </is>
      </c>
      <c r="O893" s="45" t="n">
        <v>45100.58333333334</v>
      </c>
      <c r="P893" s="46" t="n">
        <v>45100</v>
      </c>
      <c r="Q893" s="44" t="n">
        <v>2379</v>
      </c>
      <c r="R893" s="44" t="inlineStr">
        <is>
          <t>No Video ID yet</t>
        </is>
      </c>
      <c r="S893" s="46" t="n"/>
      <c r="T893" s="46" t="n"/>
      <c r="U893" s="44" t="n"/>
      <c r="V893" s="44">
        <f>IF(AND(P893&gt;=Calendar!$K$2,P893&lt;EDATE(Calendar!$K$2,1),OR(Calendar!$K$4="*",N893=Calendar!$K$4)),P893*100+COUNTIFS($P$6:$P$3271,P893,$Q$6:$Q$3271,"&lt;="&amp;Q893,$N$6:$N$3271,Calendar!$K$4),"")</f>
        <v/>
      </c>
      <c r="W893" s="44">
        <f>IF(AND(B893=Queue!$C$4,OR(Queue!$K$4="*",N893=Queue!$K$4)),Q893,"")</f>
        <v/>
      </c>
    </row>
    <row r="894">
      <c r="A894" s="35">
        <f>IF(M894="","",HYPERLINK("https://www.youtube.com/watch?v="&amp;M894,"▶"))</f>
        <v/>
      </c>
      <c r="B894" s="36">
        <f>IF(C894&lt;&gt;"",C894,IF(P894&lt;=IFERROR(INDEX(tblChannels[Watched Through],MATCH(N894,tblChannels[Channel ID],0)),0),"Watched","Unwatched"))</f>
        <v/>
      </c>
      <c r="C894" s="37" t="n"/>
      <c r="D894" s="38" t="n"/>
      <c r="E894" s="39" t="n">
        <v>45098.70694444444</v>
      </c>
      <c r="F894" s="47" t="inlineStr">
        <is>
          <t>Super Carlin Brothers</t>
        </is>
      </c>
      <c r="G894" t="inlineStr">
        <is>
          <t>J vs Ben: Which WEASLEY Said What - HARD MODE | Harry Potter Trivia</t>
        </is>
      </c>
      <c r="H894" s="41" t="n">
        <v>0.02034722222222222</v>
      </c>
      <c r="I894" s="42" t="n">
        <v>179404</v>
      </c>
      <c r="J894" s="42" t="n">
        <v>6340</v>
      </c>
      <c r="K894" s="42" t="n">
        <v>465</v>
      </c>
      <c r="L894" s="43" t="n"/>
      <c r="M894" s="44" t="n"/>
      <c r="N894" s="44" t="inlineStr">
        <is>
          <t>UCKZo4N0lVPccBkSiuyVh4yg</t>
        </is>
      </c>
      <c r="O894" s="45" t="n">
        <v>45098.87361111111</v>
      </c>
      <c r="P894" s="46" t="n">
        <v>45098</v>
      </c>
      <c r="Q894" s="44" t="n">
        <v>2378</v>
      </c>
      <c r="R894" s="44" t="inlineStr">
        <is>
          <t>No Video ID yet</t>
        </is>
      </c>
      <c r="S894" s="46" t="n"/>
      <c r="T894" s="46" t="n"/>
      <c r="U894" s="44" t="n"/>
      <c r="V894" s="44">
        <f>IF(AND(P894&gt;=Calendar!$K$2,P894&lt;EDATE(Calendar!$K$2,1),OR(Calendar!$K$4="*",N894=Calendar!$K$4)),P894*100+COUNTIFS($P$6:$P$3271,P894,$Q$6:$Q$3271,"&lt;="&amp;Q894,$N$6:$N$3271,Calendar!$K$4),"")</f>
        <v/>
      </c>
      <c r="W894" s="44">
        <f>IF(AND(B894=Queue!$C$4,OR(Queue!$K$4="*",N894=Queue!$K$4)),Q894,"")</f>
        <v/>
      </c>
    </row>
    <row r="895">
      <c r="A895" s="35">
        <f>IF(M895="","",HYPERLINK("https://www.youtube.com/watch?v="&amp;M895,"▶"))</f>
        <v/>
      </c>
      <c r="B895" s="36">
        <f>IF(C895&lt;&gt;"",C895,IF(P895&lt;=IFERROR(INDEX(tblChannels[Watched Through],MATCH(N895,tblChannels[Channel ID],0)),0),"Watched","Unwatched"))</f>
        <v/>
      </c>
      <c r="C895" s="37" t="n"/>
      <c r="D895" s="38" t="n"/>
      <c r="E895" s="39" t="n">
        <v>45093.77083333334</v>
      </c>
      <c r="F895" s="49" t="inlineStr">
        <is>
          <t>Super Carlin Gaming</t>
        </is>
      </c>
      <c r="G895" t="inlineStr">
        <is>
          <t>THIS IS A HUGE BOX |  Carlin Brothers Box Breakers S5E10</t>
        </is>
      </c>
      <c r="H895" s="41" t="n">
        <v>0.03233796296296296</v>
      </c>
      <c r="I895" s="42" t="n">
        <v>2116</v>
      </c>
      <c r="J895" s="42" t="n">
        <v>111</v>
      </c>
      <c r="K895" s="42" t="n">
        <v>12</v>
      </c>
      <c r="L895" s="43" t="n"/>
      <c r="M895" s="44" t="n"/>
      <c r="N895" s="44" t="inlineStr">
        <is>
          <t>UCor_9jRnNNZVzTuQ92PKsaQ</t>
        </is>
      </c>
      <c r="O895" s="45" t="n">
        <v>45093.9375</v>
      </c>
      <c r="P895" s="46" t="n">
        <v>45093</v>
      </c>
      <c r="Q895" s="44" t="n">
        <v>2377</v>
      </c>
      <c r="R895" s="44" t="inlineStr">
        <is>
          <t>No Video ID yet</t>
        </is>
      </c>
      <c r="S895" s="46" t="n"/>
      <c r="T895" s="46" t="n"/>
      <c r="U895" s="44" t="n"/>
      <c r="V895" s="44">
        <f>IF(AND(P895&gt;=Calendar!$K$2,P895&lt;EDATE(Calendar!$K$2,1),OR(Calendar!$K$4="*",N895=Calendar!$K$4)),P895*100+COUNTIFS($P$6:$P$3271,P895,$Q$6:$Q$3271,"&lt;="&amp;Q895,$N$6:$N$3271,Calendar!$K$4),"")</f>
        <v/>
      </c>
      <c r="W895" s="44">
        <f>IF(AND(B895=Queue!$C$4,OR(Queue!$K$4="*",N895=Queue!$K$4)),Q895,"")</f>
        <v/>
      </c>
    </row>
    <row r="896">
      <c r="A896" s="35">
        <f>IF(M896="","",HYPERLINK("https://www.youtube.com/watch?v="&amp;M896,"▶"))</f>
        <v/>
      </c>
      <c r="B896" s="36">
        <f>IF(C896&lt;&gt;"",C896,IF(P896&lt;=IFERROR(INDEX(tblChannels[Watched Through],MATCH(N896,tblChannels[Channel ID],0)),0),"Watched","Unwatched"))</f>
        <v/>
      </c>
      <c r="C896" s="37" t="n"/>
      <c r="D896" s="38" t="n"/>
      <c r="E896" s="39" t="n">
        <v>45093.625</v>
      </c>
      <c r="F896" s="47" t="inlineStr">
        <is>
          <t>Super Carlin Brothers</t>
        </is>
      </c>
      <c r="G896" t="inlineStr">
        <is>
          <t>The TRUTH About The Mirror of Erised | Harry Potter Film Theory</t>
        </is>
      </c>
      <c r="H896" s="41" t="n">
        <v>0.009953703703703704</v>
      </c>
      <c r="I896" s="42" t="n">
        <v>293328</v>
      </c>
      <c r="J896" s="42" t="n">
        <v>10886</v>
      </c>
      <c r="K896" s="42" t="n">
        <v>723</v>
      </c>
      <c r="L896" s="43" t="n"/>
      <c r="M896" s="44" t="n"/>
      <c r="N896" s="44" t="inlineStr">
        <is>
          <t>UCKZo4N0lVPccBkSiuyVh4yg</t>
        </is>
      </c>
      <c r="O896" s="45" t="n">
        <v>45093.79166666666</v>
      </c>
      <c r="P896" s="46" t="n">
        <v>45093</v>
      </c>
      <c r="Q896" s="44" t="n">
        <v>2376</v>
      </c>
      <c r="R896" s="44" t="inlineStr">
        <is>
          <t>No Video ID yet</t>
        </is>
      </c>
      <c r="S896" s="46" t="n"/>
      <c r="T896" s="46" t="n"/>
      <c r="U896" s="44" t="n"/>
      <c r="V896" s="44">
        <f>IF(AND(P896&gt;=Calendar!$K$2,P896&lt;EDATE(Calendar!$K$2,1),OR(Calendar!$K$4="*",N896=Calendar!$K$4)),P896*100+COUNTIFS($P$6:$P$3271,P896,$Q$6:$Q$3271,"&lt;="&amp;Q896,$N$6:$N$3271,Calendar!$K$4),"")</f>
        <v/>
      </c>
      <c r="W896" s="44">
        <f>IF(AND(B896=Queue!$C$4,OR(Queue!$K$4="*",N896=Queue!$K$4)),Q896,"")</f>
        <v/>
      </c>
    </row>
    <row r="897">
      <c r="A897" s="35">
        <f>IF(M897="","",HYPERLINK("https://www.youtube.com/watch?v="&amp;M897,"▶"))</f>
        <v/>
      </c>
      <c r="B897" s="36">
        <f>IF(C897&lt;&gt;"",C897,IF(P897&lt;=IFERROR(INDEX(tblChannels[Watched Through],MATCH(N897,tblChannels[Channel ID],0)),0),"Watched","Unwatched"))</f>
        <v/>
      </c>
      <c r="C897" s="37" t="n"/>
      <c r="D897" s="38" t="n"/>
      <c r="E897" s="39" t="n">
        <v>45093.41666666666</v>
      </c>
      <c r="F897" s="40" t="inlineStr">
        <is>
          <t>Popcorn Culture</t>
        </is>
      </c>
      <c r="G897" t="inlineStr">
        <is>
          <t>Constant Catastrophizing | Popcorn Culture</t>
        </is>
      </c>
      <c r="H897" s="41" t="n">
        <v>0.04957175925925926</v>
      </c>
      <c r="I897" s="42" t="n">
        <v>4433</v>
      </c>
      <c r="J897" s="42" t="n">
        <v>211</v>
      </c>
      <c r="K897" s="42" t="n">
        <v>18</v>
      </c>
      <c r="L897" s="43" t="n"/>
      <c r="M897" s="44" t="n"/>
      <c r="N897" s="44" t="inlineStr">
        <is>
          <t>UCHfIbq9thHPC8yrKjAdJgDA</t>
        </is>
      </c>
      <c r="O897" s="45" t="n">
        <v>45093.58333333334</v>
      </c>
      <c r="P897" s="46" t="n">
        <v>45093</v>
      </c>
      <c r="Q897" s="44" t="n">
        <v>2375</v>
      </c>
      <c r="R897" s="44" t="inlineStr">
        <is>
          <t>No Video ID yet</t>
        </is>
      </c>
      <c r="S897" s="46" t="n"/>
      <c r="T897" s="46" t="n"/>
      <c r="U897" s="44" t="n"/>
      <c r="V897" s="44">
        <f>IF(AND(P897&gt;=Calendar!$K$2,P897&lt;EDATE(Calendar!$K$2,1),OR(Calendar!$K$4="*",N897=Calendar!$K$4)),P897*100+COUNTIFS($P$6:$P$3271,P897,$Q$6:$Q$3271,"&lt;="&amp;Q897,$N$6:$N$3271,Calendar!$K$4),"")</f>
        <v/>
      </c>
      <c r="W897" s="44">
        <f>IF(AND(B897=Queue!$C$4,OR(Queue!$K$4="*",N897=Queue!$K$4)),Q897,"")</f>
        <v/>
      </c>
    </row>
    <row r="898">
      <c r="A898" s="35">
        <f>IF(M898="","",HYPERLINK("https://www.youtube.com/watch?v="&amp;M898,"▶"))</f>
        <v/>
      </c>
      <c r="B898" s="36">
        <f>IF(C898&lt;&gt;"",C898,IF(P898&lt;=IFERROR(INDEX(tblChannels[Watched Through],MATCH(N898,tblChannels[Channel ID],0)),0),"Watched","Unwatched"))</f>
        <v/>
      </c>
      <c r="C898" s="37" t="n"/>
      <c r="D898" s="38" t="n"/>
      <c r="E898" s="39" t="n">
        <v>45091.625</v>
      </c>
      <c r="F898" s="47" t="inlineStr">
        <is>
          <t>Super Carlin Brothers</t>
        </is>
      </c>
      <c r="G898" t="inlineStr">
        <is>
          <t>What If Neville Was The Chosen One - Part 4 | Harry Potter Film Theory</t>
        </is>
      </c>
      <c r="H898" s="41" t="n">
        <v>0.02282407407407407</v>
      </c>
      <c r="I898" s="42" t="n">
        <v>155523</v>
      </c>
      <c r="J898" s="42" t="n">
        <v>7401</v>
      </c>
      <c r="K898" s="42" t="n">
        <v>1055</v>
      </c>
      <c r="L898" s="43" t="n"/>
      <c r="M898" s="44" t="n"/>
      <c r="N898" s="44" t="inlineStr">
        <is>
          <t>UCKZo4N0lVPccBkSiuyVh4yg</t>
        </is>
      </c>
      <c r="O898" s="45" t="n">
        <v>45091.79166666666</v>
      </c>
      <c r="P898" s="46" t="n">
        <v>45091</v>
      </c>
      <c r="Q898" s="44" t="n">
        <v>2374</v>
      </c>
      <c r="R898" s="44" t="inlineStr">
        <is>
          <t>No Video ID yet</t>
        </is>
      </c>
      <c r="S898" s="46" t="n"/>
      <c r="T898" s="46" t="n"/>
      <c r="U898" s="44" t="n"/>
      <c r="V898" s="44">
        <f>IF(AND(P898&gt;=Calendar!$K$2,P898&lt;EDATE(Calendar!$K$2,1),OR(Calendar!$K$4="*",N898=Calendar!$K$4)),P898*100+COUNTIFS($P$6:$P$3271,P898,$Q$6:$Q$3271,"&lt;="&amp;Q898,$N$6:$N$3271,Calendar!$K$4),"")</f>
        <v/>
      </c>
      <c r="W898" s="44">
        <f>IF(AND(B898=Queue!$C$4,OR(Queue!$K$4="*",N898=Queue!$K$4)),Q898,"")</f>
        <v/>
      </c>
    </row>
    <row r="899">
      <c r="A899" s="35">
        <f>IF(M899="","",HYPERLINK("https://www.youtube.com/watch?v="&amp;M899,"▶"))</f>
        <v/>
      </c>
      <c r="B899" s="36">
        <f>IF(C899&lt;&gt;"",C899,IF(P899&lt;=IFERROR(INDEX(tblChannels[Watched Through],MATCH(N899,tblChannels[Channel ID],0)),0),"Watched","Unwatched"))</f>
        <v/>
      </c>
      <c r="C899" s="37" t="n"/>
      <c r="D899" s="38" t="n"/>
      <c r="E899" s="39" t="n">
        <v>45087.625</v>
      </c>
      <c r="F899" s="49" t="inlineStr">
        <is>
          <t>Super Carlin Gaming</t>
        </is>
      </c>
      <c r="G899" t="inlineStr">
        <is>
          <t>An Absolutely Massive Box | Carlin Brothers Box Breakers S5E9</t>
        </is>
      </c>
      <c r="H899" s="41" t="n">
        <v>0.0344212962962963</v>
      </c>
      <c r="I899" s="42" t="n">
        <v>2112</v>
      </c>
      <c r="J899" s="42" t="n">
        <v>115</v>
      </c>
      <c r="K899" s="42" t="n">
        <v>11</v>
      </c>
      <c r="L899" s="43" t="n"/>
      <c r="M899" s="44" t="n"/>
      <c r="N899" s="44" t="inlineStr">
        <is>
          <t>UCor_9jRnNNZVzTuQ92PKsaQ</t>
        </is>
      </c>
      <c r="O899" s="45" t="n">
        <v>45087.79166666666</v>
      </c>
      <c r="P899" s="46" t="n">
        <v>45087</v>
      </c>
      <c r="Q899" s="44" t="n">
        <v>2373</v>
      </c>
      <c r="R899" s="44" t="inlineStr">
        <is>
          <t>No Video ID yet</t>
        </is>
      </c>
      <c r="S899" s="46" t="n"/>
      <c r="T899" s="46" t="n"/>
      <c r="U899" s="44" t="n"/>
      <c r="V899" s="44">
        <f>IF(AND(P899&gt;=Calendar!$K$2,P899&lt;EDATE(Calendar!$K$2,1),OR(Calendar!$K$4="*",N899=Calendar!$K$4)),P899*100+COUNTIFS($P$6:$P$3271,P899,$Q$6:$Q$3271,"&lt;="&amp;Q899,$N$6:$N$3271,Calendar!$K$4),"")</f>
        <v/>
      </c>
      <c r="W899" s="44">
        <f>IF(AND(B899=Queue!$C$4,OR(Queue!$K$4="*",N899=Queue!$K$4)),Q899,"")</f>
        <v/>
      </c>
    </row>
    <row r="900">
      <c r="A900" s="35">
        <f>IF(M900="","",HYPERLINK("https://www.youtube.com/watch?v="&amp;M900,"▶"))</f>
        <v/>
      </c>
      <c r="B900" s="36">
        <f>IF(C900&lt;&gt;"",C900,IF(P900&lt;=IFERROR(INDEX(tblChannels[Watched Through],MATCH(N900,tblChannels[Channel ID],0)),0),"Watched","Unwatched"))</f>
        <v/>
      </c>
      <c r="C900" s="37" t="n"/>
      <c r="D900" s="38" t="n"/>
      <c r="E900" s="39" t="n">
        <v>45086.67986111111</v>
      </c>
      <c r="F900" s="47" t="inlineStr">
        <is>
          <t>Super Carlin Brothers</t>
        </is>
      </c>
      <c r="G900" t="inlineStr">
        <is>
          <t>What If Neville Was The Chosen One - Part 3 | Harry Potter Film Theory</t>
        </is>
      </c>
      <c r="H900" s="41" t="n">
        <v>0.01332175925925926</v>
      </c>
      <c r="I900" s="42" t="n">
        <v>167289</v>
      </c>
      <c r="J900" s="42" t="n">
        <v>7035</v>
      </c>
      <c r="K900" s="42" t="n">
        <v>556</v>
      </c>
      <c r="L900" s="43" t="n"/>
      <c r="M900" s="44" t="n"/>
      <c r="N900" s="44" t="inlineStr">
        <is>
          <t>UCKZo4N0lVPccBkSiuyVh4yg</t>
        </is>
      </c>
      <c r="O900" s="45" t="n">
        <v>45086.84652777778</v>
      </c>
      <c r="P900" s="46" t="n">
        <v>45086</v>
      </c>
      <c r="Q900" s="44" t="n">
        <v>2372</v>
      </c>
      <c r="R900" s="44" t="inlineStr">
        <is>
          <t>No Video ID yet</t>
        </is>
      </c>
      <c r="S900" s="46" t="n"/>
      <c r="T900" s="46" t="n"/>
      <c r="U900" s="44" t="n"/>
      <c r="V900" s="44">
        <f>IF(AND(P900&gt;=Calendar!$K$2,P900&lt;EDATE(Calendar!$K$2,1),OR(Calendar!$K$4="*",N900=Calendar!$K$4)),P900*100+COUNTIFS($P$6:$P$3271,P900,$Q$6:$Q$3271,"&lt;="&amp;Q900,$N$6:$N$3271,Calendar!$K$4),"")</f>
        <v/>
      </c>
      <c r="W900" s="44">
        <f>IF(AND(B900=Queue!$C$4,OR(Queue!$K$4="*",N900=Queue!$K$4)),Q900,"")</f>
        <v/>
      </c>
    </row>
    <row r="901">
      <c r="A901" s="35">
        <f>IF(M901="","",HYPERLINK("https://www.youtube.com/watch?v="&amp;M901,"▶"))</f>
        <v/>
      </c>
      <c r="B901" s="36">
        <f>IF(C901&lt;&gt;"",C901,IF(P901&lt;=IFERROR(INDEX(tblChannels[Watched Through],MATCH(N901,tblChannels[Channel ID],0)),0),"Watched","Unwatched"))</f>
        <v/>
      </c>
      <c r="C901" s="37" t="n"/>
      <c r="D901" s="38" t="n"/>
      <c r="E901" s="39" t="n">
        <v>45086.41666666666</v>
      </c>
      <c r="F901" s="40" t="inlineStr">
        <is>
          <t>Popcorn Culture</t>
        </is>
      </c>
      <c r="G901" t="inlineStr">
        <is>
          <t>Garage Mahal | Popcorn Culture</t>
        </is>
      </c>
      <c r="H901" s="41" t="n">
        <v>0.04795138888888889</v>
      </c>
      <c r="I901" s="42" t="n">
        <v>4376</v>
      </c>
      <c r="J901" s="42" t="n">
        <v>224</v>
      </c>
      <c r="K901" s="42" t="n">
        <v>26</v>
      </c>
      <c r="L901" s="43" t="n"/>
      <c r="M901" s="44" t="n"/>
      <c r="N901" s="44" t="inlineStr">
        <is>
          <t>UCHfIbq9thHPC8yrKjAdJgDA</t>
        </is>
      </c>
      <c r="O901" s="45" t="n">
        <v>45086.58333333334</v>
      </c>
      <c r="P901" s="46" t="n">
        <v>45086</v>
      </c>
      <c r="Q901" s="44" t="n">
        <v>2371</v>
      </c>
      <c r="R901" s="44" t="inlineStr">
        <is>
          <t>No Video ID yet</t>
        </is>
      </c>
      <c r="S901" s="46" t="n"/>
      <c r="T901" s="46" t="n"/>
      <c r="U901" s="44" t="n"/>
      <c r="V901" s="44">
        <f>IF(AND(P901&gt;=Calendar!$K$2,P901&lt;EDATE(Calendar!$K$2,1),OR(Calendar!$K$4="*",N901=Calendar!$K$4)),P901*100+COUNTIFS($P$6:$P$3271,P901,$Q$6:$Q$3271,"&lt;="&amp;Q901,$N$6:$N$3271,Calendar!$K$4),"")</f>
        <v/>
      </c>
      <c r="W901" s="44">
        <f>IF(AND(B901=Queue!$C$4,OR(Queue!$K$4="*",N901=Queue!$K$4)),Q901,"")</f>
        <v/>
      </c>
    </row>
    <row r="902">
      <c r="A902" s="35">
        <f>IF(M902="","",HYPERLINK("https://www.youtube.com/watch?v="&amp;M902,"▶"))</f>
        <v/>
      </c>
      <c r="B902" s="36">
        <f>IF(C902&lt;&gt;"",C902,IF(P902&lt;=IFERROR(INDEX(tblChannels[Watched Through],MATCH(N902,tblChannels[Channel ID],0)),0),"Watched","Unwatched"))</f>
        <v/>
      </c>
      <c r="C902" s="37" t="n"/>
      <c r="D902" s="38" t="n"/>
      <c r="E902" s="39" t="n">
        <v>45084.71527777778</v>
      </c>
      <c r="F902" s="47" t="inlineStr">
        <is>
          <t>Super Carlin Brothers</t>
        </is>
      </c>
      <c r="G902" t="inlineStr">
        <is>
          <t>J vs Ben: HARDEST Harry Potter Families Trivia Quiz EVER</t>
        </is>
      </c>
      <c r="H902" s="41" t="n">
        <v>0.02046296296296296</v>
      </c>
      <c r="I902" s="42" t="n">
        <v>195467</v>
      </c>
      <c r="J902" s="42" t="n">
        <v>6803</v>
      </c>
      <c r="K902" s="42" t="n">
        <v>684</v>
      </c>
      <c r="L902" s="43" t="n"/>
      <c r="M902" s="44" t="n"/>
      <c r="N902" s="44" t="inlineStr">
        <is>
          <t>UCKZo4N0lVPccBkSiuyVh4yg</t>
        </is>
      </c>
      <c r="O902" s="45" t="n">
        <v>45084.88194444445</v>
      </c>
      <c r="P902" s="46" t="n">
        <v>45084</v>
      </c>
      <c r="Q902" s="44" t="n">
        <v>2370</v>
      </c>
      <c r="R902" s="44" t="inlineStr">
        <is>
          <t>No Video ID yet</t>
        </is>
      </c>
      <c r="S902" s="46" t="n"/>
      <c r="T902" s="46" t="n"/>
      <c r="U902" s="44" t="n"/>
      <c r="V902" s="44">
        <f>IF(AND(P902&gt;=Calendar!$K$2,P902&lt;EDATE(Calendar!$K$2,1),OR(Calendar!$K$4="*",N902=Calendar!$K$4)),P902*100+COUNTIFS($P$6:$P$3271,P902,$Q$6:$Q$3271,"&lt;="&amp;Q902,$N$6:$N$3271,Calendar!$K$4),"")</f>
        <v/>
      </c>
      <c r="W902" s="44">
        <f>IF(AND(B902=Queue!$C$4,OR(Queue!$K$4="*",N902=Queue!$K$4)),Q902,"")</f>
        <v/>
      </c>
    </row>
    <row r="903">
      <c r="A903" s="35">
        <f>IF(M903="","",HYPERLINK("https://www.youtube.com/watch?v="&amp;M903,"▶"))</f>
        <v/>
      </c>
      <c r="B903" s="36">
        <f>IF(C903&lt;&gt;"",C903,IF(P903&lt;=IFERROR(INDEX(tblChannels[Watched Through],MATCH(N903,tblChannels[Channel ID],0)),0),"Watched","Unwatched"))</f>
        <v/>
      </c>
      <c r="C903" s="37" t="n"/>
      <c r="D903" s="38" t="n"/>
      <c r="E903" s="39" t="n">
        <v>45079.74930555555</v>
      </c>
      <c r="F903" s="47" t="inlineStr">
        <is>
          <t>Super Carlin Brothers</t>
        </is>
      </c>
      <c r="G903" t="inlineStr">
        <is>
          <t>Top 5 PRE Deathly Hallows Fan Theories | Harry Potter Film Theory</t>
        </is>
      </c>
      <c r="H903" s="41" t="n">
        <v>0.01596064814814815</v>
      </c>
      <c r="I903" s="42" t="n">
        <v>262641</v>
      </c>
      <c r="J903" s="42" t="n">
        <v>9269</v>
      </c>
      <c r="K903" s="42" t="n">
        <v>617</v>
      </c>
      <c r="L903" s="43" t="n"/>
      <c r="M903" s="44" t="n"/>
      <c r="N903" s="44" t="inlineStr">
        <is>
          <t>UCKZo4N0lVPccBkSiuyVh4yg</t>
        </is>
      </c>
      <c r="O903" s="45" t="n">
        <v>45079.91597222222</v>
      </c>
      <c r="P903" s="46" t="n">
        <v>45079</v>
      </c>
      <c r="Q903" s="44" t="n">
        <v>2369</v>
      </c>
      <c r="R903" s="44" t="inlineStr">
        <is>
          <t>No Video ID yet</t>
        </is>
      </c>
      <c r="S903" s="46" t="n"/>
      <c r="T903" s="46" t="n"/>
      <c r="U903" s="44" t="n"/>
      <c r="V903" s="44">
        <f>IF(AND(P903&gt;=Calendar!$K$2,P903&lt;EDATE(Calendar!$K$2,1),OR(Calendar!$K$4="*",N903=Calendar!$K$4)),P903*100+COUNTIFS($P$6:$P$3271,P903,$Q$6:$Q$3271,"&lt;="&amp;Q903,$N$6:$N$3271,Calendar!$K$4),"")</f>
        <v/>
      </c>
      <c r="W903" s="44">
        <f>IF(AND(B903=Queue!$C$4,OR(Queue!$K$4="*",N903=Queue!$K$4)),Q903,"")</f>
        <v/>
      </c>
    </row>
    <row r="904">
      <c r="A904" s="35">
        <f>IF(M904="","",HYPERLINK("https://www.youtube.com/watch?v="&amp;M904,"▶"))</f>
        <v/>
      </c>
      <c r="B904" s="36">
        <f>IF(C904&lt;&gt;"",C904,IF(P904&lt;=IFERROR(INDEX(tblChannels[Watched Through],MATCH(N904,tblChannels[Channel ID],0)),0),"Watched","Unwatched"))</f>
        <v/>
      </c>
      <c r="C904" s="37" t="n"/>
      <c r="D904" s="38" t="n"/>
      <c r="E904" s="39" t="n">
        <v>45079.41666666666</v>
      </c>
      <c r="F904" s="40" t="inlineStr">
        <is>
          <t>Popcorn Culture</t>
        </is>
      </c>
      <c r="G904" t="inlineStr">
        <is>
          <t>Fad vs. Future | Popcorn Culture</t>
        </is>
      </c>
      <c r="H904" s="41" t="n">
        <v>0.05184027777777778</v>
      </c>
      <c r="I904" s="42" t="n">
        <v>5049</v>
      </c>
      <c r="J904" s="42" t="n">
        <v>235</v>
      </c>
      <c r="K904" s="42" t="n">
        <v>33</v>
      </c>
      <c r="L904" s="43" t="n"/>
      <c r="M904" s="44" t="n"/>
      <c r="N904" s="44" t="inlineStr">
        <is>
          <t>UCHfIbq9thHPC8yrKjAdJgDA</t>
        </is>
      </c>
      <c r="O904" s="45" t="n">
        <v>45079.58333333334</v>
      </c>
      <c r="P904" s="46" t="n">
        <v>45079</v>
      </c>
      <c r="Q904" s="44" t="n">
        <v>2368</v>
      </c>
      <c r="R904" s="44" t="inlineStr">
        <is>
          <t>No Video ID yet</t>
        </is>
      </c>
      <c r="S904" s="46" t="n"/>
      <c r="T904" s="46" t="n"/>
      <c r="U904" s="44" t="n"/>
      <c r="V904" s="44">
        <f>IF(AND(P904&gt;=Calendar!$K$2,P904&lt;EDATE(Calendar!$K$2,1),OR(Calendar!$K$4="*",N904=Calendar!$K$4)),P904*100+COUNTIFS($P$6:$P$3271,P904,$Q$6:$Q$3271,"&lt;="&amp;Q904,$N$6:$N$3271,Calendar!$K$4),"")</f>
        <v/>
      </c>
      <c r="W904" s="44">
        <f>IF(AND(B904=Queue!$C$4,OR(Queue!$K$4="*",N904=Queue!$K$4)),Q904,"")</f>
        <v/>
      </c>
    </row>
    <row r="905">
      <c r="A905" s="35">
        <f>IF(M905="","",HYPERLINK("https://www.youtube.com/watch?v="&amp;M905,"▶"))</f>
        <v/>
      </c>
      <c r="B905" s="36">
        <f>IF(C905&lt;&gt;"",C905,IF(P905&lt;=IFERROR(INDEX(tblChannels[Watched Through],MATCH(N905,tblChannels[Channel ID],0)),0),"Watched","Unwatched"))</f>
        <v/>
      </c>
      <c r="C905" s="37" t="n"/>
      <c r="D905" s="38" t="n"/>
      <c r="E905" s="39" t="n">
        <v>45078.68333333333</v>
      </c>
      <c r="F905" s="47" t="inlineStr">
        <is>
          <t>Super Carlin Brothers</t>
        </is>
      </c>
      <c r="G905" t="inlineStr">
        <is>
          <t>What If Neville Was The Chosen One - Part 2 | Harry Potter Film Theory</t>
        </is>
      </c>
      <c r="H905" s="41" t="n">
        <v>0.01980324074074074</v>
      </c>
      <c r="I905" s="42" t="n">
        <v>233610</v>
      </c>
      <c r="J905" s="42" t="n">
        <v>8963</v>
      </c>
      <c r="K905" s="42" t="n">
        <v>1299</v>
      </c>
      <c r="L905" s="43" t="n"/>
      <c r="M905" s="44" t="n"/>
      <c r="N905" s="44" t="inlineStr">
        <is>
          <t>UCKZo4N0lVPccBkSiuyVh4yg</t>
        </is>
      </c>
      <c r="O905" s="45" t="n">
        <v>45078.85</v>
      </c>
      <c r="P905" s="46" t="n">
        <v>45078</v>
      </c>
      <c r="Q905" s="44" t="n">
        <v>2367</v>
      </c>
      <c r="R905" s="44" t="inlineStr">
        <is>
          <t>No Video ID yet</t>
        </is>
      </c>
      <c r="S905" s="46" t="n"/>
      <c r="T905" s="46" t="n"/>
      <c r="U905" s="44" t="n"/>
      <c r="V905" s="44">
        <f>IF(AND(P905&gt;=Calendar!$K$2,P905&lt;EDATE(Calendar!$K$2,1),OR(Calendar!$K$4="*",N905=Calendar!$K$4)),P905*100+COUNTIFS($P$6:$P$3271,P905,$Q$6:$Q$3271,"&lt;="&amp;Q905,$N$6:$N$3271,Calendar!$K$4),"")</f>
        <v/>
      </c>
      <c r="W905" s="44">
        <f>IF(AND(B905=Queue!$C$4,OR(Queue!$K$4="*",N905=Queue!$K$4)),Q905,"")</f>
        <v/>
      </c>
    </row>
    <row r="906">
      <c r="A906" s="35">
        <f>IF(M906="","",HYPERLINK("https://www.youtube.com/watch?v="&amp;M906,"▶"))</f>
        <v/>
      </c>
      <c r="B906" s="36">
        <f>IF(C906&lt;&gt;"",C906,IF(P906&lt;=IFERROR(INDEX(tblChannels[Watched Through],MATCH(N906,tblChannels[Channel ID],0)),0),"Watched","Unwatched"))</f>
        <v/>
      </c>
      <c r="C906" s="37" t="n"/>
      <c r="D906" s="38" t="n"/>
      <c r="E906" s="39" t="n">
        <v>45072.80277777778</v>
      </c>
      <c r="F906" s="47" t="inlineStr">
        <is>
          <t>Super Carlin Brothers</t>
        </is>
      </c>
      <c r="G906" t="inlineStr">
        <is>
          <t>J vs Ben: ULTIMATE Harry Potter Prank Trivia Quiz | WHEEL OF PUNISHMENT</t>
        </is>
      </c>
      <c r="H906" s="41" t="n">
        <v>0.02825231481481481</v>
      </c>
      <c r="I906" s="42" t="n">
        <v>223141</v>
      </c>
      <c r="J906" s="42" t="n">
        <v>7864</v>
      </c>
      <c r="K906" s="42" t="n">
        <v>574</v>
      </c>
      <c r="L906" s="43" t="n"/>
      <c r="M906" s="44" t="n"/>
      <c r="N906" s="44" t="inlineStr">
        <is>
          <t>UCKZo4N0lVPccBkSiuyVh4yg</t>
        </is>
      </c>
      <c r="O906" s="45" t="n">
        <v>45072.96944444445</v>
      </c>
      <c r="P906" s="46" t="n">
        <v>45072</v>
      </c>
      <c r="Q906" s="44" t="n">
        <v>2366</v>
      </c>
      <c r="R906" s="44" t="inlineStr">
        <is>
          <t>No Video ID yet</t>
        </is>
      </c>
      <c r="S906" s="46" t="n"/>
      <c r="T906" s="46" t="n"/>
      <c r="U906" s="44" t="n"/>
      <c r="V906" s="44">
        <f>IF(AND(P906&gt;=Calendar!$K$2,P906&lt;EDATE(Calendar!$K$2,1),OR(Calendar!$K$4="*",N906=Calendar!$K$4)),P906*100+COUNTIFS($P$6:$P$3271,P906,$Q$6:$Q$3271,"&lt;="&amp;Q906,$N$6:$N$3271,Calendar!$K$4),"")</f>
        <v/>
      </c>
      <c r="W906" s="44">
        <f>IF(AND(B906=Queue!$C$4,OR(Queue!$K$4="*",N906=Queue!$K$4)),Q906,"")</f>
        <v/>
      </c>
    </row>
    <row r="907">
      <c r="A907" s="35">
        <f>IF(M907="","",HYPERLINK("https://www.youtube.com/watch?v="&amp;M907,"▶"))</f>
        <v/>
      </c>
      <c r="B907" s="36">
        <f>IF(C907&lt;&gt;"",C907,IF(P907&lt;=IFERROR(INDEX(tblChannels[Watched Through],MATCH(N907,tblChannels[Channel ID],0)),0),"Watched","Unwatched"))</f>
        <v/>
      </c>
      <c r="C907" s="37" t="n"/>
      <c r="D907" s="38" t="n"/>
      <c r="E907" s="39" t="n">
        <v>45072.79166666666</v>
      </c>
      <c r="F907" s="49" t="inlineStr">
        <is>
          <t>Super Carlin Gaming</t>
        </is>
      </c>
      <c r="G907" t="inlineStr">
        <is>
          <t>Pokemon Paldea Evolved EARLY ACCESS Unboxing</t>
        </is>
      </c>
      <c r="H907" s="41" t="n">
        <v>0.03818287037037037</v>
      </c>
      <c r="I907" s="42" t="n">
        <v>3471</v>
      </c>
      <c r="J907" s="42" t="n">
        <v>158</v>
      </c>
      <c r="K907" s="42" t="n">
        <v>13</v>
      </c>
      <c r="L907" s="43" t="n"/>
      <c r="M907" s="44" t="n"/>
      <c r="N907" s="44" t="inlineStr">
        <is>
          <t>UCor_9jRnNNZVzTuQ92PKsaQ</t>
        </is>
      </c>
      <c r="O907" s="45" t="n">
        <v>45072.95833333334</v>
      </c>
      <c r="P907" s="46" t="n">
        <v>45072</v>
      </c>
      <c r="Q907" s="44" t="n">
        <v>2365</v>
      </c>
      <c r="R907" s="44" t="inlineStr">
        <is>
          <t>No Video ID yet</t>
        </is>
      </c>
      <c r="S907" s="46" t="n"/>
      <c r="T907" s="46" t="n"/>
      <c r="U907" s="44" t="n"/>
      <c r="V907" s="44">
        <f>IF(AND(P907&gt;=Calendar!$K$2,P907&lt;EDATE(Calendar!$K$2,1),OR(Calendar!$K$4="*",N907=Calendar!$K$4)),P907*100+COUNTIFS($P$6:$P$3271,P907,$Q$6:$Q$3271,"&lt;="&amp;Q907,$N$6:$N$3271,Calendar!$K$4),"")</f>
        <v/>
      </c>
      <c r="W907" s="44">
        <f>IF(AND(B907=Queue!$C$4,OR(Queue!$K$4="*",N907=Queue!$K$4)),Q907,"")</f>
        <v/>
      </c>
    </row>
    <row r="908">
      <c r="A908" s="35">
        <f>IF(M908="","",HYPERLINK("https://www.youtube.com/watch?v="&amp;M908,"▶"))</f>
        <v/>
      </c>
      <c r="B908" s="36">
        <f>IF(C908&lt;&gt;"",C908,IF(P908&lt;=IFERROR(INDEX(tblChannels[Watched Through],MATCH(N908,tblChannels[Channel ID],0)),0),"Watched","Unwatched"))</f>
        <v/>
      </c>
      <c r="C908" s="37" t="n"/>
      <c r="D908" s="38" t="n"/>
      <c r="E908" s="39" t="n">
        <v>45072.41666666666</v>
      </c>
      <c r="F908" s="40" t="inlineStr">
        <is>
          <t>Popcorn Culture</t>
        </is>
      </c>
      <c r="G908" t="inlineStr">
        <is>
          <t>Diaper Hobby | Popcorn Culture</t>
        </is>
      </c>
      <c r="H908" s="41" t="n">
        <v>0.04809027777777778</v>
      </c>
      <c r="I908" s="42" t="n">
        <v>4439</v>
      </c>
      <c r="J908" s="42" t="n">
        <v>225</v>
      </c>
      <c r="K908" s="42" t="n">
        <v>29</v>
      </c>
      <c r="L908" s="43" t="n"/>
      <c r="M908" s="44" t="n"/>
      <c r="N908" s="44" t="inlineStr">
        <is>
          <t>UCHfIbq9thHPC8yrKjAdJgDA</t>
        </is>
      </c>
      <c r="O908" s="45" t="n">
        <v>45072.58333333334</v>
      </c>
      <c r="P908" s="46" t="n">
        <v>45072</v>
      </c>
      <c r="Q908" s="44" t="n">
        <v>2364</v>
      </c>
      <c r="R908" s="44" t="inlineStr">
        <is>
          <t>No Video ID yet</t>
        </is>
      </c>
      <c r="S908" s="46" t="n"/>
      <c r="T908" s="46" t="n"/>
      <c r="U908" s="44" t="n"/>
      <c r="V908" s="44">
        <f>IF(AND(P908&gt;=Calendar!$K$2,P908&lt;EDATE(Calendar!$K$2,1),OR(Calendar!$K$4="*",N908=Calendar!$K$4)),P908*100+COUNTIFS($P$6:$P$3271,P908,$Q$6:$Q$3271,"&lt;="&amp;Q908,$N$6:$N$3271,Calendar!$K$4),"")</f>
        <v/>
      </c>
      <c r="W908" s="44">
        <f>IF(AND(B908=Queue!$C$4,OR(Queue!$K$4="*",N908=Queue!$K$4)),Q908,"")</f>
        <v/>
      </c>
    </row>
    <row r="909">
      <c r="A909" s="35">
        <f>IF(M909="","",HYPERLINK("https://www.youtube.com/watch?v="&amp;M909,"▶"))</f>
        <v/>
      </c>
      <c r="B909" s="36">
        <f>IF(C909&lt;&gt;"",C909,IF(P909&lt;=IFERROR(INDEX(tblChannels[Watched Through],MATCH(N909,tblChannels[Channel ID],0)),0),"Watched","Unwatched"))</f>
        <v/>
      </c>
      <c r="C909" s="37" t="n"/>
      <c r="D909" s="38" t="n"/>
      <c r="E909" s="39" t="n">
        <v>45071.79166666666</v>
      </c>
      <c r="F909" s="49" t="inlineStr">
        <is>
          <t>Super Carlin Gaming</t>
        </is>
      </c>
      <c r="G909" t="inlineStr">
        <is>
          <t>It's About Family | Carlin Brothers Box Breakers S5E8</t>
        </is>
      </c>
      <c r="H909" s="41" t="n">
        <v>0.03184027777777778</v>
      </c>
      <c r="I909" s="42" t="n">
        <v>1878</v>
      </c>
      <c r="J909" s="42" t="n">
        <v>101</v>
      </c>
      <c r="K909" s="42" t="n">
        <v>7</v>
      </c>
      <c r="L909" s="43" t="n"/>
      <c r="M909" s="44" t="n"/>
      <c r="N909" s="44" t="inlineStr">
        <is>
          <t>UCor_9jRnNNZVzTuQ92PKsaQ</t>
        </is>
      </c>
      <c r="O909" s="45" t="n">
        <v>45071.95833333334</v>
      </c>
      <c r="P909" s="46" t="n">
        <v>45071</v>
      </c>
      <c r="Q909" s="44" t="n">
        <v>2363</v>
      </c>
      <c r="R909" s="44" t="inlineStr">
        <is>
          <t>No Video ID yet</t>
        </is>
      </c>
      <c r="S909" s="46" t="n"/>
      <c r="T909" s="46" t="n"/>
      <c r="U909" s="44" t="n"/>
      <c r="V909" s="44">
        <f>IF(AND(P909&gt;=Calendar!$K$2,P909&lt;EDATE(Calendar!$K$2,1),OR(Calendar!$K$4="*",N909=Calendar!$K$4)),P909*100+COUNTIFS($P$6:$P$3271,P909,$Q$6:$Q$3271,"&lt;="&amp;Q909,$N$6:$N$3271,Calendar!$K$4),"")</f>
        <v/>
      </c>
      <c r="W909" s="44">
        <f>IF(AND(B909=Queue!$C$4,OR(Queue!$K$4="*",N909=Queue!$K$4)),Q909,"")</f>
        <v/>
      </c>
    </row>
    <row r="910">
      <c r="A910" s="35">
        <f>IF(M910="","",HYPERLINK("https://www.youtube.com/watch?v="&amp;M910,"▶"))</f>
        <v/>
      </c>
      <c r="B910" s="36">
        <f>IF(C910&lt;&gt;"",C910,IF(P910&lt;=IFERROR(INDEX(tblChannels[Watched Through],MATCH(N910,tblChannels[Channel ID],0)),0),"Watched","Unwatched"))</f>
        <v/>
      </c>
      <c r="C910" s="37" t="n"/>
      <c r="D910" s="38" t="n"/>
      <c r="E910" s="39" t="n">
        <v>45070.625</v>
      </c>
      <c r="F910" s="47" t="inlineStr">
        <is>
          <t>Super Carlin Brothers</t>
        </is>
      </c>
      <c r="G910" t="inlineStr">
        <is>
          <t>What If Neville Was The Chosen One | Harry Potter Film Theory</t>
        </is>
      </c>
      <c r="H910" s="41" t="n">
        <v>0.01328703703703704</v>
      </c>
      <c r="I910" s="42" t="n">
        <v>321343</v>
      </c>
      <c r="J910" s="42" t="n">
        <v>11706</v>
      </c>
      <c r="K910" s="42" t="n">
        <v>889</v>
      </c>
      <c r="L910" s="43" t="n"/>
      <c r="M910" s="44" t="n"/>
      <c r="N910" s="44" t="inlineStr">
        <is>
          <t>UCKZo4N0lVPccBkSiuyVh4yg</t>
        </is>
      </c>
      <c r="O910" s="45" t="n">
        <v>45070.79166666666</v>
      </c>
      <c r="P910" s="46" t="n">
        <v>45070</v>
      </c>
      <c r="Q910" s="44" t="n">
        <v>2362</v>
      </c>
      <c r="R910" s="44" t="inlineStr">
        <is>
          <t>No Video ID yet</t>
        </is>
      </c>
      <c r="S910" s="46" t="n"/>
      <c r="T910" s="46" t="n"/>
      <c r="U910" s="44" t="n"/>
      <c r="V910" s="44">
        <f>IF(AND(P910&gt;=Calendar!$K$2,P910&lt;EDATE(Calendar!$K$2,1),OR(Calendar!$K$4="*",N910=Calendar!$K$4)),P910*100+COUNTIFS($P$6:$P$3271,P910,$Q$6:$Q$3271,"&lt;="&amp;Q910,$N$6:$N$3271,Calendar!$K$4),"")</f>
        <v/>
      </c>
      <c r="W910" s="44">
        <f>IF(AND(B910=Queue!$C$4,OR(Queue!$K$4="*",N910=Queue!$K$4)),Q910,"")</f>
        <v/>
      </c>
    </row>
    <row r="911">
      <c r="A911" s="35">
        <f>IF(M911="","",HYPERLINK("https://www.youtube.com/watch?v="&amp;M911,"▶"))</f>
        <v/>
      </c>
      <c r="B911" s="36">
        <f>IF(C911&lt;&gt;"",C911,IF(P911&lt;=IFERROR(INDEX(tblChannels[Watched Through],MATCH(N911,tblChannels[Channel ID],0)),0),"Watched","Unwatched"))</f>
        <v/>
      </c>
      <c r="C911" s="37" t="n"/>
      <c r="D911" s="38" t="n"/>
      <c r="E911" s="39" t="n">
        <v>45065.71944444445</v>
      </c>
      <c r="F911" s="47" t="inlineStr">
        <is>
          <t>Super Carlin Brothers</t>
        </is>
      </c>
      <c r="G911" t="inlineStr">
        <is>
          <t>Top 5 WORST Harry Potter Theories EVER | Harry Potter Film Theory</t>
        </is>
      </c>
      <c r="H911" s="41" t="n">
        <v>0.0131712962962963</v>
      </c>
      <c r="I911" s="42" t="n">
        <v>509464</v>
      </c>
      <c r="J911" s="42" t="n">
        <v>15699</v>
      </c>
      <c r="K911" s="42" t="n">
        <v>1212</v>
      </c>
      <c r="L911" s="43" t="n"/>
      <c r="M911" s="44" t="n"/>
      <c r="N911" s="44" t="inlineStr">
        <is>
          <t>UCKZo4N0lVPccBkSiuyVh4yg</t>
        </is>
      </c>
      <c r="O911" s="45" t="n">
        <v>45065.88611111111</v>
      </c>
      <c r="P911" s="46" t="n">
        <v>45065</v>
      </c>
      <c r="Q911" s="44" t="n">
        <v>2361</v>
      </c>
      <c r="R911" s="44" t="inlineStr">
        <is>
          <t>No Video ID yet</t>
        </is>
      </c>
      <c r="S911" s="46" t="n"/>
      <c r="T911" s="46" t="n"/>
      <c r="U911" s="44" t="n"/>
      <c r="V911" s="44">
        <f>IF(AND(P911&gt;=Calendar!$K$2,P911&lt;EDATE(Calendar!$K$2,1),OR(Calendar!$K$4="*",N911=Calendar!$K$4)),P911*100+COUNTIFS($P$6:$P$3271,P911,$Q$6:$Q$3271,"&lt;="&amp;Q911,$N$6:$N$3271,Calendar!$K$4),"")</f>
        <v/>
      </c>
      <c r="W911" s="44">
        <f>IF(AND(B911=Queue!$C$4,OR(Queue!$K$4="*",N911=Queue!$K$4)),Q911,"")</f>
        <v/>
      </c>
    </row>
    <row r="912">
      <c r="A912" s="35">
        <f>IF(M912="","",HYPERLINK("https://www.youtube.com/watch?v="&amp;M912,"▶"))</f>
        <v/>
      </c>
      <c r="B912" s="36">
        <f>IF(C912&lt;&gt;"",C912,IF(P912&lt;=IFERROR(INDEX(tblChannels[Watched Through],MATCH(N912,tblChannels[Channel ID],0)),0),"Watched","Unwatched"))</f>
        <v/>
      </c>
      <c r="C912" s="37" t="n"/>
      <c r="D912" s="38" t="n"/>
      <c r="E912" s="39" t="n">
        <v>45065.41666666666</v>
      </c>
      <c r="F912" s="40" t="inlineStr">
        <is>
          <t>Popcorn Culture</t>
        </is>
      </c>
      <c r="G912" t="inlineStr">
        <is>
          <t>Bursting with Pants | Popcorn Culture</t>
        </is>
      </c>
      <c r="H912" s="41" t="n">
        <v>0.04545138888888889</v>
      </c>
      <c r="I912" s="42" t="n">
        <v>4350</v>
      </c>
      <c r="J912" s="42" t="n">
        <v>227</v>
      </c>
      <c r="K912" s="42" t="n">
        <v>17</v>
      </c>
      <c r="L912" s="43" t="n"/>
      <c r="M912" s="44" t="n"/>
      <c r="N912" s="44" t="inlineStr">
        <is>
          <t>UCHfIbq9thHPC8yrKjAdJgDA</t>
        </is>
      </c>
      <c r="O912" s="45" t="n">
        <v>45065.58333333334</v>
      </c>
      <c r="P912" s="46" t="n">
        <v>45065</v>
      </c>
      <c r="Q912" s="44" t="n">
        <v>2360</v>
      </c>
      <c r="R912" s="44" t="inlineStr">
        <is>
          <t>No Video ID yet</t>
        </is>
      </c>
      <c r="S912" s="46" t="n"/>
      <c r="T912" s="46" t="n"/>
      <c r="U912" s="44" t="n"/>
      <c r="V912" s="44">
        <f>IF(AND(P912&gt;=Calendar!$K$2,P912&lt;EDATE(Calendar!$K$2,1),OR(Calendar!$K$4="*",N912=Calendar!$K$4)),P912*100+COUNTIFS($P$6:$P$3271,P912,$Q$6:$Q$3271,"&lt;="&amp;Q912,$N$6:$N$3271,Calendar!$K$4),"")</f>
        <v/>
      </c>
      <c r="W912" s="44">
        <f>IF(AND(B912=Queue!$C$4,OR(Queue!$K$4="*",N912=Queue!$K$4)),Q912,"")</f>
        <v/>
      </c>
    </row>
    <row r="913">
      <c r="A913" s="35">
        <f>IF(M913="","",HYPERLINK("https://www.youtube.com/watch?v="&amp;M913,"▶"))</f>
        <v/>
      </c>
      <c r="B913" s="36">
        <f>IF(C913&lt;&gt;"",C913,IF(P913&lt;=IFERROR(INDEX(tblChannels[Watched Through],MATCH(N913,tblChannels[Channel ID],0)),0),"Watched","Unwatched"))</f>
        <v/>
      </c>
      <c r="C913" s="37" t="n"/>
      <c r="D913" s="38" t="n"/>
      <c r="E913" s="39" t="n">
        <v>45064.77083333334</v>
      </c>
      <c r="F913" s="49" t="inlineStr">
        <is>
          <t>Super Carlin Gaming</t>
        </is>
      </c>
      <c r="G913" t="inlineStr">
        <is>
          <t>The Race To The Bottom Begins | Carlin Brothers Box Breakers S5E7</t>
        </is>
      </c>
      <c r="H913" s="41" t="n">
        <v>0.03153935185185185</v>
      </c>
      <c r="I913" s="42" t="n">
        <v>1825</v>
      </c>
      <c r="J913" s="42" t="n">
        <v>110</v>
      </c>
      <c r="K913" s="42" t="n">
        <v>17</v>
      </c>
      <c r="L913" s="43" t="n"/>
      <c r="M913" s="44" t="n"/>
      <c r="N913" s="44" t="inlineStr">
        <is>
          <t>UCor_9jRnNNZVzTuQ92PKsaQ</t>
        </is>
      </c>
      <c r="O913" s="45" t="n">
        <v>45064.9375</v>
      </c>
      <c r="P913" s="46" t="n">
        <v>45064</v>
      </c>
      <c r="Q913" s="44" t="n">
        <v>2359</v>
      </c>
      <c r="R913" s="44" t="inlineStr">
        <is>
          <t>No Video ID yet</t>
        </is>
      </c>
      <c r="S913" s="46" t="n"/>
      <c r="T913" s="46" t="n"/>
      <c r="U913" s="44" t="n"/>
      <c r="V913" s="44">
        <f>IF(AND(P913&gt;=Calendar!$K$2,P913&lt;EDATE(Calendar!$K$2,1),OR(Calendar!$K$4="*",N913=Calendar!$K$4)),P913*100+COUNTIFS($P$6:$P$3271,P913,$Q$6:$Q$3271,"&lt;="&amp;Q913,$N$6:$N$3271,Calendar!$K$4),"")</f>
        <v/>
      </c>
      <c r="W913" s="44">
        <f>IF(AND(B913=Queue!$C$4,OR(Queue!$K$4="*",N913=Queue!$K$4)),Q913,"")</f>
        <v/>
      </c>
    </row>
    <row r="914">
      <c r="A914" s="35">
        <f>IF(M914="","",HYPERLINK("https://www.youtube.com/watch?v="&amp;M914,"▶"))</f>
        <v/>
      </c>
      <c r="B914" s="36">
        <f>IF(C914&lt;&gt;"",C914,IF(P914&lt;=IFERROR(INDEX(tblChannels[Watched Through],MATCH(N914,tblChannels[Channel ID],0)),0),"Watched","Unwatched"))</f>
        <v/>
      </c>
      <c r="C914" s="37" t="n"/>
      <c r="D914" s="38" t="n"/>
      <c r="E914" s="39" t="n">
        <v>45063.71111111111</v>
      </c>
      <c r="F914" s="47" t="inlineStr">
        <is>
          <t>Super Carlin Brothers</t>
        </is>
      </c>
      <c r="G914" t="inlineStr">
        <is>
          <t>Who Created The UNFORGIVABLE Curses</t>
        </is>
      </c>
      <c r="H914" s="41" t="n">
        <v>0.01292824074074074</v>
      </c>
      <c r="I914" s="42" t="n">
        <v>3040347</v>
      </c>
      <c r="J914" s="42" t="n">
        <v>72438</v>
      </c>
      <c r="K914" s="42" t="n">
        <v>3426</v>
      </c>
      <c r="L914" s="43" t="n"/>
      <c r="M914" s="44" t="n"/>
      <c r="N914" s="44" t="inlineStr">
        <is>
          <t>UCKZo4N0lVPccBkSiuyVh4yg</t>
        </is>
      </c>
      <c r="O914" s="45" t="n">
        <v>45063.87777777778</v>
      </c>
      <c r="P914" s="46" t="n">
        <v>45063</v>
      </c>
      <c r="Q914" s="44" t="n">
        <v>2358</v>
      </c>
      <c r="R914" s="44" t="inlineStr">
        <is>
          <t>No Video ID yet</t>
        </is>
      </c>
      <c r="S914" s="46" t="n"/>
      <c r="T914" s="46" t="n"/>
      <c r="U914" s="44" t="n"/>
      <c r="V914" s="44">
        <f>IF(AND(P914&gt;=Calendar!$K$2,P914&lt;EDATE(Calendar!$K$2,1),OR(Calendar!$K$4="*",N914=Calendar!$K$4)),P914*100+COUNTIFS($P$6:$P$3271,P914,$Q$6:$Q$3271,"&lt;="&amp;Q914,$N$6:$N$3271,Calendar!$K$4),"")</f>
        <v/>
      </c>
      <c r="W914" s="44">
        <f>IF(AND(B914=Queue!$C$4,OR(Queue!$K$4="*",N914=Queue!$K$4)),Q914,"")</f>
        <v/>
      </c>
    </row>
    <row r="915">
      <c r="A915" s="35">
        <f>IF(M915="","",HYPERLINK("https://www.youtube.com/watch?v="&amp;M915,"▶"))</f>
        <v/>
      </c>
      <c r="B915" s="36">
        <f>IF(C915&lt;&gt;"",C915,IF(P915&lt;=IFERROR(INDEX(tblChannels[Watched Through],MATCH(N915,tblChannels[Channel ID],0)),0),"Watched","Unwatched"))</f>
        <v/>
      </c>
      <c r="C915" s="37" t="n"/>
      <c r="D915" s="38" t="n"/>
      <c r="E915" s="39" t="n">
        <v>45058.77083333334</v>
      </c>
      <c r="F915" s="49" t="inlineStr">
        <is>
          <t>Super Carlin Gaming</t>
        </is>
      </c>
      <c r="G915" t="inlineStr">
        <is>
          <t>The Pigs Are Poppin' | Carlin Brothers Box Breakers S5E6</t>
        </is>
      </c>
      <c r="H915" s="41" t="n">
        <v>0.03300925925925926</v>
      </c>
      <c r="I915" s="42" t="n">
        <v>1979</v>
      </c>
      <c r="J915" s="42" t="n">
        <v>104</v>
      </c>
      <c r="K915" s="42" t="n">
        <v>7</v>
      </c>
      <c r="L915" s="43" t="n"/>
      <c r="M915" s="44" t="n"/>
      <c r="N915" s="44" t="inlineStr">
        <is>
          <t>UCor_9jRnNNZVzTuQ92PKsaQ</t>
        </is>
      </c>
      <c r="O915" s="45" t="n">
        <v>45058.9375</v>
      </c>
      <c r="P915" s="46" t="n">
        <v>45058</v>
      </c>
      <c r="Q915" s="44" t="n">
        <v>2357</v>
      </c>
      <c r="R915" s="44" t="inlineStr">
        <is>
          <t>No Video ID yet</t>
        </is>
      </c>
      <c r="S915" s="46" t="n"/>
      <c r="T915" s="46" t="n"/>
      <c r="U915" s="44" t="n"/>
      <c r="V915" s="44">
        <f>IF(AND(P915&gt;=Calendar!$K$2,P915&lt;EDATE(Calendar!$K$2,1),OR(Calendar!$K$4="*",N915=Calendar!$K$4)),P915*100+COUNTIFS($P$6:$P$3271,P915,$Q$6:$Q$3271,"&lt;="&amp;Q915,$N$6:$N$3271,Calendar!$K$4),"")</f>
        <v/>
      </c>
      <c r="W915" s="44">
        <f>IF(AND(B915=Queue!$C$4,OR(Queue!$K$4="*",N915=Queue!$K$4)),Q915,"")</f>
        <v/>
      </c>
    </row>
    <row r="916">
      <c r="A916" s="35">
        <f>IF(M916="","",HYPERLINK("https://www.youtube.com/watch?v="&amp;M916,"▶"))</f>
        <v/>
      </c>
      <c r="B916" s="36">
        <f>IF(C916&lt;&gt;"",C916,IF(P916&lt;=IFERROR(INDEX(tblChannels[Watched Through],MATCH(N916,tblChannels[Channel ID],0)),0),"Watched","Unwatched"))</f>
        <v/>
      </c>
      <c r="C916" s="37" t="n"/>
      <c r="D916" s="38" t="n"/>
      <c r="E916" s="39" t="n">
        <v>45058.70277777778</v>
      </c>
      <c r="F916" s="47" t="inlineStr">
        <is>
          <t>Super Carlin Brothers</t>
        </is>
      </c>
      <c r="G916" t="inlineStr">
        <is>
          <t>What If Crookshanks KILLED Wormtail | Harry Potter Film Theory</t>
        </is>
      </c>
      <c r="H916" s="41" t="n">
        <v>0.02131944444444444</v>
      </c>
      <c r="I916" s="42" t="n">
        <v>603341</v>
      </c>
      <c r="J916" s="42" t="n">
        <v>15306</v>
      </c>
      <c r="K916" s="42" t="n">
        <v>1407</v>
      </c>
      <c r="L916" s="43" t="n"/>
      <c r="M916" s="44" t="n"/>
      <c r="N916" s="44" t="inlineStr">
        <is>
          <t>UCKZo4N0lVPccBkSiuyVh4yg</t>
        </is>
      </c>
      <c r="O916" s="45" t="n">
        <v>45058.86944444444</v>
      </c>
      <c r="P916" s="46" t="n">
        <v>45058</v>
      </c>
      <c r="Q916" s="44" t="n">
        <v>2356</v>
      </c>
      <c r="R916" s="44" t="inlineStr">
        <is>
          <t>No Video ID yet</t>
        </is>
      </c>
      <c r="S916" s="46" t="n"/>
      <c r="T916" s="46" t="n"/>
      <c r="U916" s="44" t="n"/>
      <c r="V916" s="44">
        <f>IF(AND(P916&gt;=Calendar!$K$2,P916&lt;EDATE(Calendar!$K$2,1),OR(Calendar!$K$4="*",N916=Calendar!$K$4)),P916*100+COUNTIFS($P$6:$P$3271,P916,$Q$6:$Q$3271,"&lt;="&amp;Q916,$N$6:$N$3271,Calendar!$K$4),"")</f>
        <v/>
      </c>
      <c r="W916" s="44">
        <f>IF(AND(B916=Queue!$C$4,OR(Queue!$K$4="*",N916=Queue!$K$4)),Q916,"")</f>
        <v/>
      </c>
    </row>
    <row r="917">
      <c r="A917" s="35">
        <f>IF(M917="","",HYPERLINK("https://www.youtube.com/watch?v="&amp;M917,"▶"))</f>
        <v/>
      </c>
      <c r="B917" s="36">
        <f>IF(C917&lt;&gt;"",C917,IF(P917&lt;=IFERROR(INDEX(tblChannels[Watched Through],MATCH(N917,tblChannels[Channel ID],0)),0),"Watched","Unwatched"))</f>
        <v/>
      </c>
      <c r="C917" s="37" t="n"/>
      <c r="D917" s="38" t="n"/>
      <c r="E917" s="39" t="n">
        <v>45058.41666666666</v>
      </c>
      <c r="F917" s="40" t="inlineStr">
        <is>
          <t>Popcorn Culture</t>
        </is>
      </c>
      <c r="G917" t="inlineStr">
        <is>
          <t>The Mighty Jolly Challenge | Popcorn Culture</t>
        </is>
      </c>
      <c r="H917" s="41" t="n">
        <v>0.05005787037037037</v>
      </c>
      <c r="I917" s="42" t="n">
        <v>4660</v>
      </c>
      <c r="J917" s="42" t="n">
        <v>255</v>
      </c>
      <c r="K917" s="42" t="n">
        <v>12</v>
      </c>
      <c r="L917" s="43" t="n"/>
      <c r="M917" s="44" t="n"/>
      <c r="N917" s="44" t="inlineStr">
        <is>
          <t>UCHfIbq9thHPC8yrKjAdJgDA</t>
        </is>
      </c>
      <c r="O917" s="45" t="n">
        <v>45058.58333333334</v>
      </c>
      <c r="P917" s="46" t="n">
        <v>45058</v>
      </c>
      <c r="Q917" s="44" t="n">
        <v>2355</v>
      </c>
      <c r="R917" s="44" t="inlineStr">
        <is>
          <t>No Video ID yet</t>
        </is>
      </c>
      <c r="S917" s="46" t="n"/>
      <c r="T917" s="46" t="n"/>
      <c r="U917" s="44" t="n"/>
      <c r="V917" s="44">
        <f>IF(AND(P917&gt;=Calendar!$K$2,P917&lt;EDATE(Calendar!$K$2,1),OR(Calendar!$K$4="*",N917=Calendar!$K$4)),P917*100+COUNTIFS($P$6:$P$3271,P917,$Q$6:$Q$3271,"&lt;="&amp;Q917,$N$6:$N$3271,Calendar!$K$4),"")</f>
        <v/>
      </c>
      <c r="W917" s="44">
        <f>IF(AND(B917=Queue!$C$4,OR(Queue!$K$4="*",N917=Queue!$K$4)),Q917,"")</f>
        <v/>
      </c>
    </row>
    <row r="918">
      <c r="A918" s="35">
        <f>IF(M918="","",HYPERLINK("https://www.youtube.com/watch?v="&amp;M918,"▶"))</f>
        <v/>
      </c>
      <c r="B918" s="36">
        <f>IF(C918&lt;&gt;"",C918,IF(P918&lt;=IFERROR(INDEX(tblChannels[Watched Through],MATCH(N918,tblChannels[Channel ID],0)),0),"Watched","Unwatched"))</f>
        <v/>
      </c>
      <c r="C918" s="37" t="n"/>
      <c r="D918" s="38" t="n"/>
      <c r="E918" s="39" t="n">
        <v>45056.69305555556</v>
      </c>
      <c r="F918" s="47" t="inlineStr">
        <is>
          <t>Super Carlin Brothers</t>
        </is>
      </c>
      <c r="G918" t="inlineStr">
        <is>
          <t>J vs Ben: ULTIMATE Harry Potter Magical Transportation TRIVIA Quiz</t>
        </is>
      </c>
      <c r="H918" s="41" t="n">
        <v>0.02219907407407407</v>
      </c>
      <c r="I918" s="42" t="n">
        <v>182200</v>
      </c>
      <c r="J918" s="42" t="n">
        <v>6173</v>
      </c>
      <c r="K918" s="42" t="n">
        <v>493</v>
      </c>
      <c r="L918" s="43" t="n"/>
      <c r="M918" s="44" t="n"/>
      <c r="N918" s="44" t="inlineStr">
        <is>
          <t>UCKZo4N0lVPccBkSiuyVh4yg</t>
        </is>
      </c>
      <c r="O918" s="45" t="n">
        <v>45056.85972222222</v>
      </c>
      <c r="P918" s="46" t="n">
        <v>45056</v>
      </c>
      <c r="Q918" s="44" t="n">
        <v>2354</v>
      </c>
      <c r="R918" s="44" t="inlineStr">
        <is>
          <t>No Video ID yet</t>
        </is>
      </c>
      <c r="S918" s="46" t="n"/>
      <c r="T918" s="46" t="n"/>
      <c r="U918" s="44" t="n"/>
      <c r="V918" s="44">
        <f>IF(AND(P918&gt;=Calendar!$K$2,P918&lt;EDATE(Calendar!$K$2,1),OR(Calendar!$K$4="*",N918=Calendar!$K$4)),P918*100+COUNTIFS($P$6:$P$3271,P918,$Q$6:$Q$3271,"&lt;="&amp;Q918,$N$6:$N$3271,Calendar!$K$4),"")</f>
        <v/>
      </c>
      <c r="W918" s="44">
        <f>IF(AND(B918=Queue!$C$4,OR(Queue!$K$4="*",N918=Queue!$K$4)),Q918,"")</f>
        <v/>
      </c>
    </row>
    <row r="919">
      <c r="A919" s="35">
        <f>IF(M919="","",HYPERLINK("https://www.youtube.com/watch?v="&amp;M919,"▶"))</f>
        <v/>
      </c>
      <c r="B919" s="36">
        <f>IF(C919&lt;&gt;"",C919,IF(P919&lt;=IFERROR(INDEX(tblChannels[Watched Through],MATCH(N919,tblChannels[Channel ID],0)),0),"Watched","Unwatched"))</f>
        <v/>
      </c>
      <c r="C919" s="37" t="n"/>
      <c r="D919" s="38" t="n"/>
      <c r="E919" s="39" t="n">
        <v>45054.20347222222</v>
      </c>
      <c r="F919" s="49" t="inlineStr">
        <is>
          <t>Super Carlin Gaming</t>
        </is>
      </c>
      <c r="G919" t="inlineStr">
        <is>
          <t>LIVE! - Pokemon and Chill</t>
        </is>
      </c>
      <c r="H919" s="41" t="n">
        <v>0.04375</v>
      </c>
      <c r="I919" s="42" t="n">
        <v>1673</v>
      </c>
      <c r="J919" s="42" t="n">
        <v>74</v>
      </c>
      <c r="K919" s="42" t="n">
        <v>10</v>
      </c>
      <c r="L919" s="43" t="n"/>
      <c r="M919" s="44" t="n"/>
      <c r="N919" s="44" t="inlineStr">
        <is>
          <t>UCor_9jRnNNZVzTuQ92PKsaQ</t>
        </is>
      </c>
      <c r="O919" s="45" t="n">
        <v>45054.37013888889</v>
      </c>
      <c r="P919" s="46" t="n">
        <v>45054</v>
      </c>
      <c r="Q919" s="44" t="n">
        <v>2353</v>
      </c>
      <c r="R919" s="44" t="inlineStr">
        <is>
          <t>No Video ID yet</t>
        </is>
      </c>
      <c r="S919" s="46" t="n"/>
      <c r="T919" s="46" t="n"/>
      <c r="U919" s="44" t="n"/>
      <c r="V919" s="44">
        <f>IF(AND(P919&gt;=Calendar!$K$2,P919&lt;EDATE(Calendar!$K$2,1),OR(Calendar!$K$4="*",N919=Calendar!$K$4)),P919*100+COUNTIFS($P$6:$P$3271,P919,$Q$6:$Q$3271,"&lt;="&amp;Q919,$N$6:$N$3271,Calendar!$K$4),"")</f>
        <v/>
      </c>
      <c r="W919" s="44">
        <f>IF(AND(B919=Queue!$C$4,OR(Queue!$K$4="*",N919=Queue!$K$4)),Q919,"")</f>
        <v/>
      </c>
    </row>
    <row r="920">
      <c r="A920" s="35">
        <f>IF(M920="","",HYPERLINK("https://www.youtube.com/watch?v="&amp;M920,"▶"))</f>
        <v/>
      </c>
      <c r="B920" s="36">
        <f>IF(C920&lt;&gt;"",C920,IF(P920&lt;=IFERROR(INDEX(tblChannels[Watched Through],MATCH(N920,tblChannels[Channel ID],0)),0),"Watched","Unwatched"))</f>
        <v/>
      </c>
      <c r="C920" s="37" t="n"/>
      <c r="D920" s="38" t="n"/>
      <c r="E920" s="39" t="n">
        <v>45053.625</v>
      </c>
      <c r="F920" s="47" t="inlineStr">
        <is>
          <t>Super Carlin Brothers</t>
        </is>
      </c>
      <c r="G920" t="inlineStr">
        <is>
          <t>Guardians of the Galaxy Vol. 3 is Marvel’s BEST Movie in Years! | REVIEW</t>
        </is>
      </c>
      <c r="H920" s="41" t="n">
        <v>0.03804398148148148</v>
      </c>
      <c r="I920" s="42" t="n">
        <v>113343</v>
      </c>
      <c r="J920" s="42" t="n">
        <v>4288</v>
      </c>
      <c r="K920" s="42" t="n">
        <v>538</v>
      </c>
      <c r="L920" s="43" t="n"/>
      <c r="M920" s="44" t="n"/>
      <c r="N920" s="44" t="inlineStr">
        <is>
          <t>UCKZo4N0lVPccBkSiuyVh4yg</t>
        </is>
      </c>
      <c r="O920" s="45" t="n">
        <v>45053.79166666666</v>
      </c>
      <c r="P920" s="46" t="n">
        <v>45053</v>
      </c>
      <c r="Q920" s="44" t="n">
        <v>2352</v>
      </c>
      <c r="R920" s="44" t="inlineStr">
        <is>
          <t>No Video ID yet</t>
        </is>
      </c>
      <c r="S920" s="46" t="n"/>
      <c r="T920" s="46" t="n"/>
      <c r="U920" s="44" t="n"/>
      <c r="V920" s="44">
        <f>IF(AND(P920&gt;=Calendar!$K$2,P920&lt;EDATE(Calendar!$K$2,1),OR(Calendar!$K$4="*",N920=Calendar!$K$4)),P920*100+COUNTIFS($P$6:$P$3271,P920,$Q$6:$Q$3271,"&lt;="&amp;Q920,$N$6:$N$3271,Calendar!$K$4),"")</f>
        <v/>
      </c>
      <c r="W920" s="44">
        <f>IF(AND(B920=Queue!$C$4,OR(Queue!$K$4="*",N920=Queue!$K$4)),Q920,"")</f>
        <v/>
      </c>
    </row>
    <row r="921">
      <c r="A921" s="35">
        <f>IF(M921="","",HYPERLINK("https://www.youtube.com/watch?v="&amp;M921,"▶"))</f>
        <v/>
      </c>
      <c r="B921" s="36">
        <f>IF(C921&lt;&gt;"",C921,IF(P921&lt;=IFERROR(INDEX(tblChannels[Watched Through],MATCH(N921,tblChannels[Channel ID],0)),0),"Watched","Unwatched"))</f>
        <v/>
      </c>
      <c r="C921" s="37" t="n"/>
      <c r="D921" s="38" t="n"/>
      <c r="E921" s="39" t="n">
        <v>45051.77083333334</v>
      </c>
      <c r="F921" s="49" t="inlineStr">
        <is>
          <t>Super Carlin Gaming</t>
        </is>
      </c>
      <c r="G921" t="inlineStr">
        <is>
          <t>Team Fire Is On The Attack | Carlin Brothers Box Breakers S5E5</t>
        </is>
      </c>
      <c r="H921" s="41" t="n">
        <v>0.03537037037037037</v>
      </c>
      <c r="I921" s="42" t="n">
        <v>2175</v>
      </c>
      <c r="J921" s="42" t="n">
        <v>107</v>
      </c>
      <c r="K921" s="42" t="n">
        <v>10</v>
      </c>
      <c r="L921" s="43" t="n"/>
      <c r="M921" s="44" t="n"/>
      <c r="N921" s="44" t="inlineStr">
        <is>
          <t>UCor_9jRnNNZVzTuQ92PKsaQ</t>
        </is>
      </c>
      <c r="O921" s="45" t="n">
        <v>45051.9375</v>
      </c>
      <c r="P921" s="46" t="n">
        <v>45051</v>
      </c>
      <c r="Q921" s="44" t="n">
        <v>2351</v>
      </c>
      <c r="R921" s="44" t="inlineStr">
        <is>
          <t>No Video ID yet</t>
        </is>
      </c>
      <c r="S921" s="46" t="n"/>
      <c r="T921" s="46" t="n"/>
      <c r="U921" s="44" t="n"/>
      <c r="V921" s="44">
        <f>IF(AND(P921&gt;=Calendar!$K$2,P921&lt;EDATE(Calendar!$K$2,1),OR(Calendar!$K$4="*",N921=Calendar!$K$4)),P921*100+COUNTIFS($P$6:$P$3271,P921,$Q$6:$Q$3271,"&lt;="&amp;Q921,$N$6:$N$3271,Calendar!$K$4),"")</f>
        <v/>
      </c>
      <c r="W921" s="44">
        <f>IF(AND(B921=Queue!$C$4,OR(Queue!$K$4="*",N921=Queue!$K$4)),Q921,"")</f>
        <v/>
      </c>
    </row>
    <row r="922">
      <c r="A922" s="35">
        <f>IF(M922="","",HYPERLINK("https://www.youtube.com/watch?v="&amp;M922,"▶"))</f>
        <v/>
      </c>
      <c r="B922" s="36">
        <f>IF(C922&lt;&gt;"",C922,IF(P922&lt;=IFERROR(INDEX(tblChannels[Watched Through],MATCH(N922,tblChannels[Channel ID],0)),0),"Watched","Unwatched"))</f>
        <v/>
      </c>
      <c r="C922" s="37" t="n"/>
      <c r="D922" s="38" t="n"/>
      <c r="E922" s="39" t="n">
        <v>45051.62916666667</v>
      </c>
      <c r="F922" s="47" t="inlineStr">
        <is>
          <t>Super Carlin Brothers</t>
        </is>
      </c>
      <c r="G922" t="inlineStr">
        <is>
          <t>What If Mirabel DIED | Encanto Disney Film Theory</t>
        </is>
      </c>
      <c r="H922" s="41" t="n">
        <v>0.01265046296296296</v>
      </c>
      <c r="I922" s="42" t="n">
        <v>163910</v>
      </c>
      <c r="J922" s="42" t="n">
        <v>4669</v>
      </c>
      <c r="K922" s="42" t="n">
        <v>297</v>
      </c>
      <c r="L922" s="43" t="n"/>
      <c r="M922" s="44" t="n"/>
      <c r="N922" s="44" t="inlineStr">
        <is>
          <t>UCKZo4N0lVPccBkSiuyVh4yg</t>
        </is>
      </c>
      <c r="O922" s="45" t="n">
        <v>45051.79583333333</v>
      </c>
      <c r="P922" s="46" t="n">
        <v>45051</v>
      </c>
      <c r="Q922" s="44" t="n">
        <v>2350</v>
      </c>
      <c r="R922" s="44" t="inlineStr">
        <is>
          <t>No Video ID yet</t>
        </is>
      </c>
      <c r="S922" s="46" t="n"/>
      <c r="T922" s="46" t="n"/>
      <c r="U922" s="44" t="n"/>
      <c r="V922" s="44">
        <f>IF(AND(P922&gt;=Calendar!$K$2,P922&lt;EDATE(Calendar!$K$2,1),OR(Calendar!$K$4="*",N922=Calendar!$K$4)),P922*100+COUNTIFS($P$6:$P$3271,P922,$Q$6:$Q$3271,"&lt;="&amp;Q922,$N$6:$N$3271,Calendar!$K$4),"")</f>
        <v/>
      </c>
      <c r="W922" s="44">
        <f>IF(AND(B922=Queue!$C$4,OR(Queue!$K$4="*",N922=Queue!$K$4)),Q922,"")</f>
        <v/>
      </c>
    </row>
    <row r="923">
      <c r="A923" s="35">
        <f>IF(M923="","",HYPERLINK("https://www.youtube.com/watch?v="&amp;M923,"▶"))</f>
        <v/>
      </c>
      <c r="B923" s="36">
        <f>IF(C923&lt;&gt;"",C923,IF(P923&lt;=IFERROR(INDEX(tblChannels[Watched Through],MATCH(N923,tblChannels[Channel ID],0)),0),"Watched","Unwatched"))</f>
        <v/>
      </c>
      <c r="C923" s="37" t="n"/>
      <c r="D923" s="38" t="n"/>
      <c r="E923" s="39" t="n">
        <v>45051.41666666666</v>
      </c>
      <c r="F923" s="40" t="inlineStr">
        <is>
          <t>Popcorn Culture</t>
        </is>
      </c>
      <c r="G923" t="inlineStr">
        <is>
          <t>The Mandela Effect of Catzilla | Popcorn Culture</t>
        </is>
      </c>
      <c r="H923" s="41" t="n">
        <v>0.04829861111111111</v>
      </c>
      <c r="I923" s="42" t="n">
        <v>4587</v>
      </c>
      <c r="J923" s="42" t="n">
        <v>236</v>
      </c>
      <c r="K923" s="42" t="n">
        <v>35</v>
      </c>
      <c r="L923" s="43" t="n"/>
      <c r="M923" s="44" t="n"/>
      <c r="N923" s="44" t="inlineStr">
        <is>
          <t>UCHfIbq9thHPC8yrKjAdJgDA</t>
        </is>
      </c>
      <c r="O923" s="45" t="n">
        <v>45051.58333333334</v>
      </c>
      <c r="P923" s="46" t="n">
        <v>45051</v>
      </c>
      <c r="Q923" s="44" t="n">
        <v>2349</v>
      </c>
      <c r="R923" s="44" t="inlineStr">
        <is>
          <t>No Video ID yet</t>
        </is>
      </c>
      <c r="S923" s="46" t="n"/>
      <c r="T923" s="46" t="n"/>
      <c r="U923" s="44" t="n"/>
      <c r="V923" s="44">
        <f>IF(AND(P923&gt;=Calendar!$K$2,P923&lt;EDATE(Calendar!$K$2,1),OR(Calendar!$K$4="*",N923=Calendar!$K$4)),P923*100+COUNTIFS($P$6:$P$3271,P923,$Q$6:$Q$3271,"&lt;="&amp;Q923,$N$6:$N$3271,Calendar!$K$4),"")</f>
        <v/>
      </c>
      <c r="W923" s="44">
        <f>IF(AND(B923=Queue!$C$4,OR(Queue!$K$4="*",N923=Queue!$K$4)),Q923,"")</f>
        <v/>
      </c>
    </row>
    <row r="924">
      <c r="A924" s="35">
        <f>IF(M924="","",HYPERLINK("https://www.youtube.com/watch?v="&amp;M924,"▶"))</f>
        <v/>
      </c>
      <c r="B924" s="36">
        <f>IF(C924&lt;&gt;"",C924,IF(P924&lt;=IFERROR(INDEX(tblChannels[Watched Through],MATCH(N924,tblChannels[Channel ID],0)),0),"Watched","Unwatched"))</f>
        <v/>
      </c>
      <c r="C924" s="37" t="n"/>
      <c r="D924" s="38" t="n"/>
      <c r="E924" s="39" t="n">
        <v>45049.66458333333</v>
      </c>
      <c r="F924" s="47" t="inlineStr">
        <is>
          <t>Super Carlin Brothers</t>
        </is>
      </c>
      <c r="G924" t="inlineStr">
        <is>
          <t>Top 10 Best (and Most EPIC) Star Wars Scenes Ever | Star Wars Film Theory</t>
        </is>
      </c>
      <c r="H924" s="41" t="n">
        <v>0.01668981481481481</v>
      </c>
      <c r="I924" s="42" t="n">
        <v>58093</v>
      </c>
      <c r="J924" s="42" t="n">
        <v>3166</v>
      </c>
      <c r="K924" s="42" t="n">
        <v>516</v>
      </c>
      <c r="L924" s="43" t="n"/>
      <c r="M924" s="44" t="n"/>
      <c r="N924" s="44" t="inlineStr">
        <is>
          <t>UCKZo4N0lVPccBkSiuyVh4yg</t>
        </is>
      </c>
      <c r="O924" s="45" t="n">
        <v>45049.83125</v>
      </c>
      <c r="P924" s="46" t="n">
        <v>45049</v>
      </c>
      <c r="Q924" s="44" t="n">
        <v>2348</v>
      </c>
      <c r="R924" s="44" t="inlineStr">
        <is>
          <t>No Video ID yet</t>
        </is>
      </c>
      <c r="S924" s="46" t="n"/>
      <c r="T924" s="46" t="n"/>
      <c r="U924" s="44" t="n"/>
      <c r="V924" s="44">
        <f>IF(AND(P924&gt;=Calendar!$K$2,P924&lt;EDATE(Calendar!$K$2,1),OR(Calendar!$K$4="*",N924=Calendar!$K$4)),P924*100+COUNTIFS($P$6:$P$3271,P924,$Q$6:$Q$3271,"&lt;="&amp;Q924,$N$6:$N$3271,Calendar!$K$4),"")</f>
        <v/>
      </c>
      <c r="W924" s="44">
        <f>IF(AND(B924=Queue!$C$4,OR(Queue!$K$4="*",N924=Queue!$K$4)),Q924,"")</f>
        <v/>
      </c>
    </row>
    <row r="925">
      <c r="A925" s="35">
        <f>IF(M925="","",HYPERLINK("https://www.youtube.com/watch?v="&amp;M925,"▶"))</f>
        <v/>
      </c>
      <c r="B925" s="36">
        <f>IF(C925&lt;&gt;"",C925,IF(P925&lt;=IFERROR(INDEX(tblChannels[Watched Through],MATCH(N925,tblChannels[Channel ID],0)),0),"Watched","Unwatched"))</f>
        <v/>
      </c>
      <c r="C925" s="37" t="n"/>
      <c r="D925" s="38" t="n"/>
      <c r="E925" s="39" t="n">
        <v>45044.79166666666</v>
      </c>
      <c r="F925" s="49" t="inlineStr">
        <is>
          <t>Super Carlin Gaming</t>
        </is>
      </c>
      <c r="G925" t="inlineStr">
        <is>
          <t>A CHALLENGER EMERGES | Carlin Brothers Box Breakers S5E4</t>
        </is>
      </c>
      <c r="H925" s="41" t="n">
        <v>0.0325462962962963</v>
      </c>
      <c r="I925" s="42" t="n">
        <v>2193</v>
      </c>
      <c r="J925" s="42" t="n">
        <v>111</v>
      </c>
      <c r="K925" s="42" t="n">
        <v>12</v>
      </c>
      <c r="L925" s="43" t="n"/>
      <c r="M925" s="44" t="n"/>
      <c r="N925" s="44" t="inlineStr">
        <is>
          <t>UCor_9jRnNNZVzTuQ92PKsaQ</t>
        </is>
      </c>
      <c r="O925" s="45" t="n">
        <v>45044.95833333334</v>
      </c>
      <c r="P925" s="46" t="n">
        <v>45044</v>
      </c>
      <c r="Q925" s="44" t="n">
        <v>2347</v>
      </c>
      <c r="R925" s="44" t="inlineStr">
        <is>
          <t>No Video ID yet</t>
        </is>
      </c>
      <c r="S925" s="46" t="n"/>
      <c r="T925" s="46" t="n"/>
      <c r="U925" s="44" t="n"/>
      <c r="V925" s="44">
        <f>IF(AND(P925&gt;=Calendar!$K$2,P925&lt;EDATE(Calendar!$K$2,1),OR(Calendar!$K$4="*",N925=Calendar!$K$4)),P925*100+COUNTIFS($P$6:$P$3271,P925,$Q$6:$Q$3271,"&lt;="&amp;Q925,$N$6:$N$3271,Calendar!$K$4),"")</f>
        <v/>
      </c>
      <c r="W925" s="44">
        <f>IF(AND(B925=Queue!$C$4,OR(Queue!$K$4="*",N925=Queue!$K$4)),Q925,"")</f>
        <v/>
      </c>
    </row>
    <row r="926">
      <c r="A926" s="35">
        <f>IF(M926="","",HYPERLINK("https://www.youtube.com/watch?v="&amp;M926,"▶"))</f>
        <v/>
      </c>
      <c r="B926" s="36">
        <f>IF(C926&lt;&gt;"",C926,IF(P926&lt;=IFERROR(INDEX(tblChannels[Watched Through],MATCH(N926,tblChannels[Channel ID],0)),0),"Watched","Unwatched"))</f>
        <v/>
      </c>
      <c r="C926" s="37" t="n"/>
      <c r="D926" s="38" t="n"/>
      <c r="E926" s="39" t="n">
        <v>45044.70069444444</v>
      </c>
      <c r="F926" s="47" t="inlineStr">
        <is>
          <t>Super Carlin Brothers</t>
        </is>
      </c>
      <c r="G926" t="inlineStr">
        <is>
          <t>J vs Ben ULTIMATE Department of Mysteries Harry Potter TRIVIA Quiz</t>
        </is>
      </c>
      <c r="H926" s="41" t="n">
        <v>0.02127314814814815</v>
      </c>
      <c r="I926" s="42" t="n">
        <v>192572</v>
      </c>
      <c r="J926" s="42" t="n">
        <v>6537</v>
      </c>
      <c r="K926" s="42" t="n">
        <v>552</v>
      </c>
      <c r="L926" s="43" t="n"/>
      <c r="M926" s="44" t="n"/>
      <c r="N926" s="44" t="inlineStr">
        <is>
          <t>UCKZo4N0lVPccBkSiuyVh4yg</t>
        </is>
      </c>
      <c r="O926" s="45" t="n">
        <v>45044.86736111111</v>
      </c>
      <c r="P926" s="46" t="n">
        <v>45044</v>
      </c>
      <c r="Q926" s="44" t="n">
        <v>2346</v>
      </c>
      <c r="R926" s="44" t="inlineStr">
        <is>
          <t>No Video ID yet</t>
        </is>
      </c>
      <c r="S926" s="46" t="n"/>
      <c r="T926" s="46" t="n"/>
      <c r="U926" s="44" t="n"/>
      <c r="V926" s="44">
        <f>IF(AND(P926&gt;=Calendar!$K$2,P926&lt;EDATE(Calendar!$K$2,1),OR(Calendar!$K$4="*",N926=Calendar!$K$4)),P926*100+COUNTIFS($P$6:$P$3271,P926,$Q$6:$Q$3271,"&lt;="&amp;Q926,$N$6:$N$3271,Calendar!$K$4),"")</f>
        <v/>
      </c>
      <c r="W926" s="44">
        <f>IF(AND(B926=Queue!$C$4,OR(Queue!$K$4="*",N926=Queue!$K$4)),Q926,"")</f>
        <v/>
      </c>
    </row>
    <row r="927">
      <c r="A927" s="35">
        <f>IF(M927="","",HYPERLINK("https://www.youtube.com/watch?v="&amp;M927,"▶"))</f>
        <v/>
      </c>
      <c r="B927" s="36">
        <f>IF(C927&lt;&gt;"",C927,IF(P927&lt;=IFERROR(INDEX(tblChannels[Watched Through],MATCH(N927,tblChannels[Channel ID],0)),0),"Watched","Unwatched"))</f>
        <v/>
      </c>
      <c r="C927" s="37" t="n"/>
      <c r="D927" s="38" t="n"/>
      <c r="E927" s="39" t="n">
        <v>45044.41666666666</v>
      </c>
      <c r="F927" s="40" t="inlineStr">
        <is>
          <t>Popcorn Culture</t>
        </is>
      </c>
      <c r="G927" t="inlineStr">
        <is>
          <t>Ben Ran A Marathon! | Popcorn Culture</t>
        </is>
      </c>
      <c r="H927" s="41" t="n">
        <v>0.0484375</v>
      </c>
      <c r="I927" s="42" t="n">
        <v>4555</v>
      </c>
      <c r="J927" s="42" t="n">
        <v>242</v>
      </c>
      <c r="K927" s="42" t="n">
        <v>20</v>
      </c>
      <c r="L927" s="43" t="n"/>
      <c r="M927" s="44" t="n"/>
      <c r="N927" s="44" t="inlineStr">
        <is>
          <t>UCHfIbq9thHPC8yrKjAdJgDA</t>
        </is>
      </c>
      <c r="O927" s="45" t="n">
        <v>45044.58333333334</v>
      </c>
      <c r="P927" s="46" t="n">
        <v>45044</v>
      </c>
      <c r="Q927" s="44" t="n">
        <v>2345</v>
      </c>
      <c r="R927" s="44" t="inlineStr">
        <is>
          <t>No Video ID yet</t>
        </is>
      </c>
      <c r="S927" s="46" t="n"/>
      <c r="T927" s="46" t="n"/>
      <c r="U927" s="44" t="n"/>
      <c r="V927" s="44">
        <f>IF(AND(P927&gt;=Calendar!$K$2,P927&lt;EDATE(Calendar!$K$2,1),OR(Calendar!$K$4="*",N927=Calendar!$K$4)),P927*100+COUNTIFS($P$6:$P$3271,P927,$Q$6:$Q$3271,"&lt;="&amp;Q927,$N$6:$N$3271,Calendar!$K$4),"")</f>
        <v/>
      </c>
      <c r="W927" s="44">
        <f>IF(AND(B927=Queue!$C$4,OR(Queue!$K$4="*",N927=Queue!$K$4)),Q927,"")</f>
        <v/>
      </c>
    </row>
    <row r="928">
      <c r="A928" s="35">
        <f>IF(M928="","",HYPERLINK("https://www.youtube.com/watch?v="&amp;M928,"▶"))</f>
        <v/>
      </c>
      <c r="B928" s="36">
        <f>IF(C928&lt;&gt;"",C928,IF(P928&lt;=IFERROR(INDEX(tblChannels[Watched Through],MATCH(N928,tblChannels[Channel ID],0)),0),"Watched","Unwatched"))</f>
        <v/>
      </c>
      <c r="C928" s="37" t="n"/>
      <c r="D928" s="38" t="n"/>
      <c r="E928" s="39" t="n">
        <v>45042.61319444444</v>
      </c>
      <c r="F928" s="47" t="inlineStr">
        <is>
          <t>Super Carlin Brothers</t>
        </is>
      </c>
      <c r="G928" t="inlineStr">
        <is>
          <t>The TRUTH About Gusteau's Success | Ratatouille Pixar Film Theory</t>
        </is>
      </c>
      <c r="H928" s="41" t="n">
        <v>0.00974537037037037</v>
      </c>
      <c r="I928" s="42" t="n">
        <v>143077</v>
      </c>
      <c r="J928" s="42" t="n">
        <v>6556</v>
      </c>
      <c r="K928" s="42" t="n">
        <v>392</v>
      </c>
      <c r="L928" s="43" t="n"/>
      <c r="M928" s="44" t="n"/>
      <c r="N928" s="44" t="inlineStr">
        <is>
          <t>UCKZo4N0lVPccBkSiuyVh4yg</t>
        </is>
      </c>
      <c r="O928" s="45" t="n">
        <v>45042.77986111111</v>
      </c>
      <c r="P928" s="46" t="n">
        <v>45042</v>
      </c>
      <c r="Q928" s="44" t="n">
        <v>2344</v>
      </c>
      <c r="R928" s="44" t="inlineStr">
        <is>
          <t>No Video ID yet</t>
        </is>
      </c>
      <c r="S928" s="46" t="n"/>
      <c r="T928" s="46" t="n"/>
      <c r="U928" s="44" t="n"/>
      <c r="V928" s="44">
        <f>IF(AND(P928&gt;=Calendar!$K$2,P928&lt;EDATE(Calendar!$K$2,1),OR(Calendar!$K$4="*",N928=Calendar!$K$4)),P928*100+COUNTIFS($P$6:$P$3271,P928,$Q$6:$Q$3271,"&lt;="&amp;Q928,$N$6:$N$3271,Calendar!$K$4),"")</f>
        <v/>
      </c>
      <c r="W928" s="44">
        <f>IF(AND(B928=Queue!$C$4,OR(Queue!$K$4="*",N928=Queue!$K$4)),Q928,"")</f>
        <v/>
      </c>
    </row>
    <row r="929">
      <c r="A929" s="35">
        <f>IF(M929="","",HYPERLINK("https://www.youtube.com/watch?v="&amp;M929,"▶"))</f>
        <v/>
      </c>
      <c r="B929" s="36">
        <f>IF(C929&lt;&gt;"",C929,IF(P929&lt;=IFERROR(INDEX(tblChannels[Watched Through],MATCH(N929,tblChannels[Channel ID],0)),0),"Watched","Unwatched"))</f>
        <v/>
      </c>
      <c r="C929" s="37" t="n"/>
      <c r="D929" s="38" t="n"/>
      <c r="E929" s="39" t="n">
        <v>45037.61527777778</v>
      </c>
      <c r="F929" s="47" t="inlineStr">
        <is>
          <t>Super Carlin Brothers</t>
        </is>
      </c>
      <c r="G929" t="inlineStr">
        <is>
          <t>The TRUTH About Ariel’s Mother | Disney Film Theory</t>
        </is>
      </c>
      <c r="H929" s="41" t="n">
        <v>0.01140046296296296</v>
      </c>
      <c r="I929" s="42" t="n">
        <v>212453</v>
      </c>
      <c r="J929" s="42" t="n">
        <v>8762</v>
      </c>
      <c r="K929" s="42" t="n">
        <v>654</v>
      </c>
      <c r="L929" s="43" t="n"/>
      <c r="M929" s="44" t="n"/>
      <c r="N929" s="44" t="inlineStr">
        <is>
          <t>UCKZo4N0lVPccBkSiuyVh4yg</t>
        </is>
      </c>
      <c r="O929" s="45" t="n">
        <v>45037.78194444445</v>
      </c>
      <c r="P929" s="46" t="n">
        <v>45037</v>
      </c>
      <c r="Q929" s="44" t="n">
        <v>2343</v>
      </c>
      <c r="R929" s="44" t="inlineStr">
        <is>
          <t>No Video ID yet</t>
        </is>
      </c>
      <c r="S929" s="46" t="n"/>
      <c r="T929" s="46" t="n"/>
      <c r="U929" s="44" t="n"/>
      <c r="V929" s="44">
        <f>IF(AND(P929&gt;=Calendar!$K$2,P929&lt;EDATE(Calendar!$K$2,1),OR(Calendar!$K$4="*",N929=Calendar!$K$4)),P929*100+COUNTIFS($P$6:$P$3271,P929,$Q$6:$Q$3271,"&lt;="&amp;Q929,$N$6:$N$3271,Calendar!$K$4),"")</f>
        <v/>
      </c>
      <c r="W929" s="44">
        <f>IF(AND(B929=Queue!$C$4,OR(Queue!$K$4="*",N929=Queue!$K$4)),Q929,"")</f>
        <v/>
      </c>
    </row>
    <row r="930">
      <c r="A930" s="35">
        <f>IF(M930="","",HYPERLINK("https://www.youtube.com/watch?v="&amp;M930,"▶"))</f>
        <v/>
      </c>
      <c r="B930" s="36">
        <f>IF(C930&lt;&gt;"",C930,IF(P930&lt;=IFERROR(INDEX(tblChannels[Watched Through],MATCH(N930,tblChannels[Channel ID],0)),0),"Watched","Unwatched"))</f>
        <v/>
      </c>
      <c r="C930" s="37" t="n"/>
      <c r="D930" s="38" t="n"/>
      <c r="E930" s="39" t="n">
        <v>45037.41666666666</v>
      </c>
      <c r="F930" s="40" t="inlineStr">
        <is>
          <t>Popcorn Culture</t>
        </is>
      </c>
      <c r="G930" t="inlineStr">
        <is>
          <t>Right is the Wrong Word | Popcorn Culture</t>
        </is>
      </c>
      <c r="H930" s="41" t="n">
        <v>0.04538194444444445</v>
      </c>
      <c r="I930" s="42" t="n">
        <v>4849</v>
      </c>
      <c r="J930" s="42" t="n">
        <v>238</v>
      </c>
      <c r="K930" s="42" t="n">
        <v>17</v>
      </c>
      <c r="L930" s="43" t="n"/>
      <c r="M930" s="44" t="n"/>
      <c r="N930" s="44" t="inlineStr">
        <is>
          <t>UCHfIbq9thHPC8yrKjAdJgDA</t>
        </is>
      </c>
      <c r="O930" s="45" t="n">
        <v>45037.58333333334</v>
      </c>
      <c r="P930" s="46" t="n">
        <v>45037</v>
      </c>
      <c r="Q930" s="44" t="n">
        <v>2342</v>
      </c>
      <c r="R930" s="44" t="inlineStr">
        <is>
          <t>No Video ID yet</t>
        </is>
      </c>
      <c r="S930" s="46" t="n"/>
      <c r="T930" s="46" t="n"/>
      <c r="U930" s="44" t="n"/>
      <c r="V930" s="44">
        <f>IF(AND(P930&gt;=Calendar!$K$2,P930&lt;EDATE(Calendar!$K$2,1),OR(Calendar!$K$4="*",N930=Calendar!$K$4)),P930*100+COUNTIFS($P$6:$P$3271,P930,$Q$6:$Q$3271,"&lt;="&amp;Q930,$N$6:$N$3271,Calendar!$K$4),"")</f>
        <v/>
      </c>
      <c r="W930" s="44">
        <f>IF(AND(B930=Queue!$C$4,OR(Queue!$K$4="*",N930=Queue!$K$4)),Q930,"")</f>
        <v/>
      </c>
    </row>
    <row r="931">
      <c r="A931" s="35">
        <f>IF(M931="","",HYPERLINK("https://www.youtube.com/watch?v="&amp;M931,"▶"))</f>
        <v/>
      </c>
      <c r="B931" s="36">
        <f>IF(C931&lt;&gt;"",C931,IF(P931&lt;=IFERROR(INDEX(tblChannels[Watched Through],MATCH(N931,tblChannels[Channel ID],0)),0),"Watched","Unwatched"))</f>
        <v/>
      </c>
      <c r="C931" s="37" t="n"/>
      <c r="D931" s="38" t="n"/>
      <c r="E931" s="39" t="n">
        <v>45036.77083333334</v>
      </c>
      <c r="F931" s="49" t="inlineStr">
        <is>
          <t>Super Carlin Gaming</t>
        </is>
      </c>
      <c r="G931" t="inlineStr">
        <is>
          <t>WE STRUCK GOLD AGAIN! | Carlin Brothers Box Breakers S5/E3</t>
        </is>
      </c>
      <c r="H931" s="41" t="n">
        <v>0.03789351851851852</v>
      </c>
      <c r="I931" s="42" t="n">
        <v>2462</v>
      </c>
      <c r="J931" s="42" t="n">
        <v>125</v>
      </c>
      <c r="K931" s="42" t="n">
        <v>17</v>
      </c>
      <c r="L931" s="43" t="n"/>
      <c r="M931" s="44" t="n"/>
      <c r="N931" s="44" t="inlineStr">
        <is>
          <t>UCor_9jRnNNZVzTuQ92PKsaQ</t>
        </is>
      </c>
      <c r="O931" s="45" t="n">
        <v>45036.9375</v>
      </c>
      <c r="P931" s="46" t="n">
        <v>45036</v>
      </c>
      <c r="Q931" s="44" t="n">
        <v>2341</v>
      </c>
      <c r="R931" s="44" t="inlineStr">
        <is>
          <t>No Video ID yet</t>
        </is>
      </c>
      <c r="S931" s="46" t="n"/>
      <c r="T931" s="46" t="n"/>
      <c r="U931" s="44" t="n"/>
      <c r="V931" s="44">
        <f>IF(AND(P931&gt;=Calendar!$K$2,P931&lt;EDATE(Calendar!$K$2,1),OR(Calendar!$K$4="*",N931=Calendar!$K$4)),P931*100+COUNTIFS($P$6:$P$3271,P931,$Q$6:$Q$3271,"&lt;="&amp;Q931,$N$6:$N$3271,Calendar!$K$4),"")</f>
        <v/>
      </c>
      <c r="W931" s="44">
        <f>IF(AND(B931=Queue!$C$4,OR(Queue!$K$4="*",N931=Queue!$K$4)),Q931,"")</f>
        <v/>
      </c>
    </row>
    <row r="932">
      <c r="A932" s="35">
        <f>IF(M932="","",HYPERLINK("https://www.youtube.com/watch?v="&amp;M932,"▶"))</f>
        <v/>
      </c>
      <c r="B932" s="36">
        <f>IF(C932&lt;&gt;"",C932,IF(P932&lt;=IFERROR(INDEX(tblChannels[Watched Through],MATCH(N932,tblChannels[Channel ID],0)),0),"Watched","Unwatched"))</f>
        <v/>
      </c>
      <c r="C932" s="37" t="n"/>
      <c r="D932" s="38" t="n"/>
      <c r="E932" s="39" t="n">
        <v>45035.55347222222</v>
      </c>
      <c r="F932" s="47" t="inlineStr">
        <is>
          <t>Super Carlin Brothers</t>
        </is>
      </c>
      <c r="G932" t="inlineStr">
        <is>
          <t>The Little Mermaid Makes NO Sense | Disney Film Theory</t>
        </is>
      </c>
      <c r="H932" s="41" t="n">
        <v>0.01162037037037037</v>
      </c>
      <c r="I932" s="42" t="n">
        <v>133348</v>
      </c>
      <c r="J932" s="42" t="n">
        <v>6759</v>
      </c>
      <c r="K932" s="42" t="n">
        <v>823</v>
      </c>
      <c r="L932" s="43" t="n"/>
      <c r="M932" s="44" t="n"/>
      <c r="N932" s="44" t="inlineStr">
        <is>
          <t>UCKZo4N0lVPccBkSiuyVh4yg</t>
        </is>
      </c>
      <c r="O932" s="45" t="n">
        <v>45035.72013888889</v>
      </c>
      <c r="P932" s="46" t="n">
        <v>45035</v>
      </c>
      <c r="Q932" s="44" t="n">
        <v>2340</v>
      </c>
      <c r="R932" s="44" t="inlineStr">
        <is>
          <t>No Video ID yet</t>
        </is>
      </c>
      <c r="S932" s="46" t="n"/>
      <c r="T932" s="46" t="n"/>
      <c r="U932" s="44" t="n"/>
      <c r="V932" s="44">
        <f>IF(AND(P932&gt;=Calendar!$K$2,P932&lt;EDATE(Calendar!$K$2,1),OR(Calendar!$K$4="*",N932=Calendar!$K$4)),P932*100+COUNTIFS($P$6:$P$3271,P932,$Q$6:$Q$3271,"&lt;="&amp;Q932,$N$6:$N$3271,Calendar!$K$4),"")</f>
        <v/>
      </c>
      <c r="W932" s="44">
        <f>IF(AND(B932=Queue!$C$4,OR(Queue!$K$4="*",N932=Queue!$K$4)),Q932,"")</f>
        <v/>
      </c>
    </row>
    <row r="933">
      <c r="A933" s="35">
        <f>IF(M933="","",HYPERLINK("https://www.youtube.com/watch?v="&amp;M933,"▶"))</f>
        <v/>
      </c>
      <c r="B933" s="36">
        <f>IF(C933&lt;&gt;"",C933,IF(P933&lt;=IFERROR(INDEX(tblChannels[Watched Through],MATCH(N933,tblChannels[Channel ID],0)),0),"Watched","Unwatched"))</f>
        <v/>
      </c>
      <c r="C933" s="37" t="n"/>
      <c r="D933" s="38" t="n"/>
      <c r="E933" s="39" t="n">
        <v>45030.77083333334</v>
      </c>
      <c r="F933" s="49" t="inlineStr">
        <is>
          <t>Super Carlin Gaming</t>
        </is>
      </c>
      <c r="G933" t="inlineStr">
        <is>
          <t>This Scarlet &amp; Violet Booster Box Was STACKED | Carlin Brothers Box Breakers S5E1</t>
        </is>
      </c>
      <c r="H933" s="41" t="n">
        <v>0.03815972222222222</v>
      </c>
      <c r="I933" s="42" t="n">
        <v>2776</v>
      </c>
      <c r="J933" s="42" t="n">
        <v>139</v>
      </c>
      <c r="K933" s="42" t="n">
        <v>21</v>
      </c>
      <c r="L933" s="43" t="n"/>
      <c r="M933" s="44" t="n"/>
      <c r="N933" s="44" t="inlineStr">
        <is>
          <t>UCor_9jRnNNZVzTuQ92PKsaQ</t>
        </is>
      </c>
      <c r="O933" s="45" t="n">
        <v>45030.9375</v>
      </c>
      <c r="P933" s="46" t="n">
        <v>45030</v>
      </c>
      <c r="Q933" s="44" t="n">
        <v>2339</v>
      </c>
      <c r="R933" s="44" t="inlineStr">
        <is>
          <t>No Video ID yet</t>
        </is>
      </c>
      <c r="S933" s="46" t="n"/>
      <c r="T933" s="46" t="n"/>
      <c r="U933" s="44" t="n"/>
      <c r="V933" s="44">
        <f>IF(AND(P933&gt;=Calendar!$K$2,P933&lt;EDATE(Calendar!$K$2,1),OR(Calendar!$K$4="*",N933=Calendar!$K$4)),P933*100+COUNTIFS($P$6:$P$3271,P933,$Q$6:$Q$3271,"&lt;="&amp;Q933,$N$6:$N$3271,Calendar!$K$4),"")</f>
        <v/>
      </c>
      <c r="W933" s="44">
        <f>IF(AND(B933=Queue!$C$4,OR(Queue!$K$4="*",N933=Queue!$K$4)),Q933,"")</f>
        <v/>
      </c>
    </row>
    <row r="934">
      <c r="A934" s="35">
        <f>IF(M934="","",HYPERLINK("https://www.youtube.com/watch?v="&amp;M934,"▶"))</f>
        <v/>
      </c>
      <c r="B934" s="36">
        <f>IF(C934&lt;&gt;"",C934,IF(P934&lt;=IFERROR(INDEX(tblChannels[Watched Through],MATCH(N934,tblChannels[Channel ID],0)),0),"Watched","Unwatched"))</f>
        <v/>
      </c>
      <c r="C934" s="37" t="n"/>
      <c r="D934" s="38" t="n"/>
      <c r="E934" s="39" t="n">
        <v>45030.62430555555</v>
      </c>
      <c r="F934" s="47" t="inlineStr">
        <is>
          <t>Super Carlin Brothers</t>
        </is>
      </c>
      <c r="G934" t="inlineStr">
        <is>
          <t>What If ONLY Cedric Touched The Tri-Wizard Cup | Harry Potter Film Theory</t>
        </is>
      </c>
      <c r="H934" s="41" t="n">
        <v>0.0128125</v>
      </c>
      <c r="I934" s="42" t="n">
        <v>454874</v>
      </c>
      <c r="J934" s="42" t="n">
        <v>12411</v>
      </c>
      <c r="K934" s="42" t="n">
        <v>1075</v>
      </c>
      <c r="L934" s="43" t="n"/>
      <c r="M934" s="44" t="n"/>
      <c r="N934" s="44" t="inlineStr">
        <is>
          <t>UCKZo4N0lVPccBkSiuyVh4yg</t>
        </is>
      </c>
      <c r="O934" s="45" t="n">
        <v>45030.79097222222</v>
      </c>
      <c r="P934" s="46" t="n">
        <v>45030</v>
      </c>
      <c r="Q934" s="44" t="n">
        <v>2338</v>
      </c>
      <c r="R934" s="44" t="inlineStr">
        <is>
          <t>No Video ID yet</t>
        </is>
      </c>
      <c r="S934" s="46" t="n"/>
      <c r="T934" s="46" t="n"/>
      <c r="U934" s="44" t="n"/>
      <c r="V934" s="44">
        <f>IF(AND(P934&gt;=Calendar!$K$2,P934&lt;EDATE(Calendar!$K$2,1),OR(Calendar!$K$4="*",N934=Calendar!$K$4)),P934*100+COUNTIFS($P$6:$P$3271,P934,$Q$6:$Q$3271,"&lt;="&amp;Q934,$N$6:$N$3271,Calendar!$K$4),"")</f>
        <v/>
      </c>
      <c r="W934" s="44">
        <f>IF(AND(B934=Queue!$C$4,OR(Queue!$K$4="*",N934=Queue!$K$4)),Q934,"")</f>
        <v/>
      </c>
    </row>
    <row r="935">
      <c r="A935" s="35">
        <f>IF(M935="","",HYPERLINK("https://www.youtube.com/watch?v="&amp;M935,"▶"))</f>
        <v/>
      </c>
      <c r="B935" s="36">
        <f>IF(C935&lt;&gt;"",C935,IF(P935&lt;=IFERROR(INDEX(tblChannels[Watched Through],MATCH(N935,tblChannels[Channel ID],0)),0),"Watched","Unwatched"))</f>
        <v/>
      </c>
      <c r="C935" s="37" t="n"/>
      <c r="D935" s="38" t="n"/>
      <c r="E935" s="39" t="n">
        <v>45030.41666666666</v>
      </c>
      <c r="F935" s="40" t="inlineStr">
        <is>
          <t>Popcorn Culture</t>
        </is>
      </c>
      <c r="G935" t="inlineStr">
        <is>
          <t>Ben Is Ted Lasso: CONFIRMED! | Popcorn Culture</t>
        </is>
      </c>
      <c r="H935" s="41" t="n">
        <v>0.0443287037037037</v>
      </c>
      <c r="I935" s="42" t="n">
        <v>4562</v>
      </c>
      <c r="J935" s="42" t="n">
        <v>241</v>
      </c>
      <c r="K935" s="42" t="n">
        <v>38</v>
      </c>
      <c r="L935" s="43" t="n"/>
      <c r="M935" s="44" t="n"/>
      <c r="N935" s="44" t="inlineStr">
        <is>
          <t>UCHfIbq9thHPC8yrKjAdJgDA</t>
        </is>
      </c>
      <c r="O935" s="45" t="n">
        <v>45030.58333333334</v>
      </c>
      <c r="P935" s="46" t="n">
        <v>45030</v>
      </c>
      <c r="Q935" s="44" t="n">
        <v>2337</v>
      </c>
      <c r="R935" s="44" t="inlineStr">
        <is>
          <t>No Video ID yet</t>
        </is>
      </c>
      <c r="S935" s="46" t="n"/>
      <c r="T935" s="46" t="n"/>
      <c r="U935" s="44" t="n"/>
      <c r="V935" s="44">
        <f>IF(AND(P935&gt;=Calendar!$K$2,P935&lt;EDATE(Calendar!$K$2,1),OR(Calendar!$K$4="*",N935=Calendar!$K$4)),P935*100+COUNTIFS($P$6:$P$3271,P935,$Q$6:$Q$3271,"&lt;="&amp;Q935,$N$6:$N$3271,Calendar!$K$4),"")</f>
        <v/>
      </c>
      <c r="W935" s="44">
        <f>IF(AND(B935=Queue!$C$4,OR(Queue!$K$4="*",N935=Queue!$K$4)),Q935,"")</f>
        <v/>
      </c>
    </row>
    <row r="936">
      <c r="A936" s="35">
        <f>IF(M936="","",HYPERLINK("https://www.youtube.com/watch?v="&amp;M936,"▶"))</f>
        <v/>
      </c>
      <c r="B936" s="36">
        <f>IF(C936&lt;&gt;"",C936,IF(P936&lt;=IFERROR(INDEX(tblChannels[Watched Through],MATCH(N936,tblChannels[Channel ID],0)),0),"Watched","Unwatched"))</f>
        <v/>
      </c>
      <c r="C936" s="37" t="n"/>
      <c r="D936" s="38" t="n"/>
      <c r="E936" s="39" t="n">
        <v>45028.75347222222</v>
      </c>
      <c r="F936" s="47" t="inlineStr">
        <is>
          <t>Super Carlin Brothers</t>
        </is>
      </c>
      <c r="G936" t="inlineStr">
        <is>
          <t>J vs Ben: HAPPIEST Harry Potter TRIVIA Quiz Ever</t>
        </is>
      </c>
      <c r="H936" s="41" t="n">
        <v>0.02181712962962963</v>
      </c>
      <c r="I936" s="42" t="n">
        <v>214051</v>
      </c>
      <c r="J936" s="42" t="n">
        <v>6958</v>
      </c>
      <c r="K936" s="42" t="n">
        <v>499</v>
      </c>
      <c r="L936" s="43" t="n"/>
      <c r="M936" s="44" t="n"/>
      <c r="N936" s="44" t="inlineStr">
        <is>
          <t>UCKZo4N0lVPccBkSiuyVh4yg</t>
        </is>
      </c>
      <c r="O936" s="45" t="n">
        <v>45028.92013888889</v>
      </c>
      <c r="P936" s="46" t="n">
        <v>45028</v>
      </c>
      <c r="Q936" s="44" t="n">
        <v>2336</v>
      </c>
      <c r="R936" s="44" t="inlineStr">
        <is>
          <t>No Video ID yet</t>
        </is>
      </c>
      <c r="S936" s="46" t="n"/>
      <c r="T936" s="46" t="n"/>
      <c r="U936" s="44" t="n"/>
      <c r="V936" s="44">
        <f>IF(AND(P936&gt;=Calendar!$K$2,P936&lt;EDATE(Calendar!$K$2,1),OR(Calendar!$K$4="*",N936=Calendar!$K$4)),P936*100+COUNTIFS($P$6:$P$3271,P936,$Q$6:$Q$3271,"&lt;="&amp;Q936,$N$6:$N$3271,Calendar!$K$4),"")</f>
        <v/>
      </c>
      <c r="W936" s="44">
        <f>IF(AND(B936=Queue!$C$4,OR(Queue!$K$4="*",N936=Queue!$K$4)),Q936,"")</f>
        <v/>
      </c>
    </row>
    <row r="937">
      <c r="A937" s="35">
        <f>IF(M937="","",HYPERLINK("https://www.youtube.com/watch?v="&amp;M937,"▶"))</f>
        <v/>
      </c>
      <c r="B937" s="36">
        <f>IF(C937&lt;&gt;"",C937,IF(P937&lt;=IFERROR(INDEX(tblChannels[Watched Through],MATCH(N937,tblChannels[Channel ID],0)),0),"Watched","Unwatched"))</f>
        <v/>
      </c>
      <c r="C937" s="37" t="n"/>
      <c r="D937" s="38" t="n"/>
      <c r="E937" s="39" t="n">
        <v>45026.71180555555</v>
      </c>
      <c r="F937" s="47" t="inlineStr">
        <is>
          <t>Super Carlin Brothers</t>
        </is>
      </c>
      <c r="G937" t="inlineStr">
        <is>
          <t>The SUPER Mario Bros. Movie | REVIEW</t>
        </is>
      </c>
      <c r="H937" s="41" t="n">
        <v>0.03516203703703704</v>
      </c>
      <c r="I937" s="42" t="n">
        <v>91949</v>
      </c>
      <c r="J937" s="42" t="n">
        <v>3398</v>
      </c>
      <c r="K937" s="42" t="n">
        <v>659</v>
      </c>
      <c r="L937" s="43" t="n"/>
      <c r="M937" s="44" t="n"/>
      <c r="N937" s="44" t="inlineStr">
        <is>
          <t>UCKZo4N0lVPccBkSiuyVh4yg</t>
        </is>
      </c>
      <c r="O937" s="45" t="n">
        <v>45026.87847222222</v>
      </c>
      <c r="P937" s="46" t="n">
        <v>45026</v>
      </c>
      <c r="Q937" s="44" t="n">
        <v>2335</v>
      </c>
      <c r="R937" s="44" t="inlineStr">
        <is>
          <t>No Video ID yet</t>
        </is>
      </c>
      <c r="S937" s="46" t="n"/>
      <c r="T937" s="46" t="n"/>
      <c r="U937" s="44" t="n"/>
      <c r="V937" s="44">
        <f>IF(AND(P937&gt;=Calendar!$K$2,P937&lt;EDATE(Calendar!$K$2,1),OR(Calendar!$K$4="*",N937=Calendar!$K$4)),P937*100+COUNTIFS($P$6:$P$3271,P937,$Q$6:$Q$3271,"&lt;="&amp;Q937,$N$6:$N$3271,Calendar!$K$4),"")</f>
        <v/>
      </c>
      <c r="W937" s="44">
        <f>IF(AND(B937=Queue!$C$4,OR(Queue!$K$4="*",N937=Queue!$K$4)),Q937,"")</f>
        <v/>
      </c>
    </row>
    <row r="938">
      <c r="A938" s="35">
        <f>IF(M938="","",HYPERLINK("https://www.youtube.com/watch?v="&amp;M938,"▶"))</f>
        <v/>
      </c>
      <c r="B938" s="36">
        <f>IF(C938&lt;&gt;"",C938,IF(P938&lt;=IFERROR(INDEX(tblChannels[Watched Through],MATCH(N938,tblChannels[Channel ID],0)),0),"Watched","Unwatched"))</f>
        <v/>
      </c>
      <c r="C938" s="37" t="n"/>
      <c r="D938" s="38" t="n"/>
      <c r="E938" s="39" t="n">
        <v>45023.85</v>
      </c>
      <c r="F938" s="49" t="inlineStr">
        <is>
          <t>Super Carlin Gaming</t>
        </is>
      </c>
      <c r="G938" t="inlineStr">
        <is>
          <t>Enter Scarlet and Violet! | Carlin Brothers Box Breakers S5E1</t>
        </is>
      </c>
      <c r="H938" s="41" t="n">
        <v>0.0397800925925926</v>
      </c>
      <c r="I938" s="42" t="n">
        <v>3191</v>
      </c>
      <c r="J938" s="42" t="n">
        <v>153</v>
      </c>
      <c r="K938" s="42" t="n">
        <v>31</v>
      </c>
      <c r="L938" s="43" t="n"/>
      <c r="M938" s="44" t="n"/>
      <c r="N938" s="44" t="inlineStr">
        <is>
          <t>UCor_9jRnNNZVzTuQ92PKsaQ</t>
        </is>
      </c>
      <c r="O938" s="45" t="n">
        <v>45024.01666666667</v>
      </c>
      <c r="P938" s="46" t="n">
        <v>45023</v>
      </c>
      <c r="Q938" s="44" t="n">
        <v>2334</v>
      </c>
      <c r="R938" s="44" t="inlineStr">
        <is>
          <t>No Video ID yet</t>
        </is>
      </c>
      <c r="S938" s="46" t="n"/>
      <c r="T938" s="46" t="n"/>
      <c r="U938" s="44" t="n"/>
      <c r="V938" s="44">
        <f>IF(AND(P938&gt;=Calendar!$K$2,P938&lt;EDATE(Calendar!$K$2,1),OR(Calendar!$K$4="*",N938=Calendar!$K$4)),P938*100+COUNTIFS($P$6:$P$3271,P938,$Q$6:$Q$3271,"&lt;="&amp;Q938,$N$6:$N$3271,Calendar!$K$4),"")</f>
        <v/>
      </c>
      <c r="W938" s="44">
        <f>IF(AND(B938=Queue!$C$4,OR(Queue!$K$4="*",N938=Queue!$K$4)),Q938,"")</f>
        <v/>
      </c>
    </row>
    <row r="939">
      <c r="A939" s="35">
        <f>IF(M939="","",HYPERLINK("https://www.youtube.com/watch?v="&amp;M939,"▶"))</f>
        <v/>
      </c>
      <c r="B939" s="36">
        <f>IF(C939&lt;&gt;"",C939,IF(P939&lt;=IFERROR(INDEX(tblChannels[Watched Through],MATCH(N939,tblChannels[Channel ID],0)),0),"Watched","Unwatched"))</f>
        <v/>
      </c>
      <c r="C939" s="37" t="n"/>
      <c r="D939" s="38" t="n"/>
      <c r="E939" s="39" t="n">
        <v>45023.65555555555</v>
      </c>
      <c r="F939" s="47" t="inlineStr">
        <is>
          <t>Super Carlin Brothers</t>
        </is>
      </c>
      <c r="G939" t="inlineStr">
        <is>
          <t>Harry Potter TV Series REBOOT! What’s It Going To Be About? | Harry Potter Film Theory</t>
        </is>
      </c>
      <c r="H939" s="41" t="n">
        <v>0.01674768518518518</v>
      </c>
      <c r="I939" s="42" t="n">
        <v>261570</v>
      </c>
      <c r="J939" s="42" t="n">
        <v>9683</v>
      </c>
      <c r="K939" s="42" t="n">
        <v>1666</v>
      </c>
      <c r="L939" s="43" t="n"/>
      <c r="M939" s="44" t="n"/>
      <c r="N939" s="44" t="inlineStr">
        <is>
          <t>UCKZo4N0lVPccBkSiuyVh4yg</t>
        </is>
      </c>
      <c r="O939" s="45" t="n">
        <v>45023.82222222222</v>
      </c>
      <c r="P939" s="46" t="n">
        <v>45023</v>
      </c>
      <c r="Q939" s="44" t="n">
        <v>2333</v>
      </c>
      <c r="R939" s="44" t="inlineStr">
        <is>
          <t>No Video ID yet</t>
        </is>
      </c>
      <c r="S939" s="46" t="n"/>
      <c r="T939" s="46" t="n"/>
      <c r="U939" s="44" t="n"/>
      <c r="V939" s="44">
        <f>IF(AND(P939&gt;=Calendar!$K$2,P939&lt;EDATE(Calendar!$K$2,1),OR(Calendar!$K$4="*",N939=Calendar!$K$4)),P939*100+COUNTIFS($P$6:$P$3271,P939,$Q$6:$Q$3271,"&lt;="&amp;Q939,$N$6:$N$3271,Calendar!$K$4),"")</f>
        <v/>
      </c>
      <c r="W939" s="44">
        <f>IF(AND(B939=Queue!$C$4,OR(Queue!$K$4="*",N939=Queue!$K$4)),Q939,"")</f>
        <v/>
      </c>
    </row>
    <row r="940">
      <c r="A940" s="35">
        <f>IF(M940="","",HYPERLINK("https://www.youtube.com/watch?v="&amp;M940,"▶"))</f>
        <v/>
      </c>
      <c r="B940" s="36">
        <f>IF(C940&lt;&gt;"",C940,IF(P940&lt;=IFERROR(INDEX(tblChannels[Watched Through],MATCH(N940,tblChannels[Channel ID],0)),0),"Watched","Unwatched"))</f>
        <v/>
      </c>
      <c r="C940" s="37" t="n"/>
      <c r="D940" s="38" t="n"/>
      <c r="E940" s="39" t="n">
        <v>45023.41666666666</v>
      </c>
      <c r="F940" s="40" t="inlineStr">
        <is>
          <t>Popcorn Culture</t>
        </is>
      </c>
      <c r="G940" t="inlineStr">
        <is>
          <t>J's Secret Wife | Popcorn Culture</t>
        </is>
      </c>
      <c r="H940" s="41" t="n">
        <v>0.04903935185185185</v>
      </c>
      <c r="I940" s="42" t="n">
        <v>5483</v>
      </c>
      <c r="J940" s="42" t="n">
        <v>254</v>
      </c>
      <c r="K940" s="42" t="n">
        <v>16</v>
      </c>
      <c r="L940" s="43" t="n"/>
      <c r="M940" s="44" t="n"/>
      <c r="N940" s="44" t="inlineStr">
        <is>
          <t>UCHfIbq9thHPC8yrKjAdJgDA</t>
        </is>
      </c>
      <c r="O940" s="45" t="n">
        <v>45023.58333333334</v>
      </c>
      <c r="P940" s="46" t="n">
        <v>45023</v>
      </c>
      <c r="Q940" s="44" t="n">
        <v>2332</v>
      </c>
      <c r="R940" s="44" t="inlineStr">
        <is>
          <t>No Video ID yet</t>
        </is>
      </c>
      <c r="S940" s="46" t="n"/>
      <c r="T940" s="46" t="n"/>
      <c r="U940" s="44" t="n"/>
      <c r="V940" s="44">
        <f>IF(AND(P940&gt;=Calendar!$K$2,P940&lt;EDATE(Calendar!$K$2,1),OR(Calendar!$K$4="*",N940=Calendar!$K$4)),P940*100+COUNTIFS($P$6:$P$3271,P940,$Q$6:$Q$3271,"&lt;="&amp;Q940,$N$6:$N$3271,Calendar!$K$4),"")</f>
        <v/>
      </c>
      <c r="W940" s="44">
        <f>IF(AND(B940=Queue!$C$4,OR(Queue!$K$4="*",N940=Queue!$K$4)),Q940,"")</f>
        <v/>
      </c>
    </row>
    <row r="941">
      <c r="A941" s="35">
        <f>IF(M941="","",HYPERLINK("https://www.youtube.com/watch?v="&amp;M941,"▶"))</f>
        <v/>
      </c>
      <c r="B941" s="36">
        <f>IF(C941&lt;&gt;"",C941,IF(P941&lt;=IFERROR(INDEX(tblChannels[Watched Through],MATCH(N941,tblChannels[Channel ID],0)),0),"Watched","Unwatched"))</f>
        <v/>
      </c>
      <c r="C941" s="37" t="n"/>
      <c r="D941" s="38" t="n"/>
      <c r="E941" s="39" t="n">
        <v>45021.6</v>
      </c>
      <c r="F941" s="47" t="inlineStr">
        <is>
          <t>Super Carlin Brothers</t>
        </is>
      </c>
      <c r="G941" t="inlineStr">
        <is>
          <t>How the Weasley Twins Knew What to Bet Ludo Bagman | Harry Potter Film Theory</t>
        </is>
      </c>
      <c r="H941" s="41" t="n">
        <v>0.01422453703703704</v>
      </c>
      <c r="I941" s="42" t="n">
        <v>352163</v>
      </c>
      <c r="J941" s="42" t="n">
        <v>11971</v>
      </c>
      <c r="K941" s="42" t="n">
        <v>1016</v>
      </c>
      <c r="L941" s="43" t="n"/>
      <c r="M941" s="44" t="n"/>
      <c r="N941" s="44" t="inlineStr">
        <is>
          <t>UCKZo4N0lVPccBkSiuyVh4yg</t>
        </is>
      </c>
      <c r="O941" s="45" t="n">
        <v>45021.76666666667</v>
      </c>
      <c r="P941" s="46" t="n">
        <v>45021</v>
      </c>
      <c r="Q941" s="44" t="n">
        <v>2331</v>
      </c>
      <c r="R941" s="44" t="inlineStr">
        <is>
          <t>No Video ID yet</t>
        </is>
      </c>
      <c r="S941" s="46" t="n"/>
      <c r="T941" s="46" t="n"/>
      <c r="U941" s="44" t="n"/>
      <c r="V941" s="44">
        <f>IF(AND(P941&gt;=Calendar!$K$2,P941&lt;EDATE(Calendar!$K$2,1),OR(Calendar!$K$4="*",N941=Calendar!$K$4)),P941*100+COUNTIFS($P$6:$P$3271,P941,$Q$6:$Q$3271,"&lt;="&amp;Q941,$N$6:$N$3271,Calendar!$K$4),"")</f>
        <v/>
      </c>
      <c r="W941" s="44">
        <f>IF(AND(B941=Queue!$C$4,OR(Queue!$K$4="*",N941=Queue!$K$4)),Q941,"")</f>
        <v/>
      </c>
    </row>
    <row r="942">
      <c r="A942" s="35">
        <f>IF(M942="","",HYPERLINK("https://www.youtube.com/watch?v="&amp;M942,"▶"))</f>
        <v/>
      </c>
      <c r="B942" s="36">
        <f>IF(C942&lt;&gt;"",C942,IF(P942&lt;=IFERROR(INDEX(tblChannels[Watched Through],MATCH(N942,tblChannels[Channel ID],0)),0),"Watched","Unwatched"))</f>
        <v/>
      </c>
      <c r="C942" s="37" t="n"/>
      <c r="D942" s="38" t="n"/>
      <c r="E942" s="39" t="n">
        <v>45018.5</v>
      </c>
      <c r="F942" s="47" t="inlineStr">
        <is>
          <t>Super Carlin Brothers</t>
        </is>
      </c>
      <c r="G942" t="inlineStr">
        <is>
          <t>TRON Lightcycle Run REVIEW &amp; Disney Adventure</t>
        </is>
      </c>
      <c r="H942" s="41" t="n">
        <v>0.02143518518518519</v>
      </c>
      <c r="I942" s="42" t="n">
        <v>34763</v>
      </c>
      <c r="J942" s="42" t="n">
        <v>1779</v>
      </c>
      <c r="K942" s="42" t="n">
        <v>165</v>
      </c>
      <c r="L942" s="43" t="n"/>
      <c r="M942" s="44" t="n"/>
      <c r="N942" s="44" t="inlineStr">
        <is>
          <t>UCKZo4N0lVPccBkSiuyVh4yg</t>
        </is>
      </c>
      <c r="O942" s="45" t="n">
        <v>45018.66666666666</v>
      </c>
      <c r="P942" s="46" t="n">
        <v>45018</v>
      </c>
      <c r="Q942" s="44" t="n">
        <v>2330</v>
      </c>
      <c r="R942" s="44" t="inlineStr">
        <is>
          <t>No Video ID yet</t>
        </is>
      </c>
      <c r="S942" s="46" t="n"/>
      <c r="T942" s="46" t="n"/>
      <c r="U942" s="44" t="n"/>
      <c r="V942" s="44">
        <f>IF(AND(P942&gt;=Calendar!$K$2,P942&lt;EDATE(Calendar!$K$2,1),OR(Calendar!$K$4="*",N942=Calendar!$K$4)),P942*100+COUNTIFS($P$6:$P$3271,P942,$Q$6:$Q$3271,"&lt;="&amp;Q942,$N$6:$N$3271,Calendar!$K$4),"")</f>
        <v/>
      </c>
      <c r="W942" s="44">
        <f>IF(AND(B942=Queue!$C$4,OR(Queue!$K$4="*",N942=Queue!$K$4)),Q942,"")</f>
        <v/>
      </c>
    </row>
    <row r="943">
      <c r="A943" s="35">
        <f>IF(M943="","",HYPERLINK("https://www.youtube.com/watch?v="&amp;M943,"▶"))</f>
        <v/>
      </c>
      <c r="B943" s="36">
        <f>IF(C943&lt;&gt;"",C943,IF(P943&lt;=IFERROR(INDEX(tblChannels[Watched Through],MATCH(N943,tblChannels[Channel ID],0)),0),"Watched","Unwatched"))</f>
        <v/>
      </c>
      <c r="C943" s="37" t="n"/>
      <c r="D943" s="38" t="n"/>
      <c r="E943" s="39" t="n">
        <v>45016.875</v>
      </c>
      <c r="F943" s="49" t="inlineStr">
        <is>
          <t>Super Carlin Gaming</t>
        </is>
      </c>
      <c r="G943" t="inlineStr">
        <is>
          <t>A WINNER IS CROWNED (ZENITH) | Carlin Brothers Box Breakers Season 4 Finale</t>
        </is>
      </c>
      <c r="H943" s="41" t="n">
        <v>0.03701388888888889</v>
      </c>
      <c r="I943" s="42" t="n">
        <v>2302</v>
      </c>
      <c r="J943" s="42" t="n">
        <v>129</v>
      </c>
      <c r="K943" s="42" t="n">
        <v>23</v>
      </c>
      <c r="L943" s="43" t="n"/>
      <c r="M943" s="44" t="n"/>
      <c r="N943" s="44" t="inlineStr">
        <is>
          <t>UCor_9jRnNNZVzTuQ92PKsaQ</t>
        </is>
      </c>
      <c r="O943" s="45" t="n">
        <v>45017.04166666666</v>
      </c>
      <c r="P943" s="46" t="n">
        <v>45016</v>
      </c>
      <c r="Q943" s="44" t="n">
        <v>2329</v>
      </c>
      <c r="R943" s="44" t="inlineStr">
        <is>
          <t>No Video ID yet</t>
        </is>
      </c>
      <c r="S943" s="46" t="n"/>
      <c r="T943" s="46" t="n"/>
      <c r="U943" s="44" t="n"/>
      <c r="V943" s="44">
        <f>IF(AND(P943&gt;=Calendar!$K$2,P943&lt;EDATE(Calendar!$K$2,1),OR(Calendar!$K$4="*",N943=Calendar!$K$4)),P943*100+COUNTIFS($P$6:$P$3271,P943,$Q$6:$Q$3271,"&lt;="&amp;Q943,$N$6:$N$3271,Calendar!$K$4),"")</f>
        <v/>
      </c>
      <c r="W943" s="44">
        <f>IF(AND(B943=Queue!$C$4,OR(Queue!$K$4="*",N943=Queue!$K$4)),Q943,"")</f>
        <v/>
      </c>
    </row>
    <row r="944">
      <c r="A944" s="35">
        <f>IF(M944="","",HYPERLINK("https://www.youtube.com/watch?v="&amp;M944,"▶"))</f>
        <v/>
      </c>
      <c r="B944" s="36">
        <f>IF(C944&lt;&gt;"",C944,IF(P944&lt;=IFERROR(INDEX(tblChannels[Watched Through],MATCH(N944,tblChannels[Channel ID],0)),0),"Watched","Unwatched"))</f>
        <v/>
      </c>
      <c r="C944" s="37" t="n"/>
      <c r="D944" s="38" t="n"/>
      <c r="E944" s="39" t="n">
        <v>45016.83333333334</v>
      </c>
      <c r="F944" s="47" t="inlineStr">
        <is>
          <t>Super Carlin Brothers</t>
        </is>
      </c>
      <c r="G944" t="inlineStr">
        <is>
          <t>ALL FANDOM TRIVIA LIVE STREAM - MARCH 2023</t>
        </is>
      </c>
      <c r="H944" s="41" t="n">
        <v>0.07504629629629629</v>
      </c>
      <c r="I944" s="42" t="n">
        <v>22608</v>
      </c>
      <c r="J944" s="42" t="n">
        <v>681</v>
      </c>
      <c r="K944" s="42" t="n">
        <v>35</v>
      </c>
      <c r="L944" s="43" t="n"/>
      <c r="M944" s="44" t="n"/>
      <c r="N944" s="44" t="inlineStr">
        <is>
          <t>UCKZo4N0lVPccBkSiuyVh4yg</t>
        </is>
      </c>
      <c r="O944" s="45" t="n">
        <v>45017</v>
      </c>
      <c r="P944" s="46" t="n">
        <v>45016</v>
      </c>
      <c r="Q944" s="44" t="n">
        <v>2328</v>
      </c>
      <c r="R944" s="44" t="inlineStr">
        <is>
          <t>No Video ID yet</t>
        </is>
      </c>
      <c r="S944" s="46" t="n"/>
      <c r="T944" s="46" t="n"/>
      <c r="U944" s="44" t="n"/>
      <c r="V944" s="44">
        <f>IF(AND(P944&gt;=Calendar!$K$2,P944&lt;EDATE(Calendar!$K$2,1),OR(Calendar!$K$4="*",N944=Calendar!$K$4)),P944*100+COUNTIFS($P$6:$P$3271,P944,$Q$6:$Q$3271,"&lt;="&amp;Q944,$N$6:$N$3271,Calendar!$K$4),"")</f>
        <v/>
      </c>
      <c r="W944" s="44">
        <f>IF(AND(B944=Queue!$C$4,OR(Queue!$K$4="*",N944=Queue!$K$4)),Q944,"")</f>
        <v/>
      </c>
    </row>
    <row r="945">
      <c r="A945" s="35">
        <f>IF(M945="","",HYPERLINK("https://www.youtube.com/watch?v="&amp;M945,"▶"))</f>
        <v/>
      </c>
      <c r="B945" s="36">
        <f>IF(C945&lt;&gt;"",C945,IF(P945&lt;=IFERROR(INDEX(tblChannels[Watched Through],MATCH(N945,tblChannels[Channel ID],0)),0),"Watched","Unwatched"))</f>
        <v/>
      </c>
      <c r="C945" s="37" t="n"/>
      <c r="D945" s="38" t="n"/>
      <c r="E945" s="39" t="n">
        <v>45016.82638888889</v>
      </c>
      <c r="F945" s="47" t="inlineStr">
        <is>
          <t>Super Carlin Brothers</t>
        </is>
      </c>
      <c r="G945" t="inlineStr">
        <is>
          <t>J vs Ben: We FAILED Even More Harry Potter Trivia - REDEMPTION Quiz</t>
        </is>
      </c>
      <c r="H945" s="41" t="n">
        <v>0.02373842592592593</v>
      </c>
      <c r="I945" s="42" t="n">
        <v>259733</v>
      </c>
      <c r="J945" s="42" t="n">
        <v>7611</v>
      </c>
      <c r="K945" s="42" t="n">
        <v>485</v>
      </c>
      <c r="L945" s="43" t="n"/>
      <c r="M945" s="44" t="n"/>
      <c r="N945" s="44" t="inlineStr">
        <is>
          <t>UCKZo4N0lVPccBkSiuyVh4yg</t>
        </is>
      </c>
      <c r="O945" s="45" t="n">
        <v>45016.99305555555</v>
      </c>
      <c r="P945" s="46" t="n">
        <v>45016</v>
      </c>
      <c r="Q945" s="44" t="n">
        <v>2327</v>
      </c>
      <c r="R945" s="44" t="inlineStr">
        <is>
          <t>No Video ID yet</t>
        </is>
      </c>
      <c r="S945" s="46" t="n"/>
      <c r="T945" s="46" t="n"/>
      <c r="U945" s="44" t="n"/>
      <c r="V945" s="44">
        <f>IF(AND(P945&gt;=Calendar!$K$2,P945&lt;EDATE(Calendar!$K$2,1),OR(Calendar!$K$4="*",N945=Calendar!$K$4)),P945*100+COUNTIFS($P$6:$P$3271,P945,$Q$6:$Q$3271,"&lt;="&amp;Q945,$N$6:$N$3271,Calendar!$K$4),"")</f>
        <v/>
      </c>
      <c r="W945" s="44">
        <f>IF(AND(B945=Queue!$C$4,OR(Queue!$K$4="*",N945=Queue!$K$4)),Q945,"")</f>
        <v/>
      </c>
    </row>
    <row r="946">
      <c r="A946" s="35">
        <f>IF(M946="","",HYPERLINK("https://www.youtube.com/watch?v="&amp;M946,"▶"))</f>
        <v/>
      </c>
      <c r="B946" s="36">
        <f>IF(C946&lt;&gt;"",C946,IF(P946&lt;=IFERROR(INDEX(tblChannels[Watched Through],MATCH(N946,tblChannels[Channel ID],0)),0),"Watched","Unwatched"))</f>
        <v/>
      </c>
      <c r="C946" s="37" t="n"/>
      <c r="D946" s="38" t="n"/>
      <c r="E946" s="39" t="n">
        <v>45016.41666666666</v>
      </c>
      <c r="F946" s="40" t="inlineStr">
        <is>
          <t>Popcorn Culture</t>
        </is>
      </c>
      <c r="G946" t="inlineStr">
        <is>
          <t>A Pungent Experience| Popcorn Culture</t>
        </is>
      </c>
      <c r="H946" s="41" t="n">
        <v>0.04655092592592593</v>
      </c>
      <c r="I946" s="42" t="n">
        <v>4747</v>
      </c>
      <c r="J946" s="42" t="n">
        <v>247</v>
      </c>
      <c r="K946" s="42" t="n">
        <v>32</v>
      </c>
      <c r="L946" s="43" t="n"/>
      <c r="M946" s="44" t="n"/>
      <c r="N946" s="44" t="inlineStr">
        <is>
          <t>UCHfIbq9thHPC8yrKjAdJgDA</t>
        </is>
      </c>
      <c r="O946" s="45" t="n">
        <v>45016.58333333334</v>
      </c>
      <c r="P946" s="46" t="n">
        <v>45016</v>
      </c>
      <c r="Q946" s="44" t="n">
        <v>2326</v>
      </c>
      <c r="R946" s="44" t="inlineStr">
        <is>
          <t>No Video ID yet</t>
        </is>
      </c>
      <c r="S946" s="46" t="n"/>
      <c r="T946" s="46" t="n"/>
      <c r="U946" s="44" t="n"/>
      <c r="V946" s="44">
        <f>IF(AND(P946&gt;=Calendar!$K$2,P946&lt;EDATE(Calendar!$K$2,1),OR(Calendar!$K$4="*",N946=Calendar!$K$4)),P946*100+COUNTIFS($P$6:$P$3271,P946,$Q$6:$Q$3271,"&lt;="&amp;Q946,$N$6:$N$3271,Calendar!$K$4),"")</f>
        <v/>
      </c>
      <c r="W946" s="44">
        <f>IF(AND(B946=Queue!$C$4,OR(Queue!$K$4="*",N946=Queue!$K$4)),Q946,"")</f>
        <v/>
      </c>
    </row>
    <row r="947">
      <c r="A947" s="35">
        <f>IF(M947="","",HYPERLINK("https://www.youtube.com/watch?v="&amp;M947,"▶"))</f>
        <v/>
      </c>
      <c r="B947" s="36">
        <f>IF(C947&lt;&gt;"",C947,IF(P947&lt;=IFERROR(INDEX(tblChannels[Watched Through],MATCH(N947,tblChannels[Channel ID],0)),0),"Watched","Unwatched"))</f>
        <v/>
      </c>
      <c r="C947" s="37" t="n"/>
      <c r="D947" s="38" t="n"/>
      <c r="E947" s="39" t="n">
        <v>45014.67361111111</v>
      </c>
      <c r="F947" s="47" t="inlineStr">
        <is>
          <t>Super Carlin Brothers</t>
        </is>
      </c>
      <c r="G947" t="inlineStr">
        <is>
          <t>What If Sirius TOLD HARRY How To Use The Mirrors | Harry Potter Film Theory</t>
        </is>
      </c>
      <c r="H947" s="41" t="n">
        <v>0.02091435185185185</v>
      </c>
      <c r="I947" s="42" t="n">
        <v>658844</v>
      </c>
      <c r="J947" s="42" t="n">
        <v>16183</v>
      </c>
      <c r="K947" s="42" t="n">
        <v>1388</v>
      </c>
      <c r="L947" s="43" t="n"/>
      <c r="M947" s="44" t="n"/>
      <c r="N947" s="44" t="inlineStr">
        <is>
          <t>UCKZo4N0lVPccBkSiuyVh4yg</t>
        </is>
      </c>
      <c r="O947" s="45" t="n">
        <v>45014.84027777778</v>
      </c>
      <c r="P947" s="46" t="n">
        <v>45014</v>
      </c>
      <c r="Q947" s="44" t="n">
        <v>2325</v>
      </c>
      <c r="R947" s="44" t="inlineStr">
        <is>
          <t>No Video ID yet</t>
        </is>
      </c>
      <c r="S947" s="46" t="n"/>
      <c r="T947" s="46" t="n"/>
      <c r="U947" s="44" t="n"/>
      <c r="V947" s="44">
        <f>IF(AND(P947&gt;=Calendar!$K$2,P947&lt;EDATE(Calendar!$K$2,1),OR(Calendar!$K$4="*",N947=Calendar!$K$4)),P947*100+COUNTIFS($P$6:$P$3271,P947,$Q$6:$Q$3271,"&lt;="&amp;Q947,$N$6:$N$3271,Calendar!$K$4),"")</f>
        <v/>
      </c>
      <c r="W947" s="44">
        <f>IF(AND(B947=Queue!$C$4,OR(Queue!$K$4="*",N947=Queue!$K$4)),Q947,"")</f>
        <v/>
      </c>
    </row>
    <row r="948">
      <c r="A948" s="35">
        <f>IF(M948="","",HYPERLINK("https://www.youtube.com/watch?v="&amp;M948,"▶"))</f>
        <v/>
      </c>
      <c r="B948" s="36">
        <f>IF(C948&lt;&gt;"",C948,IF(P948&lt;=IFERROR(INDEX(tblChannels[Watched Through],MATCH(N948,tblChannels[Channel ID],0)),0),"Watched","Unwatched"))</f>
        <v/>
      </c>
      <c r="C948" s="37" t="n"/>
      <c r="D948" s="38" t="n"/>
      <c r="E948" s="39" t="n">
        <v>45009.81319444445</v>
      </c>
      <c r="F948" s="47" t="inlineStr">
        <is>
          <t>Super Carlin Brothers</t>
        </is>
      </c>
      <c r="G948" t="inlineStr">
        <is>
          <t>What If Draco ACTUALLY Killed Dumbledore | Harry Potter Film Theory</t>
        </is>
      </c>
      <c r="H948" s="41" t="n">
        <v>0.0228125</v>
      </c>
      <c r="I948" s="42" t="n">
        <v>616128</v>
      </c>
      <c r="J948" s="42" t="n">
        <v>15165</v>
      </c>
      <c r="K948" s="42" t="n">
        <v>1076</v>
      </c>
      <c r="L948" s="43" t="n"/>
      <c r="M948" s="44" t="n"/>
      <c r="N948" s="44" t="inlineStr">
        <is>
          <t>UCKZo4N0lVPccBkSiuyVh4yg</t>
        </is>
      </c>
      <c r="O948" s="45" t="n">
        <v>45009.97986111111</v>
      </c>
      <c r="P948" s="46" t="n">
        <v>45009</v>
      </c>
      <c r="Q948" s="44" t="n">
        <v>2324</v>
      </c>
      <c r="R948" s="44" t="inlineStr">
        <is>
          <t>No Video ID yet</t>
        </is>
      </c>
      <c r="S948" s="46" t="n"/>
      <c r="T948" s="46" t="n"/>
      <c r="U948" s="44" t="n"/>
      <c r="V948" s="44">
        <f>IF(AND(P948&gt;=Calendar!$K$2,P948&lt;EDATE(Calendar!$K$2,1),OR(Calendar!$K$4="*",N948=Calendar!$K$4)),P948*100+COUNTIFS($P$6:$P$3271,P948,$Q$6:$Q$3271,"&lt;="&amp;Q948,$N$6:$N$3271,Calendar!$K$4),"")</f>
        <v/>
      </c>
      <c r="W948" s="44">
        <f>IF(AND(B948=Queue!$C$4,OR(Queue!$K$4="*",N948=Queue!$K$4)),Q948,"")</f>
        <v/>
      </c>
    </row>
    <row r="949">
      <c r="A949" s="35">
        <f>IF(M949="","",HYPERLINK("https://www.youtube.com/watch?v="&amp;M949,"▶"))</f>
        <v/>
      </c>
      <c r="B949" s="36">
        <f>IF(C949&lt;&gt;"",C949,IF(P949&lt;=IFERROR(INDEX(tblChannels[Watched Through],MATCH(N949,tblChannels[Channel ID],0)),0),"Watched","Unwatched"))</f>
        <v/>
      </c>
      <c r="C949" s="37" t="n"/>
      <c r="D949" s="38" t="n"/>
      <c r="E949" s="39" t="n">
        <v>45009.41666666666</v>
      </c>
      <c r="F949" s="40" t="inlineStr">
        <is>
          <t>Popcorn Culture</t>
        </is>
      </c>
      <c r="G949" t="inlineStr">
        <is>
          <t>The One About Tron | Popcorn Culture</t>
        </is>
      </c>
      <c r="H949" s="41" t="n">
        <v>0.04707175925925926</v>
      </c>
      <c r="I949" s="42" t="n">
        <v>4934</v>
      </c>
      <c r="J949" s="42" t="n">
        <v>260</v>
      </c>
      <c r="K949" s="42" t="n">
        <v>21</v>
      </c>
      <c r="L949" s="43" t="n"/>
      <c r="M949" s="44" t="n"/>
      <c r="N949" s="44" t="inlineStr">
        <is>
          <t>UCHfIbq9thHPC8yrKjAdJgDA</t>
        </is>
      </c>
      <c r="O949" s="45" t="n">
        <v>45009.58333333334</v>
      </c>
      <c r="P949" s="46" t="n">
        <v>45009</v>
      </c>
      <c r="Q949" s="44" t="n">
        <v>2323</v>
      </c>
      <c r="R949" s="44" t="inlineStr">
        <is>
          <t>No Video ID yet</t>
        </is>
      </c>
      <c r="S949" s="46" t="n"/>
      <c r="T949" s="46" t="n"/>
      <c r="U949" s="44" t="n"/>
      <c r="V949" s="44">
        <f>IF(AND(P949&gt;=Calendar!$K$2,P949&lt;EDATE(Calendar!$K$2,1),OR(Calendar!$K$4="*",N949=Calendar!$K$4)),P949*100+COUNTIFS($P$6:$P$3271,P949,$Q$6:$Q$3271,"&lt;="&amp;Q949,$N$6:$N$3271,Calendar!$K$4),"")</f>
        <v/>
      </c>
      <c r="W949" s="44">
        <f>IF(AND(B949=Queue!$C$4,OR(Queue!$K$4="*",N949=Queue!$K$4)),Q949,"")</f>
        <v/>
      </c>
    </row>
    <row r="950">
      <c r="A950" s="35">
        <f>IF(M950="","",HYPERLINK("https://www.youtube.com/watch?v="&amp;M950,"▶"))</f>
        <v/>
      </c>
      <c r="B950" s="36">
        <f>IF(C950&lt;&gt;"",C950,IF(P950&lt;=IFERROR(INDEX(tblChannels[Watched Through],MATCH(N950,tblChannels[Channel ID],0)),0),"Watched","Unwatched"))</f>
        <v/>
      </c>
      <c r="C950" s="37" t="n"/>
      <c r="D950" s="38" t="n"/>
      <c r="E950" s="39" t="n">
        <v>45007.77083333334</v>
      </c>
      <c r="F950" s="49" t="inlineStr">
        <is>
          <t>Super Carlin Gaming</t>
        </is>
      </c>
      <c r="G950" t="inlineStr">
        <is>
          <t>The Fight For 8th | Carlin Brothers Box Breakers S4E3</t>
        </is>
      </c>
      <c r="H950" s="41" t="n">
        <v>0.03848379629629629</v>
      </c>
      <c r="I950" s="42" t="n">
        <v>2553</v>
      </c>
      <c r="J950" s="42" t="n">
        <v>149</v>
      </c>
      <c r="K950" s="42" t="n">
        <v>25</v>
      </c>
      <c r="L950" s="43" t="n"/>
      <c r="M950" s="44" t="n"/>
      <c r="N950" s="44" t="inlineStr">
        <is>
          <t>UCor_9jRnNNZVzTuQ92PKsaQ</t>
        </is>
      </c>
      <c r="O950" s="45" t="n">
        <v>45007.9375</v>
      </c>
      <c r="P950" s="46" t="n">
        <v>45007</v>
      </c>
      <c r="Q950" s="44" t="n">
        <v>2322</v>
      </c>
      <c r="R950" s="44" t="inlineStr">
        <is>
          <t>No Video ID yet</t>
        </is>
      </c>
      <c r="S950" s="46" t="n"/>
      <c r="T950" s="46" t="n"/>
      <c r="U950" s="44" t="n"/>
      <c r="V950" s="44">
        <f>IF(AND(P950&gt;=Calendar!$K$2,P950&lt;EDATE(Calendar!$K$2,1),OR(Calendar!$K$4="*",N950=Calendar!$K$4)),P950*100+COUNTIFS($P$6:$P$3271,P950,$Q$6:$Q$3271,"&lt;="&amp;Q950,$N$6:$N$3271,Calendar!$K$4),"")</f>
        <v/>
      </c>
      <c r="W950" s="44">
        <f>IF(AND(B950=Queue!$C$4,OR(Queue!$K$4="*",N950=Queue!$K$4)),Q950,"")</f>
        <v/>
      </c>
    </row>
    <row r="951">
      <c r="A951" s="35">
        <f>IF(M951="","",HYPERLINK("https://www.youtube.com/watch?v="&amp;M951,"▶"))</f>
        <v/>
      </c>
      <c r="B951" s="36">
        <f>IF(C951&lt;&gt;"",C951,IF(P951&lt;=IFERROR(INDEX(tblChannels[Watched Through],MATCH(N951,tblChannels[Channel ID],0)),0),"Watched","Unwatched"))</f>
        <v/>
      </c>
      <c r="C951" s="37" t="n"/>
      <c r="D951" s="38" t="n"/>
      <c r="E951" s="39" t="n">
        <v>45007.66388888889</v>
      </c>
      <c r="F951" s="47" t="inlineStr">
        <is>
          <t>Super Carlin Brothers</t>
        </is>
      </c>
      <c r="G951" t="inlineStr">
        <is>
          <t>PROOF That Grogu is Snoke | Mandalorian Star Wars Film Theory</t>
        </is>
      </c>
      <c r="H951" s="41" t="n">
        <v>0.01185185185185185</v>
      </c>
      <c r="I951" s="42" t="n">
        <v>72871</v>
      </c>
      <c r="J951" s="42" t="n">
        <v>3238</v>
      </c>
      <c r="K951" s="42" t="n">
        <v>267</v>
      </c>
      <c r="L951" s="43" t="n"/>
      <c r="M951" s="44" t="n"/>
      <c r="N951" s="44" t="inlineStr">
        <is>
          <t>UCKZo4N0lVPccBkSiuyVh4yg</t>
        </is>
      </c>
      <c r="O951" s="45" t="n">
        <v>45007.83055555556</v>
      </c>
      <c r="P951" s="46" t="n">
        <v>45007</v>
      </c>
      <c r="Q951" s="44" t="n">
        <v>2321</v>
      </c>
      <c r="R951" s="44" t="inlineStr">
        <is>
          <t>No Video ID yet</t>
        </is>
      </c>
      <c r="S951" s="46" t="n"/>
      <c r="T951" s="46" t="n"/>
      <c r="U951" s="44" t="n"/>
      <c r="V951" s="44">
        <f>IF(AND(P951&gt;=Calendar!$K$2,P951&lt;EDATE(Calendar!$K$2,1),OR(Calendar!$K$4="*",N951=Calendar!$K$4)),P951*100+COUNTIFS($P$6:$P$3271,P951,$Q$6:$Q$3271,"&lt;="&amp;Q951,$N$6:$N$3271,Calendar!$K$4),"")</f>
        <v/>
      </c>
      <c r="W951" s="44">
        <f>IF(AND(B951=Queue!$C$4,OR(Queue!$K$4="*",N951=Queue!$K$4)),Q951,"")</f>
        <v/>
      </c>
    </row>
    <row r="952">
      <c r="A952" s="35">
        <f>IF(M952="","",HYPERLINK("https://www.youtube.com/watch?v="&amp;M952,"▶"))</f>
        <v/>
      </c>
      <c r="B952" s="36">
        <f>IF(C952&lt;&gt;"",C952,IF(P952&lt;=IFERROR(INDEX(tblChannels[Watched Through],MATCH(N952,tblChannels[Channel ID],0)),0),"Watched","Unwatched"))</f>
        <v/>
      </c>
      <c r="C952" s="37" t="n"/>
      <c r="D952" s="38" t="n"/>
      <c r="E952" s="39" t="n">
        <v>45002.60902777778</v>
      </c>
      <c r="F952" s="47" t="inlineStr">
        <is>
          <t>Super Carlin Brothers</t>
        </is>
      </c>
      <c r="G952" t="inlineStr">
        <is>
          <t>J vs Ben: ULTIMATE Encanto Trivia Quiz [VERY HARD]</t>
        </is>
      </c>
      <c r="H952" s="41" t="n">
        <v>0.01974537037037037</v>
      </c>
      <c r="I952" s="42" t="n">
        <v>89847</v>
      </c>
      <c r="J952" s="42" t="n">
        <v>3682</v>
      </c>
      <c r="K952" s="42" t="n">
        <v>309</v>
      </c>
      <c r="L952" s="43" t="n"/>
      <c r="M952" s="44" t="n"/>
      <c r="N952" s="44" t="inlineStr">
        <is>
          <t>UCKZo4N0lVPccBkSiuyVh4yg</t>
        </is>
      </c>
      <c r="O952" s="45" t="n">
        <v>45002.77569444444</v>
      </c>
      <c r="P952" s="46" t="n">
        <v>45002</v>
      </c>
      <c r="Q952" s="44" t="n">
        <v>2320</v>
      </c>
      <c r="R952" s="44" t="inlineStr">
        <is>
          <t>No Video ID yet</t>
        </is>
      </c>
      <c r="S952" s="46" t="n"/>
      <c r="T952" s="46" t="n"/>
      <c r="U952" s="44" t="n"/>
      <c r="V952" s="44">
        <f>IF(AND(P952&gt;=Calendar!$K$2,P952&lt;EDATE(Calendar!$K$2,1),OR(Calendar!$K$4="*",N952=Calendar!$K$4)),P952*100+COUNTIFS($P$6:$P$3271,P952,$Q$6:$Q$3271,"&lt;="&amp;Q952,$N$6:$N$3271,Calendar!$K$4),"")</f>
        <v/>
      </c>
      <c r="W952" s="44">
        <f>IF(AND(B952=Queue!$C$4,OR(Queue!$K$4="*",N952=Queue!$K$4)),Q952,"")</f>
        <v/>
      </c>
    </row>
    <row r="953">
      <c r="A953" s="35">
        <f>IF(M953="","",HYPERLINK("https://www.youtube.com/watch?v="&amp;M953,"▶"))</f>
        <v/>
      </c>
      <c r="B953" s="36">
        <f>IF(C953&lt;&gt;"",C953,IF(P953&lt;=IFERROR(INDEX(tblChannels[Watched Through],MATCH(N953,tblChannels[Channel ID],0)),0),"Watched","Unwatched"))</f>
        <v/>
      </c>
      <c r="C953" s="37" t="n"/>
      <c r="D953" s="38" t="n"/>
      <c r="E953" s="39" t="n">
        <v>45002.41666666666</v>
      </c>
      <c r="F953" s="40" t="inlineStr">
        <is>
          <t>Popcorn Culture</t>
        </is>
      </c>
      <c r="G953" t="inlineStr">
        <is>
          <t>Conversation about Conversations | Popcorn Culture</t>
        </is>
      </c>
      <c r="H953" s="41" t="n">
        <v>0.05262731481481481</v>
      </c>
      <c r="I953" s="42" t="n">
        <v>5625</v>
      </c>
      <c r="J953" s="42" t="n">
        <v>250</v>
      </c>
      <c r="K953" s="42" t="n">
        <v>26</v>
      </c>
      <c r="L953" s="43" t="n"/>
      <c r="M953" s="44" t="n"/>
      <c r="N953" s="44" t="inlineStr">
        <is>
          <t>UCHfIbq9thHPC8yrKjAdJgDA</t>
        </is>
      </c>
      <c r="O953" s="45" t="n">
        <v>45002.58333333334</v>
      </c>
      <c r="P953" s="46" t="n">
        <v>45002</v>
      </c>
      <c r="Q953" s="44" t="n">
        <v>2319</v>
      </c>
      <c r="R953" s="44" t="inlineStr">
        <is>
          <t>No Video ID yet</t>
        </is>
      </c>
      <c r="S953" s="46" t="n"/>
      <c r="T953" s="46" t="n"/>
      <c r="U953" s="44" t="n"/>
      <c r="V953" s="44">
        <f>IF(AND(P953&gt;=Calendar!$K$2,P953&lt;EDATE(Calendar!$K$2,1),OR(Calendar!$K$4="*",N953=Calendar!$K$4)),P953*100+COUNTIFS($P$6:$P$3271,P953,$Q$6:$Q$3271,"&lt;="&amp;Q953,$N$6:$N$3271,Calendar!$K$4),"")</f>
        <v/>
      </c>
      <c r="W953" s="44">
        <f>IF(AND(B953=Queue!$C$4,OR(Queue!$K$4="*",N953=Queue!$K$4)),Q953,"")</f>
        <v/>
      </c>
    </row>
    <row r="954">
      <c r="A954" s="35">
        <f>IF(M954="","",HYPERLINK("https://www.youtube.com/watch?v="&amp;M954,"▶"))</f>
        <v/>
      </c>
      <c r="B954" s="36">
        <f>IF(C954&lt;&gt;"",C954,IF(P954&lt;=IFERROR(INDEX(tblChannels[Watched Through],MATCH(N954,tblChannels[Channel ID],0)),0),"Watched","Unwatched"))</f>
        <v/>
      </c>
      <c r="C954" s="37" t="n"/>
      <c r="D954" s="38" t="n"/>
      <c r="E954" s="39" t="n">
        <v>45000.60416666666</v>
      </c>
      <c r="F954" s="47" t="inlineStr">
        <is>
          <t>Super Carlin Brothers</t>
        </is>
      </c>
      <c r="G954" t="inlineStr">
        <is>
          <t>Cars Is A RIPOFF?! | Pixar Film Theory</t>
        </is>
      </c>
      <c r="H954" s="41" t="n">
        <v>0.00974537037037037</v>
      </c>
      <c r="I954" s="42" t="n">
        <v>134002</v>
      </c>
      <c r="J954" s="42" t="n">
        <v>6836</v>
      </c>
      <c r="K954" s="42" t="n">
        <v>512</v>
      </c>
      <c r="L954" s="43" t="n"/>
      <c r="M954" s="44" t="n"/>
      <c r="N954" s="44" t="inlineStr">
        <is>
          <t>UCKZo4N0lVPccBkSiuyVh4yg</t>
        </is>
      </c>
      <c r="O954" s="45" t="n">
        <v>45000.77083333334</v>
      </c>
      <c r="P954" s="46" t="n">
        <v>45000</v>
      </c>
      <c r="Q954" s="44" t="n">
        <v>2318</v>
      </c>
      <c r="R954" s="44" t="inlineStr">
        <is>
          <t>No Video ID yet</t>
        </is>
      </c>
      <c r="S954" s="46" t="n"/>
      <c r="T954" s="46" t="n"/>
      <c r="U954" s="44" t="n"/>
      <c r="V954" s="44">
        <f>IF(AND(P954&gt;=Calendar!$K$2,P954&lt;EDATE(Calendar!$K$2,1),OR(Calendar!$K$4="*",N954=Calendar!$K$4)),P954*100+COUNTIFS($P$6:$P$3271,P954,$Q$6:$Q$3271,"&lt;="&amp;Q954,$N$6:$N$3271,Calendar!$K$4),"")</f>
        <v/>
      </c>
      <c r="W954" s="44">
        <f>IF(AND(B954=Queue!$C$4,OR(Queue!$K$4="*",N954=Queue!$K$4)),Q954,"")</f>
        <v/>
      </c>
    </row>
    <row r="955">
      <c r="A955" s="35">
        <f>IF(M955="","",HYPERLINK("https://www.youtube.com/watch?v="&amp;M955,"▶"))</f>
        <v/>
      </c>
      <c r="B955" s="36">
        <f>IF(C955&lt;&gt;"",C955,IF(P955&lt;=IFERROR(INDEX(tblChannels[Watched Through],MATCH(N955,tblChannels[Channel ID],0)),0),"Watched","Unwatched"))</f>
        <v/>
      </c>
      <c r="C955" s="37" t="n"/>
      <c r="D955" s="38" t="n"/>
      <c r="E955" s="39" t="n">
        <v>44998.77083333334</v>
      </c>
      <c r="F955" s="49" t="inlineStr">
        <is>
          <t>Super Carlin Gaming</t>
        </is>
      </c>
      <c r="G955" t="inlineStr">
        <is>
          <t>A Big Day For Rookies | Carlin Brothers Box Breakers S4E2</t>
        </is>
      </c>
      <c r="H955" s="41" t="n">
        <v>0.03631944444444445</v>
      </c>
      <c r="I955" s="42" t="n">
        <v>2582</v>
      </c>
      <c r="J955" s="42" t="n">
        <v>142</v>
      </c>
      <c r="K955" s="42" t="n">
        <v>19</v>
      </c>
      <c r="L955" s="43" t="n"/>
      <c r="M955" s="44" t="n"/>
      <c r="N955" s="44" t="inlineStr">
        <is>
          <t>UCor_9jRnNNZVzTuQ92PKsaQ</t>
        </is>
      </c>
      <c r="O955" s="45" t="n">
        <v>44998.9375</v>
      </c>
      <c r="P955" s="46" t="n">
        <v>44998</v>
      </c>
      <c r="Q955" s="44" t="n">
        <v>2317</v>
      </c>
      <c r="R955" s="44" t="inlineStr">
        <is>
          <t>No Video ID yet</t>
        </is>
      </c>
      <c r="S955" s="46" t="n"/>
      <c r="T955" s="46" t="n"/>
      <c r="U955" s="44" t="n"/>
      <c r="V955" s="44">
        <f>IF(AND(P955&gt;=Calendar!$K$2,P955&lt;EDATE(Calendar!$K$2,1),OR(Calendar!$K$4="*",N955=Calendar!$K$4)),P955*100+COUNTIFS($P$6:$P$3271,P955,$Q$6:$Q$3271,"&lt;="&amp;Q955,$N$6:$N$3271,Calendar!$K$4),"")</f>
        <v/>
      </c>
      <c r="W955" s="44">
        <f>IF(AND(B955=Queue!$C$4,OR(Queue!$K$4="*",N955=Queue!$K$4)),Q955,"")</f>
        <v/>
      </c>
    </row>
    <row r="956">
      <c r="A956" s="35">
        <f>IF(M956="","",HYPERLINK("https://www.youtube.com/watch?v="&amp;M956,"▶"))</f>
        <v/>
      </c>
      <c r="B956" s="36">
        <f>IF(C956&lt;&gt;"",C956,IF(P956&lt;=IFERROR(INDEX(tblChannels[Watched Through],MATCH(N956,tblChannels[Channel ID],0)),0),"Watched","Unwatched"))</f>
        <v/>
      </c>
      <c r="C956" s="37" t="n"/>
      <c r="D956" s="38" t="n"/>
      <c r="E956" s="39" t="n">
        <v>44995.70763888889</v>
      </c>
      <c r="F956" s="47" t="inlineStr">
        <is>
          <t>Super Carlin Brothers</t>
        </is>
      </c>
      <c r="G956" t="inlineStr">
        <is>
          <t>What Frozen 3 SHOULD Be About | Disney Film Theory</t>
        </is>
      </c>
      <c r="H956" s="41" t="n">
        <v>0.01318287037037037</v>
      </c>
      <c r="I956" s="42" t="n">
        <v>123119</v>
      </c>
      <c r="J956" s="42" t="n">
        <v>5542</v>
      </c>
      <c r="K956" s="42" t="n">
        <v>540</v>
      </c>
      <c r="L956" s="43" t="n"/>
      <c r="M956" s="44" t="n"/>
      <c r="N956" s="44" t="inlineStr">
        <is>
          <t>UCKZo4N0lVPccBkSiuyVh4yg</t>
        </is>
      </c>
      <c r="O956" s="45" t="n">
        <v>44995.91597222222</v>
      </c>
      <c r="P956" s="46" t="n">
        <v>44995</v>
      </c>
      <c r="Q956" s="44" t="n">
        <v>2316</v>
      </c>
      <c r="R956" s="44" t="inlineStr">
        <is>
          <t>No Video ID yet</t>
        </is>
      </c>
      <c r="S956" s="46" t="n"/>
      <c r="T956" s="46" t="n"/>
      <c r="U956" s="44" t="n"/>
      <c r="V956" s="44">
        <f>IF(AND(P956&gt;=Calendar!$K$2,P956&lt;EDATE(Calendar!$K$2,1),OR(Calendar!$K$4="*",N956=Calendar!$K$4)),P956*100+COUNTIFS($P$6:$P$3271,P956,$Q$6:$Q$3271,"&lt;="&amp;Q956,$N$6:$N$3271,Calendar!$K$4),"")</f>
        <v/>
      </c>
      <c r="W956" s="44">
        <f>IF(AND(B956=Queue!$C$4,OR(Queue!$K$4="*",N956=Queue!$K$4)),Q956,"")</f>
        <v/>
      </c>
    </row>
    <row r="957">
      <c r="A957" s="35">
        <f>IF(M957="","",HYPERLINK("https://www.youtube.com/watch?v="&amp;M957,"▶"))</f>
        <v/>
      </c>
      <c r="B957" s="36">
        <f>IF(C957&lt;&gt;"",C957,IF(P957&lt;=IFERROR(INDEX(tblChannels[Watched Through],MATCH(N957,tblChannels[Channel ID],0)),0),"Watched","Unwatched"))</f>
        <v/>
      </c>
      <c r="C957" s="37" t="n"/>
      <c r="D957" s="38" t="n"/>
      <c r="E957" s="39" t="n">
        <v>44995.41666666666</v>
      </c>
      <c r="F957" s="40" t="inlineStr">
        <is>
          <t>Popcorn Culture</t>
        </is>
      </c>
      <c r="G957" t="inlineStr">
        <is>
          <t>Pierogi Night Perils | Popcorn Culture</t>
        </is>
      </c>
      <c r="H957" s="41" t="n">
        <v>0.04982638888888889</v>
      </c>
      <c r="I957" s="42" t="n">
        <v>4651</v>
      </c>
      <c r="J957" s="42" t="n">
        <v>240</v>
      </c>
      <c r="K957" s="42" t="n">
        <v>38</v>
      </c>
      <c r="L957" s="43" t="n"/>
      <c r="M957" s="44" t="n"/>
      <c r="N957" s="44" t="inlineStr">
        <is>
          <t>UCHfIbq9thHPC8yrKjAdJgDA</t>
        </is>
      </c>
      <c r="O957" s="45" t="n">
        <v>44995.625</v>
      </c>
      <c r="P957" s="46" t="n">
        <v>44995</v>
      </c>
      <c r="Q957" s="44" t="n">
        <v>2315</v>
      </c>
      <c r="R957" s="44" t="inlineStr">
        <is>
          <t>No Video ID yet</t>
        </is>
      </c>
      <c r="S957" s="46" t="n"/>
      <c r="T957" s="46" t="n"/>
      <c r="U957" s="44" t="n"/>
      <c r="V957" s="44">
        <f>IF(AND(P957&gt;=Calendar!$K$2,P957&lt;EDATE(Calendar!$K$2,1),OR(Calendar!$K$4="*",N957=Calendar!$K$4)),P957*100+COUNTIFS($P$6:$P$3271,P957,$Q$6:$Q$3271,"&lt;="&amp;Q957,$N$6:$N$3271,Calendar!$K$4),"")</f>
        <v/>
      </c>
      <c r="W957" s="44">
        <f>IF(AND(B957=Queue!$C$4,OR(Queue!$K$4="*",N957=Queue!$K$4)),Q957,"")</f>
        <v/>
      </c>
    </row>
    <row r="958">
      <c r="A958" s="35">
        <f>IF(M958="","",HYPERLINK("https://www.youtube.com/watch?v="&amp;M958,"▶"))</f>
        <v/>
      </c>
      <c r="B958" s="36">
        <f>IF(C958&lt;&gt;"",C958,IF(P958&lt;=IFERROR(INDEX(tblChannels[Watched Through],MATCH(N958,tblChannels[Channel ID],0)),0),"Watched","Unwatched"))</f>
        <v/>
      </c>
      <c r="C958" s="37" t="n"/>
      <c r="D958" s="38" t="n"/>
      <c r="E958" s="39" t="n">
        <v>44993.5875</v>
      </c>
      <c r="F958" s="47" t="inlineStr">
        <is>
          <t>Super Carlin Brothers</t>
        </is>
      </c>
      <c r="G958" t="inlineStr">
        <is>
          <t>What Lightsaber Colors ACTUALLY Mean | Star Wars Film Theory</t>
        </is>
      </c>
      <c r="H958" s="41" t="n">
        <v>0.01252314814814815</v>
      </c>
      <c r="I958" s="42" t="n">
        <v>142146</v>
      </c>
      <c r="J958" s="42" t="n">
        <v>6708</v>
      </c>
      <c r="K958" s="42" t="n">
        <v>779</v>
      </c>
      <c r="L958" s="43" t="n"/>
      <c r="M958" s="44" t="n"/>
      <c r="N958" s="44" t="inlineStr">
        <is>
          <t>UCKZo4N0lVPccBkSiuyVh4yg</t>
        </is>
      </c>
      <c r="O958" s="45" t="n">
        <v>44993.79583333333</v>
      </c>
      <c r="P958" s="46" t="n">
        <v>44993</v>
      </c>
      <c r="Q958" s="44" t="n">
        <v>2314</v>
      </c>
      <c r="R958" s="44" t="inlineStr">
        <is>
          <t>No Video ID yet</t>
        </is>
      </c>
      <c r="S958" s="46" t="n"/>
      <c r="T958" s="46" t="n"/>
      <c r="U958" s="44" t="n"/>
      <c r="V958" s="44">
        <f>IF(AND(P958&gt;=Calendar!$K$2,P958&lt;EDATE(Calendar!$K$2,1),OR(Calendar!$K$4="*",N958=Calendar!$K$4)),P958*100+COUNTIFS($P$6:$P$3271,P958,$Q$6:$Q$3271,"&lt;="&amp;Q958,$N$6:$N$3271,Calendar!$K$4),"")</f>
        <v/>
      </c>
      <c r="W958" s="44">
        <f>IF(AND(B958=Queue!$C$4,OR(Queue!$K$4="*",N958=Queue!$K$4)),Q958,"")</f>
        <v/>
      </c>
    </row>
    <row r="959">
      <c r="A959" s="35">
        <f>IF(M959="","",HYPERLINK("https://www.youtube.com/watch?v="&amp;M959,"▶"))</f>
        <v/>
      </c>
      <c r="B959" s="36">
        <f>IF(C959&lt;&gt;"",C959,IF(P959&lt;=IFERROR(INDEX(tblChannels[Watched Through],MATCH(N959,tblChannels[Channel ID],0)),0),"Watched","Unwatched"))</f>
        <v/>
      </c>
      <c r="C959" s="37" t="n"/>
      <c r="D959" s="38" t="n"/>
      <c r="E959" s="39" t="n">
        <v>44991.625</v>
      </c>
      <c r="F959" s="49" t="inlineStr">
        <is>
          <t>Super Carlin Gaming</t>
        </is>
      </c>
      <c r="G959" t="inlineStr">
        <is>
          <t>Enter Crown Zenith! || Carlin Brothers Box Breakers S4E1</t>
        </is>
      </c>
      <c r="H959" s="41" t="n">
        <v>0.03890046296296296</v>
      </c>
      <c r="I959" s="42" t="n">
        <v>2886</v>
      </c>
      <c r="J959" s="42" t="n">
        <v>166</v>
      </c>
      <c r="K959" s="42" t="n">
        <v>17</v>
      </c>
      <c r="L959" s="43" t="n"/>
      <c r="M959" s="44" t="n"/>
      <c r="N959" s="44" t="inlineStr">
        <is>
          <t>UCor_9jRnNNZVzTuQ92PKsaQ</t>
        </is>
      </c>
      <c r="O959" s="45" t="n">
        <v>44991.83333333334</v>
      </c>
      <c r="P959" s="46" t="n">
        <v>44991</v>
      </c>
      <c r="Q959" s="44" t="n">
        <v>2313</v>
      </c>
      <c r="R959" s="44" t="inlineStr">
        <is>
          <t>No Video ID yet</t>
        </is>
      </c>
      <c r="S959" s="46" t="n"/>
      <c r="T959" s="46" t="n"/>
      <c r="U959" s="44" t="n"/>
      <c r="V959" s="44">
        <f>IF(AND(P959&gt;=Calendar!$K$2,P959&lt;EDATE(Calendar!$K$2,1),OR(Calendar!$K$4="*",N959=Calendar!$K$4)),P959*100+COUNTIFS($P$6:$P$3271,P959,$Q$6:$Q$3271,"&lt;="&amp;Q959,$N$6:$N$3271,Calendar!$K$4),"")</f>
        <v/>
      </c>
      <c r="W959" s="44">
        <f>IF(AND(B959=Queue!$C$4,OR(Queue!$K$4="*",N959=Queue!$K$4)),Q959,"")</f>
        <v/>
      </c>
    </row>
    <row r="960">
      <c r="A960" s="35">
        <f>IF(M960="","",HYPERLINK("https://www.youtube.com/watch?v="&amp;M960,"▶"))</f>
        <v/>
      </c>
      <c r="B960" s="36">
        <f>IF(C960&lt;&gt;"",C960,IF(P960&lt;=IFERROR(INDEX(tblChannels[Watched Through],MATCH(N960,tblChannels[Channel ID],0)),0),"Watched","Unwatched"))</f>
        <v/>
      </c>
      <c r="C960" s="37" t="n"/>
      <c r="D960" s="38" t="n"/>
      <c r="E960" s="39" t="n">
        <v>44988.625</v>
      </c>
      <c r="F960" s="47" t="inlineStr">
        <is>
          <t>Super Carlin Brothers</t>
        </is>
      </c>
      <c r="G960" t="inlineStr">
        <is>
          <t>J vs Ben: ULTIMATE Toy Story TRIVIA Quiz feat. Seamus Gorman</t>
        </is>
      </c>
      <c r="H960" s="41" t="n">
        <v>0.0353125</v>
      </c>
      <c r="I960" s="42" t="n">
        <v>110020</v>
      </c>
      <c r="J960" s="42" t="n">
        <v>3803</v>
      </c>
      <c r="K960" s="42" t="n">
        <v>453</v>
      </c>
      <c r="L960" s="43" t="n"/>
      <c r="M960" s="44" t="n"/>
      <c r="N960" s="44" t="inlineStr">
        <is>
          <t>UCKZo4N0lVPccBkSiuyVh4yg</t>
        </is>
      </c>
      <c r="O960" s="45" t="n">
        <v>44988.83333333334</v>
      </c>
      <c r="P960" s="46" t="n">
        <v>44988</v>
      </c>
      <c r="Q960" s="44" t="n">
        <v>2312</v>
      </c>
      <c r="R960" s="44" t="inlineStr">
        <is>
          <t>No Video ID yet</t>
        </is>
      </c>
      <c r="S960" s="46" t="n"/>
      <c r="T960" s="46" t="n"/>
      <c r="U960" s="44" t="n"/>
      <c r="V960" s="44">
        <f>IF(AND(P960&gt;=Calendar!$K$2,P960&lt;EDATE(Calendar!$K$2,1),OR(Calendar!$K$4="*",N960=Calendar!$K$4)),P960*100+COUNTIFS($P$6:$P$3271,P960,$Q$6:$Q$3271,"&lt;="&amp;Q960,$N$6:$N$3271,Calendar!$K$4),"")</f>
        <v/>
      </c>
      <c r="W960" s="44">
        <f>IF(AND(B960=Queue!$C$4,OR(Queue!$K$4="*",N960=Queue!$K$4)),Q960,"")</f>
        <v/>
      </c>
    </row>
    <row r="961">
      <c r="A961" s="35">
        <f>IF(M961="","",HYPERLINK("https://www.youtube.com/watch?v="&amp;M961,"▶"))</f>
        <v/>
      </c>
      <c r="B961" s="36">
        <f>IF(C961&lt;&gt;"",C961,IF(P961&lt;=IFERROR(INDEX(tblChannels[Watched Through],MATCH(N961,tblChannels[Channel ID],0)),0),"Watched","Unwatched"))</f>
        <v/>
      </c>
      <c r="C961" s="37" t="n"/>
      <c r="D961" s="38" t="n"/>
      <c r="E961" s="39" t="n">
        <v>44988.41666666666</v>
      </c>
      <c r="F961" s="40" t="inlineStr">
        <is>
          <t>Popcorn Culture</t>
        </is>
      </c>
      <c r="G961" t="inlineStr">
        <is>
          <t>Actively Practicing Cowardice | Popcorn Culture</t>
        </is>
      </c>
      <c r="H961" s="41" t="n">
        <v>0.04774305555555555</v>
      </c>
      <c r="I961" s="42" t="n">
        <v>4982</v>
      </c>
      <c r="J961" s="42" t="n">
        <v>259</v>
      </c>
      <c r="K961" s="42" t="n">
        <v>30</v>
      </c>
      <c r="L961" s="43" t="n"/>
      <c r="M961" s="44" t="n"/>
      <c r="N961" s="44" t="inlineStr">
        <is>
          <t>UCHfIbq9thHPC8yrKjAdJgDA</t>
        </is>
      </c>
      <c r="O961" s="45" t="n">
        <v>44988.625</v>
      </c>
      <c r="P961" s="46" t="n">
        <v>44988</v>
      </c>
      <c r="Q961" s="44" t="n">
        <v>2311</v>
      </c>
      <c r="R961" s="44" t="inlineStr">
        <is>
          <t>No Video ID yet</t>
        </is>
      </c>
      <c r="S961" s="46" t="n"/>
      <c r="T961" s="46" t="n"/>
      <c r="U961" s="44" t="n"/>
      <c r="V961" s="44">
        <f>IF(AND(P961&gt;=Calendar!$K$2,P961&lt;EDATE(Calendar!$K$2,1),OR(Calendar!$K$4="*",N961=Calendar!$K$4)),P961*100+COUNTIFS($P$6:$P$3271,P961,$Q$6:$Q$3271,"&lt;="&amp;Q961,$N$6:$N$3271,Calendar!$K$4),"")</f>
        <v/>
      </c>
      <c r="W961" s="44">
        <f>IF(AND(B961=Queue!$C$4,OR(Queue!$K$4="*",N961=Queue!$K$4)),Q961,"")</f>
        <v/>
      </c>
    </row>
    <row r="962">
      <c r="A962" s="35">
        <f>IF(M962="","",HYPERLINK("https://www.youtube.com/watch?v="&amp;M962,"▶"))</f>
        <v/>
      </c>
      <c r="B962" s="36">
        <f>IF(C962&lt;&gt;"",C962,IF(P962&lt;=IFERROR(INDEX(tblChannels[Watched Through],MATCH(N962,tblChannels[Channel ID],0)),0),"Watched","Unwatched"))</f>
        <v/>
      </c>
      <c r="C962" s="37" t="n"/>
      <c r="D962" s="38" t="n"/>
      <c r="E962" s="39" t="n">
        <v>44986.60416666666</v>
      </c>
      <c r="F962" s="47" t="inlineStr">
        <is>
          <t>Super Carlin Brothers</t>
        </is>
      </c>
      <c r="G962" t="inlineStr">
        <is>
          <t>What Would ACTUALLY Make Toy Story 5 Worth It | Pixar Film Theory</t>
        </is>
      </c>
      <c r="H962" s="41" t="n">
        <v>0.01342592592592593</v>
      </c>
      <c r="I962" s="42" t="n">
        <v>212179</v>
      </c>
      <c r="J962" s="42" t="n">
        <v>8816</v>
      </c>
      <c r="K962" s="42" t="n">
        <v>1172</v>
      </c>
      <c r="L962" s="43" t="n"/>
      <c r="M962" s="44" t="n"/>
      <c r="N962" s="44" t="inlineStr">
        <is>
          <t>UCKZo4N0lVPccBkSiuyVh4yg</t>
        </is>
      </c>
      <c r="O962" s="45" t="n">
        <v>44986.8125</v>
      </c>
      <c r="P962" s="46" t="n">
        <v>44986</v>
      </c>
      <c r="Q962" s="44" t="n">
        <v>2310</v>
      </c>
      <c r="R962" s="44" t="inlineStr">
        <is>
          <t>No Video ID yet</t>
        </is>
      </c>
      <c r="S962" s="46" t="n"/>
      <c r="T962" s="46" t="n"/>
      <c r="U962" s="44" t="n"/>
      <c r="V962" s="44">
        <f>IF(AND(P962&gt;=Calendar!$K$2,P962&lt;EDATE(Calendar!$K$2,1),OR(Calendar!$K$4="*",N962=Calendar!$K$4)),P962*100+COUNTIFS($P$6:$P$3271,P962,$Q$6:$Q$3271,"&lt;="&amp;Q962,$N$6:$N$3271,Calendar!$K$4),"")</f>
        <v/>
      </c>
      <c r="W962" s="44">
        <f>IF(AND(B962=Queue!$C$4,OR(Queue!$K$4="*",N962=Queue!$K$4)),Q962,"")</f>
        <v/>
      </c>
    </row>
    <row r="963">
      <c r="A963" s="35">
        <f>IF(M963="","",HYPERLINK("https://www.youtube.com/watch?v="&amp;M963,"▶"))</f>
        <v/>
      </c>
      <c r="B963" s="36">
        <f>IF(C963&lt;&gt;"",C963,IF(P963&lt;=IFERROR(INDEX(tblChannels[Watched Through],MATCH(N963,tblChannels[Channel ID],0)),0),"Watched","Unwatched"))</f>
        <v/>
      </c>
      <c r="C963" s="37" t="n"/>
      <c r="D963" s="38" t="n"/>
      <c r="E963" s="39" t="n">
        <v>44985.77083333334</v>
      </c>
      <c r="F963" s="49" t="inlineStr">
        <is>
          <t>Super Carlin Gaming</t>
        </is>
      </c>
      <c r="G963" t="inlineStr">
        <is>
          <t>7 WAY TIE!! | Carlin Brothers Box Breakers SEASON 3 FINALE</t>
        </is>
      </c>
      <c r="H963" s="41" t="n">
        <v>0.04175925925925926</v>
      </c>
      <c r="I963" s="42" t="n">
        <v>2755</v>
      </c>
      <c r="J963" s="42" t="n">
        <v>163</v>
      </c>
      <c r="K963" s="42" t="n">
        <v>16</v>
      </c>
      <c r="L963" s="43" t="n"/>
      <c r="M963" s="44" t="n"/>
      <c r="N963" s="44" t="inlineStr">
        <is>
          <t>UCor_9jRnNNZVzTuQ92PKsaQ</t>
        </is>
      </c>
      <c r="O963" s="45" t="n">
        <v>44985.97916666666</v>
      </c>
      <c r="P963" s="46" t="n">
        <v>44985</v>
      </c>
      <c r="Q963" s="44" t="n">
        <v>2309</v>
      </c>
      <c r="R963" s="44" t="inlineStr">
        <is>
          <t>No Video ID yet</t>
        </is>
      </c>
      <c r="S963" s="46" t="n"/>
      <c r="T963" s="46" t="n"/>
      <c r="U963" s="44" t="n"/>
      <c r="V963" s="44">
        <f>IF(AND(P963&gt;=Calendar!$K$2,P963&lt;EDATE(Calendar!$K$2,1),OR(Calendar!$K$4="*",N963=Calendar!$K$4)),P963*100+COUNTIFS($P$6:$P$3271,P963,$Q$6:$Q$3271,"&lt;="&amp;Q963,$N$6:$N$3271,Calendar!$K$4),"")</f>
        <v/>
      </c>
      <c r="W963" s="44">
        <f>IF(AND(B963=Queue!$C$4,OR(Queue!$K$4="*",N963=Queue!$K$4)),Q963,"")</f>
        <v/>
      </c>
    </row>
    <row r="964">
      <c r="A964" s="35">
        <f>IF(M964="","",HYPERLINK("https://www.youtube.com/watch?v="&amp;M964,"▶"))</f>
        <v/>
      </c>
      <c r="B964" s="36">
        <f>IF(C964&lt;&gt;"",C964,IF(P964&lt;=IFERROR(INDEX(tblChannels[Watched Through],MATCH(N964,tblChannels[Channel ID],0)),0),"Watched","Unwatched"))</f>
        <v/>
      </c>
      <c r="C964" s="37" t="n"/>
      <c r="D964" s="38" t="n"/>
      <c r="E964" s="39" t="n">
        <v>44981.69930555556</v>
      </c>
      <c r="F964" s="47" t="inlineStr">
        <is>
          <t>Super Carlin Brothers</t>
        </is>
      </c>
      <c r="G964" t="inlineStr">
        <is>
          <t>Mirabel Had A DARK Gift The Whole Time | Encanto Disney Film Theory</t>
        </is>
      </c>
      <c r="H964" s="41" t="n">
        <v>0.01416666666666667</v>
      </c>
      <c r="I964" s="42" t="n">
        <v>244690</v>
      </c>
      <c r="J964" s="42" t="n">
        <v>9911</v>
      </c>
      <c r="K964" s="42" t="n">
        <v>543</v>
      </c>
      <c r="L964" s="43" t="n"/>
      <c r="M964" s="44" t="n"/>
      <c r="N964" s="44" t="inlineStr">
        <is>
          <t>UCKZo4N0lVPccBkSiuyVh4yg</t>
        </is>
      </c>
      <c r="O964" s="45" t="n">
        <v>44981.90763888889</v>
      </c>
      <c r="P964" s="46" t="n">
        <v>44981</v>
      </c>
      <c r="Q964" s="44" t="n">
        <v>2308</v>
      </c>
      <c r="R964" s="44" t="inlineStr">
        <is>
          <t>No Video ID yet</t>
        </is>
      </c>
      <c r="S964" s="46" t="n"/>
      <c r="T964" s="46" t="n"/>
      <c r="U964" s="44" t="n"/>
      <c r="V964" s="44">
        <f>IF(AND(P964&gt;=Calendar!$K$2,P964&lt;EDATE(Calendar!$K$2,1),OR(Calendar!$K$4="*",N964=Calendar!$K$4)),P964*100+COUNTIFS($P$6:$P$3271,P964,$Q$6:$Q$3271,"&lt;="&amp;Q964,$N$6:$N$3271,Calendar!$K$4),"")</f>
        <v/>
      </c>
      <c r="W964" s="44">
        <f>IF(AND(B964=Queue!$C$4,OR(Queue!$K$4="*",N964=Queue!$K$4)),Q964,"")</f>
        <v/>
      </c>
    </row>
    <row r="965">
      <c r="A965" s="35">
        <f>IF(M965="","",HYPERLINK("https://www.youtube.com/watch?v="&amp;M965,"▶"))</f>
        <v/>
      </c>
      <c r="B965" s="36">
        <f>IF(C965&lt;&gt;"",C965,IF(P965&lt;=IFERROR(INDEX(tblChannels[Watched Through],MATCH(N965,tblChannels[Channel ID],0)),0),"Watched","Unwatched"))</f>
        <v/>
      </c>
      <c r="C965" s="37" t="n"/>
      <c r="D965" s="38" t="n"/>
      <c r="E965" s="39" t="n">
        <v>44981.41666666666</v>
      </c>
      <c r="F965" s="40" t="inlineStr">
        <is>
          <t>Popcorn Culture</t>
        </is>
      </c>
      <c r="G965" t="inlineStr">
        <is>
          <t>Eating Year Old Popcorn | Popcorn Culture</t>
        </is>
      </c>
      <c r="H965" s="41" t="n">
        <v>0.04657407407407407</v>
      </c>
      <c r="I965" s="42" t="n">
        <v>4797</v>
      </c>
      <c r="J965" s="42" t="n">
        <v>262</v>
      </c>
      <c r="K965" s="42" t="n">
        <v>50</v>
      </c>
      <c r="L965" s="43" t="n"/>
      <c r="M965" s="44" t="n"/>
      <c r="N965" s="44" t="inlineStr">
        <is>
          <t>UCHfIbq9thHPC8yrKjAdJgDA</t>
        </is>
      </c>
      <c r="O965" s="45" t="n">
        <v>44981.625</v>
      </c>
      <c r="P965" s="46" t="n">
        <v>44981</v>
      </c>
      <c r="Q965" s="44" t="n">
        <v>2307</v>
      </c>
      <c r="R965" s="44" t="inlineStr">
        <is>
          <t>No Video ID yet</t>
        </is>
      </c>
      <c r="S965" s="46" t="n"/>
      <c r="T965" s="46" t="n"/>
      <c r="U965" s="44" t="n"/>
      <c r="V965" s="44">
        <f>IF(AND(P965&gt;=Calendar!$K$2,P965&lt;EDATE(Calendar!$K$2,1),OR(Calendar!$K$4="*",N965=Calendar!$K$4)),P965*100+COUNTIFS($P$6:$P$3271,P965,$Q$6:$Q$3271,"&lt;="&amp;Q965,$N$6:$N$3271,Calendar!$K$4),"")</f>
        <v/>
      </c>
      <c r="W965" s="44">
        <f>IF(AND(B965=Queue!$C$4,OR(Queue!$K$4="*",N965=Queue!$K$4)),Q965,"")</f>
        <v/>
      </c>
    </row>
    <row r="966">
      <c r="A966" s="35">
        <f>IF(M966="","",HYPERLINK("https://www.youtube.com/watch?v="&amp;M966,"▶"))</f>
        <v/>
      </c>
      <c r="B966" s="36">
        <f>IF(C966&lt;&gt;"",C966,IF(P966&lt;=IFERROR(INDEX(tblChannels[Watched Through],MATCH(N966,tblChannels[Channel ID],0)),0),"Watched","Unwatched"))</f>
        <v/>
      </c>
      <c r="C966" s="37" t="n"/>
      <c r="D966" s="38" t="n"/>
      <c r="E966" s="39" t="n">
        <v>44980.70833333334</v>
      </c>
      <c r="F966" s="40" t="inlineStr">
        <is>
          <t>Popcorn Culture</t>
        </is>
      </c>
      <c r="G966" t="inlineStr">
        <is>
          <t>Coffee In Bed | Popcorn Culture Episode 168 Teaser</t>
        </is>
      </c>
      <c r="H966" s="41" t="n">
        <v>0.006481481481481481</v>
      </c>
      <c r="I966" s="42" t="n">
        <v>988</v>
      </c>
      <c r="J966" s="42" t="n">
        <v>74</v>
      </c>
      <c r="K966" s="42" t="n">
        <v>4</v>
      </c>
      <c r="L966" s="43" t="n"/>
      <c r="M966" s="44" t="n"/>
      <c r="N966" s="44" t="inlineStr">
        <is>
          <t>UCHfIbq9thHPC8yrKjAdJgDA</t>
        </is>
      </c>
      <c r="O966" s="45" t="n">
        <v>44980.91666666666</v>
      </c>
      <c r="P966" s="46" t="n">
        <v>44980</v>
      </c>
      <c r="Q966" s="44" t="n">
        <v>2306</v>
      </c>
      <c r="R966" s="44" t="inlineStr">
        <is>
          <t>No Video ID yet</t>
        </is>
      </c>
      <c r="S966" s="46" t="n"/>
      <c r="T966" s="46" t="n"/>
      <c r="U966" s="44" t="n"/>
      <c r="V966" s="44">
        <f>IF(AND(P966&gt;=Calendar!$K$2,P966&lt;EDATE(Calendar!$K$2,1),OR(Calendar!$K$4="*",N966=Calendar!$K$4)),P966*100+COUNTIFS($P$6:$P$3271,P966,$Q$6:$Q$3271,"&lt;="&amp;Q966,$N$6:$N$3271,Calendar!$K$4),"")</f>
        <v/>
      </c>
      <c r="W966" s="44">
        <f>IF(AND(B966=Queue!$C$4,OR(Queue!$K$4="*",N966=Queue!$K$4)),Q966,"")</f>
        <v/>
      </c>
    </row>
    <row r="967">
      <c r="A967" s="35">
        <f>IF(M967="","",HYPERLINK("https://www.youtube.com/watch?v="&amp;M967,"▶"))</f>
        <v/>
      </c>
      <c r="B967" s="36">
        <f>IF(C967&lt;&gt;"",C967,IF(P967&lt;=IFERROR(INDEX(tblChannels[Watched Through],MATCH(N967,tblChannels[Channel ID],0)),0),"Watched","Unwatched"))</f>
        <v/>
      </c>
      <c r="C967" s="37" t="n"/>
      <c r="D967" s="38" t="n"/>
      <c r="E967" s="39" t="n">
        <v>44979.625</v>
      </c>
      <c r="F967" s="49" t="inlineStr">
        <is>
          <t>Super Carlin Gaming</t>
        </is>
      </c>
      <c r="G967" t="inlineStr">
        <is>
          <t>IT HAPPENED AGAIN!! | Carlin Brothers Box Breakers S3E9</t>
        </is>
      </c>
      <c r="H967" s="41" t="n">
        <v>0.03986111111111111</v>
      </c>
      <c r="I967" s="42" t="n">
        <v>2914</v>
      </c>
      <c r="J967" s="42" t="n">
        <v>168</v>
      </c>
      <c r="K967" s="42" t="n">
        <v>23</v>
      </c>
      <c r="L967" s="43" t="n"/>
      <c r="M967" s="44" t="n"/>
      <c r="N967" s="44" t="inlineStr">
        <is>
          <t>UCor_9jRnNNZVzTuQ92PKsaQ</t>
        </is>
      </c>
      <c r="O967" s="45" t="n">
        <v>44979.83333333334</v>
      </c>
      <c r="P967" s="46" t="n">
        <v>44979</v>
      </c>
      <c r="Q967" s="44" t="n">
        <v>2305</v>
      </c>
      <c r="R967" s="44" t="inlineStr">
        <is>
          <t>No Video ID yet</t>
        </is>
      </c>
      <c r="S967" s="46" t="n"/>
      <c r="T967" s="46" t="n"/>
      <c r="U967" s="44" t="n"/>
      <c r="V967" s="44">
        <f>IF(AND(P967&gt;=Calendar!$K$2,P967&lt;EDATE(Calendar!$K$2,1),OR(Calendar!$K$4="*",N967=Calendar!$K$4)),P967*100+COUNTIFS($P$6:$P$3271,P967,$Q$6:$Q$3271,"&lt;="&amp;Q967,$N$6:$N$3271,Calendar!$K$4),"")</f>
        <v/>
      </c>
      <c r="W967" s="44">
        <f>IF(AND(B967=Queue!$C$4,OR(Queue!$K$4="*",N967=Queue!$K$4)),Q967,"")</f>
        <v/>
      </c>
    </row>
    <row r="968">
      <c r="A968" s="35">
        <f>IF(M968="","",HYPERLINK("https://www.youtube.com/watch?v="&amp;M968,"▶"))</f>
        <v/>
      </c>
      <c r="B968" s="36">
        <f>IF(C968&lt;&gt;"",C968,IF(P968&lt;=IFERROR(INDEX(tblChannels[Watched Through],MATCH(N968,tblChannels[Channel ID],0)),0),"Watched","Unwatched"))</f>
        <v/>
      </c>
      <c r="C968" s="37" t="n"/>
      <c r="D968" s="38" t="n"/>
      <c r="E968" s="39" t="n">
        <v>44979.58333333334</v>
      </c>
      <c r="F968" s="47" t="inlineStr">
        <is>
          <t>Super Carlin Brothers</t>
        </is>
      </c>
      <c r="G968" t="inlineStr">
        <is>
          <t>Sokka’s DEATH Solved | Avatar the Last Airbender Film Theory</t>
        </is>
      </c>
      <c r="H968" s="41" t="n">
        <v>0.009363425925925926</v>
      </c>
      <c r="I968" s="42" t="n">
        <v>383636</v>
      </c>
      <c r="J968" s="42" t="n">
        <v>13235</v>
      </c>
      <c r="K968" s="42" t="n">
        <v>1073</v>
      </c>
      <c r="L968" s="43" t="n"/>
      <c r="M968" s="44" t="n"/>
      <c r="N968" s="44" t="inlineStr">
        <is>
          <t>UCKZo4N0lVPccBkSiuyVh4yg</t>
        </is>
      </c>
      <c r="O968" s="45" t="n">
        <v>44979.79166666666</v>
      </c>
      <c r="P968" s="46" t="n">
        <v>44979</v>
      </c>
      <c r="Q968" s="44" t="n">
        <v>2304</v>
      </c>
      <c r="R968" s="44" t="inlineStr">
        <is>
          <t>No Video ID yet</t>
        </is>
      </c>
      <c r="S968" s="46" t="n"/>
      <c r="T968" s="46" t="n"/>
      <c r="U968" s="44" t="n"/>
      <c r="V968" s="44">
        <f>IF(AND(P968&gt;=Calendar!$K$2,P968&lt;EDATE(Calendar!$K$2,1),OR(Calendar!$K$4="*",N968=Calendar!$K$4)),P968*100+COUNTIFS($P$6:$P$3271,P968,$Q$6:$Q$3271,"&lt;="&amp;Q968,$N$6:$N$3271,Calendar!$K$4),"")</f>
        <v/>
      </c>
      <c r="W968" s="44">
        <f>IF(AND(B968=Queue!$C$4,OR(Queue!$K$4="*",N968=Queue!$K$4)),Q968,"")</f>
        <v/>
      </c>
    </row>
    <row r="969">
      <c r="A969" s="35">
        <f>IF(M969="","",HYPERLINK("https://www.youtube.com/watch?v="&amp;M969,"▶"))</f>
        <v/>
      </c>
      <c r="B969" s="36">
        <f>IF(C969&lt;&gt;"",C969,IF(P969&lt;=IFERROR(INDEX(tblChannels[Watched Through],MATCH(N969,tblChannels[Channel ID],0)),0),"Watched","Unwatched"))</f>
        <v/>
      </c>
      <c r="C969" s="37" t="n"/>
      <c r="D969" s="38" t="n"/>
      <c r="E969" s="39" t="n">
        <v>44974.80138888889</v>
      </c>
      <c r="F969" s="47" t="inlineStr">
        <is>
          <t>Super Carlin Brothers</t>
        </is>
      </c>
      <c r="G969" t="inlineStr">
        <is>
          <t>REVIEW: Ant-Man and the Wasp Quantumania</t>
        </is>
      </c>
      <c r="H969" s="41" t="n">
        <v>0.04476851851851852</v>
      </c>
      <c r="I969" s="42" t="n">
        <v>75394</v>
      </c>
      <c r="J969" s="42" t="n">
        <v>2593</v>
      </c>
      <c r="K969" s="42" t="n">
        <v>438</v>
      </c>
      <c r="L969" s="43" t="n"/>
      <c r="M969" s="44" t="n"/>
      <c r="N969" s="44" t="inlineStr">
        <is>
          <t>UCKZo4N0lVPccBkSiuyVh4yg</t>
        </is>
      </c>
      <c r="O969" s="45" t="n">
        <v>44975.00972222222</v>
      </c>
      <c r="P969" s="46" t="n">
        <v>44974</v>
      </c>
      <c r="Q969" s="44" t="n">
        <v>2303</v>
      </c>
      <c r="R969" s="44" t="inlineStr">
        <is>
          <t>No Video ID yet</t>
        </is>
      </c>
      <c r="S969" s="46" t="n"/>
      <c r="T969" s="46" t="n"/>
      <c r="U969" s="44" t="n"/>
      <c r="V969" s="44">
        <f>IF(AND(P969&gt;=Calendar!$K$2,P969&lt;EDATE(Calendar!$K$2,1),OR(Calendar!$K$4="*",N969=Calendar!$K$4)),P969*100+COUNTIFS($P$6:$P$3271,P969,$Q$6:$Q$3271,"&lt;="&amp;Q969,$N$6:$N$3271,Calendar!$K$4),"")</f>
        <v/>
      </c>
      <c r="W969" s="44">
        <f>IF(AND(B969=Queue!$C$4,OR(Queue!$K$4="*",N969=Queue!$K$4)),Q969,"")</f>
        <v/>
      </c>
    </row>
    <row r="970">
      <c r="A970" s="35">
        <f>IF(M970="","",HYPERLINK("https://www.youtube.com/watch?v="&amp;M970,"▶"))</f>
        <v/>
      </c>
      <c r="B970" s="36">
        <f>IF(C970&lt;&gt;"",C970,IF(P970&lt;=IFERROR(INDEX(tblChannels[Watched Through],MATCH(N970,tblChannels[Channel ID],0)),0),"Watched","Unwatched"))</f>
        <v/>
      </c>
      <c r="C970" s="37" t="n"/>
      <c r="D970" s="38" t="n"/>
      <c r="E970" s="39" t="n">
        <v>44974.77083333334</v>
      </c>
      <c r="F970" s="49" t="inlineStr">
        <is>
          <t>Super Carlin Gaming</t>
        </is>
      </c>
      <c r="G970" t="inlineStr">
        <is>
          <t>The Silver Tempest Begins Its End | Carlin Brothers Box Breakers S3E8</t>
        </is>
      </c>
      <c r="H970" s="41" t="n">
        <v>0.03740740740740741</v>
      </c>
      <c r="I970" s="42" t="n">
        <v>2685</v>
      </c>
      <c r="J970" s="42" t="n">
        <v>139</v>
      </c>
      <c r="K970" s="42" t="n">
        <v>25</v>
      </c>
      <c r="L970" s="43" t="n"/>
      <c r="M970" s="44" t="n"/>
      <c r="N970" s="44" t="inlineStr">
        <is>
          <t>UCor_9jRnNNZVzTuQ92PKsaQ</t>
        </is>
      </c>
      <c r="O970" s="45" t="n">
        <v>44974.97916666666</v>
      </c>
      <c r="P970" s="46" t="n">
        <v>44974</v>
      </c>
      <c r="Q970" s="44" t="n">
        <v>2302</v>
      </c>
      <c r="R970" s="44" t="inlineStr">
        <is>
          <t>No Video ID yet</t>
        </is>
      </c>
      <c r="S970" s="46" t="n"/>
      <c r="T970" s="46" t="n"/>
      <c r="U970" s="44" t="n"/>
      <c r="V970" s="44">
        <f>IF(AND(P970&gt;=Calendar!$K$2,P970&lt;EDATE(Calendar!$K$2,1),OR(Calendar!$K$4="*",N970=Calendar!$K$4)),P970*100+COUNTIFS($P$6:$P$3271,P970,$Q$6:$Q$3271,"&lt;="&amp;Q970,$N$6:$N$3271,Calendar!$K$4),"")</f>
        <v/>
      </c>
      <c r="W970" s="44">
        <f>IF(AND(B970=Queue!$C$4,OR(Queue!$K$4="*",N970=Queue!$K$4)),Q970,"")</f>
        <v/>
      </c>
    </row>
    <row r="971">
      <c r="A971" s="35">
        <f>IF(M971="","",HYPERLINK("https://www.youtube.com/watch?v="&amp;M971,"▶"))</f>
        <v/>
      </c>
      <c r="B971" s="36">
        <f>IF(C971&lt;&gt;"",C971,IF(P971&lt;=IFERROR(INDEX(tblChannels[Watched Through],MATCH(N971,tblChannels[Channel ID],0)),0),"Watched","Unwatched"))</f>
        <v/>
      </c>
      <c r="C971" s="37" t="n"/>
      <c r="D971" s="38" t="n"/>
      <c r="E971" s="39" t="n">
        <v>44974.41666666666</v>
      </c>
      <c r="F971" s="40" t="inlineStr">
        <is>
          <t>Popcorn Culture</t>
        </is>
      </c>
      <c r="G971" t="inlineStr">
        <is>
          <t>Could’ve Married Kevin | Popcorn Culture</t>
        </is>
      </c>
      <c r="H971" s="41" t="n">
        <v>0.0540625</v>
      </c>
      <c r="I971" s="42" t="n">
        <v>5734</v>
      </c>
      <c r="J971" s="42" t="n">
        <v>287</v>
      </c>
      <c r="K971" s="42" t="n">
        <v>31</v>
      </c>
      <c r="L971" s="43" t="n"/>
      <c r="M971" s="44" t="n"/>
      <c r="N971" s="44" t="inlineStr">
        <is>
          <t>UCHfIbq9thHPC8yrKjAdJgDA</t>
        </is>
      </c>
      <c r="O971" s="45" t="n">
        <v>44974.625</v>
      </c>
      <c r="P971" s="46" t="n">
        <v>44974</v>
      </c>
      <c r="Q971" s="44" t="n">
        <v>2301</v>
      </c>
      <c r="R971" s="44" t="inlineStr">
        <is>
          <t>No Video ID yet</t>
        </is>
      </c>
      <c r="S971" s="46" t="n"/>
      <c r="T971" s="46" t="n"/>
      <c r="U971" s="44" t="n"/>
      <c r="V971" s="44">
        <f>IF(AND(P971&gt;=Calendar!$K$2,P971&lt;EDATE(Calendar!$K$2,1),OR(Calendar!$K$4="*",N971=Calendar!$K$4)),P971*100+COUNTIFS($P$6:$P$3271,P971,$Q$6:$Q$3271,"&lt;="&amp;Q971,$N$6:$N$3271,Calendar!$K$4),"")</f>
        <v/>
      </c>
      <c r="W971" s="44">
        <f>IF(AND(B971=Queue!$C$4,OR(Queue!$K$4="*",N971=Queue!$K$4)),Q971,"")</f>
        <v/>
      </c>
    </row>
    <row r="972">
      <c r="A972" s="35">
        <f>IF(M972="","",HYPERLINK("https://www.youtube.com/watch?v="&amp;M972,"▶"))</f>
        <v/>
      </c>
      <c r="B972" s="36">
        <f>IF(C972&lt;&gt;"",C972,IF(P972&lt;=IFERROR(INDEX(tblChannels[Watched Through],MATCH(N972,tblChannels[Channel ID],0)),0),"Watched","Unwatched"))</f>
        <v/>
      </c>
      <c r="C972" s="37" t="n"/>
      <c r="D972" s="38" t="n"/>
      <c r="E972" s="39" t="n">
        <v>44973.70833333334</v>
      </c>
      <c r="F972" s="40" t="inlineStr">
        <is>
          <t>Popcorn Culture</t>
        </is>
      </c>
      <c r="G972" t="inlineStr">
        <is>
          <t>Ystävänpäivä Day | Popcorn Culture Episode 167 Teaser</t>
        </is>
      </c>
      <c r="H972" s="41" t="n">
        <v>0.004016203703703704</v>
      </c>
      <c r="I972" s="42" t="n">
        <v>1217</v>
      </c>
      <c r="J972" s="42" t="n">
        <v>92</v>
      </c>
      <c r="K972" s="42" t="n">
        <v>15</v>
      </c>
      <c r="L972" s="43" t="n"/>
      <c r="M972" s="44" t="n"/>
      <c r="N972" s="44" t="inlineStr">
        <is>
          <t>UCHfIbq9thHPC8yrKjAdJgDA</t>
        </is>
      </c>
      <c r="O972" s="45" t="n">
        <v>44973.91666666666</v>
      </c>
      <c r="P972" s="46" t="n">
        <v>44973</v>
      </c>
      <c r="Q972" s="44" t="n">
        <v>2300</v>
      </c>
      <c r="R972" s="44" t="inlineStr">
        <is>
          <t>No Video ID yet</t>
        </is>
      </c>
      <c r="S972" s="46" t="n"/>
      <c r="T972" s="46" t="n"/>
      <c r="U972" s="44" t="n"/>
      <c r="V972" s="44">
        <f>IF(AND(P972&gt;=Calendar!$K$2,P972&lt;EDATE(Calendar!$K$2,1),OR(Calendar!$K$4="*",N972=Calendar!$K$4)),P972*100+COUNTIFS($P$6:$P$3271,P972,$Q$6:$Q$3271,"&lt;="&amp;Q972,$N$6:$N$3271,Calendar!$K$4),"")</f>
        <v/>
      </c>
      <c r="W972" s="44">
        <f>IF(AND(B972=Queue!$C$4,OR(Queue!$K$4="*",N972=Queue!$K$4)),Q972,"")</f>
        <v/>
      </c>
    </row>
    <row r="973">
      <c r="A973" s="35">
        <f>IF(M973="","",HYPERLINK("https://www.youtube.com/watch?v="&amp;M973,"▶"))</f>
        <v/>
      </c>
      <c r="B973" s="36">
        <f>IF(C973&lt;&gt;"",C973,IF(P973&lt;=IFERROR(INDEX(tblChannels[Watched Through],MATCH(N973,tblChannels[Channel ID],0)),0),"Watched","Unwatched"))</f>
        <v/>
      </c>
      <c r="C973" s="37" t="n"/>
      <c r="D973" s="38" t="n"/>
      <c r="E973" s="39" t="n">
        <v>44972.75625</v>
      </c>
      <c r="F973" s="47" t="inlineStr">
        <is>
          <t>Super Carlin Brothers</t>
        </is>
      </c>
      <c r="G973" t="inlineStr">
        <is>
          <t>How Fantastic Beasts Should Have Ended  | Harry Potter Film Theory</t>
        </is>
      </c>
      <c r="H973" s="41" t="n">
        <v>0.01137731481481481</v>
      </c>
      <c r="I973" s="42" t="n">
        <v>228643</v>
      </c>
      <c r="J973" s="42" t="n">
        <v>9374</v>
      </c>
      <c r="K973" s="42" t="n">
        <v>779</v>
      </c>
      <c r="L973" s="43" t="n"/>
      <c r="M973" s="44" t="n"/>
      <c r="N973" s="44" t="inlineStr">
        <is>
          <t>UCKZo4N0lVPccBkSiuyVh4yg</t>
        </is>
      </c>
      <c r="O973" s="45" t="n">
        <v>44972.96458333333</v>
      </c>
      <c r="P973" s="46" t="n">
        <v>44972</v>
      </c>
      <c r="Q973" s="44" t="n">
        <v>2299</v>
      </c>
      <c r="R973" s="44" t="inlineStr">
        <is>
          <t>No Video ID yet</t>
        </is>
      </c>
      <c r="S973" s="46" t="n"/>
      <c r="T973" s="46" t="n"/>
      <c r="U973" s="44" t="n"/>
      <c r="V973" s="44">
        <f>IF(AND(P973&gt;=Calendar!$K$2,P973&lt;EDATE(Calendar!$K$2,1),OR(Calendar!$K$4="*",N973=Calendar!$K$4)),P973*100+COUNTIFS($P$6:$P$3271,P973,$Q$6:$Q$3271,"&lt;="&amp;Q973,$N$6:$N$3271,Calendar!$K$4),"")</f>
        <v/>
      </c>
      <c r="W973" s="44">
        <f>IF(AND(B973=Queue!$C$4,OR(Queue!$K$4="*",N973=Queue!$K$4)),Q973,"")</f>
        <v/>
      </c>
    </row>
    <row r="974">
      <c r="A974" s="35">
        <f>IF(M974="","",HYPERLINK("https://www.youtube.com/watch?v="&amp;M974,"▶"))</f>
        <v/>
      </c>
      <c r="B974" s="36">
        <f>IF(C974&lt;&gt;"",C974,IF(P974&lt;=IFERROR(INDEX(tblChannels[Watched Through],MATCH(N974,tblChannels[Channel ID],0)),0),"Watched","Unwatched"))</f>
        <v/>
      </c>
      <c r="C974" s="37" t="n"/>
      <c r="D974" s="38" t="n"/>
      <c r="E974" s="39" t="n">
        <v>44967.77916666667</v>
      </c>
      <c r="F974" s="47" t="inlineStr">
        <is>
          <t>Super Carlin Brothers</t>
        </is>
      </c>
      <c r="G974" t="inlineStr">
        <is>
          <t>How Frozen Solved a MURDER Mystery | Disney Film Theory</t>
        </is>
      </c>
      <c r="H974" s="41" t="n">
        <v>0.01289351851851852</v>
      </c>
      <c r="I974" s="42" t="n">
        <v>137278</v>
      </c>
      <c r="J974" s="42" t="n">
        <v>7349</v>
      </c>
      <c r="K974" s="42" t="n">
        <v>408</v>
      </c>
      <c r="L974" s="43" t="n"/>
      <c r="M974" s="44" t="n"/>
      <c r="N974" s="44" t="inlineStr">
        <is>
          <t>UCKZo4N0lVPccBkSiuyVh4yg</t>
        </is>
      </c>
      <c r="O974" s="45" t="n">
        <v>44967.9875</v>
      </c>
      <c r="P974" s="46" t="n">
        <v>44967</v>
      </c>
      <c r="Q974" s="44" t="n">
        <v>2298</v>
      </c>
      <c r="R974" s="44" t="inlineStr">
        <is>
          <t>No Video ID yet</t>
        </is>
      </c>
      <c r="S974" s="46" t="n"/>
      <c r="T974" s="46" t="n"/>
      <c r="U974" s="44" t="n"/>
      <c r="V974" s="44">
        <f>IF(AND(P974&gt;=Calendar!$K$2,P974&lt;EDATE(Calendar!$K$2,1),OR(Calendar!$K$4="*",N974=Calendar!$K$4)),P974*100+COUNTIFS($P$6:$P$3271,P974,$Q$6:$Q$3271,"&lt;="&amp;Q974,$N$6:$N$3271,Calendar!$K$4),"")</f>
        <v/>
      </c>
      <c r="W974" s="44">
        <f>IF(AND(B974=Queue!$C$4,OR(Queue!$K$4="*",N974=Queue!$K$4)),Q974,"")</f>
        <v/>
      </c>
    </row>
    <row r="975">
      <c r="A975" s="35">
        <f>IF(M975="","",HYPERLINK("https://www.youtube.com/watch?v="&amp;M975,"▶"))</f>
        <v/>
      </c>
      <c r="B975" s="36">
        <f>IF(C975&lt;&gt;"",C975,IF(P975&lt;=IFERROR(INDEX(tblChannels[Watched Through],MATCH(N975,tblChannels[Channel ID],0)),0),"Watched","Unwatched"))</f>
        <v/>
      </c>
      <c r="C975" s="37" t="n"/>
      <c r="D975" s="38" t="n"/>
      <c r="E975" s="39" t="n">
        <v>44967.41666666666</v>
      </c>
      <c r="F975" s="40" t="inlineStr">
        <is>
          <t>Popcorn Culture</t>
        </is>
      </c>
      <c r="G975" t="inlineStr">
        <is>
          <t>Sauna? You Know You Wanna | Popcorn Culture</t>
        </is>
      </c>
      <c r="H975" s="41" t="n">
        <v>0.05827546296296297</v>
      </c>
      <c r="I975" s="42" t="n">
        <v>6438</v>
      </c>
      <c r="J975" s="42" t="n">
        <v>289</v>
      </c>
      <c r="K975" s="42" t="n">
        <v>42</v>
      </c>
      <c r="L975" s="43" t="n"/>
      <c r="M975" s="44" t="n"/>
      <c r="N975" s="44" t="inlineStr">
        <is>
          <t>UCHfIbq9thHPC8yrKjAdJgDA</t>
        </is>
      </c>
      <c r="O975" s="45" t="n">
        <v>44967.625</v>
      </c>
      <c r="P975" s="46" t="n">
        <v>44967</v>
      </c>
      <c r="Q975" s="44" t="n">
        <v>2297</v>
      </c>
      <c r="R975" s="44" t="inlineStr">
        <is>
          <t>No Video ID yet</t>
        </is>
      </c>
      <c r="S975" s="46" t="n"/>
      <c r="T975" s="46" t="n"/>
      <c r="U975" s="44" t="n"/>
      <c r="V975" s="44">
        <f>IF(AND(P975&gt;=Calendar!$K$2,P975&lt;EDATE(Calendar!$K$2,1),OR(Calendar!$K$4="*",N975=Calendar!$K$4)),P975*100+COUNTIFS($P$6:$P$3271,P975,$Q$6:$Q$3271,"&lt;="&amp;Q975,$N$6:$N$3271,Calendar!$K$4),"")</f>
        <v/>
      </c>
      <c r="W975" s="44">
        <f>IF(AND(B975=Queue!$C$4,OR(Queue!$K$4="*",N975=Queue!$K$4)),Q975,"")</f>
        <v/>
      </c>
    </row>
    <row r="976">
      <c r="A976" s="35">
        <f>IF(M976="","",HYPERLINK("https://www.youtube.com/watch?v="&amp;M976,"▶"))</f>
        <v/>
      </c>
      <c r="B976" s="36">
        <f>IF(C976&lt;&gt;"",C976,IF(P976&lt;=IFERROR(INDEX(tblChannels[Watched Through],MATCH(N976,tblChannels[Channel ID],0)),0),"Watched","Unwatched"))</f>
        <v/>
      </c>
      <c r="C976" s="37" t="n"/>
      <c r="D976" s="38" t="n"/>
      <c r="E976" s="39" t="n">
        <v>44966.70833333334</v>
      </c>
      <c r="F976" s="40" t="inlineStr">
        <is>
          <t>Popcorn Culture</t>
        </is>
      </c>
      <c r="G976" t="inlineStr">
        <is>
          <t>Hot Air Balloons Are Terrifying | Popcorn Culture Episode 166 Teaser</t>
        </is>
      </c>
      <c r="H976" s="41" t="n">
        <v>0.002164351851851852</v>
      </c>
      <c r="I976" s="42" t="n">
        <v>678</v>
      </c>
      <c r="J976" s="42" t="n">
        <v>52</v>
      </c>
      <c r="K976" s="42" t="n">
        <v>3</v>
      </c>
      <c r="L976" s="43" t="n"/>
      <c r="M976" s="44" t="n"/>
      <c r="N976" s="44" t="inlineStr">
        <is>
          <t>UCHfIbq9thHPC8yrKjAdJgDA</t>
        </is>
      </c>
      <c r="O976" s="45" t="n">
        <v>44966.91666666666</v>
      </c>
      <c r="P976" s="46" t="n">
        <v>44966</v>
      </c>
      <c r="Q976" s="44" t="n">
        <v>2296</v>
      </c>
      <c r="R976" s="44" t="inlineStr">
        <is>
          <t>No Video ID yet</t>
        </is>
      </c>
      <c r="S976" s="46" t="n"/>
      <c r="T976" s="46" t="n"/>
      <c r="U976" s="44" t="n"/>
      <c r="V976" s="44">
        <f>IF(AND(P976&gt;=Calendar!$K$2,P976&lt;EDATE(Calendar!$K$2,1),OR(Calendar!$K$4="*",N976=Calendar!$K$4)),P976*100+COUNTIFS($P$6:$P$3271,P976,$Q$6:$Q$3271,"&lt;="&amp;Q976,$N$6:$N$3271,Calendar!$K$4),"")</f>
        <v/>
      </c>
      <c r="W976" s="44">
        <f>IF(AND(B976=Queue!$C$4,OR(Queue!$K$4="*",N976=Queue!$K$4)),Q976,"")</f>
        <v/>
      </c>
    </row>
    <row r="977">
      <c r="A977" s="35">
        <f>IF(M977="","",HYPERLINK("https://www.youtube.com/watch?v="&amp;M977,"▶"))</f>
        <v/>
      </c>
      <c r="B977" s="36">
        <f>IF(C977&lt;&gt;"",C977,IF(P977&lt;=IFERROR(INDEX(tblChannels[Watched Through],MATCH(N977,tblChannels[Channel ID],0)),0),"Watched","Unwatched"))</f>
        <v/>
      </c>
      <c r="C977" s="37" t="n"/>
      <c r="D977" s="38" t="n"/>
      <c r="E977" s="39" t="n">
        <v>44965.77569444444</v>
      </c>
      <c r="F977" s="47" t="inlineStr">
        <is>
          <t>Super Carlin Brothers</t>
        </is>
      </c>
      <c r="G977" t="inlineStr">
        <is>
          <t>WALL-E is ACTUALLY The Little Mermaid | Disney Pixar Film Theory</t>
        </is>
      </c>
      <c r="H977" s="41" t="n">
        <v>0.00900462962962963</v>
      </c>
      <c r="I977" s="42" t="n">
        <v>107013</v>
      </c>
      <c r="J977" s="42" t="n">
        <v>5549</v>
      </c>
      <c r="K977" s="42" t="n">
        <v>435</v>
      </c>
      <c r="L977" s="43" t="n"/>
      <c r="M977" s="44" t="n"/>
      <c r="N977" s="44" t="inlineStr">
        <is>
          <t>UCKZo4N0lVPccBkSiuyVh4yg</t>
        </is>
      </c>
      <c r="O977" s="45" t="n">
        <v>44965.98402777778</v>
      </c>
      <c r="P977" s="46" t="n">
        <v>44965</v>
      </c>
      <c r="Q977" s="44" t="n">
        <v>2295</v>
      </c>
      <c r="R977" s="44" t="inlineStr">
        <is>
          <t>No Video ID yet</t>
        </is>
      </c>
      <c r="S977" s="46" t="n"/>
      <c r="T977" s="46" t="n"/>
      <c r="U977" s="44" t="n"/>
      <c r="V977" s="44">
        <f>IF(AND(P977&gt;=Calendar!$K$2,P977&lt;EDATE(Calendar!$K$2,1),OR(Calendar!$K$4="*",N977=Calendar!$K$4)),P977*100+COUNTIFS($P$6:$P$3271,P977,$Q$6:$Q$3271,"&lt;="&amp;Q977,$N$6:$N$3271,Calendar!$K$4),"")</f>
        <v/>
      </c>
      <c r="W977" s="44">
        <f>IF(AND(B977=Queue!$C$4,OR(Queue!$K$4="*",N977=Queue!$K$4)),Q977,"")</f>
        <v/>
      </c>
    </row>
    <row r="978">
      <c r="A978" s="35">
        <f>IF(M978="","",HYPERLINK("https://www.youtube.com/watch?v="&amp;M978,"▶"))</f>
        <v/>
      </c>
      <c r="B978" s="36">
        <f>IF(C978&lt;&gt;"",C978,IF(P978&lt;=IFERROR(INDEX(tblChannels[Watched Through],MATCH(N978,tblChannels[Channel ID],0)),0),"Watched","Unwatched"))</f>
        <v/>
      </c>
      <c r="C978" s="37" t="n"/>
      <c r="D978" s="38" t="n"/>
      <c r="E978" s="39" t="n">
        <v>44960.625</v>
      </c>
      <c r="F978" s="47" t="inlineStr">
        <is>
          <t>Super Carlin Brothers</t>
        </is>
      </c>
      <c r="G978" t="inlineStr">
        <is>
          <t>J vs Ben: ULTIMATE Weasley Burrow Harry Potter TRIVIA Quiz</t>
        </is>
      </c>
      <c r="H978" s="41" t="n">
        <v>0.0205787037037037</v>
      </c>
      <c r="I978" s="42" t="n">
        <v>205508</v>
      </c>
      <c r="J978" s="42" t="n">
        <v>6927</v>
      </c>
      <c r="K978" s="42" t="n">
        <v>574</v>
      </c>
      <c r="L978" s="43" t="n"/>
      <c r="M978" s="44" t="n"/>
      <c r="N978" s="44" t="inlineStr">
        <is>
          <t>UCKZo4N0lVPccBkSiuyVh4yg</t>
        </is>
      </c>
      <c r="O978" s="45" t="n">
        <v>44960.83333333334</v>
      </c>
      <c r="P978" s="46" t="n">
        <v>44960</v>
      </c>
      <c r="Q978" s="44" t="n">
        <v>2294</v>
      </c>
      <c r="R978" s="44" t="inlineStr">
        <is>
          <t>No Video ID yet</t>
        </is>
      </c>
      <c r="S978" s="46" t="n"/>
      <c r="T978" s="46" t="n"/>
      <c r="U978" s="44" t="n"/>
      <c r="V978" s="44">
        <f>IF(AND(P978&gt;=Calendar!$K$2,P978&lt;EDATE(Calendar!$K$2,1),OR(Calendar!$K$4="*",N978=Calendar!$K$4)),P978*100+COUNTIFS($P$6:$P$3271,P978,$Q$6:$Q$3271,"&lt;="&amp;Q978,$N$6:$N$3271,Calendar!$K$4),"")</f>
        <v/>
      </c>
      <c r="W978" s="44">
        <f>IF(AND(B978=Queue!$C$4,OR(Queue!$K$4="*",N978=Queue!$K$4)),Q978,"")</f>
        <v/>
      </c>
    </row>
    <row r="979">
      <c r="A979" s="35">
        <f>IF(M979="","",HYPERLINK("https://www.youtube.com/watch?v="&amp;M979,"▶"))</f>
        <v/>
      </c>
      <c r="B979" s="36">
        <f>IF(C979&lt;&gt;"",C979,IF(P979&lt;=IFERROR(INDEX(tblChannels[Watched Through],MATCH(N979,tblChannels[Channel ID],0)),0),"Watched","Unwatched"))</f>
        <v/>
      </c>
      <c r="C979" s="37" t="n"/>
      <c r="D979" s="38" t="n"/>
      <c r="E979" s="39" t="n">
        <v>44960.41666666666</v>
      </c>
      <c r="F979" s="40" t="inlineStr">
        <is>
          <t>Popcorn Culture</t>
        </is>
      </c>
      <c r="G979" t="inlineStr">
        <is>
          <t>En Passant | Popcorn Culture</t>
        </is>
      </c>
      <c r="H979" s="41" t="n">
        <v>0.0470949074074074</v>
      </c>
      <c r="I979" s="42" t="n">
        <v>4842</v>
      </c>
      <c r="J979" s="42" t="n">
        <v>285</v>
      </c>
      <c r="K979" s="42" t="n">
        <v>28</v>
      </c>
      <c r="L979" s="43" t="n"/>
      <c r="M979" s="44" t="n"/>
      <c r="N979" s="44" t="inlineStr">
        <is>
          <t>UCHfIbq9thHPC8yrKjAdJgDA</t>
        </is>
      </c>
      <c r="O979" s="45" t="n">
        <v>44960.625</v>
      </c>
      <c r="P979" s="46" t="n">
        <v>44960</v>
      </c>
      <c r="Q979" s="44" t="n">
        <v>2293</v>
      </c>
      <c r="R979" s="44" t="inlineStr">
        <is>
          <t>No Video ID yet</t>
        </is>
      </c>
      <c r="S979" s="46" t="n"/>
      <c r="T979" s="46" t="n"/>
      <c r="U979" s="44" t="n"/>
      <c r="V979" s="44">
        <f>IF(AND(P979&gt;=Calendar!$K$2,P979&lt;EDATE(Calendar!$K$2,1),OR(Calendar!$K$4="*",N979=Calendar!$K$4)),P979*100+COUNTIFS($P$6:$P$3271,P979,$Q$6:$Q$3271,"&lt;="&amp;Q979,$N$6:$N$3271,Calendar!$K$4),"")</f>
        <v/>
      </c>
      <c r="W979" s="44">
        <f>IF(AND(B979=Queue!$C$4,OR(Queue!$K$4="*",N979=Queue!$K$4)),Q979,"")</f>
        <v/>
      </c>
    </row>
    <row r="980">
      <c r="A980" s="35">
        <f>IF(M980="","",HYPERLINK("https://www.youtube.com/watch?v="&amp;M980,"▶"))</f>
        <v/>
      </c>
      <c r="B980" s="36">
        <f>IF(C980&lt;&gt;"",C980,IF(P980&lt;=IFERROR(INDEX(tblChannels[Watched Through],MATCH(N980,tblChannels[Channel ID],0)),0),"Watched","Unwatched"))</f>
        <v/>
      </c>
      <c r="C980" s="37" t="n"/>
      <c r="D980" s="38" t="n"/>
      <c r="E980" s="39" t="n">
        <v>44959.70833333334</v>
      </c>
      <c r="F980" s="40" t="inlineStr">
        <is>
          <t>Popcorn Culture</t>
        </is>
      </c>
      <c r="G980" t="inlineStr">
        <is>
          <t>BOP IT! BURN IT!! | Popcorn Culture Episode 165 Teaser</t>
        </is>
      </c>
      <c r="H980" s="41" t="n">
        <v>0.007245370370370371</v>
      </c>
      <c r="I980" s="42" t="n">
        <v>1160</v>
      </c>
      <c r="J980" s="42" t="n">
        <v>65</v>
      </c>
      <c r="K980" s="42" t="n">
        <v>8</v>
      </c>
      <c r="L980" s="43" t="n"/>
      <c r="M980" s="44" t="n"/>
      <c r="N980" s="44" t="inlineStr">
        <is>
          <t>UCHfIbq9thHPC8yrKjAdJgDA</t>
        </is>
      </c>
      <c r="O980" s="45" t="n">
        <v>44959.91666666666</v>
      </c>
      <c r="P980" s="46" t="n">
        <v>44959</v>
      </c>
      <c r="Q980" s="44" t="n">
        <v>2292</v>
      </c>
      <c r="R980" s="44" t="inlineStr">
        <is>
          <t>No Video ID yet</t>
        </is>
      </c>
      <c r="S980" s="46" t="n"/>
      <c r="T980" s="46" t="n"/>
      <c r="U980" s="44" t="n"/>
      <c r="V980" s="44">
        <f>IF(AND(P980&gt;=Calendar!$K$2,P980&lt;EDATE(Calendar!$K$2,1),OR(Calendar!$K$4="*",N980=Calendar!$K$4)),P980*100+COUNTIFS($P$6:$P$3271,P980,$Q$6:$Q$3271,"&lt;="&amp;Q980,$N$6:$N$3271,Calendar!$K$4),"")</f>
        <v/>
      </c>
      <c r="W980" s="44">
        <f>IF(AND(B980=Queue!$C$4,OR(Queue!$K$4="*",N980=Queue!$K$4)),Q980,"")</f>
        <v/>
      </c>
    </row>
    <row r="981">
      <c r="A981" s="35">
        <f>IF(M981="","",HYPERLINK("https://www.youtube.com/watch?v="&amp;M981,"▶"))</f>
        <v/>
      </c>
      <c r="B981" s="36">
        <f>IF(C981&lt;&gt;"",C981,IF(P981&lt;=IFERROR(INDEX(tblChannels[Watched Through],MATCH(N981,tblChannels[Channel ID],0)),0),"Watched","Unwatched"))</f>
        <v/>
      </c>
      <c r="C981" s="37" t="n"/>
      <c r="D981" s="38" t="n"/>
      <c r="E981" s="39" t="n">
        <v>44958.625</v>
      </c>
      <c r="F981" s="47" t="inlineStr">
        <is>
          <t>Super Carlin Brothers</t>
        </is>
      </c>
      <c r="G981" t="inlineStr">
        <is>
          <t>The TOP 5 Most Believable Moana Theories | Disney Film Theory</t>
        </is>
      </c>
      <c r="H981" s="41" t="n">
        <v>0.01162037037037037</v>
      </c>
      <c r="I981" s="42" t="n">
        <v>202683</v>
      </c>
      <c r="J981" s="42" t="n">
        <v>8149</v>
      </c>
      <c r="K981" s="42" t="n">
        <v>377</v>
      </c>
      <c r="L981" s="43" t="n"/>
      <c r="M981" s="44" t="n"/>
      <c r="N981" s="44" t="inlineStr">
        <is>
          <t>UCKZo4N0lVPccBkSiuyVh4yg</t>
        </is>
      </c>
      <c r="O981" s="45" t="n">
        <v>44958.83333333334</v>
      </c>
      <c r="P981" s="46" t="n">
        <v>44958</v>
      </c>
      <c r="Q981" s="44" t="n">
        <v>2291</v>
      </c>
      <c r="R981" s="44" t="inlineStr">
        <is>
          <t>No Video ID yet</t>
        </is>
      </c>
      <c r="S981" s="46" t="n"/>
      <c r="T981" s="46" t="n"/>
      <c r="U981" s="44" t="n"/>
      <c r="V981" s="44">
        <f>IF(AND(P981&gt;=Calendar!$K$2,P981&lt;EDATE(Calendar!$K$2,1),OR(Calendar!$K$4="*",N981=Calendar!$K$4)),P981*100+COUNTIFS($P$6:$P$3271,P981,$Q$6:$Q$3271,"&lt;="&amp;Q981,$N$6:$N$3271,Calendar!$K$4),"")</f>
        <v/>
      </c>
      <c r="W981" s="44">
        <f>IF(AND(B981=Queue!$C$4,OR(Queue!$K$4="*",N981=Queue!$K$4)),Q981,"")</f>
        <v/>
      </c>
    </row>
    <row r="982">
      <c r="A982" s="35">
        <f>IF(M982="","",HYPERLINK("https://www.youtube.com/watch?v="&amp;M982,"▶"))</f>
        <v/>
      </c>
      <c r="B982" s="36">
        <f>IF(C982&lt;&gt;"",C982,IF(P982&lt;=IFERROR(INDEX(tblChannels[Watched Through],MATCH(N982,tblChannels[Channel ID],0)),0),"Watched","Unwatched"))</f>
        <v/>
      </c>
      <c r="C982" s="37" t="n"/>
      <c r="D982" s="38" t="n"/>
      <c r="E982" s="39" t="n">
        <v>44957.625</v>
      </c>
      <c r="F982" s="49" t="inlineStr">
        <is>
          <t>Super Carlin Gaming</t>
        </is>
      </c>
      <c r="G982" t="inlineStr">
        <is>
          <t>The Fight For Last Place Heats UP | Carlin Brothers Box Breakers S3E7</t>
        </is>
      </c>
      <c r="H982" s="41" t="n">
        <v>0.02768518518518518</v>
      </c>
      <c r="I982" s="42" t="n">
        <v>2625</v>
      </c>
      <c r="J982" s="42" t="n">
        <v>148</v>
      </c>
      <c r="K982" s="42" t="n">
        <v>19</v>
      </c>
      <c r="L982" s="43" t="n"/>
      <c r="M982" s="44" t="n"/>
      <c r="N982" s="44" t="inlineStr">
        <is>
          <t>UCor_9jRnNNZVzTuQ92PKsaQ</t>
        </is>
      </c>
      <c r="O982" s="45" t="n">
        <v>44957.83333333334</v>
      </c>
      <c r="P982" s="46" t="n">
        <v>44957</v>
      </c>
      <c r="Q982" s="44" t="n">
        <v>2290</v>
      </c>
      <c r="R982" s="44" t="inlineStr">
        <is>
          <t>No Video ID yet</t>
        </is>
      </c>
      <c r="S982" s="46" t="n"/>
      <c r="T982" s="46" t="n"/>
      <c r="U982" s="44" t="n"/>
      <c r="V982" s="44">
        <f>IF(AND(P982&gt;=Calendar!$K$2,P982&lt;EDATE(Calendar!$K$2,1),OR(Calendar!$K$4="*",N982=Calendar!$K$4)),P982*100+COUNTIFS($P$6:$P$3271,P982,$Q$6:$Q$3271,"&lt;="&amp;Q982,$N$6:$N$3271,Calendar!$K$4),"")</f>
        <v/>
      </c>
      <c r="W982" s="44">
        <f>IF(AND(B982=Queue!$C$4,OR(Queue!$K$4="*",N982=Queue!$K$4)),Q982,"")</f>
        <v/>
      </c>
    </row>
    <row r="983">
      <c r="A983" s="35">
        <f>IF(M983="","",HYPERLINK("https://www.youtube.com/watch?v="&amp;M983,"▶"))</f>
        <v/>
      </c>
      <c r="B983" s="36">
        <f>IF(C983&lt;&gt;"",C983,IF(P983&lt;=IFERROR(INDEX(tblChannels[Watched Through],MATCH(N983,tblChannels[Channel ID],0)),0),"Watched","Unwatched"))</f>
        <v/>
      </c>
      <c r="C983" s="37" t="n"/>
      <c r="D983" s="38" t="n"/>
      <c r="E983" s="39" t="n">
        <v>44953.75</v>
      </c>
      <c r="F983" s="49" t="inlineStr">
        <is>
          <t>Super Carlin Gaming</t>
        </is>
      </c>
      <c r="G983" t="inlineStr">
        <is>
          <t>ROOKIE OF THE DAY | Carlin Brothers Box Breakers S3/E6</t>
        </is>
      </c>
      <c r="H983" s="41" t="n">
        <v>0.02599537037037037</v>
      </c>
      <c r="I983" s="42" t="n">
        <v>2259</v>
      </c>
      <c r="J983" s="42" t="n">
        <v>150</v>
      </c>
      <c r="K983" s="42" t="n">
        <v>16</v>
      </c>
      <c r="L983" s="43" t="n"/>
      <c r="M983" s="44" t="n"/>
      <c r="N983" s="44" t="inlineStr">
        <is>
          <t>UCor_9jRnNNZVzTuQ92PKsaQ</t>
        </is>
      </c>
      <c r="O983" s="45" t="n">
        <v>44953.95833333334</v>
      </c>
      <c r="P983" s="46" t="n">
        <v>44953</v>
      </c>
      <c r="Q983" s="44" t="n">
        <v>2289</v>
      </c>
      <c r="R983" s="44" t="inlineStr">
        <is>
          <t>No Video ID yet</t>
        </is>
      </c>
      <c r="S983" s="46" t="n"/>
      <c r="T983" s="46" t="n"/>
      <c r="U983" s="44" t="n"/>
      <c r="V983" s="44">
        <f>IF(AND(P983&gt;=Calendar!$K$2,P983&lt;EDATE(Calendar!$K$2,1),OR(Calendar!$K$4="*",N983=Calendar!$K$4)),P983*100+COUNTIFS($P$6:$P$3271,P983,$Q$6:$Q$3271,"&lt;="&amp;Q983,$N$6:$N$3271,Calendar!$K$4),"")</f>
        <v/>
      </c>
      <c r="W983" s="44">
        <f>IF(AND(B983=Queue!$C$4,OR(Queue!$K$4="*",N983=Queue!$K$4)),Q983,"")</f>
        <v/>
      </c>
    </row>
    <row r="984">
      <c r="A984" s="35">
        <f>IF(M984="","",HYPERLINK("https://www.youtube.com/watch?v="&amp;M984,"▶"))</f>
        <v/>
      </c>
      <c r="B984" s="36">
        <f>IF(C984&lt;&gt;"",C984,IF(P984&lt;=IFERROR(INDEX(tblChannels[Watched Through],MATCH(N984,tblChannels[Channel ID],0)),0),"Watched","Unwatched"))</f>
        <v/>
      </c>
      <c r="C984" s="37" t="n"/>
      <c r="D984" s="38" t="n"/>
      <c r="E984" s="39" t="n">
        <v>44953.625</v>
      </c>
      <c r="F984" s="47" t="inlineStr">
        <is>
          <t>Super Carlin Brothers</t>
        </is>
      </c>
      <c r="G984" t="inlineStr">
        <is>
          <t>Where Would DUDLEY Be Sorted!? | Harry Potter Film Theory</t>
        </is>
      </c>
      <c r="H984" s="41" t="n">
        <v>0.01217592592592593</v>
      </c>
      <c r="I984" s="42" t="n">
        <v>264467</v>
      </c>
      <c r="J984" s="42" t="n">
        <v>9487</v>
      </c>
      <c r="K984" s="42" t="n">
        <v>995</v>
      </c>
      <c r="L984" s="43" t="n"/>
      <c r="M984" s="44" t="n"/>
      <c r="N984" s="44" t="inlineStr">
        <is>
          <t>UCKZo4N0lVPccBkSiuyVh4yg</t>
        </is>
      </c>
      <c r="O984" s="45" t="n">
        <v>44953.83333333334</v>
      </c>
      <c r="P984" s="46" t="n">
        <v>44953</v>
      </c>
      <c r="Q984" s="44" t="n">
        <v>2288</v>
      </c>
      <c r="R984" s="44" t="inlineStr">
        <is>
          <t>No Video ID yet</t>
        </is>
      </c>
      <c r="S984" s="46" t="n"/>
      <c r="T984" s="46" t="n"/>
      <c r="U984" s="44" t="n"/>
      <c r="V984" s="44">
        <f>IF(AND(P984&gt;=Calendar!$K$2,P984&lt;EDATE(Calendar!$K$2,1),OR(Calendar!$K$4="*",N984=Calendar!$K$4)),P984*100+COUNTIFS($P$6:$P$3271,P984,$Q$6:$Q$3271,"&lt;="&amp;Q984,$N$6:$N$3271,Calendar!$K$4),"")</f>
        <v/>
      </c>
      <c r="W984" s="44">
        <f>IF(AND(B984=Queue!$C$4,OR(Queue!$K$4="*",N984=Queue!$K$4)),Q984,"")</f>
        <v/>
      </c>
    </row>
    <row r="985">
      <c r="A985" s="35">
        <f>IF(M985="","",HYPERLINK("https://www.youtube.com/watch?v="&amp;M985,"▶"))</f>
        <v/>
      </c>
      <c r="B985" s="36">
        <f>IF(C985&lt;&gt;"",C985,IF(P985&lt;=IFERROR(INDEX(tblChannels[Watched Through],MATCH(N985,tblChannels[Channel ID],0)),0),"Watched","Unwatched"))</f>
        <v/>
      </c>
      <c r="C985" s="37" t="n"/>
      <c r="D985" s="38" t="n"/>
      <c r="E985" s="39" t="n">
        <v>44953.41666666666</v>
      </c>
      <c r="F985" s="40" t="inlineStr">
        <is>
          <t>Popcorn Culture</t>
        </is>
      </c>
      <c r="G985" t="inlineStr">
        <is>
          <t>Zombies, Competition and Dystopia | Popcorn Culture</t>
        </is>
      </c>
      <c r="H985" s="41" t="n">
        <v>0.04565972222222222</v>
      </c>
      <c r="I985" s="42" t="n">
        <v>4903</v>
      </c>
      <c r="J985" s="42" t="n">
        <v>269</v>
      </c>
      <c r="K985" s="42" t="n">
        <v>44</v>
      </c>
      <c r="L985" s="43" t="n"/>
      <c r="M985" s="44" t="n"/>
      <c r="N985" s="44" t="inlineStr">
        <is>
          <t>UCHfIbq9thHPC8yrKjAdJgDA</t>
        </is>
      </c>
      <c r="O985" s="45" t="n">
        <v>44953.625</v>
      </c>
      <c r="P985" s="46" t="n">
        <v>44953</v>
      </c>
      <c r="Q985" s="44" t="n">
        <v>2287</v>
      </c>
      <c r="R985" s="44" t="inlineStr">
        <is>
          <t>No Video ID yet</t>
        </is>
      </c>
      <c r="S985" s="46" t="n"/>
      <c r="T985" s="46" t="n"/>
      <c r="U985" s="44" t="n"/>
      <c r="V985" s="44">
        <f>IF(AND(P985&gt;=Calendar!$K$2,P985&lt;EDATE(Calendar!$K$2,1),OR(Calendar!$K$4="*",N985=Calendar!$K$4)),P985*100+COUNTIFS($P$6:$P$3271,P985,$Q$6:$Q$3271,"&lt;="&amp;Q985,$N$6:$N$3271,Calendar!$K$4),"")</f>
        <v/>
      </c>
      <c r="W985" s="44">
        <f>IF(AND(B985=Queue!$C$4,OR(Queue!$K$4="*",N985=Queue!$K$4)),Q985,"")</f>
        <v/>
      </c>
    </row>
    <row r="986">
      <c r="A986" s="35">
        <f>IF(M986="","",HYPERLINK("https://www.youtube.com/watch?v="&amp;M986,"▶"))</f>
        <v/>
      </c>
      <c r="B986" s="36">
        <f>IF(C986&lt;&gt;"",C986,IF(P986&lt;=IFERROR(INDEX(tblChannels[Watched Through],MATCH(N986,tblChannels[Channel ID],0)),0),"Watched","Unwatched"))</f>
        <v/>
      </c>
      <c r="C986" s="37" t="n"/>
      <c r="D986" s="38" t="n"/>
      <c r="E986" s="39" t="n">
        <v>44952.70833333334</v>
      </c>
      <c r="F986" s="40" t="inlineStr">
        <is>
          <t>Popcorn Culture</t>
        </is>
      </c>
      <c r="G986" t="inlineStr">
        <is>
          <t>Why Do Horror Movies Come Out On Valentines Day | Popcorn Culture</t>
        </is>
      </c>
      <c r="H986" s="41" t="n">
        <v>0.002453703703703704</v>
      </c>
      <c r="I986" s="42" t="n">
        <v>1425</v>
      </c>
      <c r="J986" s="42" t="n">
        <v>87</v>
      </c>
      <c r="K986" s="42" t="n">
        <v>9</v>
      </c>
      <c r="L986" s="43" t="n"/>
      <c r="M986" s="44" t="n"/>
      <c r="N986" s="44" t="inlineStr">
        <is>
          <t>UCHfIbq9thHPC8yrKjAdJgDA</t>
        </is>
      </c>
      <c r="O986" s="45" t="n">
        <v>44952.91666666666</v>
      </c>
      <c r="P986" s="46" t="n">
        <v>44952</v>
      </c>
      <c r="Q986" s="44" t="n">
        <v>2286</v>
      </c>
      <c r="R986" s="44" t="inlineStr">
        <is>
          <t>No Video ID yet</t>
        </is>
      </c>
      <c r="S986" s="46" t="n"/>
      <c r="T986" s="46" t="n"/>
      <c r="U986" s="44" t="n"/>
      <c r="V986" s="44">
        <f>IF(AND(P986&gt;=Calendar!$K$2,P986&lt;EDATE(Calendar!$K$2,1),OR(Calendar!$K$4="*",N986=Calendar!$K$4)),P986*100+COUNTIFS($P$6:$P$3271,P986,$Q$6:$Q$3271,"&lt;="&amp;Q986,$N$6:$N$3271,Calendar!$K$4),"")</f>
        <v/>
      </c>
      <c r="W986" s="44">
        <f>IF(AND(B986=Queue!$C$4,OR(Queue!$K$4="*",N986=Queue!$K$4)),Q986,"")</f>
        <v/>
      </c>
    </row>
    <row r="987">
      <c r="A987" s="35">
        <f>IF(M987="","",HYPERLINK("https://www.youtube.com/watch?v="&amp;M987,"▶"))</f>
        <v/>
      </c>
      <c r="B987" s="36">
        <f>IF(C987&lt;&gt;"",C987,IF(P987&lt;=IFERROR(INDEX(tblChannels[Watched Through],MATCH(N987,tblChannels[Channel ID],0)),0),"Watched","Unwatched"))</f>
        <v/>
      </c>
      <c r="C987" s="37" t="n"/>
      <c r="D987" s="38" t="n"/>
      <c r="E987" s="39" t="n">
        <v>44951.56111111111</v>
      </c>
      <c r="F987" s="47" t="inlineStr">
        <is>
          <t>Super Carlin Brothers</t>
        </is>
      </c>
      <c r="G987" t="inlineStr">
        <is>
          <t>PROOF Voldemort Was BORN Evil | Harry Potter Film Theory</t>
        </is>
      </c>
      <c r="H987" s="41" t="n">
        <v>0.009988425925925927</v>
      </c>
      <c r="I987" s="42" t="n">
        <v>283122</v>
      </c>
      <c r="J987" s="42" t="n">
        <v>11365</v>
      </c>
      <c r="K987" s="42" t="n">
        <v>929</v>
      </c>
      <c r="L987" s="43" t="n"/>
      <c r="M987" s="44" t="n"/>
      <c r="N987" s="44" t="inlineStr">
        <is>
          <t>UCKZo4N0lVPccBkSiuyVh4yg</t>
        </is>
      </c>
      <c r="O987" s="45" t="n">
        <v>44951.76944444444</v>
      </c>
      <c r="P987" s="46" t="n">
        <v>44951</v>
      </c>
      <c r="Q987" s="44" t="n">
        <v>2285</v>
      </c>
      <c r="R987" s="44" t="inlineStr">
        <is>
          <t>No Video ID yet</t>
        </is>
      </c>
      <c r="S987" s="46" t="n"/>
      <c r="T987" s="46" t="n"/>
      <c r="U987" s="44" t="n"/>
      <c r="V987" s="44">
        <f>IF(AND(P987&gt;=Calendar!$K$2,P987&lt;EDATE(Calendar!$K$2,1),OR(Calendar!$K$4="*",N987=Calendar!$K$4)),P987*100+COUNTIFS($P$6:$P$3271,P987,$Q$6:$Q$3271,"&lt;="&amp;Q987,$N$6:$N$3271,Calendar!$K$4),"")</f>
        <v/>
      </c>
      <c r="W987" s="44">
        <f>IF(AND(B987=Queue!$C$4,OR(Queue!$K$4="*",N987=Queue!$K$4)),Q987,"")</f>
        <v/>
      </c>
    </row>
    <row r="988">
      <c r="A988" s="35">
        <f>IF(M988="","",HYPERLINK("https://www.youtube.com/watch?v="&amp;M988,"▶"))</f>
        <v/>
      </c>
      <c r="B988" s="36">
        <f>IF(C988&lt;&gt;"",C988,IF(P988&lt;=IFERROR(INDEX(tblChannels[Watched Through],MATCH(N988,tblChannels[Channel ID],0)),0),"Watched","Unwatched"))</f>
        <v/>
      </c>
      <c r="C988" s="37" t="n"/>
      <c r="D988" s="38" t="n"/>
      <c r="E988" s="39" t="n">
        <v>44946.77083333334</v>
      </c>
      <c r="F988" s="49" t="inlineStr">
        <is>
          <t>Super Carlin Gaming</t>
        </is>
      </c>
      <c r="G988" t="inlineStr">
        <is>
          <t>The Battle For 8th Place | Carlin Brothers Box Breakers S3/E5</t>
        </is>
      </c>
      <c r="H988" s="41" t="n">
        <v>0.02616898148148148</v>
      </c>
      <c r="I988" s="42" t="n">
        <v>2653</v>
      </c>
      <c r="J988" s="42" t="n">
        <v>151</v>
      </c>
      <c r="K988" s="42" t="n">
        <v>10</v>
      </c>
      <c r="L988" s="43" t="n"/>
      <c r="M988" s="44" t="n"/>
      <c r="N988" s="44" t="inlineStr">
        <is>
          <t>UCor_9jRnNNZVzTuQ92PKsaQ</t>
        </is>
      </c>
      <c r="O988" s="45" t="n">
        <v>44946.97916666666</v>
      </c>
      <c r="P988" s="46" t="n">
        <v>44946</v>
      </c>
      <c r="Q988" s="44" t="n">
        <v>2284</v>
      </c>
      <c r="R988" s="44" t="inlineStr">
        <is>
          <t>No Video ID yet</t>
        </is>
      </c>
      <c r="S988" s="46" t="n"/>
      <c r="T988" s="46" t="n"/>
      <c r="U988" s="44" t="n"/>
      <c r="V988" s="44">
        <f>IF(AND(P988&gt;=Calendar!$K$2,P988&lt;EDATE(Calendar!$K$2,1),OR(Calendar!$K$4="*",N988=Calendar!$K$4)),P988*100+COUNTIFS($P$6:$P$3271,P988,$Q$6:$Q$3271,"&lt;="&amp;Q988,$N$6:$N$3271,Calendar!$K$4),"")</f>
        <v/>
      </c>
      <c r="W988" s="44">
        <f>IF(AND(B988=Queue!$C$4,OR(Queue!$K$4="*",N988=Queue!$K$4)),Q988,"")</f>
        <v/>
      </c>
    </row>
    <row r="989">
      <c r="A989" s="35">
        <f>IF(M989="","",HYPERLINK("https://www.youtube.com/watch?v="&amp;M989,"▶"))</f>
        <v/>
      </c>
      <c r="B989" s="36">
        <f>IF(C989&lt;&gt;"",C989,IF(P989&lt;=IFERROR(INDEX(tblChannels[Watched Through],MATCH(N989,tblChannels[Channel ID],0)),0),"Watched","Unwatched"))</f>
        <v/>
      </c>
      <c r="C989" s="37" t="n"/>
      <c r="D989" s="38" t="n"/>
      <c r="E989" s="39" t="n">
        <v>44946.61666666667</v>
      </c>
      <c r="F989" s="47" t="inlineStr">
        <is>
          <t>Super Carlin Brothers</t>
        </is>
      </c>
      <c r="G989" t="inlineStr">
        <is>
          <t>J vs Ben: ULTIMATE Deathly Hallows Harry Potter TRIVIA Quiz</t>
        </is>
      </c>
      <c r="H989" s="41" t="n">
        <v>0.01847222222222222</v>
      </c>
      <c r="I989" s="42" t="n">
        <v>220526</v>
      </c>
      <c r="J989" s="42" t="n">
        <v>6945</v>
      </c>
      <c r="K989" s="42" t="n">
        <v>475</v>
      </c>
      <c r="L989" s="43" t="n"/>
      <c r="M989" s="44" t="n"/>
      <c r="N989" s="44" t="inlineStr">
        <is>
          <t>UCKZo4N0lVPccBkSiuyVh4yg</t>
        </is>
      </c>
      <c r="O989" s="45" t="n">
        <v>44946.825</v>
      </c>
      <c r="P989" s="46" t="n">
        <v>44946</v>
      </c>
      <c r="Q989" s="44" t="n">
        <v>2283</v>
      </c>
      <c r="R989" s="44" t="inlineStr">
        <is>
          <t>No Video ID yet</t>
        </is>
      </c>
      <c r="S989" s="46" t="n"/>
      <c r="T989" s="46" t="n"/>
      <c r="U989" s="44" t="n"/>
      <c r="V989" s="44">
        <f>IF(AND(P989&gt;=Calendar!$K$2,P989&lt;EDATE(Calendar!$K$2,1),OR(Calendar!$K$4="*",N989=Calendar!$K$4)),P989*100+COUNTIFS($P$6:$P$3271,P989,$Q$6:$Q$3271,"&lt;="&amp;Q989,$N$6:$N$3271,Calendar!$K$4),"")</f>
        <v/>
      </c>
      <c r="W989" s="44">
        <f>IF(AND(B989=Queue!$C$4,OR(Queue!$K$4="*",N989=Queue!$K$4)),Q989,"")</f>
        <v/>
      </c>
    </row>
    <row r="990">
      <c r="A990" s="35">
        <f>IF(M990="","",HYPERLINK("https://www.youtube.com/watch?v="&amp;M990,"▶"))</f>
        <v/>
      </c>
      <c r="B990" s="36">
        <f>IF(C990&lt;&gt;"",C990,IF(P990&lt;=IFERROR(INDEX(tblChannels[Watched Through],MATCH(N990,tblChannels[Channel ID],0)),0),"Watched","Unwatched"))</f>
        <v/>
      </c>
      <c r="C990" s="37" t="n"/>
      <c r="D990" s="38" t="n"/>
      <c r="E990" s="39" t="n">
        <v>44946.41666666666</v>
      </c>
      <c r="F990" s="40" t="inlineStr">
        <is>
          <t>Popcorn Culture</t>
        </is>
      </c>
      <c r="G990" t="inlineStr">
        <is>
          <t>The Perfect Hotdog Ratio | Popcorn Culture</t>
        </is>
      </c>
      <c r="H990" s="41" t="n">
        <v>0.0427662037037037</v>
      </c>
      <c r="I990" s="42" t="n">
        <v>5183</v>
      </c>
      <c r="J990" s="42" t="n">
        <v>274</v>
      </c>
      <c r="K990" s="42" t="n">
        <v>22</v>
      </c>
      <c r="L990" s="43" t="n"/>
      <c r="M990" s="44" t="n"/>
      <c r="N990" s="44" t="inlineStr">
        <is>
          <t>UCHfIbq9thHPC8yrKjAdJgDA</t>
        </is>
      </c>
      <c r="O990" s="45" t="n">
        <v>44946.625</v>
      </c>
      <c r="P990" s="46" t="n">
        <v>44946</v>
      </c>
      <c r="Q990" s="44" t="n">
        <v>2282</v>
      </c>
      <c r="R990" s="44" t="inlineStr">
        <is>
          <t>No Video ID yet</t>
        </is>
      </c>
      <c r="S990" s="46" t="n"/>
      <c r="T990" s="46" t="n"/>
      <c r="U990" s="44" t="n"/>
      <c r="V990" s="44">
        <f>IF(AND(P990&gt;=Calendar!$K$2,P990&lt;EDATE(Calendar!$K$2,1),OR(Calendar!$K$4="*",N990=Calendar!$K$4)),P990*100+COUNTIFS($P$6:$P$3271,P990,$Q$6:$Q$3271,"&lt;="&amp;Q990,$N$6:$N$3271,Calendar!$K$4),"")</f>
        <v/>
      </c>
      <c r="W990" s="44">
        <f>IF(AND(B990=Queue!$C$4,OR(Queue!$K$4="*",N990=Queue!$K$4)),Q990,"")</f>
        <v/>
      </c>
    </row>
    <row r="991">
      <c r="A991" s="35">
        <f>IF(M991="","",HYPERLINK("https://www.youtube.com/watch?v="&amp;M991,"▶"))</f>
        <v/>
      </c>
      <c r="B991" s="36">
        <f>IF(C991&lt;&gt;"",C991,IF(P991&lt;=IFERROR(INDEX(tblChannels[Watched Through],MATCH(N991,tblChannels[Channel ID],0)),0),"Watched","Unwatched"))</f>
        <v/>
      </c>
      <c r="C991" s="37" t="n"/>
      <c r="D991" s="38" t="n"/>
      <c r="E991" s="39" t="n">
        <v>44945.70833333334</v>
      </c>
      <c r="F991" s="40" t="inlineStr">
        <is>
          <t>Popcorn Culture</t>
        </is>
      </c>
      <c r="G991" t="inlineStr">
        <is>
          <t>New Core Memory | Popcorn Culture Episode 163 Teaser</t>
        </is>
      </c>
      <c r="H991" s="41" t="n">
        <v>0.002465277777777778</v>
      </c>
      <c r="I991" s="42" t="n">
        <v>1581</v>
      </c>
      <c r="J991" s="42" t="n">
        <v>108</v>
      </c>
      <c r="K991" s="42" t="n">
        <v>8</v>
      </c>
      <c r="L991" s="43" t="n"/>
      <c r="M991" s="44" t="n"/>
      <c r="N991" s="44" t="inlineStr">
        <is>
          <t>UCHfIbq9thHPC8yrKjAdJgDA</t>
        </is>
      </c>
      <c r="O991" s="45" t="n">
        <v>44945.91666666666</v>
      </c>
      <c r="P991" s="46" t="n">
        <v>44945</v>
      </c>
      <c r="Q991" s="44" t="n">
        <v>2281</v>
      </c>
      <c r="R991" s="44" t="inlineStr">
        <is>
          <t>No Video ID yet</t>
        </is>
      </c>
      <c r="S991" s="46" t="n"/>
      <c r="T991" s="46" t="n"/>
      <c r="U991" s="44" t="n"/>
      <c r="V991" s="44">
        <f>IF(AND(P991&gt;=Calendar!$K$2,P991&lt;EDATE(Calendar!$K$2,1),OR(Calendar!$K$4="*",N991=Calendar!$K$4)),P991*100+COUNTIFS($P$6:$P$3271,P991,$Q$6:$Q$3271,"&lt;="&amp;Q991,$N$6:$N$3271,Calendar!$K$4),"")</f>
        <v/>
      </c>
      <c r="W991" s="44">
        <f>IF(AND(B991=Queue!$C$4,OR(Queue!$K$4="*",N991=Queue!$K$4)),Q991,"")</f>
        <v/>
      </c>
    </row>
    <row r="992">
      <c r="A992" s="35">
        <f>IF(M992="","",HYPERLINK("https://www.youtube.com/watch?v="&amp;M992,"▶"))</f>
        <v/>
      </c>
      <c r="B992" s="36">
        <f>IF(C992&lt;&gt;"",C992,IF(P992&lt;=IFERROR(INDEX(tblChannels[Watched Through],MATCH(N992,tblChannels[Channel ID],0)),0),"Watched","Unwatched"))</f>
        <v/>
      </c>
      <c r="C992" s="37" t="n"/>
      <c r="D992" s="38" t="n"/>
      <c r="E992" s="39" t="n">
        <v>44944.71388888889</v>
      </c>
      <c r="F992" s="47" t="inlineStr">
        <is>
          <t>Super Carlin Brothers</t>
        </is>
      </c>
      <c r="G992" t="inlineStr">
        <is>
          <t>What If Petunia Was A Witch? | Harry Potter Film Theory</t>
        </is>
      </c>
      <c r="H992" s="41" t="n">
        <v>0.01755787037037037</v>
      </c>
      <c r="I992" s="42" t="n">
        <v>619411</v>
      </c>
      <c r="J992" s="42" t="n">
        <v>22996</v>
      </c>
      <c r="K992" s="42" t="n">
        <v>2585</v>
      </c>
      <c r="L992" s="43" t="n"/>
      <c r="M992" s="44" t="n"/>
      <c r="N992" s="44" t="inlineStr">
        <is>
          <t>UCKZo4N0lVPccBkSiuyVh4yg</t>
        </is>
      </c>
      <c r="O992" s="45" t="n">
        <v>44944.92222222222</v>
      </c>
      <c r="P992" s="46" t="n">
        <v>44944</v>
      </c>
      <c r="Q992" s="44" t="n">
        <v>2280</v>
      </c>
      <c r="R992" s="44" t="inlineStr">
        <is>
          <t>No Video ID yet</t>
        </is>
      </c>
      <c r="S992" s="46" t="n"/>
      <c r="T992" s="46" t="n"/>
      <c r="U992" s="44" t="n"/>
      <c r="V992" s="44">
        <f>IF(AND(P992&gt;=Calendar!$K$2,P992&lt;EDATE(Calendar!$K$2,1),OR(Calendar!$K$4="*",N992=Calendar!$K$4)),P992*100+COUNTIFS($P$6:$P$3271,P992,$Q$6:$Q$3271,"&lt;="&amp;Q992,$N$6:$N$3271,Calendar!$K$4),"")</f>
        <v/>
      </c>
      <c r="W992" s="44">
        <f>IF(AND(B992=Queue!$C$4,OR(Queue!$K$4="*",N992=Queue!$K$4)),Q992,"")</f>
        <v/>
      </c>
    </row>
    <row r="993">
      <c r="A993" s="35">
        <f>IF(M993="","",HYPERLINK("https://www.youtube.com/watch?v="&amp;M993,"▶"))</f>
        <v/>
      </c>
      <c r="B993" s="36">
        <f>IF(C993&lt;&gt;"",C993,IF(P993&lt;=IFERROR(INDEX(tblChannels[Watched Through],MATCH(N993,tblChannels[Channel ID],0)),0),"Watched","Unwatched"))</f>
        <v/>
      </c>
      <c r="C993" s="37" t="n"/>
      <c r="D993" s="38" t="n"/>
      <c r="E993" s="39" t="n">
        <v>44942.625</v>
      </c>
      <c r="F993" s="49" t="inlineStr">
        <is>
          <t>Super Carlin Gaming</t>
        </is>
      </c>
      <c r="G993" t="inlineStr">
        <is>
          <t>THE MOONLIT FANG |  Pokémon Legends: Arceus Nuzlocke #26</t>
        </is>
      </c>
      <c r="H993" s="41" t="n">
        <v>0.02146990740740741</v>
      </c>
      <c r="I993" s="42" t="n">
        <v>4657</v>
      </c>
      <c r="J993" s="42" t="n">
        <v>237</v>
      </c>
      <c r="K993" s="42" t="n">
        <v>104</v>
      </c>
      <c r="L993" s="43" t="n"/>
      <c r="M993" s="44" t="n"/>
      <c r="N993" s="44" t="inlineStr">
        <is>
          <t>UCor_9jRnNNZVzTuQ92PKsaQ</t>
        </is>
      </c>
      <c r="O993" s="45" t="n">
        <v>44942.83333333334</v>
      </c>
      <c r="P993" s="46" t="n">
        <v>44942</v>
      </c>
      <c r="Q993" s="44" t="n">
        <v>2279</v>
      </c>
      <c r="R993" s="44" t="inlineStr">
        <is>
          <t>No Video ID yet</t>
        </is>
      </c>
      <c r="S993" s="46" t="n"/>
      <c r="T993" s="46" t="n"/>
      <c r="U993" s="44" t="n"/>
      <c r="V993" s="44">
        <f>IF(AND(P993&gt;=Calendar!$K$2,P993&lt;EDATE(Calendar!$K$2,1),OR(Calendar!$K$4="*",N993=Calendar!$K$4)),P993*100+COUNTIFS($P$6:$P$3271,P993,$Q$6:$Q$3271,"&lt;="&amp;Q993,$N$6:$N$3271,Calendar!$K$4),"")</f>
        <v/>
      </c>
      <c r="W993" s="44">
        <f>IF(AND(B993=Queue!$C$4,OR(Queue!$K$4="*",N993=Queue!$K$4)),Q993,"")</f>
        <v/>
      </c>
    </row>
    <row r="994">
      <c r="A994" s="35">
        <f>IF(M994="","",HYPERLINK("https://www.youtube.com/watch?v="&amp;M994,"▶"))</f>
        <v/>
      </c>
      <c r="B994" s="36">
        <f>IF(C994&lt;&gt;"",C994,IF(P994&lt;=IFERROR(INDEX(tblChannels[Watched Through],MATCH(N994,tblChannels[Channel ID],0)),0),"Watched","Unwatched"))</f>
        <v/>
      </c>
      <c r="C994" s="37" t="n"/>
      <c r="D994" s="38" t="n"/>
      <c r="E994" s="39" t="n">
        <v>44940.77083333334</v>
      </c>
      <c r="F994" s="49" t="inlineStr">
        <is>
          <t>Super Carlin Gaming</t>
        </is>
      </c>
      <c r="G994" t="inlineStr">
        <is>
          <t>Season 3 Starts HEATING UP | Carlin Brothers Box Breakers S3/E4</t>
        </is>
      </c>
      <c r="H994" s="41" t="n">
        <v>0.03055555555555555</v>
      </c>
      <c r="I994" s="42" t="n">
        <v>2897</v>
      </c>
      <c r="J994" s="42" t="n">
        <v>160</v>
      </c>
      <c r="K994" s="42" t="n">
        <v>16</v>
      </c>
      <c r="L994" s="43" t="n"/>
      <c r="M994" s="44" t="n"/>
      <c r="N994" s="44" t="inlineStr">
        <is>
          <t>UCor_9jRnNNZVzTuQ92PKsaQ</t>
        </is>
      </c>
      <c r="O994" s="45" t="n">
        <v>44940.97916666666</v>
      </c>
      <c r="P994" s="46" t="n">
        <v>44940</v>
      </c>
      <c r="Q994" s="44" t="n">
        <v>2278</v>
      </c>
      <c r="R994" s="44" t="inlineStr">
        <is>
          <t>No Video ID yet</t>
        </is>
      </c>
      <c r="S994" s="46" t="n"/>
      <c r="T994" s="46" t="n"/>
      <c r="U994" s="44" t="n"/>
      <c r="V994" s="44">
        <f>IF(AND(P994&gt;=Calendar!$K$2,P994&lt;EDATE(Calendar!$K$2,1),OR(Calendar!$K$4="*",N994=Calendar!$K$4)),P994*100+COUNTIFS($P$6:$P$3271,P994,$Q$6:$Q$3271,"&lt;="&amp;Q994,$N$6:$N$3271,Calendar!$K$4),"")</f>
        <v/>
      </c>
      <c r="W994" s="44">
        <f>IF(AND(B994=Queue!$C$4,OR(Queue!$K$4="*",N994=Queue!$K$4)),Q994,"")</f>
        <v/>
      </c>
    </row>
    <row r="995">
      <c r="A995" s="35">
        <f>IF(M995="","",HYPERLINK("https://www.youtube.com/watch?v="&amp;M995,"▶"))</f>
        <v/>
      </c>
      <c r="B995" s="36">
        <f>IF(C995&lt;&gt;"",C995,IF(P995&lt;=IFERROR(INDEX(tblChannels[Watched Through],MATCH(N995,tblChannels[Channel ID],0)),0),"Watched","Unwatched"))</f>
        <v/>
      </c>
      <c r="C995" s="37" t="n"/>
      <c r="D995" s="38" t="n"/>
      <c r="E995" s="39" t="n">
        <v>44939.67847222222</v>
      </c>
      <c r="F995" s="47" t="inlineStr">
        <is>
          <t>Super Carlin Brothers</t>
        </is>
      </c>
      <c r="G995" t="inlineStr">
        <is>
          <t>The TRUTH About Woody’s Holster | Toy Story Pixar Film Theory</t>
        </is>
      </c>
      <c r="H995" s="41" t="n">
        <v>0.009594907407407408</v>
      </c>
      <c r="I995" s="42" t="n">
        <v>328449</v>
      </c>
      <c r="J995" s="42" t="n">
        <v>10548</v>
      </c>
      <c r="K995" s="42" t="n">
        <v>758</v>
      </c>
      <c r="L995" s="43" t="n"/>
      <c r="M995" s="44" t="n"/>
      <c r="N995" s="44" t="inlineStr">
        <is>
          <t>UCKZo4N0lVPccBkSiuyVh4yg</t>
        </is>
      </c>
      <c r="O995" s="45" t="n">
        <v>44939.88680555556</v>
      </c>
      <c r="P995" s="46" t="n">
        <v>44939</v>
      </c>
      <c r="Q995" s="44" t="n">
        <v>2277</v>
      </c>
      <c r="R995" s="44" t="inlineStr">
        <is>
          <t>No Video ID yet</t>
        </is>
      </c>
      <c r="S995" s="46" t="n"/>
      <c r="T995" s="46" t="n"/>
      <c r="U995" s="44" t="n"/>
      <c r="V995" s="44">
        <f>IF(AND(P995&gt;=Calendar!$K$2,P995&lt;EDATE(Calendar!$K$2,1),OR(Calendar!$K$4="*",N995=Calendar!$K$4)),P995*100+COUNTIFS($P$6:$P$3271,P995,$Q$6:$Q$3271,"&lt;="&amp;Q995,$N$6:$N$3271,Calendar!$K$4),"")</f>
        <v/>
      </c>
      <c r="W995" s="44">
        <f>IF(AND(B995=Queue!$C$4,OR(Queue!$K$4="*",N995=Queue!$K$4)),Q995,"")</f>
        <v/>
      </c>
    </row>
    <row r="996">
      <c r="A996" s="35">
        <f>IF(M996="","",HYPERLINK("https://www.youtube.com/watch?v="&amp;M996,"▶"))</f>
        <v/>
      </c>
      <c r="B996" s="36">
        <f>IF(C996&lt;&gt;"",C996,IF(P996&lt;=IFERROR(INDEX(tblChannels[Watched Through],MATCH(N996,tblChannels[Channel ID],0)),0),"Watched","Unwatched"))</f>
        <v/>
      </c>
      <c r="C996" s="37" t="n"/>
      <c r="D996" s="38" t="n"/>
      <c r="E996" s="39" t="n">
        <v>44939.41666666666</v>
      </c>
      <c r="F996" s="40" t="inlineStr">
        <is>
          <t>Popcorn Culture</t>
        </is>
      </c>
      <c r="G996" t="inlineStr">
        <is>
          <t>Post-Christmas Card Conundrum | Popcorn Culture</t>
        </is>
      </c>
      <c r="H996" s="41" t="n">
        <v>0.04636574074074074</v>
      </c>
      <c r="I996" s="42" t="n">
        <v>5067</v>
      </c>
      <c r="J996" s="42" t="n">
        <v>283</v>
      </c>
      <c r="K996" s="42" t="n">
        <v>45</v>
      </c>
      <c r="L996" s="43" t="n"/>
      <c r="M996" s="44" t="n"/>
      <c r="N996" s="44" t="inlineStr">
        <is>
          <t>UCHfIbq9thHPC8yrKjAdJgDA</t>
        </is>
      </c>
      <c r="O996" s="45" t="n">
        <v>44939.625</v>
      </c>
      <c r="P996" s="46" t="n">
        <v>44939</v>
      </c>
      <c r="Q996" s="44" t="n">
        <v>2276</v>
      </c>
      <c r="R996" s="44" t="inlineStr">
        <is>
          <t>No Video ID yet</t>
        </is>
      </c>
      <c r="S996" s="46" t="n"/>
      <c r="T996" s="46" t="n"/>
      <c r="U996" s="44" t="n"/>
      <c r="V996" s="44">
        <f>IF(AND(P996&gt;=Calendar!$K$2,P996&lt;EDATE(Calendar!$K$2,1),OR(Calendar!$K$4="*",N996=Calendar!$K$4)),P996*100+COUNTIFS($P$6:$P$3271,P996,$Q$6:$Q$3271,"&lt;="&amp;Q996,$N$6:$N$3271,Calendar!$K$4),"")</f>
        <v/>
      </c>
      <c r="W996" s="44">
        <f>IF(AND(B996=Queue!$C$4,OR(Queue!$K$4="*",N996=Queue!$K$4)),Q996,"")</f>
        <v/>
      </c>
    </row>
    <row r="997">
      <c r="A997" s="35">
        <f>IF(M997="","",HYPERLINK("https://www.youtube.com/watch?v="&amp;M997,"▶"))</f>
        <v/>
      </c>
      <c r="B997" s="36">
        <f>IF(C997&lt;&gt;"",C997,IF(P997&lt;=IFERROR(INDEX(tblChannels[Watched Through],MATCH(N997,tblChannels[Channel ID],0)),0),"Watched","Unwatched"))</f>
        <v/>
      </c>
      <c r="C997" s="37" t="n"/>
      <c r="D997" s="38" t="n"/>
      <c r="E997" s="39" t="n">
        <v>44938.70833333334</v>
      </c>
      <c r="F997" s="40" t="inlineStr">
        <is>
          <t>Popcorn Culture</t>
        </is>
      </c>
      <c r="G997" t="inlineStr">
        <is>
          <t>Can You Say The Alphabet Backwards? | Popcorn Culture Episode 162 Teaser</t>
        </is>
      </c>
      <c r="H997" s="41" t="n">
        <v>0.003553240740740741</v>
      </c>
      <c r="I997" s="42" t="n">
        <v>2167</v>
      </c>
      <c r="J997" s="42" t="n">
        <v>148</v>
      </c>
      <c r="K997" s="42" t="n">
        <v>19</v>
      </c>
      <c r="L997" s="43" t="n"/>
      <c r="M997" s="44" t="n"/>
      <c r="N997" s="44" t="inlineStr">
        <is>
          <t>UCHfIbq9thHPC8yrKjAdJgDA</t>
        </is>
      </c>
      <c r="O997" s="45" t="n">
        <v>44938.91666666666</v>
      </c>
      <c r="P997" s="46" t="n">
        <v>44938</v>
      </c>
      <c r="Q997" s="44" t="n">
        <v>2275</v>
      </c>
      <c r="R997" s="44" t="inlineStr">
        <is>
          <t>No Video ID yet</t>
        </is>
      </c>
      <c r="S997" s="46" t="n"/>
      <c r="T997" s="46" t="n"/>
      <c r="U997" s="44" t="n"/>
      <c r="V997" s="44">
        <f>IF(AND(P997&gt;=Calendar!$K$2,P997&lt;EDATE(Calendar!$K$2,1),OR(Calendar!$K$4="*",N997=Calendar!$K$4)),P997*100+COUNTIFS($P$6:$P$3271,P997,$Q$6:$Q$3271,"&lt;="&amp;Q997,$N$6:$N$3271,Calendar!$K$4),"")</f>
        <v/>
      </c>
      <c r="W997" s="44">
        <f>IF(AND(B997=Queue!$C$4,OR(Queue!$K$4="*",N997=Queue!$K$4)),Q997,"")</f>
        <v/>
      </c>
    </row>
    <row r="998">
      <c r="A998" s="35">
        <f>IF(M998="","",HYPERLINK("https://www.youtube.com/watch?v="&amp;M998,"▶"))</f>
        <v/>
      </c>
      <c r="B998" s="36">
        <f>IF(C998&lt;&gt;"",C998,IF(P998&lt;=IFERROR(INDEX(tblChannels[Watched Through],MATCH(N998,tblChannels[Channel ID],0)),0),"Watched","Unwatched"))</f>
        <v/>
      </c>
      <c r="C998" s="37" t="n"/>
      <c r="D998" s="38" t="n"/>
      <c r="E998" s="39" t="n">
        <v>44937.65486111111</v>
      </c>
      <c r="F998" s="47" t="inlineStr">
        <is>
          <t>Super Carlin Brothers</t>
        </is>
      </c>
      <c r="G998" t="inlineStr">
        <is>
          <t>What If Harry Never Called The Knight Bus? | Harry Potter Film Theory</t>
        </is>
      </c>
      <c r="H998" s="41" t="n">
        <v>0.01390046296296296</v>
      </c>
      <c r="I998" s="42" t="n">
        <v>889138</v>
      </c>
      <c r="J998" s="42" t="n">
        <v>22398</v>
      </c>
      <c r="K998" s="42" t="n">
        <v>1853</v>
      </c>
      <c r="L998" s="43" t="n"/>
      <c r="M998" s="44" t="n"/>
      <c r="N998" s="44" t="inlineStr">
        <is>
          <t>UCKZo4N0lVPccBkSiuyVh4yg</t>
        </is>
      </c>
      <c r="O998" s="45" t="n">
        <v>44937.86319444444</v>
      </c>
      <c r="P998" s="46" t="n">
        <v>44937</v>
      </c>
      <c r="Q998" s="44" t="n">
        <v>2274</v>
      </c>
      <c r="R998" s="44" t="inlineStr">
        <is>
          <t>No Video ID yet</t>
        </is>
      </c>
      <c r="S998" s="46" t="n"/>
      <c r="T998" s="46" t="n"/>
      <c r="U998" s="44" t="n"/>
      <c r="V998" s="44">
        <f>IF(AND(P998&gt;=Calendar!$K$2,P998&lt;EDATE(Calendar!$K$2,1),OR(Calendar!$K$4="*",N998=Calendar!$K$4)),P998*100+COUNTIFS($P$6:$P$3271,P998,$Q$6:$Q$3271,"&lt;="&amp;Q998,$N$6:$N$3271,Calendar!$K$4),"")</f>
        <v/>
      </c>
      <c r="W998" s="44">
        <f>IF(AND(B998=Queue!$C$4,OR(Queue!$K$4="*",N998=Queue!$K$4)),Q998,"")</f>
        <v/>
      </c>
    </row>
    <row r="999">
      <c r="A999" s="35">
        <f>IF(M999="","",HYPERLINK("https://www.youtube.com/watch?v="&amp;M999,"▶"))</f>
        <v/>
      </c>
      <c r="B999" s="36">
        <f>IF(C999&lt;&gt;"",C999,IF(P999&lt;=IFERROR(INDEX(tblChannels[Watched Through],MATCH(N999,tblChannels[Channel ID],0)),0),"Watched","Unwatched"))</f>
        <v/>
      </c>
      <c r="C999" s="37" t="n"/>
      <c r="D999" s="38" t="n"/>
      <c r="E999" s="39" t="n">
        <v>44935.625</v>
      </c>
      <c r="F999" s="49" t="inlineStr">
        <is>
          <t>Super Carlin Gaming</t>
        </is>
      </c>
      <c r="G999" t="inlineStr">
        <is>
          <t>GIANT SPIKY BALL! |  Pokémon Legends: Arceus Nuzlocke #25</t>
        </is>
      </c>
      <c r="H999" s="41" t="n">
        <v>0.02510416666666667</v>
      </c>
      <c r="I999" s="42" t="n">
        <v>3738</v>
      </c>
      <c r="J999" s="42" t="n">
        <v>226</v>
      </c>
      <c r="K999" s="42" t="n">
        <v>33</v>
      </c>
      <c r="L999" s="43" t="n"/>
      <c r="M999" s="44" t="n"/>
      <c r="N999" s="44" t="inlineStr">
        <is>
          <t>UCor_9jRnNNZVzTuQ92PKsaQ</t>
        </is>
      </c>
      <c r="O999" s="45" t="n">
        <v>44935.83333333334</v>
      </c>
      <c r="P999" s="46" t="n">
        <v>44935</v>
      </c>
      <c r="Q999" s="44" t="n">
        <v>2273</v>
      </c>
      <c r="R999" s="44" t="inlineStr">
        <is>
          <t>No Video ID yet</t>
        </is>
      </c>
      <c r="S999" s="46" t="n"/>
      <c r="T999" s="46" t="n"/>
      <c r="U999" s="44" t="n"/>
      <c r="V999" s="44">
        <f>IF(AND(P999&gt;=Calendar!$K$2,P999&lt;EDATE(Calendar!$K$2,1),OR(Calendar!$K$4="*",N999=Calendar!$K$4)),P999*100+COUNTIFS($P$6:$P$3271,P999,$Q$6:$Q$3271,"&lt;="&amp;Q999,$N$6:$N$3271,Calendar!$K$4),"")</f>
        <v/>
      </c>
      <c r="W999" s="44">
        <f>IF(AND(B999=Queue!$C$4,OR(Queue!$K$4="*",N999=Queue!$K$4)),Q999,"")</f>
        <v/>
      </c>
    </row>
    <row r="1000">
      <c r="A1000" s="35">
        <f>IF(M1000="","",HYPERLINK("https://www.youtube.com/watch?v="&amp;M1000,"▶"))</f>
        <v/>
      </c>
      <c r="B1000" s="36">
        <f>IF(C1000&lt;&gt;"",C1000,IF(P1000&lt;=IFERROR(INDEX(tblChannels[Watched Through],MATCH(N1000,tblChannels[Channel ID],0)),0),"Watched","Unwatched"))</f>
        <v/>
      </c>
      <c r="C1000" s="37" t="n"/>
      <c r="D1000" s="38" t="n"/>
      <c r="E1000" s="39" t="n">
        <v>44932.64930555555</v>
      </c>
      <c r="F1000" s="47" t="inlineStr">
        <is>
          <t>Super Carlin Brothers</t>
        </is>
      </c>
      <c r="G1000" t="inlineStr">
        <is>
          <t>J vs Ben: ULTIMATE Half-Blood Prince Harry Potter TRIVIA Quiz</t>
        </is>
      </c>
      <c r="H1000" s="41" t="n">
        <v>0.0212962962962963</v>
      </c>
      <c r="I1000" s="42" t="n">
        <v>226256</v>
      </c>
      <c r="J1000" s="42" t="n">
        <v>7177</v>
      </c>
      <c r="K1000" s="42" t="n">
        <v>562</v>
      </c>
      <c r="L1000" s="43" t="n"/>
      <c r="M1000" s="44" t="n"/>
      <c r="N1000" s="44" t="inlineStr">
        <is>
          <t>UCKZo4N0lVPccBkSiuyVh4yg</t>
        </is>
      </c>
      <c r="O1000" s="45" t="n">
        <v>44932.85763888889</v>
      </c>
      <c r="P1000" s="46" t="n">
        <v>44932</v>
      </c>
      <c r="Q1000" s="44" t="n">
        <v>2272</v>
      </c>
      <c r="R1000" s="44" t="inlineStr">
        <is>
          <t>No Video ID yet</t>
        </is>
      </c>
      <c r="S1000" s="46" t="n"/>
      <c r="T1000" s="46" t="n"/>
      <c r="U1000" s="44" t="n"/>
      <c r="V1000" s="44">
        <f>IF(AND(P1000&gt;=Calendar!$K$2,P1000&lt;EDATE(Calendar!$K$2,1),OR(Calendar!$K$4="*",N1000=Calendar!$K$4)),P1000*100+COUNTIFS($P$6:$P$3271,P1000,$Q$6:$Q$3271,"&lt;="&amp;Q1000,$N$6:$N$3271,Calendar!$K$4),"")</f>
        <v/>
      </c>
      <c r="W1000" s="44">
        <f>IF(AND(B1000=Queue!$C$4,OR(Queue!$K$4="*",N1000=Queue!$K$4)),Q1000,"")</f>
        <v/>
      </c>
    </row>
    <row r="1001">
      <c r="A1001" s="35">
        <f>IF(M1001="","",HYPERLINK("https://www.youtube.com/watch?v="&amp;M1001,"▶"))</f>
        <v/>
      </c>
      <c r="B1001" s="36">
        <f>IF(C1001&lt;&gt;"",C1001,IF(P1001&lt;=IFERROR(INDEX(tblChannels[Watched Through],MATCH(N1001,tblChannels[Channel ID],0)),0),"Watched","Unwatched"))</f>
        <v/>
      </c>
      <c r="C1001" s="37" t="n"/>
      <c r="D1001" s="38" t="n"/>
      <c r="E1001" s="39" t="n">
        <v>44932.41666666666</v>
      </c>
      <c r="F1001" s="40" t="inlineStr">
        <is>
          <t>Popcorn Culture</t>
        </is>
      </c>
      <c r="G1001" t="inlineStr">
        <is>
          <t>How I Burned A Hole In A Llama | Popcorn Culture</t>
        </is>
      </c>
      <c r="H1001" s="41" t="n">
        <v>0.04774305555555555</v>
      </c>
      <c r="I1001" s="42" t="n">
        <v>6478</v>
      </c>
      <c r="J1001" s="42" t="n">
        <v>325</v>
      </c>
      <c r="K1001" s="42" t="n">
        <v>36</v>
      </c>
      <c r="L1001" s="43" t="n"/>
      <c r="M1001" s="44" t="n"/>
      <c r="N1001" s="44" t="inlineStr">
        <is>
          <t>UCHfIbq9thHPC8yrKjAdJgDA</t>
        </is>
      </c>
      <c r="O1001" s="45" t="n">
        <v>44932.625</v>
      </c>
      <c r="P1001" s="46" t="n">
        <v>44932</v>
      </c>
      <c r="Q1001" s="44" t="n">
        <v>2271</v>
      </c>
      <c r="R1001" s="44" t="inlineStr">
        <is>
          <t>No Video ID yet</t>
        </is>
      </c>
      <c r="S1001" s="46" t="n"/>
      <c r="T1001" s="46" t="n"/>
      <c r="U1001" s="44" t="n"/>
      <c r="V1001" s="44">
        <f>IF(AND(P1001&gt;=Calendar!$K$2,P1001&lt;EDATE(Calendar!$K$2,1),OR(Calendar!$K$4="*",N1001=Calendar!$K$4)),P1001*100+COUNTIFS($P$6:$P$3271,P1001,$Q$6:$Q$3271,"&lt;="&amp;Q1001,$N$6:$N$3271,Calendar!$K$4),"")</f>
        <v/>
      </c>
      <c r="W1001" s="44">
        <f>IF(AND(B1001=Queue!$C$4,OR(Queue!$K$4="*",N1001=Queue!$K$4)),Q1001,"")</f>
        <v/>
      </c>
    </row>
    <row r="1002">
      <c r="A1002" s="35">
        <f>IF(M1002="","",HYPERLINK("https://www.youtube.com/watch?v="&amp;M1002,"▶"))</f>
        <v/>
      </c>
      <c r="B1002" s="36">
        <f>IF(C1002&lt;&gt;"",C1002,IF(P1002&lt;=IFERROR(INDEX(tblChannels[Watched Through],MATCH(N1002,tblChannels[Channel ID],0)),0),"Watched","Unwatched"))</f>
        <v/>
      </c>
      <c r="C1002" s="37" t="n"/>
      <c r="D1002" s="38" t="n"/>
      <c r="E1002" s="39" t="n">
        <v>44930.58055555556</v>
      </c>
      <c r="F1002" s="47" t="inlineStr">
        <is>
          <t>Super Carlin Brothers</t>
        </is>
      </c>
      <c r="G1002" t="inlineStr">
        <is>
          <t>Grindelwald’s SECRET Horcrux | Harry Potter Film Theory</t>
        </is>
      </c>
      <c r="H1002" s="41" t="n">
        <v>0.01202546296296296</v>
      </c>
      <c r="I1002" s="42" t="n">
        <v>210045</v>
      </c>
      <c r="J1002" s="42" t="n">
        <v>8158</v>
      </c>
      <c r="K1002" s="42" t="n">
        <v>534</v>
      </c>
      <c r="L1002" s="43" t="n"/>
      <c r="M1002" s="44" t="n"/>
      <c r="N1002" s="44" t="inlineStr">
        <is>
          <t>UCKZo4N0lVPccBkSiuyVh4yg</t>
        </is>
      </c>
      <c r="O1002" s="45" t="n">
        <v>44930.78888888889</v>
      </c>
      <c r="P1002" s="46" t="n">
        <v>44930</v>
      </c>
      <c r="Q1002" s="44" t="n">
        <v>2270</v>
      </c>
      <c r="R1002" s="44" t="inlineStr">
        <is>
          <t>No Video ID yet</t>
        </is>
      </c>
      <c r="S1002" s="46" t="n"/>
      <c r="T1002" s="46" t="n"/>
      <c r="U1002" s="44" t="n"/>
      <c r="V1002" s="44">
        <f>IF(AND(P1002&gt;=Calendar!$K$2,P1002&lt;EDATE(Calendar!$K$2,1),OR(Calendar!$K$4="*",N1002=Calendar!$K$4)),P1002*100+COUNTIFS($P$6:$P$3271,P1002,$Q$6:$Q$3271,"&lt;="&amp;Q1002,$N$6:$N$3271,Calendar!$K$4),"")</f>
        <v/>
      </c>
      <c r="W1002" s="44">
        <f>IF(AND(B1002=Queue!$C$4,OR(Queue!$K$4="*",N1002=Queue!$K$4)),Q1002,"")</f>
        <v/>
      </c>
    </row>
    <row r="1003">
      <c r="A1003" s="35">
        <f>IF(M1003="","",HYPERLINK("https://www.youtube.com/watch?v="&amp;M1003,"▶"))</f>
        <v/>
      </c>
      <c r="B1003" s="36">
        <f>IF(C1003&lt;&gt;"",C1003,IF(P1003&lt;=IFERROR(INDEX(tblChannels[Watched Through],MATCH(N1003,tblChannels[Channel ID],0)),0),"Watched","Unwatched"))</f>
        <v/>
      </c>
      <c r="C1003" s="37" t="n"/>
      <c r="D1003" s="38" t="n"/>
      <c r="E1003" s="39" t="n">
        <v>44925.41666666666</v>
      </c>
      <c r="F1003" s="40" t="inlineStr">
        <is>
          <t>Popcorn Culture</t>
        </is>
      </c>
      <c r="G1003" t="inlineStr">
        <is>
          <t>FOUR POUNDS OF BEEF JERKY AND ONE ROMAN CANDLE | Popcorn Culture</t>
        </is>
      </c>
      <c r="H1003" s="41" t="n">
        <v>0.05186342592592592</v>
      </c>
      <c r="I1003" s="42" t="n">
        <v>5986</v>
      </c>
      <c r="J1003" s="42" t="n">
        <v>308</v>
      </c>
      <c r="K1003" s="42" t="n">
        <v>36</v>
      </c>
      <c r="L1003" s="43" t="n"/>
      <c r="M1003" s="44" t="n"/>
      <c r="N1003" s="44" t="inlineStr">
        <is>
          <t>UCHfIbq9thHPC8yrKjAdJgDA</t>
        </is>
      </c>
      <c r="O1003" s="45" t="n">
        <v>44925.625</v>
      </c>
      <c r="P1003" s="46" t="n">
        <v>44925</v>
      </c>
      <c r="Q1003" s="44" t="n">
        <v>2269</v>
      </c>
      <c r="R1003" s="44" t="inlineStr">
        <is>
          <t>No Video ID yet</t>
        </is>
      </c>
      <c r="S1003" s="46" t="n"/>
      <c r="T1003" s="46" t="n"/>
      <c r="U1003" s="44" t="n"/>
      <c r="V1003" s="44">
        <f>IF(AND(P1003&gt;=Calendar!$K$2,P1003&lt;EDATE(Calendar!$K$2,1),OR(Calendar!$K$4="*",N1003=Calendar!$K$4)),P1003*100+COUNTIFS($P$6:$P$3271,P1003,$Q$6:$Q$3271,"&lt;="&amp;Q1003,$N$6:$N$3271,Calendar!$K$4),"")</f>
        <v/>
      </c>
      <c r="W1003" s="44">
        <f>IF(AND(B1003=Queue!$C$4,OR(Queue!$K$4="*",N1003=Queue!$K$4)),Q1003,"")</f>
        <v/>
      </c>
    </row>
    <row r="1004">
      <c r="A1004" s="35">
        <f>IF(M1004="","",HYPERLINK("https://www.youtube.com/watch?v="&amp;M1004,"▶"))</f>
        <v/>
      </c>
      <c r="B1004" s="36">
        <f>IF(C1004&lt;&gt;"",C1004,IF(P1004&lt;=IFERROR(INDEX(tblChannels[Watched Through],MATCH(N1004,tblChannels[Channel ID],0)),0),"Watched","Unwatched"))</f>
        <v/>
      </c>
      <c r="C1004" s="37" t="n"/>
      <c r="D1004" s="38" t="n"/>
      <c r="E1004" s="39" t="n">
        <v>44923.625</v>
      </c>
      <c r="F1004" s="47" t="inlineStr">
        <is>
          <t>Super Carlin Brothers</t>
        </is>
      </c>
      <c r="G1004" t="inlineStr">
        <is>
          <t>J vs Ben: ULTIMATE Ludo Bagman Harry Potter TRIVIA Quiz feat. Mike Schubert</t>
        </is>
      </c>
      <c r="H1004" s="41" t="n">
        <v>0.02454861111111111</v>
      </c>
      <c r="I1004" s="42" t="n">
        <v>136805</v>
      </c>
      <c r="J1004" s="42" t="n">
        <v>5753</v>
      </c>
      <c r="K1004" s="42" t="n">
        <v>882</v>
      </c>
      <c r="L1004" s="43" t="n"/>
      <c r="M1004" s="44" t="n"/>
      <c r="N1004" s="44" t="inlineStr">
        <is>
          <t>UCKZo4N0lVPccBkSiuyVh4yg</t>
        </is>
      </c>
      <c r="O1004" s="45" t="n">
        <v>44923.83333333334</v>
      </c>
      <c r="P1004" s="46" t="n">
        <v>44923</v>
      </c>
      <c r="Q1004" s="44" t="n">
        <v>2268</v>
      </c>
      <c r="R1004" s="44" t="inlineStr">
        <is>
          <t>No Video ID yet</t>
        </is>
      </c>
      <c r="S1004" s="46" t="n"/>
      <c r="T1004" s="46" t="n"/>
      <c r="U1004" s="44" t="n"/>
      <c r="V1004" s="44">
        <f>IF(AND(P1004&gt;=Calendar!$K$2,P1004&lt;EDATE(Calendar!$K$2,1),OR(Calendar!$K$4="*",N1004=Calendar!$K$4)),P1004*100+COUNTIFS($P$6:$P$3271,P1004,$Q$6:$Q$3271,"&lt;="&amp;Q1004,$N$6:$N$3271,Calendar!$K$4),"")</f>
        <v/>
      </c>
      <c r="W1004" s="44">
        <f>IF(AND(B1004=Queue!$C$4,OR(Queue!$K$4="*",N1004=Queue!$K$4)),Q1004,"")</f>
        <v/>
      </c>
    </row>
    <row r="1005">
      <c r="A1005" s="35">
        <f>IF(M1005="","",HYPERLINK("https://www.youtube.com/watch?v="&amp;M1005,"▶"))</f>
        <v/>
      </c>
      <c r="B1005" s="36">
        <f>IF(C1005&lt;&gt;"",C1005,IF(P1005&lt;=IFERROR(INDEX(tblChannels[Watched Through],MATCH(N1005,tblChannels[Channel ID],0)),0),"Watched","Unwatched"))</f>
        <v/>
      </c>
      <c r="C1005" s="37" t="n"/>
      <c r="D1005" s="38" t="n"/>
      <c r="E1005" s="39" t="n">
        <v>44918.72083333333</v>
      </c>
      <c r="F1005" s="47" t="inlineStr">
        <is>
          <t>Super Carlin Brothers</t>
        </is>
      </c>
      <c r="G1005" t="inlineStr">
        <is>
          <t>The TRUTH About Kiri’s Father | Avatar The Way of Water</t>
        </is>
      </c>
      <c r="H1005" s="41" t="n">
        <v>0.01028935185185185</v>
      </c>
      <c r="I1005" s="42" t="n">
        <v>72627</v>
      </c>
      <c r="J1005" s="42" t="n">
        <v>4132</v>
      </c>
      <c r="K1005" s="42" t="n">
        <v>413</v>
      </c>
      <c r="L1005" s="43" t="n"/>
      <c r="M1005" s="44" t="n"/>
      <c r="N1005" s="44" t="inlineStr">
        <is>
          <t>UCKZo4N0lVPccBkSiuyVh4yg</t>
        </is>
      </c>
      <c r="O1005" s="45" t="n">
        <v>44918.92916666667</v>
      </c>
      <c r="P1005" s="46" t="n">
        <v>44918</v>
      </c>
      <c r="Q1005" s="44" t="n">
        <v>2267</v>
      </c>
      <c r="R1005" s="44" t="inlineStr">
        <is>
          <t>No Video ID yet</t>
        </is>
      </c>
      <c r="S1005" s="46" t="n"/>
      <c r="T1005" s="46" t="n"/>
      <c r="U1005" s="44" t="n"/>
      <c r="V1005" s="44">
        <f>IF(AND(P1005&gt;=Calendar!$K$2,P1005&lt;EDATE(Calendar!$K$2,1),OR(Calendar!$K$4="*",N1005=Calendar!$K$4)),P1005*100+COUNTIFS($P$6:$P$3271,P1005,$Q$6:$Q$3271,"&lt;="&amp;Q1005,$N$6:$N$3271,Calendar!$K$4),"")</f>
        <v/>
      </c>
      <c r="W1005" s="44">
        <f>IF(AND(B1005=Queue!$C$4,OR(Queue!$K$4="*",N1005=Queue!$K$4)),Q1005,"")</f>
        <v/>
      </c>
    </row>
    <row r="1006">
      <c r="A1006" s="35">
        <f>IF(M1006="","",HYPERLINK("https://www.youtube.com/watch?v="&amp;M1006,"▶"))</f>
        <v/>
      </c>
      <c r="B1006" s="36">
        <f>IF(C1006&lt;&gt;"",C1006,IF(P1006&lt;=IFERROR(INDEX(tblChannels[Watched Through],MATCH(N1006,tblChannels[Channel ID],0)),0),"Watched","Unwatched"))</f>
        <v/>
      </c>
      <c r="C1006" s="37" t="n"/>
      <c r="D1006" s="38" t="n"/>
      <c r="E1006" s="39" t="n">
        <v>44918.41666666666</v>
      </c>
      <c r="F1006" s="40" t="inlineStr">
        <is>
          <t>Popcorn Culture</t>
        </is>
      </c>
      <c r="G1006" t="inlineStr">
        <is>
          <t>Will AI Replace Art? | Popcorn Culture</t>
        </is>
      </c>
      <c r="H1006" s="41" t="n">
        <v>0.04369212962962963</v>
      </c>
      <c r="I1006" s="42" t="n">
        <v>5957</v>
      </c>
      <c r="J1006" s="42" t="n">
        <v>301</v>
      </c>
      <c r="K1006" s="42" t="n">
        <v>32</v>
      </c>
      <c r="L1006" s="43" t="n"/>
      <c r="M1006" s="44" t="n"/>
      <c r="N1006" s="44" t="inlineStr">
        <is>
          <t>UCHfIbq9thHPC8yrKjAdJgDA</t>
        </is>
      </c>
      <c r="O1006" s="45" t="n">
        <v>44918.625</v>
      </c>
      <c r="P1006" s="46" t="n">
        <v>44918</v>
      </c>
      <c r="Q1006" s="44" t="n">
        <v>2266</v>
      </c>
      <c r="R1006" s="44" t="inlineStr">
        <is>
          <t>No Video ID yet</t>
        </is>
      </c>
      <c r="S1006" s="46" t="n"/>
      <c r="T1006" s="46" t="n"/>
      <c r="U1006" s="44" t="n"/>
      <c r="V1006" s="44">
        <f>IF(AND(P1006&gt;=Calendar!$K$2,P1006&lt;EDATE(Calendar!$K$2,1),OR(Calendar!$K$4="*",N1006=Calendar!$K$4)),P1006*100+COUNTIFS($P$6:$P$3271,P1006,$Q$6:$Q$3271,"&lt;="&amp;Q1006,$N$6:$N$3271,Calendar!$K$4),"")</f>
        <v/>
      </c>
      <c r="W1006" s="44">
        <f>IF(AND(B1006=Queue!$C$4,OR(Queue!$K$4="*",N1006=Queue!$K$4)),Q1006,"")</f>
        <v/>
      </c>
    </row>
    <row r="1007">
      <c r="A1007" s="35">
        <f>IF(M1007="","",HYPERLINK("https://www.youtube.com/watch?v="&amp;M1007,"▶"))</f>
        <v/>
      </c>
      <c r="B1007" s="36">
        <f>IF(C1007&lt;&gt;"",C1007,IF(P1007&lt;=IFERROR(INDEX(tblChannels[Watched Through],MATCH(N1007,tblChannels[Channel ID],0)),0),"Watched","Unwatched"))</f>
        <v/>
      </c>
      <c r="C1007" s="37" t="n"/>
      <c r="D1007" s="38" t="n"/>
      <c r="E1007" s="39" t="n">
        <v>44916.71041666667</v>
      </c>
      <c r="F1007" s="47" t="inlineStr">
        <is>
          <t>Super Carlin Brothers</t>
        </is>
      </c>
      <c r="G1007" t="inlineStr">
        <is>
          <t>J vs Ben: HARDEST Order of the Phoenix Harry Potter TRIVIA Quiz</t>
        </is>
      </c>
      <c r="H1007" s="41" t="n">
        <v>0.02255787037037037</v>
      </c>
      <c r="I1007" s="42" t="n">
        <v>289491</v>
      </c>
      <c r="J1007" s="42" t="n">
        <v>8654</v>
      </c>
      <c r="K1007" s="42" t="n">
        <v>674</v>
      </c>
      <c r="L1007" s="43" t="n"/>
      <c r="M1007" s="44" t="n"/>
      <c r="N1007" s="44" t="inlineStr">
        <is>
          <t>UCKZo4N0lVPccBkSiuyVh4yg</t>
        </is>
      </c>
      <c r="O1007" s="45" t="n">
        <v>44916.91875</v>
      </c>
      <c r="P1007" s="46" t="n">
        <v>44916</v>
      </c>
      <c r="Q1007" s="44" t="n">
        <v>2265</v>
      </c>
      <c r="R1007" s="44" t="inlineStr">
        <is>
          <t>No Video ID yet</t>
        </is>
      </c>
      <c r="S1007" s="46" t="n"/>
      <c r="T1007" s="46" t="n"/>
      <c r="U1007" s="44" t="n"/>
      <c r="V1007" s="44">
        <f>IF(AND(P1007&gt;=Calendar!$K$2,P1007&lt;EDATE(Calendar!$K$2,1),OR(Calendar!$K$4="*",N1007=Calendar!$K$4)),P1007*100+COUNTIFS($P$6:$P$3271,P1007,$Q$6:$Q$3271,"&lt;="&amp;Q1007,$N$6:$N$3271,Calendar!$K$4),"")</f>
        <v/>
      </c>
      <c r="W1007" s="44">
        <f>IF(AND(B1007=Queue!$C$4,OR(Queue!$K$4="*",N1007=Queue!$K$4)),Q1007,"")</f>
        <v/>
      </c>
    </row>
    <row r="1008">
      <c r="A1008" s="35">
        <f>IF(M1008="","",HYPERLINK("https://www.youtube.com/watch?v="&amp;M1008,"▶"))</f>
        <v/>
      </c>
      <c r="B1008" s="36">
        <f>IF(C1008&lt;&gt;"",C1008,IF(P1008&lt;=IFERROR(INDEX(tblChannels[Watched Through],MATCH(N1008,tblChannels[Channel ID],0)),0),"Watched","Unwatched"))</f>
        <v/>
      </c>
      <c r="C1008" s="37" t="n"/>
      <c r="D1008" s="38" t="n"/>
      <c r="E1008" s="39" t="n">
        <v>44915.72916666666</v>
      </c>
      <c r="F1008" s="49" t="inlineStr">
        <is>
          <t>Super Carlin Gaming</t>
        </is>
      </c>
      <c r="G1008" t="inlineStr">
        <is>
          <t>SILVER TEMPEST DELIVERS | Carlin Brothers Box Breakers S3/E3</t>
        </is>
      </c>
      <c r="H1008" s="41" t="n">
        <v>0.02747685185185185</v>
      </c>
      <c r="I1008" s="42" t="n">
        <v>3638</v>
      </c>
      <c r="J1008" s="42" t="n">
        <v>192</v>
      </c>
      <c r="K1008" s="42" t="n">
        <v>10</v>
      </c>
      <c r="L1008" s="43" t="n"/>
      <c r="M1008" s="44" t="n"/>
      <c r="N1008" s="44" t="inlineStr">
        <is>
          <t>UCor_9jRnNNZVzTuQ92PKsaQ</t>
        </is>
      </c>
      <c r="O1008" s="45" t="n">
        <v>44915.9375</v>
      </c>
      <c r="P1008" s="46" t="n">
        <v>44915</v>
      </c>
      <c r="Q1008" s="44" t="n">
        <v>2264</v>
      </c>
      <c r="R1008" s="44" t="inlineStr">
        <is>
          <t>No Video ID yet</t>
        </is>
      </c>
      <c r="S1008" s="46" t="n"/>
      <c r="T1008" s="46" t="n"/>
      <c r="U1008" s="44" t="n"/>
      <c r="V1008" s="44">
        <f>IF(AND(P1008&gt;=Calendar!$K$2,P1008&lt;EDATE(Calendar!$K$2,1),OR(Calendar!$K$4="*",N1008=Calendar!$K$4)),P1008*100+COUNTIFS($P$6:$P$3271,P1008,$Q$6:$Q$3271,"&lt;="&amp;Q1008,$N$6:$N$3271,Calendar!$K$4),"")</f>
        <v/>
      </c>
      <c r="W1008" s="44">
        <f>IF(AND(B1008=Queue!$C$4,OR(Queue!$K$4="*",N1008=Queue!$K$4)),Q1008,"")</f>
        <v/>
      </c>
    </row>
    <row r="1009">
      <c r="A1009" s="35">
        <f>IF(M1009="","",HYPERLINK("https://www.youtube.com/watch?v="&amp;M1009,"▶"))</f>
        <v/>
      </c>
      <c r="B1009" s="36">
        <f>IF(C1009&lt;&gt;"",C1009,IF(P1009&lt;=IFERROR(INDEX(tblChannels[Watched Through],MATCH(N1009,tblChannels[Channel ID],0)),0),"Watched","Unwatched"))</f>
        <v/>
      </c>
      <c r="C1009" s="37" t="n"/>
      <c r="D1009" s="38" t="n"/>
      <c r="E1009" s="39" t="n">
        <v>44914.57638888889</v>
      </c>
      <c r="F1009" s="47" t="inlineStr">
        <is>
          <t>Super Carlin Brothers</t>
        </is>
      </c>
      <c r="G1009" t="inlineStr">
        <is>
          <t>J vs Ben: World’s BEST Butterbeer Latte | Harry Potter Food</t>
        </is>
      </c>
      <c r="H1009" s="41" t="n">
        <v>0.02103009259259259</v>
      </c>
      <c r="I1009" s="42" t="n">
        <v>85885</v>
      </c>
      <c r="J1009" s="42" t="n">
        <v>4751</v>
      </c>
      <c r="K1009" s="42" t="n">
        <v>293</v>
      </c>
      <c r="L1009" s="43" t="n"/>
      <c r="M1009" s="44" t="n"/>
      <c r="N1009" s="44" t="inlineStr">
        <is>
          <t>UCKZo4N0lVPccBkSiuyVh4yg</t>
        </is>
      </c>
      <c r="O1009" s="45" t="n">
        <v>44914.78472222222</v>
      </c>
      <c r="P1009" s="46" t="n">
        <v>44914</v>
      </c>
      <c r="Q1009" s="44" t="n">
        <v>2263</v>
      </c>
      <c r="R1009" s="44" t="inlineStr">
        <is>
          <t>No Video ID yet</t>
        </is>
      </c>
      <c r="S1009" s="46" t="n"/>
      <c r="T1009" s="46" t="n"/>
      <c r="U1009" s="44" t="n"/>
      <c r="V1009" s="44">
        <f>IF(AND(P1009&gt;=Calendar!$K$2,P1009&lt;EDATE(Calendar!$K$2,1),OR(Calendar!$K$4="*",N1009=Calendar!$K$4)),P1009*100+COUNTIFS($P$6:$P$3271,P1009,$Q$6:$Q$3271,"&lt;="&amp;Q1009,$N$6:$N$3271,Calendar!$K$4),"")</f>
        <v/>
      </c>
      <c r="W1009" s="44">
        <f>IF(AND(B1009=Queue!$C$4,OR(Queue!$K$4="*",N1009=Queue!$K$4)),Q1009,"")</f>
        <v/>
      </c>
    </row>
    <row r="1010">
      <c r="A1010" s="35">
        <f>IF(M1010="","",HYPERLINK("https://www.youtube.com/watch?v="&amp;M1010,"▶"))</f>
        <v/>
      </c>
      <c r="B1010" s="36">
        <f>IF(C1010&lt;&gt;"",C1010,IF(P1010&lt;=IFERROR(INDEX(tblChannels[Watched Through],MATCH(N1010,tblChannels[Channel ID],0)),0),"Watched","Unwatched"))</f>
        <v/>
      </c>
      <c r="C1010" s="37" t="n"/>
      <c r="D1010" s="38" t="n"/>
      <c r="E1010" s="39" t="n">
        <v>44912.625</v>
      </c>
      <c r="F1010" s="47" t="inlineStr">
        <is>
          <t>Super Carlin Brothers</t>
        </is>
      </c>
      <c r="G1010" t="inlineStr">
        <is>
          <t>Avatar: The Way of Water Spoiler REVIEW</t>
        </is>
      </c>
      <c r="H1010" s="41" t="n">
        <v>0.03603009259259259</v>
      </c>
      <c r="I1010" s="42" t="n">
        <v>94062</v>
      </c>
      <c r="J1010" s="42" t="n">
        <v>3579</v>
      </c>
      <c r="K1010" s="42" t="n">
        <v>575</v>
      </c>
      <c r="L1010" s="43" t="n"/>
      <c r="M1010" s="44" t="n"/>
      <c r="N1010" s="44" t="inlineStr">
        <is>
          <t>UCKZo4N0lVPccBkSiuyVh4yg</t>
        </is>
      </c>
      <c r="O1010" s="45" t="n">
        <v>44912.83333333334</v>
      </c>
      <c r="P1010" s="46" t="n">
        <v>44912</v>
      </c>
      <c r="Q1010" s="44" t="n">
        <v>2262</v>
      </c>
      <c r="R1010" s="44" t="inlineStr">
        <is>
          <t>No Video ID yet</t>
        </is>
      </c>
      <c r="S1010" s="46" t="n"/>
      <c r="T1010" s="46" t="n"/>
      <c r="U1010" s="44" t="n"/>
      <c r="V1010" s="44">
        <f>IF(AND(P1010&gt;=Calendar!$K$2,P1010&lt;EDATE(Calendar!$K$2,1),OR(Calendar!$K$4="*",N1010=Calendar!$K$4)),P1010*100+COUNTIFS($P$6:$P$3271,P1010,$Q$6:$Q$3271,"&lt;="&amp;Q1010,$N$6:$N$3271,Calendar!$K$4),"")</f>
        <v/>
      </c>
      <c r="W1010" s="44">
        <f>IF(AND(B1010=Queue!$C$4,OR(Queue!$K$4="*",N1010=Queue!$K$4)),Q1010,"")</f>
        <v/>
      </c>
    </row>
    <row r="1011">
      <c r="A1011" s="35">
        <f>IF(M1011="","",HYPERLINK("https://www.youtube.com/watch?v="&amp;M1011,"▶"))</f>
        <v/>
      </c>
      <c r="B1011" s="36">
        <f>IF(C1011&lt;&gt;"",C1011,IF(P1011&lt;=IFERROR(INDEX(tblChannels[Watched Through],MATCH(N1011,tblChannels[Channel ID],0)),0),"Watched","Unwatched"))</f>
        <v/>
      </c>
      <c r="C1011" s="37" t="n"/>
      <c r="D1011" s="38" t="n"/>
      <c r="E1011" s="39" t="n">
        <v>44911.74652777778</v>
      </c>
      <c r="F1011" s="47" t="inlineStr">
        <is>
          <t>Super Carlin Brothers</t>
        </is>
      </c>
      <c r="G1011" t="inlineStr">
        <is>
          <t>Every Character We HATE More Than Voldemort, Ranked | Harry Potter Film Theory</t>
        </is>
      </c>
      <c r="H1011" s="41" t="n">
        <v>0.01578703703703704</v>
      </c>
      <c r="I1011" s="42" t="n">
        <v>514336</v>
      </c>
      <c r="J1011" s="42" t="n">
        <v>14676</v>
      </c>
      <c r="K1011" s="42" t="n">
        <v>2093</v>
      </c>
      <c r="L1011" s="43" t="n"/>
      <c r="M1011" s="44" t="n"/>
      <c r="N1011" s="44" t="inlineStr">
        <is>
          <t>UCKZo4N0lVPccBkSiuyVh4yg</t>
        </is>
      </c>
      <c r="O1011" s="45" t="n">
        <v>44911.95486111111</v>
      </c>
      <c r="P1011" s="46" t="n">
        <v>44911</v>
      </c>
      <c r="Q1011" s="44" t="n">
        <v>2261</v>
      </c>
      <c r="R1011" s="44" t="inlineStr">
        <is>
          <t>No Video ID yet</t>
        </is>
      </c>
      <c r="S1011" s="46" t="n"/>
      <c r="T1011" s="46" t="n"/>
      <c r="U1011" s="44" t="n"/>
      <c r="V1011" s="44">
        <f>IF(AND(P1011&gt;=Calendar!$K$2,P1011&lt;EDATE(Calendar!$K$2,1),OR(Calendar!$K$4="*",N1011=Calendar!$K$4)),P1011*100+COUNTIFS($P$6:$P$3271,P1011,$Q$6:$Q$3271,"&lt;="&amp;Q1011,$N$6:$N$3271,Calendar!$K$4),"")</f>
        <v/>
      </c>
      <c r="W1011" s="44">
        <f>IF(AND(B1011=Queue!$C$4,OR(Queue!$K$4="*",N1011=Queue!$K$4)),Q1011,"")</f>
        <v/>
      </c>
    </row>
    <row r="1012">
      <c r="A1012" s="35">
        <f>IF(M1012="","",HYPERLINK("https://www.youtube.com/watch?v="&amp;M1012,"▶"))</f>
        <v/>
      </c>
      <c r="B1012" s="36">
        <f>IF(C1012&lt;&gt;"",C1012,IF(P1012&lt;=IFERROR(INDEX(tblChannels[Watched Through],MATCH(N1012,tblChannels[Channel ID],0)),0),"Watched","Unwatched"))</f>
        <v/>
      </c>
      <c r="C1012" s="37" t="n"/>
      <c r="D1012" s="38" t="n"/>
      <c r="E1012" s="39" t="n">
        <v>44911.41666666666</v>
      </c>
      <c r="F1012" s="40" t="inlineStr">
        <is>
          <t>Popcorn Culture</t>
        </is>
      </c>
      <c r="G1012" t="inlineStr">
        <is>
          <t>Me, My Brain and Avatar | Popcorn Culture</t>
        </is>
      </c>
      <c r="H1012" s="41" t="n">
        <v>0.04775462962962963</v>
      </c>
      <c r="I1012" s="42" t="n">
        <v>5857</v>
      </c>
      <c r="J1012" s="42" t="n">
        <v>294</v>
      </c>
      <c r="K1012" s="42" t="n">
        <v>33</v>
      </c>
      <c r="L1012" s="43" t="n"/>
      <c r="M1012" s="44" t="n"/>
      <c r="N1012" s="44" t="inlineStr">
        <is>
          <t>UCHfIbq9thHPC8yrKjAdJgDA</t>
        </is>
      </c>
      <c r="O1012" s="45" t="n">
        <v>44911.625</v>
      </c>
      <c r="P1012" s="46" t="n">
        <v>44911</v>
      </c>
      <c r="Q1012" s="44" t="n">
        <v>2260</v>
      </c>
      <c r="R1012" s="44" t="inlineStr">
        <is>
          <t>No Video ID yet</t>
        </is>
      </c>
      <c r="S1012" s="46" t="n"/>
      <c r="T1012" s="46" t="n"/>
      <c r="U1012" s="44" t="n"/>
      <c r="V1012" s="44">
        <f>IF(AND(P1012&gt;=Calendar!$K$2,P1012&lt;EDATE(Calendar!$K$2,1),OR(Calendar!$K$4="*",N1012=Calendar!$K$4)),P1012*100+COUNTIFS($P$6:$P$3271,P1012,$Q$6:$Q$3271,"&lt;="&amp;Q1012,$N$6:$N$3271,Calendar!$K$4),"")</f>
        <v/>
      </c>
      <c r="W1012" s="44">
        <f>IF(AND(B1012=Queue!$C$4,OR(Queue!$K$4="*",N1012=Queue!$K$4)),Q1012,"")</f>
        <v/>
      </c>
    </row>
    <row r="1013">
      <c r="A1013" s="35">
        <f>IF(M1013="","",HYPERLINK("https://www.youtube.com/watch?v="&amp;M1013,"▶"))</f>
        <v/>
      </c>
      <c r="B1013" s="36">
        <f>IF(C1013&lt;&gt;"",C1013,IF(P1013&lt;=IFERROR(INDEX(tblChannels[Watched Through],MATCH(N1013,tblChannels[Channel ID],0)),0),"Watched","Unwatched"))</f>
        <v/>
      </c>
      <c r="C1013" s="37" t="n"/>
      <c r="D1013" s="38" t="n"/>
      <c r="E1013" s="39" t="n">
        <v>44909.63958333333</v>
      </c>
      <c r="F1013" s="47" t="inlineStr">
        <is>
          <t>Super Carlin Brothers</t>
        </is>
      </c>
      <c r="G1013" t="inlineStr">
        <is>
          <t>What If Dumbledore NEVER Put On The Ring? | Harry Potter Film Theory</t>
        </is>
      </c>
      <c r="H1013" s="41" t="n">
        <v>0.02018518518518518</v>
      </c>
      <c r="I1013" s="42" t="n">
        <v>1139169</v>
      </c>
      <c r="J1013" s="42" t="n">
        <v>24912</v>
      </c>
      <c r="K1013" s="42" t="n">
        <v>2360</v>
      </c>
      <c r="L1013" s="43" t="n"/>
      <c r="M1013" s="44" t="n"/>
      <c r="N1013" s="44" t="inlineStr">
        <is>
          <t>UCKZo4N0lVPccBkSiuyVh4yg</t>
        </is>
      </c>
      <c r="O1013" s="45" t="n">
        <v>44909.84791666667</v>
      </c>
      <c r="P1013" s="46" t="n">
        <v>44909</v>
      </c>
      <c r="Q1013" s="44" t="n">
        <v>2259</v>
      </c>
      <c r="R1013" s="44" t="inlineStr">
        <is>
          <t>No Video ID yet</t>
        </is>
      </c>
      <c r="S1013" s="46" t="n"/>
      <c r="T1013" s="46" t="n"/>
      <c r="U1013" s="44" t="n"/>
      <c r="V1013" s="44">
        <f>IF(AND(P1013&gt;=Calendar!$K$2,P1013&lt;EDATE(Calendar!$K$2,1),OR(Calendar!$K$4="*",N1013=Calendar!$K$4)),P1013*100+COUNTIFS($P$6:$P$3271,P1013,$Q$6:$Q$3271,"&lt;="&amp;Q1013,$N$6:$N$3271,Calendar!$K$4),"")</f>
        <v/>
      </c>
      <c r="W1013" s="44">
        <f>IF(AND(B1013=Queue!$C$4,OR(Queue!$K$4="*",N1013=Queue!$K$4)),Q1013,"")</f>
        <v/>
      </c>
    </row>
    <row r="1014">
      <c r="A1014" s="35">
        <f>IF(M1014="","",HYPERLINK("https://www.youtube.com/watch?v="&amp;M1014,"▶"))</f>
        <v/>
      </c>
      <c r="B1014" s="36">
        <f>IF(C1014&lt;&gt;"",C1014,IF(P1014&lt;=IFERROR(INDEX(tblChannels[Watched Through],MATCH(N1014,tblChannels[Channel ID],0)),0),"Watched","Unwatched"))</f>
        <v/>
      </c>
      <c r="C1014" s="37" t="n"/>
      <c r="D1014" s="38" t="n"/>
      <c r="E1014" s="39" t="n">
        <v>44908.72916666666</v>
      </c>
      <c r="F1014" s="49" t="inlineStr">
        <is>
          <t>Super Carlin Gaming</t>
        </is>
      </c>
      <c r="G1014" t="inlineStr">
        <is>
          <t>Type Advantage Is EVERYTHING | Carlin Brothers Box Breakers S3/E2</t>
        </is>
      </c>
      <c r="H1014" s="41" t="n">
        <v>0.03012731481481482</v>
      </c>
      <c r="I1014" s="42" t="n">
        <v>3265</v>
      </c>
      <c r="J1014" s="42" t="n">
        <v>176</v>
      </c>
      <c r="K1014" s="42" t="n">
        <v>19</v>
      </c>
      <c r="L1014" s="43" t="n"/>
      <c r="M1014" s="44" t="n"/>
      <c r="N1014" s="44" t="inlineStr">
        <is>
          <t>UCor_9jRnNNZVzTuQ92PKsaQ</t>
        </is>
      </c>
      <c r="O1014" s="45" t="n">
        <v>44908.9375</v>
      </c>
      <c r="P1014" s="46" t="n">
        <v>44908</v>
      </c>
      <c r="Q1014" s="44" t="n">
        <v>2258</v>
      </c>
      <c r="R1014" s="44" t="inlineStr">
        <is>
          <t>No Video ID yet</t>
        </is>
      </c>
      <c r="S1014" s="46" t="n"/>
      <c r="T1014" s="46" t="n"/>
      <c r="U1014" s="44" t="n"/>
      <c r="V1014" s="44">
        <f>IF(AND(P1014&gt;=Calendar!$K$2,P1014&lt;EDATE(Calendar!$K$2,1),OR(Calendar!$K$4="*",N1014=Calendar!$K$4)),P1014*100+COUNTIFS($P$6:$P$3271,P1014,$Q$6:$Q$3271,"&lt;="&amp;Q1014,$N$6:$N$3271,Calendar!$K$4),"")</f>
        <v/>
      </c>
      <c r="W1014" s="44">
        <f>IF(AND(B1014=Queue!$C$4,OR(Queue!$K$4="*",N1014=Queue!$K$4)),Q1014,"")</f>
        <v/>
      </c>
    </row>
    <row r="1015">
      <c r="A1015" s="35">
        <f>IF(M1015="","",HYPERLINK("https://www.youtube.com/watch?v="&amp;M1015,"▶"))</f>
        <v/>
      </c>
      <c r="B1015" s="36">
        <f>IF(C1015&lt;&gt;"",C1015,IF(P1015&lt;=IFERROR(INDEX(tblChannels[Watched Through],MATCH(N1015,tblChannels[Channel ID],0)),0),"Watched","Unwatched"))</f>
        <v/>
      </c>
      <c r="C1015" s="37" t="n"/>
      <c r="D1015" s="38" t="n"/>
      <c r="E1015" s="39" t="n">
        <v>44906.625</v>
      </c>
      <c r="F1015" s="47" t="inlineStr">
        <is>
          <t>Super Carlin Brothers</t>
        </is>
      </c>
      <c r="G1015" t="inlineStr">
        <is>
          <t>What If Harry Was In Slytherin - FULL STORY 5-7 | Harry Potter Film Theory</t>
        </is>
      </c>
      <c r="H1015" s="41" t="n">
        <v>0.1153472222222222</v>
      </c>
      <c r="I1015" s="42" t="n">
        <v>2652837</v>
      </c>
      <c r="J1015" s="42" t="n">
        <v>37595</v>
      </c>
      <c r="K1015" s="42" t="n">
        <v>3964</v>
      </c>
      <c r="L1015" s="43" t="n"/>
      <c r="M1015" s="44" t="n"/>
      <c r="N1015" s="44" t="inlineStr">
        <is>
          <t>UCKZo4N0lVPccBkSiuyVh4yg</t>
        </is>
      </c>
      <c r="O1015" s="45" t="n">
        <v>44906.83333333334</v>
      </c>
      <c r="P1015" s="46" t="n">
        <v>44906</v>
      </c>
      <c r="Q1015" s="44" t="n">
        <v>2257</v>
      </c>
      <c r="R1015" s="44" t="inlineStr">
        <is>
          <t>No Video ID yet</t>
        </is>
      </c>
      <c r="S1015" s="46" t="n"/>
      <c r="T1015" s="46" t="n"/>
      <c r="U1015" s="44" t="n"/>
      <c r="V1015" s="44">
        <f>IF(AND(P1015&gt;=Calendar!$K$2,P1015&lt;EDATE(Calendar!$K$2,1),OR(Calendar!$K$4="*",N1015=Calendar!$K$4)),P1015*100+COUNTIFS($P$6:$P$3271,P1015,$Q$6:$Q$3271,"&lt;="&amp;Q1015,$N$6:$N$3271,Calendar!$K$4),"")</f>
        <v/>
      </c>
      <c r="W1015" s="44">
        <f>IF(AND(B1015=Queue!$C$4,OR(Queue!$K$4="*",N1015=Queue!$K$4)),Q1015,"")</f>
        <v/>
      </c>
    </row>
    <row r="1016">
      <c r="A1016" s="35">
        <f>IF(M1016="","",HYPERLINK("https://www.youtube.com/watch?v="&amp;M1016,"▶"))</f>
        <v/>
      </c>
      <c r="B1016" s="36">
        <f>IF(C1016&lt;&gt;"",C1016,IF(P1016&lt;=IFERROR(INDEX(tblChannels[Watched Through],MATCH(N1016,tblChannels[Channel ID],0)),0),"Watched","Unwatched"))</f>
        <v/>
      </c>
      <c r="C1016" s="37" t="n"/>
      <c r="D1016" s="38" t="n"/>
      <c r="E1016" s="39" t="n">
        <v>44905.625</v>
      </c>
      <c r="F1016" s="47" t="inlineStr">
        <is>
          <t>Super Carlin Brothers</t>
        </is>
      </c>
      <c r="G1016" t="inlineStr">
        <is>
          <t>What If Harry Was In Slytherin - FULL STORY 1-4</t>
        </is>
      </c>
      <c r="H1016" s="41" t="n">
        <v>0.07238425925925926</v>
      </c>
      <c r="I1016" s="42" t="n">
        <v>3240574</v>
      </c>
      <c r="J1016" s="42" t="n">
        <v>54706</v>
      </c>
      <c r="K1016" s="42" t="n">
        <v>3204</v>
      </c>
      <c r="L1016" s="43" t="n"/>
      <c r="M1016" s="44" t="n"/>
      <c r="N1016" s="44" t="inlineStr">
        <is>
          <t>UCKZo4N0lVPccBkSiuyVh4yg</t>
        </is>
      </c>
      <c r="O1016" s="45" t="n">
        <v>44905.83333333334</v>
      </c>
      <c r="P1016" s="46" t="n">
        <v>44905</v>
      </c>
      <c r="Q1016" s="44" t="n">
        <v>2256</v>
      </c>
      <c r="R1016" s="44" t="inlineStr">
        <is>
          <t>No Video ID yet</t>
        </is>
      </c>
      <c r="S1016" s="46" t="n"/>
      <c r="T1016" s="46" t="n"/>
      <c r="U1016" s="44" t="n"/>
      <c r="V1016" s="44">
        <f>IF(AND(P1016&gt;=Calendar!$K$2,P1016&lt;EDATE(Calendar!$K$2,1),OR(Calendar!$K$4="*",N1016=Calendar!$K$4)),P1016*100+COUNTIFS($P$6:$P$3271,P1016,$Q$6:$Q$3271,"&lt;="&amp;Q1016,$N$6:$N$3271,Calendar!$K$4),"")</f>
        <v/>
      </c>
      <c r="W1016" s="44">
        <f>IF(AND(B1016=Queue!$C$4,OR(Queue!$K$4="*",N1016=Queue!$K$4)),Q1016,"")</f>
        <v/>
      </c>
    </row>
    <row r="1017">
      <c r="A1017" s="35">
        <f>IF(M1017="","",HYPERLINK("https://www.youtube.com/watch?v="&amp;M1017,"▶"))</f>
        <v/>
      </c>
      <c r="B1017" s="36">
        <f>IF(C1017&lt;&gt;"",C1017,IF(P1017&lt;=IFERROR(INDEX(tblChannels[Watched Through],MATCH(N1017,tblChannels[Channel ID],0)),0),"Watched","Unwatched"))</f>
        <v/>
      </c>
      <c r="C1017" s="37" t="n"/>
      <c r="D1017" s="38" t="n"/>
      <c r="E1017" s="39" t="n">
        <v>44904.79791666667</v>
      </c>
      <c r="F1017" s="47" t="inlineStr">
        <is>
          <t>Super Carlin Brothers</t>
        </is>
      </c>
      <c r="G1017" t="inlineStr">
        <is>
          <t>J vs Ben: HARDEST Frozen Trivia Quiz | POLAR PLUNGE PUNISHMENT</t>
        </is>
      </c>
      <c r="H1017" s="41" t="n">
        <v>0.01993055555555556</v>
      </c>
      <c r="I1017" s="42" t="n">
        <v>166563</v>
      </c>
      <c r="J1017" s="42" t="n">
        <v>7709</v>
      </c>
      <c r="K1017" s="42" t="n">
        <v>453</v>
      </c>
      <c r="L1017" s="43" t="n"/>
      <c r="M1017" s="44" t="n"/>
      <c r="N1017" s="44" t="inlineStr">
        <is>
          <t>UCKZo4N0lVPccBkSiuyVh4yg</t>
        </is>
      </c>
      <c r="O1017" s="45" t="n">
        <v>44905.00625</v>
      </c>
      <c r="P1017" s="46" t="n">
        <v>44904</v>
      </c>
      <c r="Q1017" s="44" t="n">
        <v>2255</v>
      </c>
      <c r="R1017" s="44" t="inlineStr">
        <is>
          <t>No Video ID yet</t>
        </is>
      </c>
      <c r="S1017" s="46" t="n"/>
      <c r="T1017" s="46" t="n"/>
      <c r="U1017" s="44" t="n"/>
      <c r="V1017" s="44">
        <f>IF(AND(P1017&gt;=Calendar!$K$2,P1017&lt;EDATE(Calendar!$K$2,1),OR(Calendar!$K$4="*",N1017=Calendar!$K$4)),P1017*100+COUNTIFS($P$6:$P$3271,P1017,$Q$6:$Q$3271,"&lt;="&amp;Q1017,$N$6:$N$3271,Calendar!$K$4),"")</f>
        <v/>
      </c>
      <c r="W1017" s="44">
        <f>IF(AND(B1017=Queue!$C$4,OR(Queue!$K$4="*",N1017=Queue!$K$4)),Q1017,"")</f>
        <v/>
      </c>
    </row>
    <row r="1018">
      <c r="A1018" s="35">
        <f>IF(M1018="","",HYPERLINK("https://www.youtube.com/watch?v="&amp;M1018,"▶"))</f>
        <v/>
      </c>
      <c r="B1018" s="36">
        <f>IF(C1018&lt;&gt;"",C1018,IF(P1018&lt;=IFERROR(INDEX(tblChannels[Watched Through],MATCH(N1018,tblChannels[Channel ID],0)),0),"Watched","Unwatched"))</f>
        <v/>
      </c>
      <c r="C1018" s="37" t="n"/>
      <c r="D1018" s="38" t="n"/>
      <c r="E1018" s="39" t="n">
        <v>44904.41666666666</v>
      </c>
      <c r="F1018" s="40" t="inlineStr">
        <is>
          <t>Popcorn Culture</t>
        </is>
      </c>
      <c r="G1018" t="inlineStr">
        <is>
          <t>The Jingle Bell Curve | Popcorn Culture</t>
        </is>
      </c>
      <c r="H1018" s="41" t="n">
        <v>0.04864583333333333</v>
      </c>
      <c r="I1018" s="42" t="n">
        <v>6264</v>
      </c>
      <c r="J1018" s="42" t="n">
        <v>272</v>
      </c>
      <c r="K1018" s="42" t="n">
        <v>28</v>
      </c>
      <c r="L1018" s="43" t="n"/>
      <c r="M1018" s="44" t="n"/>
      <c r="N1018" s="44" t="inlineStr">
        <is>
          <t>UCHfIbq9thHPC8yrKjAdJgDA</t>
        </is>
      </c>
      <c r="O1018" s="45" t="n">
        <v>44904.625</v>
      </c>
      <c r="P1018" s="46" t="n">
        <v>44904</v>
      </c>
      <c r="Q1018" s="44" t="n">
        <v>2254</v>
      </c>
      <c r="R1018" s="44" t="inlineStr">
        <is>
          <t>No Video ID yet</t>
        </is>
      </c>
      <c r="S1018" s="46" t="n"/>
      <c r="T1018" s="46" t="n"/>
      <c r="U1018" s="44" t="n"/>
      <c r="V1018" s="44">
        <f>IF(AND(P1018&gt;=Calendar!$K$2,P1018&lt;EDATE(Calendar!$K$2,1),OR(Calendar!$K$4="*",N1018=Calendar!$K$4)),P1018*100+COUNTIFS($P$6:$P$3271,P1018,$Q$6:$Q$3271,"&lt;="&amp;Q1018,$N$6:$N$3271,Calendar!$K$4),"")</f>
        <v/>
      </c>
      <c r="W1018" s="44">
        <f>IF(AND(B1018=Queue!$C$4,OR(Queue!$K$4="*",N1018=Queue!$K$4)),Q1018,"")</f>
        <v/>
      </c>
    </row>
    <row r="1019">
      <c r="A1019" s="35">
        <f>IF(M1019="","",HYPERLINK("https://www.youtube.com/watch?v="&amp;M1019,"▶"))</f>
        <v/>
      </c>
      <c r="B1019" s="36">
        <f>IF(C1019&lt;&gt;"",C1019,IF(P1019&lt;=IFERROR(INDEX(tblChannels[Watched Through],MATCH(N1019,tblChannels[Channel ID],0)),0),"Watched","Unwatched"))</f>
        <v/>
      </c>
      <c r="C1019" s="37" t="n"/>
      <c r="D1019" s="38" t="n"/>
      <c r="E1019" s="39" t="n">
        <v>44902.55972222222</v>
      </c>
      <c r="F1019" s="47" t="inlineStr">
        <is>
          <t>Super Carlin Brothers</t>
        </is>
      </c>
      <c r="G1019" t="inlineStr">
        <is>
          <t>The TRUTH About Kristoff’s Parents | Frozen Film Theory</t>
        </is>
      </c>
      <c r="H1019" s="41" t="n">
        <v>0.01021990740740741</v>
      </c>
      <c r="I1019" s="42" t="n">
        <v>122754</v>
      </c>
      <c r="J1019" s="42" t="n">
        <v>6490</v>
      </c>
      <c r="K1019" s="42" t="n">
        <v>250</v>
      </c>
      <c r="L1019" s="43" t="n"/>
      <c r="M1019" s="44" t="n"/>
      <c r="N1019" s="44" t="inlineStr">
        <is>
          <t>UCKZo4N0lVPccBkSiuyVh4yg</t>
        </is>
      </c>
      <c r="O1019" s="45" t="n">
        <v>44902.76805555556</v>
      </c>
      <c r="P1019" s="46" t="n">
        <v>44902</v>
      </c>
      <c r="Q1019" s="44" t="n">
        <v>2253</v>
      </c>
      <c r="R1019" s="44" t="inlineStr">
        <is>
          <t>No Video ID yet</t>
        </is>
      </c>
      <c r="S1019" s="46" t="n"/>
      <c r="T1019" s="46" t="n"/>
      <c r="U1019" s="44" t="n"/>
      <c r="V1019" s="44">
        <f>IF(AND(P1019&gt;=Calendar!$K$2,P1019&lt;EDATE(Calendar!$K$2,1),OR(Calendar!$K$4="*",N1019=Calendar!$K$4)),P1019*100+COUNTIFS($P$6:$P$3271,P1019,$Q$6:$Q$3271,"&lt;="&amp;Q1019,$N$6:$N$3271,Calendar!$K$4),"")</f>
        <v/>
      </c>
      <c r="W1019" s="44">
        <f>IF(AND(B1019=Queue!$C$4,OR(Queue!$K$4="*",N1019=Queue!$K$4)),Q1019,"")</f>
        <v/>
      </c>
    </row>
    <row r="1020">
      <c r="A1020" s="35">
        <f>IF(M1020="","",HYPERLINK("https://www.youtube.com/watch?v="&amp;M1020,"▶"))</f>
        <v/>
      </c>
      <c r="B1020" s="36">
        <f>IF(C1020&lt;&gt;"",C1020,IF(P1020&lt;=IFERROR(INDEX(tblChannels[Watched Through],MATCH(N1020,tblChannels[Channel ID],0)),0),"Watched","Unwatched"))</f>
        <v/>
      </c>
      <c r="C1020" s="37" t="n"/>
      <c r="D1020" s="38" t="n"/>
      <c r="E1020" s="39" t="n">
        <v>44901.72916666666</v>
      </c>
      <c r="F1020" s="49" t="inlineStr">
        <is>
          <t>Super Carlin Gaming</t>
        </is>
      </c>
      <c r="G1020" t="inlineStr">
        <is>
          <t>SILVER TEMPEST BEGINS |  Carlin Brothers Box Breakers S3/E1</t>
        </is>
      </c>
      <c r="H1020" s="41" t="n">
        <v>0.02967592592592593</v>
      </c>
      <c r="I1020" s="42" t="n">
        <v>3816</v>
      </c>
      <c r="J1020" s="42" t="n">
        <v>175</v>
      </c>
      <c r="K1020" s="42" t="n">
        <v>22</v>
      </c>
      <c r="L1020" s="43" t="n"/>
      <c r="M1020" s="44" t="n"/>
      <c r="N1020" s="44" t="inlineStr">
        <is>
          <t>UCor_9jRnNNZVzTuQ92PKsaQ</t>
        </is>
      </c>
      <c r="O1020" s="45" t="n">
        <v>44901.9375</v>
      </c>
      <c r="P1020" s="46" t="n">
        <v>44901</v>
      </c>
      <c r="Q1020" s="44" t="n">
        <v>2252</v>
      </c>
      <c r="R1020" s="44" t="inlineStr">
        <is>
          <t>No Video ID yet</t>
        </is>
      </c>
      <c r="S1020" s="46" t="n"/>
      <c r="T1020" s="46" t="n"/>
      <c r="U1020" s="44" t="n"/>
      <c r="V1020" s="44">
        <f>IF(AND(P1020&gt;=Calendar!$K$2,P1020&lt;EDATE(Calendar!$K$2,1),OR(Calendar!$K$4="*",N1020=Calendar!$K$4)),P1020*100+COUNTIFS($P$6:$P$3271,P1020,$Q$6:$Q$3271,"&lt;="&amp;Q1020,$N$6:$N$3271,Calendar!$K$4),"")</f>
        <v/>
      </c>
      <c r="W1020" s="44">
        <f>IF(AND(B1020=Queue!$C$4,OR(Queue!$K$4="*",N1020=Queue!$K$4)),Q1020,"")</f>
        <v/>
      </c>
    </row>
    <row r="1021">
      <c r="A1021" s="35">
        <f>IF(M1021="","",HYPERLINK("https://www.youtube.com/watch?v="&amp;M1021,"▶"))</f>
        <v/>
      </c>
      <c r="B1021" s="36">
        <f>IF(C1021&lt;&gt;"",C1021,IF(P1021&lt;=IFERROR(INDEX(tblChannels[Watched Through],MATCH(N1021,tblChannels[Channel ID],0)),0),"Watched","Unwatched"))</f>
        <v/>
      </c>
      <c r="C1021" s="37" t="n"/>
      <c r="D1021" s="38" t="n"/>
      <c r="E1021" s="39" t="n">
        <v>44897.67361111111</v>
      </c>
      <c r="F1021" s="47" t="inlineStr">
        <is>
          <t>Super Carlin Brothers</t>
        </is>
      </c>
      <c r="G1021" t="inlineStr">
        <is>
          <t>What If Lupin NEVER Became A Werewolf? | Harry Potter Film Theory</t>
        </is>
      </c>
      <c r="H1021" s="41" t="n">
        <v>0.01334490740740741</v>
      </c>
      <c r="I1021" s="42" t="n">
        <v>368403</v>
      </c>
      <c r="J1021" s="42" t="n">
        <v>12404</v>
      </c>
      <c r="K1021" s="42" t="n">
        <v>1107</v>
      </c>
      <c r="L1021" s="43" t="n"/>
      <c r="M1021" s="44" t="n"/>
      <c r="N1021" s="44" t="inlineStr">
        <is>
          <t>UCKZo4N0lVPccBkSiuyVh4yg</t>
        </is>
      </c>
      <c r="O1021" s="45" t="n">
        <v>44897.88194444445</v>
      </c>
      <c r="P1021" s="46" t="n">
        <v>44897</v>
      </c>
      <c r="Q1021" s="44" t="n">
        <v>2251</v>
      </c>
      <c r="R1021" s="44" t="inlineStr">
        <is>
          <t>No Video ID yet</t>
        </is>
      </c>
      <c r="S1021" s="46" t="n"/>
      <c r="T1021" s="46" t="n"/>
      <c r="U1021" s="44" t="n"/>
      <c r="V1021" s="44">
        <f>IF(AND(P1021&gt;=Calendar!$K$2,P1021&lt;EDATE(Calendar!$K$2,1),OR(Calendar!$K$4="*",N1021=Calendar!$K$4)),P1021*100+COUNTIFS($P$6:$P$3271,P1021,$Q$6:$Q$3271,"&lt;="&amp;Q1021,$N$6:$N$3271,Calendar!$K$4),"")</f>
        <v/>
      </c>
      <c r="W1021" s="44">
        <f>IF(AND(B1021=Queue!$C$4,OR(Queue!$K$4="*",N1021=Queue!$K$4)),Q1021,"")</f>
        <v/>
      </c>
    </row>
    <row r="1022">
      <c r="A1022" s="35">
        <f>IF(M1022="","",HYPERLINK("https://www.youtube.com/watch?v="&amp;M1022,"▶"))</f>
        <v/>
      </c>
      <c r="B1022" s="36">
        <f>IF(C1022&lt;&gt;"",C1022,IF(P1022&lt;=IFERROR(INDEX(tblChannels[Watched Through],MATCH(N1022,tblChannels[Channel ID],0)),0),"Watched","Unwatched"))</f>
        <v/>
      </c>
      <c r="C1022" s="37" t="n"/>
      <c r="D1022" s="38" t="n"/>
      <c r="E1022" s="39" t="n">
        <v>44897.41666666666</v>
      </c>
      <c r="F1022" s="40" t="inlineStr">
        <is>
          <t>Popcorn Culture</t>
        </is>
      </c>
      <c r="G1022" t="inlineStr">
        <is>
          <t>Turn the Dark Off | Popcorn Culture</t>
        </is>
      </c>
      <c r="H1022" s="41" t="n">
        <v>0.04694444444444444</v>
      </c>
      <c r="I1022" s="42" t="n">
        <v>5030</v>
      </c>
      <c r="J1022" s="42" t="n">
        <v>267</v>
      </c>
      <c r="K1022" s="42" t="n">
        <v>36</v>
      </c>
      <c r="L1022" s="43" t="n"/>
      <c r="M1022" s="44" t="n"/>
      <c r="N1022" s="44" t="inlineStr">
        <is>
          <t>UCHfIbq9thHPC8yrKjAdJgDA</t>
        </is>
      </c>
      <c r="O1022" s="45" t="n">
        <v>44897.625</v>
      </c>
      <c r="P1022" s="46" t="n">
        <v>44897</v>
      </c>
      <c r="Q1022" s="44" t="n">
        <v>2250</v>
      </c>
      <c r="R1022" s="44" t="inlineStr">
        <is>
          <t>No Video ID yet</t>
        </is>
      </c>
      <c r="S1022" s="46" t="n"/>
      <c r="T1022" s="46" t="n"/>
      <c r="U1022" s="44" t="n"/>
      <c r="V1022" s="44">
        <f>IF(AND(P1022&gt;=Calendar!$K$2,P1022&lt;EDATE(Calendar!$K$2,1),OR(Calendar!$K$4="*",N1022=Calendar!$K$4)),P1022*100+COUNTIFS($P$6:$P$3271,P1022,$Q$6:$Q$3271,"&lt;="&amp;Q1022,$N$6:$N$3271,Calendar!$K$4),"")</f>
        <v/>
      </c>
      <c r="W1022" s="44">
        <f>IF(AND(B1022=Queue!$C$4,OR(Queue!$K$4="*",N1022=Queue!$K$4)),Q1022,"")</f>
        <v/>
      </c>
    </row>
    <row r="1023">
      <c r="A1023" s="35">
        <f>IF(M1023="","",HYPERLINK("https://www.youtube.com/watch?v="&amp;M1023,"▶"))</f>
        <v/>
      </c>
      <c r="B1023" s="36">
        <f>IF(C1023&lt;&gt;"",C1023,IF(P1023&lt;=IFERROR(INDEX(tblChannels[Watched Through],MATCH(N1023,tblChannels[Channel ID],0)),0),"Watched","Unwatched"))</f>
        <v/>
      </c>
      <c r="C1023" s="37" t="n"/>
      <c r="D1023" s="38" t="n"/>
      <c r="E1023" s="39" t="n">
        <v>44895.81875</v>
      </c>
      <c r="F1023" s="47" t="inlineStr">
        <is>
          <t>Super Carlin Brothers</t>
        </is>
      </c>
      <c r="G1023" t="inlineStr">
        <is>
          <t>The COMPLETE Pixar Theory 2022</t>
        </is>
      </c>
      <c r="H1023" s="41" t="n">
        <v>0.03328703703703704</v>
      </c>
      <c r="I1023" s="42" t="n">
        <v>2540193</v>
      </c>
      <c r="J1023" s="42" t="n">
        <v>65151</v>
      </c>
      <c r="K1023" s="42" t="n">
        <v>2719</v>
      </c>
      <c r="L1023" s="43" t="n"/>
      <c r="M1023" s="44" t="n"/>
      <c r="N1023" s="44" t="inlineStr">
        <is>
          <t>UCKZo4N0lVPccBkSiuyVh4yg</t>
        </is>
      </c>
      <c r="O1023" s="45" t="n">
        <v>44896.02708333333</v>
      </c>
      <c r="P1023" s="46" t="n">
        <v>44895</v>
      </c>
      <c r="Q1023" s="44" t="n">
        <v>2249</v>
      </c>
      <c r="R1023" s="44" t="inlineStr">
        <is>
          <t>No Video ID yet</t>
        </is>
      </c>
      <c r="S1023" s="46" t="n"/>
      <c r="T1023" s="46" t="n"/>
      <c r="U1023" s="44" t="n"/>
      <c r="V1023" s="44">
        <f>IF(AND(P1023&gt;=Calendar!$K$2,P1023&lt;EDATE(Calendar!$K$2,1),OR(Calendar!$K$4="*",N1023=Calendar!$K$4)),P1023*100+COUNTIFS($P$6:$P$3271,P1023,$Q$6:$Q$3271,"&lt;="&amp;Q1023,$N$6:$N$3271,Calendar!$K$4),"")</f>
        <v/>
      </c>
      <c r="W1023" s="44">
        <f>IF(AND(B1023=Queue!$C$4,OR(Queue!$K$4="*",N1023=Queue!$K$4)),Q1023,"")</f>
        <v/>
      </c>
    </row>
    <row r="1024">
      <c r="A1024" s="35">
        <f>IF(M1024="","",HYPERLINK("https://www.youtube.com/watch?v="&amp;M1024,"▶"))</f>
        <v/>
      </c>
      <c r="B1024" s="36">
        <f>IF(C1024&lt;&gt;"",C1024,IF(P1024&lt;=IFERROR(INDEX(tblChannels[Watched Through],MATCH(N1024,tblChannels[Channel ID],0)),0),"Watched","Unwatched"))</f>
        <v/>
      </c>
      <c r="C1024" s="37" t="n"/>
      <c r="D1024" s="38" t="n"/>
      <c r="E1024" s="39" t="n">
        <v>44891.33333333334</v>
      </c>
      <c r="F1024" s="49" t="inlineStr">
        <is>
          <t>Super Carlin Gaming</t>
        </is>
      </c>
      <c r="G1024" t="inlineStr">
        <is>
          <t>CHAIN CUP CHAMPIONS | Bonus Gaming Preview</t>
        </is>
      </c>
      <c r="H1024" s="41" t="n">
        <v>0.0290162037037037</v>
      </c>
      <c r="I1024" s="42" t="n">
        <v>2136</v>
      </c>
      <c r="J1024" s="42" t="n">
        <v>106</v>
      </c>
      <c r="K1024" s="42" t="n">
        <v>12</v>
      </c>
      <c r="L1024" s="43" t="n"/>
      <c r="M1024" s="44" t="n"/>
      <c r="N1024" s="44" t="inlineStr">
        <is>
          <t>UCor_9jRnNNZVzTuQ92PKsaQ</t>
        </is>
      </c>
      <c r="O1024" s="45" t="n">
        <v>44891.54166666666</v>
      </c>
      <c r="P1024" s="46" t="n">
        <v>44891</v>
      </c>
      <c r="Q1024" s="44" t="n">
        <v>2248</v>
      </c>
      <c r="R1024" s="44" t="inlineStr">
        <is>
          <t>No Video ID yet</t>
        </is>
      </c>
      <c r="S1024" s="46" t="n"/>
      <c r="T1024" s="46" t="n"/>
      <c r="U1024" s="44" t="n"/>
      <c r="V1024" s="44">
        <f>IF(AND(P1024&gt;=Calendar!$K$2,P1024&lt;EDATE(Calendar!$K$2,1),OR(Calendar!$K$4="*",N1024=Calendar!$K$4)),P1024*100+COUNTIFS($P$6:$P$3271,P1024,$Q$6:$Q$3271,"&lt;="&amp;Q1024,$N$6:$N$3271,Calendar!$K$4),"")</f>
        <v/>
      </c>
      <c r="W1024" s="44">
        <f>IF(AND(B1024=Queue!$C$4,OR(Queue!$K$4="*",N1024=Queue!$K$4)),Q1024,"")</f>
        <v/>
      </c>
    </row>
    <row r="1025">
      <c r="A1025" s="35">
        <f>IF(M1025="","",HYPERLINK("https://www.youtube.com/watch?v="&amp;M1025,"▶"))</f>
        <v/>
      </c>
      <c r="B1025" s="36">
        <f>IF(C1025&lt;&gt;"",C1025,IF(P1025&lt;=IFERROR(INDEX(tblChannels[Watched Through],MATCH(N1025,tblChannels[Channel ID],0)),0),"Watched","Unwatched"))</f>
        <v/>
      </c>
      <c r="C1025" s="37" t="n"/>
      <c r="D1025" s="38" t="n"/>
      <c r="E1025" s="39" t="n">
        <v>44890.41666666666</v>
      </c>
      <c r="F1025" s="40" t="inlineStr">
        <is>
          <t>Popcorn Culture</t>
        </is>
      </c>
      <c r="G1025" t="inlineStr">
        <is>
          <t>Brain Crack | Popcorn Culture</t>
        </is>
      </c>
      <c r="H1025" s="41" t="n">
        <v>0.04668981481481482</v>
      </c>
      <c r="I1025" s="42" t="n">
        <v>4468</v>
      </c>
      <c r="J1025" s="42" t="n">
        <v>247</v>
      </c>
      <c r="K1025" s="42" t="n">
        <v>17</v>
      </c>
      <c r="L1025" s="43" t="n"/>
      <c r="M1025" s="44" t="n"/>
      <c r="N1025" s="44" t="inlineStr">
        <is>
          <t>UCHfIbq9thHPC8yrKjAdJgDA</t>
        </is>
      </c>
      <c r="O1025" s="45" t="n">
        <v>44890.625</v>
      </c>
      <c r="P1025" s="46" t="n">
        <v>44890</v>
      </c>
      <c r="Q1025" s="44" t="n">
        <v>2247</v>
      </c>
      <c r="R1025" s="44" t="inlineStr">
        <is>
          <t>No Video ID yet</t>
        </is>
      </c>
      <c r="S1025" s="46" t="n"/>
      <c r="T1025" s="46" t="n"/>
      <c r="U1025" s="44" t="n"/>
      <c r="V1025" s="44">
        <f>IF(AND(P1025&gt;=Calendar!$K$2,P1025&lt;EDATE(Calendar!$K$2,1),OR(Calendar!$K$4="*",N1025=Calendar!$K$4)),P1025*100+COUNTIFS($P$6:$P$3271,P1025,$Q$6:$Q$3271,"&lt;="&amp;Q1025,$N$6:$N$3271,Calendar!$K$4),"")</f>
        <v/>
      </c>
      <c r="W1025" s="44">
        <f>IF(AND(B1025=Queue!$C$4,OR(Queue!$K$4="*",N1025=Queue!$K$4)),Q1025,"")</f>
        <v/>
      </c>
    </row>
    <row r="1026">
      <c r="A1026" s="35">
        <f>IF(M1026="","",HYPERLINK("https://www.youtube.com/watch?v="&amp;M1026,"▶"))</f>
        <v/>
      </c>
      <c r="B1026" s="36">
        <f>IF(C1026&lt;&gt;"",C1026,IF(P1026&lt;=IFERROR(INDEX(tblChannels[Watched Through],MATCH(N1026,tblChannels[Channel ID],0)),0),"Watched","Unwatched"))</f>
        <v/>
      </c>
      <c r="C1026" s="37" t="n"/>
      <c r="D1026" s="38" t="n"/>
      <c r="E1026" s="39" t="n">
        <v>44889.625</v>
      </c>
      <c r="F1026" s="47" t="inlineStr">
        <is>
          <t>Super Carlin Brothers</t>
        </is>
      </c>
      <c r="G1026" t="inlineStr">
        <is>
          <t>J vs Ben: HARDEST Goblet of Fire Harry Potter Trivia | PSYCHO HOT SAUCE PUNISHMENT</t>
        </is>
      </c>
      <c r="H1026" s="41" t="n">
        <v>0.02416666666666667</v>
      </c>
      <c r="I1026" s="42" t="n">
        <v>257761</v>
      </c>
      <c r="J1026" s="42" t="n">
        <v>12102</v>
      </c>
      <c r="K1026" s="42" t="n">
        <v>701</v>
      </c>
      <c r="L1026" s="43" t="n"/>
      <c r="M1026" s="44" t="n"/>
      <c r="N1026" s="44" t="inlineStr">
        <is>
          <t>UCKZo4N0lVPccBkSiuyVh4yg</t>
        </is>
      </c>
      <c r="O1026" s="45" t="n">
        <v>44889.83333333334</v>
      </c>
      <c r="P1026" s="46" t="n">
        <v>44889</v>
      </c>
      <c r="Q1026" s="44" t="n">
        <v>2246</v>
      </c>
      <c r="R1026" s="44" t="inlineStr">
        <is>
          <t>No Video ID yet</t>
        </is>
      </c>
      <c r="S1026" s="46" t="n"/>
      <c r="T1026" s="46" t="n"/>
      <c r="U1026" s="44" t="n"/>
      <c r="V1026" s="44">
        <f>IF(AND(P1026&gt;=Calendar!$K$2,P1026&lt;EDATE(Calendar!$K$2,1),OR(Calendar!$K$4="*",N1026=Calendar!$K$4)),P1026*100+COUNTIFS($P$6:$P$3271,P1026,$Q$6:$Q$3271,"&lt;="&amp;Q1026,$N$6:$N$3271,Calendar!$K$4),"")</f>
        <v/>
      </c>
      <c r="W1026" s="44">
        <f>IF(AND(B1026=Queue!$C$4,OR(Queue!$K$4="*",N1026=Queue!$K$4)),Q1026,"")</f>
        <v/>
      </c>
    </row>
    <row r="1027">
      <c r="A1027" s="35">
        <f>IF(M1027="","",HYPERLINK("https://www.youtube.com/watch?v="&amp;M1027,"▶"))</f>
        <v/>
      </c>
      <c r="B1027" s="36">
        <f>IF(C1027&lt;&gt;"",C1027,IF(P1027&lt;=IFERROR(INDEX(tblChannels[Watched Through],MATCH(N1027,tblChannels[Channel ID],0)),0),"Watched","Unwatched"))</f>
        <v/>
      </c>
      <c r="C1027" s="37" t="n"/>
      <c r="D1027" s="38" t="n"/>
      <c r="E1027" s="39" t="n">
        <v>44888.575</v>
      </c>
      <c r="F1027" s="47" t="inlineStr">
        <is>
          <t>Super Carlin Brothers</t>
        </is>
      </c>
      <c r="G1027" t="inlineStr">
        <is>
          <t>Will Hogwarts Legacy Be CANON? | Harry Potter Game Theory</t>
        </is>
      </c>
      <c r="H1027" s="41" t="n">
        <v>0.01273148148148148</v>
      </c>
      <c r="I1027" s="42" t="n">
        <v>240958</v>
      </c>
      <c r="J1027" s="42" t="n">
        <v>9316</v>
      </c>
      <c r="K1027" s="42" t="n">
        <v>989</v>
      </c>
      <c r="L1027" s="43" t="n"/>
      <c r="M1027" s="44" t="n"/>
      <c r="N1027" s="44" t="inlineStr">
        <is>
          <t>UCKZo4N0lVPccBkSiuyVh4yg</t>
        </is>
      </c>
      <c r="O1027" s="45" t="n">
        <v>44888.78333333333</v>
      </c>
      <c r="P1027" s="46" t="n">
        <v>44888</v>
      </c>
      <c r="Q1027" s="44" t="n">
        <v>2245</v>
      </c>
      <c r="R1027" s="44" t="inlineStr">
        <is>
          <t>No Video ID yet</t>
        </is>
      </c>
      <c r="S1027" s="46" t="n"/>
      <c r="T1027" s="46" t="n"/>
      <c r="U1027" s="44" t="n"/>
      <c r="V1027" s="44">
        <f>IF(AND(P1027&gt;=Calendar!$K$2,P1027&lt;EDATE(Calendar!$K$2,1),OR(Calendar!$K$4="*",N1027=Calendar!$K$4)),P1027*100+COUNTIFS($P$6:$P$3271,P1027,$Q$6:$Q$3271,"&lt;="&amp;Q1027,$N$6:$N$3271,Calendar!$K$4),"")</f>
        <v/>
      </c>
      <c r="W1027" s="44">
        <f>IF(AND(B1027=Queue!$C$4,OR(Queue!$K$4="*",N1027=Queue!$K$4)),Q1027,"")</f>
        <v/>
      </c>
    </row>
    <row r="1028">
      <c r="A1028" s="35">
        <f>IF(M1028="","",HYPERLINK("https://www.youtube.com/watch?v="&amp;M1028,"▶"))</f>
        <v/>
      </c>
      <c r="B1028" s="36">
        <f>IF(C1028&lt;&gt;"",C1028,IF(P1028&lt;=IFERROR(INDEX(tblChannels[Watched Through],MATCH(N1028,tblChannels[Channel ID],0)),0),"Watched","Unwatched"))</f>
        <v/>
      </c>
      <c r="C1028" s="37" t="n"/>
      <c r="D1028" s="38" t="n"/>
      <c r="E1028" s="39" t="n">
        <v>44887.58333333334</v>
      </c>
      <c r="F1028" s="49" t="inlineStr">
        <is>
          <t>Super Carlin Gaming</t>
        </is>
      </c>
      <c r="G1028" t="inlineStr">
        <is>
          <t>Who Will Win an Entire Booster Box!? | Box Breakers Season 2 Finale</t>
        </is>
      </c>
      <c r="H1028" s="41" t="n">
        <v>0.03788194444444445</v>
      </c>
      <c r="I1028" s="42" t="n">
        <v>3135</v>
      </c>
      <c r="J1028" s="42" t="n">
        <v>148</v>
      </c>
      <c r="K1028" s="42" t="n">
        <v>23</v>
      </c>
      <c r="L1028" s="43" t="n"/>
      <c r="M1028" s="44" t="n"/>
      <c r="N1028" s="44" t="inlineStr">
        <is>
          <t>UCor_9jRnNNZVzTuQ92PKsaQ</t>
        </is>
      </c>
      <c r="O1028" s="45" t="n">
        <v>44887.79166666666</v>
      </c>
      <c r="P1028" s="46" t="n">
        <v>44887</v>
      </c>
      <c r="Q1028" s="44" t="n">
        <v>2244</v>
      </c>
      <c r="R1028" s="44" t="inlineStr">
        <is>
          <t>No Video ID yet</t>
        </is>
      </c>
      <c r="S1028" s="46" t="n"/>
      <c r="T1028" s="46" t="n"/>
      <c r="U1028" s="44" t="n"/>
      <c r="V1028" s="44">
        <f>IF(AND(P1028&gt;=Calendar!$K$2,P1028&lt;EDATE(Calendar!$K$2,1),OR(Calendar!$K$4="*",N1028=Calendar!$K$4)),P1028*100+COUNTIFS($P$6:$P$3271,P1028,$Q$6:$Q$3271,"&lt;="&amp;Q1028,$N$6:$N$3271,Calendar!$K$4),"")</f>
        <v/>
      </c>
      <c r="W1028" s="44">
        <f>IF(AND(B1028=Queue!$C$4,OR(Queue!$K$4="*",N1028=Queue!$K$4)),Q1028,"")</f>
        <v/>
      </c>
    </row>
    <row r="1029">
      <c r="A1029" s="35">
        <f>IF(M1029="","",HYPERLINK("https://www.youtube.com/watch?v="&amp;M1029,"▶"))</f>
        <v/>
      </c>
      <c r="B1029" s="36">
        <f>IF(C1029&lt;&gt;"",C1029,IF(P1029&lt;=IFERROR(INDEX(tblChannels[Watched Through],MATCH(N1029,tblChannels[Channel ID],0)),0),"Watched","Unwatched"))</f>
        <v/>
      </c>
      <c r="C1029" s="37" t="n"/>
      <c r="D1029" s="38" t="n"/>
      <c r="E1029" s="39" t="n">
        <v>44883.60138888889</v>
      </c>
      <c r="F1029" s="47" t="inlineStr">
        <is>
          <t>Super Carlin Brothers</t>
        </is>
      </c>
      <c r="G1029" t="inlineStr">
        <is>
          <t>PROOF That Severus Snape Is A Vampire | Harry Potter Film Theory</t>
        </is>
      </c>
      <c r="H1029" s="41" t="n">
        <v>0.01107638888888889</v>
      </c>
      <c r="I1029" s="42" t="n">
        <v>453439</v>
      </c>
      <c r="J1029" s="42" t="n">
        <v>17353</v>
      </c>
      <c r="K1029" s="42" t="n">
        <v>2012</v>
      </c>
      <c r="L1029" s="43" t="n"/>
      <c r="M1029" s="44" t="n"/>
      <c r="N1029" s="44" t="inlineStr">
        <is>
          <t>UCKZo4N0lVPccBkSiuyVh4yg</t>
        </is>
      </c>
      <c r="O1029" s="45" t="n">
        <v>44883.80972222222</v>
      </c>
      <c r="P1029" s="46" t="n">
        <v>44883</v>
      </c>
      <c r="Q1029" s="44" t="n">
        <v>2243</v>
      </c>
      <c r="R1029" s="44" t="inlineStr">
        <is>
          <t>No Video ID yet</t>
        </is>
      </c>
      <c r="S1029" s="46" t="n"/>
      <c r="T1029" s="46" t="n"/>
      <c r="U1029" s="44" t="n"/>
      <c r="V1029" s="44">
        <f>IF(AND(P1029&gt;=Calendar!$K$2,P1029&lt;EDATE(Calendar!$K$2,1),OR(Calendar!$K$4="*",N1029=Calendar!$K$4)),P1029*100+COUNTIFS($P$6:$P$3271,P1029,$Q$6:$Q$3271,"&lt;="&amp;Q1029,$N$6:$N$3271,Calendar!$K$4),"")</f>
        <v/>
      </c>
      <c r="W1029" s="44">
        <f>IF(AND(B1029=Queue!$C$4,OR(Queue!$K$4="*",N1029=Queue!$K$4)),Q1029,"")</f>
        <v/>
      </c>
    </row>
    <row r="1030">
      <c r="A1030" s="35">
        <f>IF(M1030="","",HYPERLINK("https://www.youtube.com/watch?v="&amp;M1030,"▶"))</f>
        <v/>
      </c>
      <c r="B1030" s="36">
        <f>IF(C1030&lt;&gt;"",C1030,IF(P1030&lt;=IFERROR(INDEX(tblChannels[Watched Through],MATCH(N1030,tblChannels[Channel ID],0)),0),"Watched","Unwatched"))</f>
        <v/>
      </c>
      <c r="C1030" s="37" t="n"/>
      <c r="D1030" s="38" t="n"/>
      <c r="E1030" s="39" t="n">
        <v>44883.41666666666</v>
      </c>
      <c r="F1030" s="40" t="inlineStr">
        <is>
          <t>Popcorn Culture</t>
        </is>
      </c>
      <c r="G1030" t="inlineStr">
        <is>
          <t>FIREDUCK | Popcorn Culture</t>
        </is>
      </c>
      <c r="H1030" s="41" t="n">
        <v>0.04606481481481482</v>
      </c>
      <c r="I1030" s="42" t="n">
        <v>5301</v>
      </c>
      <c r="J1030" s="42" t="n">
        <v>271</v>
      </c>
      <c r="K1030" s="42" t="n">
        <v>36</v>
      </c>
      <c r="L1030" s="43" t="n"/>
      <c r="M1030" s="44" t="n"/>
      <c r="N1030" s="44" t="inlineStr">
        <is>
          <t>UCHfIbq9thHPC8yrKjAdJgDA</t>
        </is>
      </c>
      <c r="O1030" s="45" t="n">
        <v>44883.625</v>
      </c>
      <c r="P1030" s="46" t="n">
        <v>44883</v>
      </c>
      <c r="Q1030" s="44" t="n">
        <v>2242</v>
      </c>
      <c r="R1030" s="44" t="inlineStr">
        <is>
          <t>No Video ID yet</t>
        </is>
      </c>
      <c r="S1030" s="46" t="n"/>
      <c r="T1030" s="46" t="n"/>
      <c r="U1030" s="44" t="n"/>
      <c r="V1030" s="44">
        <f>IF(AND(P1030&gt;=Calendar!$K$2,P1030&lt;EDATE(Calendar!$K$2,1),OR(Calendar!$K$4="*",N1030=Calendar!$K$4)),P1030*100+COUNTIFS($P$6:$P$3271,P1030,$Q$6:$Q$3271,"&lt;="&amp;Q1030,$N$6:$N$3271,Calendar!$K$4),"")</f>
        <v/>
      </c>
      <c r="W1030" s="44">
        <f>IF(AND(B1030=Queue!$C$4,OR(Queue!$K$4="*",N1030=Queue!$K$4)),Q1030,"")</f>
        <v/>
      </c>
    </row>
    <row r="1031">
      <c r="A1031" s="35">
        <f>IF(M1031="","",HYPERLINK("https://www.youtube.com/watch?v="&amp;M1031,"▶"))</f>
        <v/>
      </c>
      <c r="B1031" s="36">
        <f>IF(C1031&lt;&gt;"",C1031,IF(P1031&lt;=IFERROR(INDEX(tblChannels[Watched Through],MATCH(N1031,tblChannels[Channel ID],0)),0),"Watched","Unwatched"))</f>
        <v/>
      </c>
      <c r="C1031" s="37" t="n"/>
      <c r="D1031" s="38" t="n"/>
      <c r="E1031" s="39" t="n">
        <v>44882.625</v>
      </c>
      <c r="F1031" s="49" t="inlineStr">
        <is>
          <t>Super Carlin Gaming</t>
        </is>
      </c>
      <c r="G1031" t="inlineStr">
        <is>
          <t>The Imperfect Storm |  Pokémon Legends: Arceus Nuzlocke #24</t>
        </is>
      </c>
      <c r="H1031" s="41" t="n">
        <v>0.02548611111111111</v>
      </c>
      <c r="I1031" s="42" t="n">
        <v>4124</v>
      </c>
      <c r="J1031" s="42" t="n">
        <v>235</v>
      </c>
      <c r="K1031" s="42" t="n">
        <v>49</v>
      </c>
      <c r="L1031" s="43" t="n"/>
      <c r="M1031" s="44" t="n"/>
      <c r="N1031" s="44" t="inlineStr">
        <is>
          <t>UCor_9jRnNNZVzTuQ92PKsaQ</t>
        </is>
      </c>
      <c r="O1031" s="45" t="n">
        <v>44882.83333333334</v>
      </c>
      <c r="P1031" s="46" t="n">
        <v>44882</v>
      </c>
      <c r="Q1031" s="44" t="n">
        <v>2241</v>
      </c>
      <c r="R1031" s="44" t="inlineStr">
        <is>
          <t>No Video ID yet</t>
        </is>
      </c>
      <c r="S1031" s="46" t="n"/>
      <c r="T1031" s="46" t="n"/>
      <c r="U1031" s="44" t="n"/>
      <c r="V1031" s="44">
        <f>IF(AND(P1031&gt;=Calendar!$K$2,P1031&lt;EDATE(Calendar!$K$2,1),OR(Calendar!$K$4="*",N1031=Calendar!$K$4)),P1031*100+COUNTIFS($P$6:$P$3271,P1031,$Q$6:$Q$3271,"&lt;="&amp;Q1031,$N$6:$N$3271,Calendar!$K$4),"")</f>
        <v/>
      </c>
      <c r="W1031" s="44">
        <f>IF(AND(B1031=Queue!$C$4,OR(Queue!$K$4="*",N1031=Queue!$K$4)),Q1031,"")</f>
        <v/>
      </c>
    </row>
    <row r="1032">
      <c r="A1032" s="35">
        <f>IF(M1032="","",HYPERLINK("https://www.youtube.com/watch?v="&amp;M1032,"▶"))</f>
        <v/>
      </c>
      <c r="B1032" s="36">
        <f>IF(C1032&lt;&gt;"",C1032,IF(P1032&lt;=IFERROR(INDEX(tblChannels[Watched Through],MATCH(N1032,tblChannels[Channel ID],0)),0),"Watched","Unwatched"))</f>
        <v/>
      </c>
      <c r="C1032" s="37" t="n"/>
      <c r="D1032" s="38" t="n"/>
      <c r="E1032" s="39" t="n">
        <v>44881.725</v>
      </c>
      <c r="F1032" s="47" t="inlineStr">
        <is>
          <t>Super Carlin Brothers</t>
        </is>
      </c>
      <c r="G1032" t="inlineStr">
        <is>
          <t>Top UNANSWERED Questions From Wakanda Forever | Black Panther Marvel Film Theory</t>
        </is>
      </c>
      <c r="H1032" s="41" t="n">
        <v>0.01168981481481481</v>
      </c>
      <c r="I1032" s="42" t="n">
        <v>60510</v>
      </c>
      <c r="J1032" s="42" t="n">
        <v>2917</v>
      </c>
      <c r="K1032" s="42" t="n">
        <v>242</v>
      </c>
      <c r="L1032" s="43" t="n"/>
      <c r="M1032" s="44" t="n"/>
      <c r="N1032" s="44" t="inlineStr">
        <is>
          <t>UCKZo4N0lVPccBkSiuyVh4yg</t>
        </is>
      </c>
      <c r="O1032" s="45" t="n">
        <v>44881.93333333333</v>
      </c>
      <c r="P1032" s="46" t="n">
        <v>44881</v>
      </c>
      <c r="Q1032" s="44" t="n">
        <v>2240</v>
      </c>
      <c r="R1032" s="44" t="inlineStr">
        <is>
          <t>No Video ID yet</t>
        </is>
      </c>
      <c r="S1032" s="46" t="n"/>
      <c r="T1032" s="46" t="n"/>
      <c r="U1032" s="44" t="n"/>
      <c r="V1032" s="44">
        <f>IF(AND(P1032&gt;=Calendar!$K$2,P1032&lt;EDATE(Calendar!$K$2,1),OR(Calendar!$K$4="*",N1032=Calendar!$K$4)),P1032*100+COUNTIFS($P$6:$P$3271,P1032,$Q$6:$Q$3271,"&lt;="&amp;Q1032,$N$6:$N$3271,Calendar!$K$4),"")</f>
        <v/>
      </c>
      <c r="W1032" s="44">
        <f>IF(AND(B1032=Queue!$C$4,OR(Queue!$K$4="*",N1032=Queue!$K$4)),Q1032,"")</f>
        <v/>
      </c>
    </row>
    <row r="1033">
      <c r="A1033" s="35">
        <f>IF(M1033="","",HYPERLINK("https://www.youtube.com/watch?v="&amp;M1033,"▶"))</f>
        <v/>
      </c>
      <c r="B1033" s="36">
        <f>IF(C1033&lt;&gt;"",C1033,IF(P1033&lt;=IFERROR(INDEX(tblChannels[Watched Through],MATCH(N1033,tblChannels[Channel ID],0)),0),"Watched","Unwatched"))</f>
        <v/>
      </c>
      <c r="C1033" s="37" t="n"/>
      <c r="D1033" s="38" t="n"/>
      <c r="E1033" s="39" t="n">
        <v>44877.67152777778</v>
      </c>
      <c r="F1033" s="47" t="inlineStr">
        <is>
          <t>Super Carlin Brothers</t>
        </is>
      </c>
      <c r="G1033" t="inlineStr">
        <is>
          <t>REVIEW: Why You NEED To See Black Panther Wakanda Forever</t>
        </is>
      </c>
      <c r="H1033" s="41" t="n">
        <v>0.04402777777777778</v>
      </c>
      <c r="I1033" s="42" t="n">
        <v>66132</v>
      </c>
      <c r="J1033" s="42" t="n">
        <v>2687</v>
      </c>
      <c r="K1033" s="42" t="n">
        <v>434</v>
      </c>
      <c r="L1033" s="43" t="n"/>
      <c r="M1033" s="44" t="n"/>
      <c r="N1033" s="44" t="inlineStr">
        <is>
          <t>UCKZo4N0lVPccBkSiuyVh4yg</t>
        </is>
      </c>
      <c r="O1033" s="45" t="n">
        <v>44877.87986111111</v>
      </c>
      <c r="P1033" s="46" t="n">
        <v>44877</v>
      </c>
      <c r="Q1033" s="44" t="n">
        <v>2239</v>
      </c>
      <c r="R1033" s="44" t="inlineStr">
        <is>
          <t>No Video ID yet</t>
        </is>
      </c>
      <c r="S1033" s="46" t="n"/>
      <c r="T1033" s="46" t="n"/>
      <c r="U1033" s="44" t="n"/>
      <c r="V1033" s="44">
        <f>IF(AND(P1033&gt;=Calendar!$K$2,P1033&lt;EDATE(Calendar!$K$2,1),OR(Calendar!$K$4="*",N1033=Calendar!$K$4)),P1033*100+COUNTIFS($P$6:$P$3271,P1033,$Q$6:$Q$3271,"&lt;="&amp;Q1033,$N$6:$N$3271,Calendar!$K$4),"")</f>
        <v/>
      </c>
      <c r="W1033" s="44">
        <f>IF(AND(B1033=Queue!$C$4,OR(Queue!$K$4="*",N1033=Queue!$K$4)),Q1033,"")</f>
        <v/>
      </c>
    </row>
    <row r="1034">
      <c r="A1034" s="35">
        <f>IF(M1034="","",HYPERLINK("https://www.youtube.com/watch?v="&amp;M1034,"▶"))</f>
        <v/>
      </c>
      <c r="B1034" s="36">
        <f>IF(C1034&lt;&gt;"",C1034,IF(P1034&lt;=IFERROR(INDEX(tblChannels[Watched Through],MATCH(N1034,tblChannels[Channel ID],0)),0),"Watched","Unwatched"))</f>
        <v/>
      </c>
      <c r="C1034" s="37" t="n"/>
      <c r="D1034" s="38" t="n"/>
      <c r="E1034" s="39" t="n">
        <v>44876.57638888889</v>
      </c>
      <c r="F1034" s="47" t="inlineStr">
        <is>
          <t>Super Carlin Brothers</t>
        </is>
      </c>
      <c r="G1034" t="inlineStr">
        <is>
          <t>J vs Ben: ULTIMATE Black Panther Marvel TRIVIA Quiz</t>
        </is>
      </c>
      <c r="H1034" s="41" t="n">
        <v>0.02215277777777778</v>
      </c>
      <c r="I1034" s="42" t="n">
        <v>52680</v>
      </c>
      <c r="J1034" s="42" t="n">
        <v>2370</v>
      </c>
      <c r="K1034" s="42" t="n">
        <v>210</v>
      </c>
      <c r="L1034" s="43" t="n"/>
      <c r="M1034" s="44" t="n"/>
      <c r="N1034" s="44" t="inlineStr">
        <is>
          <t>UCKZo4N0lVPccBkSiuyVh4yg</t>
        </is>
      </c>
      <c r="O1034" s="45" t="n">
        <v>44876.78472222222</v>
      </c>
      <c r="P1034" s="46" t="n">
        <v>44876</v>
      </c>
      <c r="Q1034" s="44" t="n">
        <v>2238</v>
      </c>
      <c r="R1034" s="44" t="inlineStr">
        <is>
          <t>No Video ID yet</t>
        </is>
      </c>
      <c r="S1034" s="46" t="n"/>
      <c r="T1034" s="46" t="n"/>
      <c r="U1034" s="44" t="n"/>
      <c r="V1034" s="44">
        <f>IF(AND(P1034&gt;=Calendar!$K$2,P1034&lt;EDATE(Calendar!$K$2,1),OR(Calendar!$K$4="*",N1034=Calendar!$K$4)),P1034*100+COUNTIFS($P$6:$P$3271,P1034,$Q$6:$Q$3271,"&lt;="&amp;Q1034,$N$6:$N$3271,Calendar!$K$4),"")</f>
        <v/>
      </c>
      <c r="W1034" s="44">
        <f>IF(AND(B1034=Queue!$C$4,OR(Queue!$K$4="*",N1034=Queue!$K$4)),Q1034,"")</f>
        <v/>
      </c>
    </row>
    <row r="1035">
      <c r="A1035" s="35">
        <f>IF(M1035="","",HYPERLINK("https://www.youtube.com/watch?v="&amp;M1035,"▶"))</f>
        <v/>
      </c>
      <c r="B1035" s="36">
        <f>IF(C1035&lt;&gt;"",C1035,IF(P1035&lt;=IFERROR(INDEX(tblChannels[Watched Through],MATCH(N1035,tblChannels[Channel ID],0)),0),"Watched","Unwatched"))</f>
        <v/>
      </c>
      <c r="C1035" s="37" t="n"/>
      <c r="D1035" s="38" t="n"/>
      <c r="E1035" s="39" t="n">
        <v>44876.41666666666</v>
      </c>
      <c r="F1035" s="40" t="inlineStr">
        <is>
          <t>Popcorn Culture</t>
        </is>
      </c>
      <c r="G1035" t="inlineStr">
        <is>
          <t>You Look GOURD-geous | Popcorn Culture</t>
        </is>
      </c>
      <c r="H1035" s="41" t="n">
        <v>0.04775462962962963</v>
      </c>
      <c r="I1035" s="42" t="n">
        <v>5198</v>
      </c>
      <c r="J1035" s="42" t="n">
        <v>288</v>
      </c>
      <c r="K1035" s="42" t="n">
        <v>28</v>
      </c>
      <c r="L1035" s="43" t="n"/>
      <c r="M1035" s="44" t="n"/>
      <c r="N1035" s="44" t="inlineStr">
        <is>
          <t>UCHfIbq9thHPC8yrKjAdJgDA</t>
        </is>
      </c>
      <c r="O1035" s="45" t="n">
        <v>44876.625</v>
      </c>
      <c r="P1035" s="46" t="n">
        <v>44876</v>
      </c>
      <c r="Q1035" s="44" t="n">
        <v>2237</v>
      </c>
      <c r="R1035" s="44" t="inlineStr">
        <is>
          <t>No Video ID yet</t>
        </is>
      </c>
      <c r="S1035" s="46" t="n"/>
      <c r="T1035" s="46" t="n"/>
      <c r="U1035" s="44" t="n"/>
      <c r="V1035" s="44">
        <f>IF(AND(P1035&gt;=Calendar!$K$2,P1035&lt;EDATE(Calendar!$K$2,1),OR(Calendar!$K$4="*",N1035=Calendar!$K$4)),P1035*100+COUNTIFS($P$6:$P$3271,P1035,$Q$6:$Q$3271,"&lt;="&amp;Q1035,$N$6:$N$3271,Calendar!$K$4),"")</f>
        <v/>
      </c>
      <c r="W1035" s="44">
        <f>IF(AND(B1035=Queue!$C$4,OR(Queue!$K$4="*",N1035=Queue!$K$4)),Q1035,"")</f>
        <v/>
      </c>
    </row>
    <row r="1036">
      <c r="A1036" s="35">
        <f>IF(M1036="","",HYPERLINK("https://www.youtube.com/watch?v="&amp;M1036,"▶"))</f>
        <v/>
      </c>
      <c r="B1036" s="36">
        <f>IF(C1036&lt;&gt;"",C1036,IF(P1036&lt;=IFERROR(INDEX(tblChannels[Watched Through],MATCH(N1036,tblChannels[Channel ID],0)),0),"Watched","Unwatched"))</f>
        <v/>
      </c>
      <c r="C1036" s="37" t="n"/>
      <c r="D1036" s="38" t="n"/>
      <c r="E1036" s="39" t="n">
        <v>44875.625</v>
      </c>
      <c r="F1036" s="49" t="inlineStr">
        <is>
          <t>Super Carlin Gaming</t>
        </is>
      </c>
      <c r="G1036" t="inlineStr">
        <is>
          <t>The Most DEADLY Avalugg! |  Pokémon Legends: Arceus Nuzlocke #23</t>
        </is>
      </c>
      <c r="H1036" s="41" t="n">
        <v>0.02887731481481481</v>
      </c>
      <c r="I1036" s="42" t="n">
        <v>4360</v>
      </c>
      <c r="J1036" s="42" t="n">
        <v>253</v>
      </c>
      <c r="K1036" s="42" t="n">
        <v>47</v>
      </c>
      <c r="L1036" s="43" t="n"/>
      <c r="M1036" s="44" t="n"/>
      <c r="N1036" s="44" t="inlineStr">
        <is>
          <t>UCor_9jRnNNZVzTuQ92PKsaQ</t>
        </is>
      </c>
      <c r="O1036" s="45" t="n">
        <v>44875.83333333334</v>
      </c>
      <c r="P1036" s="46" t="n">
        <v>44875</v>
      </c>
      <c r="Q1036" s="44" t="n">
        <v>2236</v>
      </c>
      <c r="R1036" s="44" t="inlineStr">
        <is>
          <t>No Video ID yet</t>
        </is>
      </c>
      <c r="S1036" s="46" t="n"/>
      <c r="T1036" s="46" t="n"/>
      <c r="U1036" s="44" t="n"/>
      <c r="V1036" s="44">
        <f>IF(AND(P1036&gt;=Calendar!$K$2,P1036&lt;EDATE(Calendar!$K$2,1),OR(Calendar!$K$4="*",N1036=Calendar!$K$4)),P1036*100+COUNTIFS($P$6:$P$3271,P1036,$Q$6:$Q$3271,"&lt;="&amp;Q1036,$N$6:$N$3271,Calendar!$K$4),"")</f>
        <v/>
      </c>
      <c r="W1036" s="44">
        <f>IF(AND(B1036=Queue!$C$4,OR(Queue!$K$4="*",N1036=Queue!$K$4)),Q1036,"")</f>
        <v/>
      </c>
    </row>
    <row r="1037">
      <c r="A1037" s="35">
        <f>IF(M1037="","",HYPERLINK("https://www.youtube.com/watch?v="&amp;M1037,"▶"))</f>
        <v/>
      </c>
      <c r="B1037" s="36">
        <f>IF(C1037&lt;&gt;"",C1037,IF(P1037&lt;=IFERROR(INDEX(tblChannels[Watched Through],MATCH(N1037,tblChannels[Channel ID],0)),0),"Watched","Unwatched"))</f>
        <v/>
      </c>
      <c r="C1037" s="37" t="n"/>
      <c r="D1037" s="38" t="n"/>
      <c r="E1037" s="39" t="n">
        <v>44874.64097222222</v>
      </c>
      <c r="F1037" s="47" t="inlineStr">
        <is>
          <t>Super Carlin Brothers</t>
        </is>
      </c>
      <c r="G1037" t="inlineStr">
        <is>
          <t>The Movies FAILED Ron Weasley | Harry Potter Film Theory</t>
        </is>
      </c>
      <c r="H1037" s="41" t="n">
        <v>0.01178240740740741</v>
      </c>
      <c r="I1037" s="42" t="n">
        <v>346042</v>
      </c>
      <c r="J1037" s="42" t="n">
        <v>15781</v>
      </c>
      <c r="K1037" s="42" t="n">
        <v>1858</v>
      </c>
      <c r="L1037" s="43" t="n"/>
      <c r="M1037" s="44" t="n"/>
      <c r="N1037" s="44" t="inlineStr">
        <is>
          <t>UCKZo4N0lVPccBkSiuyVh4yg</t>
        </is>
      </c>
      <c r="O1037" s="45" t="n">
        <v>44874.84930555556</v>
      </c>
      <c r="P1037" s="46" t="n">
        <v>44874</v>
      </c>
      <c r="Q1037" s="44" t="n">
        <v>2235</v>
      </c>
      <c r="R1037" s="44" t="inlineStr">
        <is>
          <t>No Video ID yet</t>
        </is>
      </c>
      <c r="S1037" s="46" t="n"/>
      <c r="T1037" s="46" t="n"/>
      <c r="U1037" s="44" t="n"/>
      <c r="V1037" s="44">
        <f>IF(AND(P1037&gt;=Calendar!$K$2,P1037&lt;EDATE(Calendar!$K$2,1),OR(Calendar!$K$4="*",N1037=Calendar!$K$4)),P1037*100+COUNTIFS($P$6:$P$3271,P1037,$Q$6:$Q$3271,"&lt;="&amp;Q1037,$N$6:$N$3271,Calendar!$K$4),"")</f>
        <v/>
      </c>
      <c r="W1037" s="44">
        <f>IF(AND(B1037=Queue!$C$4,OR(Queue!$K$4="*",N1037=Queue!$K$4)),Q1037,"")</f>
        <v/>
      </c>
    </row>
    <row r="1038">
      <c r="A1038" s="35">
        <f>IF(M1038="","",HYPERLINK("https://www.youtube.com/watch?v="&amp;M1038,"▶"))</f>
        <v/>
      </c>
      <c r="B1038" s="36">
        <f>IF(C1038&lt;&gt;"",C1038,IF(P1038&lt;=IFERROR(INDEX(tblChannels[Watched Through],MATCH(N1038,tblChannels[Channel ID],0)),0),"Watched","Unwatched"))</f>
        <v/>
      </c>
      <c r="C1038" s="37" t="n"/>
      <c r="D1038" s="38" t="n"/>
      <c r="E1038" s="39" t="n">
        <v>44873.58333333334</v>
      </c>
      <c r="F1038" s="49" t="inlineStr">
        <is>
          <t>Super Carlin Gaming</t>
        </is>
      </c>
      <c r="G1038" t="inlineStr">
        <is>
          <t>ALT ART  PERRSERKER PULL| Carlin Brothers Box Breakers S2/E4</t>
        </is>
      </c>
      <c r="H1038" s="41" t="n">
        <v>0.03719907407407407</v>
      </c>
      <c r="I1038" s="42" t="n">
        <v>3422</v>
      </c>
      <c r="J1038" s="42" t="n">
        <v>186</v>
      </c>
      <c r="K1038" s="42" t="n">
        <v>18</v>
      </c>
      <c r="L1038" s="43" t="n"/>
      <c r="M1038" s="44" t="n"/>
      <c r="N1038" s="44" t="inlineStr">
        <is>
          <t>UCor_9jRnNNZVzTuQ92PKsaQ</t>
        </is>
      </c>
      <c r="O1038" s="45" t="n">
        <v>44873.79166666666</v>
      </c>
      <c r="P1038" s="46" t="n">
        <v>44873</v>
      </c>
      <c r="Q1038" s="44" t="n">
        <v>2234</v>
      </c>
      <c r="R1038" s="44" t="inlineStr">
        <is>
          <t>No Video ID yet</t>
        </is>
      </c>
      <c r="S1038" s="46" t="n"/>
      <c r="T1038" s="46" t="n"/>
      <c r="U1038" s="44" t="n"/>
      <c r="V1038" s="44">
        <f>IF(AND(P1038&gt;=Calendar!$K$2,P1038&lt;EDATE(Calendar!$K$2,1),OR(Calendar!$K$4="*",N1038=Calendar!$K$4)),P1038*100+COUNTIFS($P$6:$P$3271,P1038,$Q$6:$Q$3271,"&lt;="&amp;Q1038,$N$6:$N$3271,Calendar!$K$4),"")</f>
        <v/>
      </c>
      <c r="W1038" s="44">
        <f>IF(AND(B1038=Queue!$C$4,OR(Queue!$K$4="*",N1038=Queue!$K$4)),Q1038,"")</f>
        <v/>
      </c>
    </row>
    <row r="1039">
      <c r="A1039" s="35">
        <f>IF(M1039="","",HYPERLINK("https://www.youtube.com/watch?v="&amp;M1039,"▶"))</f>
        <v/>
      </c>
      <c r="B1039" s="36">
        <f>IF(C1039&lt;&gt;"",C1039,IF(P1039&lt;=IFERROR(INDEX(tblChannels[Watched Through],MATCH(N1039,tblChannels[Channel ID],0)),0),"Watched","Unwatched"))</f>
        <v/>
      </c>
      <c r="C1039" s="37" t="n"/>
      <c r="D1039" s="38" t="n"/>
      <c r="E1039" s="39" t="n">
        <v>44869.84583333333</v>
      </c>
      <c r="F1039" s="47" t="inlineStr">
        <is>
          <t>Super Carlin Brothers</t>
        </is>
      </c>
      <c r="G1039" t="inlineStr">
        <is>
          <t>ALL FANDOM TRIVIA - November 2022</t>
        </is>
      </c>
      <c r="H1039" s="41" t="n">
        <v>0.09358796296296296</v>
      </c>
      <c r="I1039" s="42" t="n">
        <v>29121</v>
      </c>
      <c r="J1039" s="42" t="n">
        <v>728</v>
      </c>
      <c r="K1039" s="42" t="n">
        <v>47</v>
      </c>
      <c r="L1039" s="43" t="n"/>
      <c r="M1039" s="44" t="n"/>
      <c r="N1039" s="44" t="inlineStr">
        <is>
          <t>UCKZo4N0lVPccBkSiuyVh4yg</t>
        </is>
      </c>
      <c r="O1039" s="45" t="n">
        <v>44870.0125</v>
      </c>
      <c r="P1039" s="46" t="n">
        <v>44869</v>
      </c>
      <c r="Q1039" s="44" t="n">
        <v>2233</v>
      </c>
      <c r="R1039" s="44" t="inlineStr">
        <is>
          <t>No Video ID yet</t>
        </is>
      </c>
      <c r="S1039" s="46" t="n"/>
      <c r="T1039" s="46" t="n"/>
      <c r="U1039" s="44" t="n"/>
      <c r="V1039" s="44">
        <f>IF(AND(P1039&gt;=Calendar!$K$2,P1039&lt;EDATE(Calendar!$K$2,1),OR(Calendar!$K$4="*",N1039=Calendar!$K$4)),P1039*100+COUNTIFS($P$6:$P$3271,P1039,$Q$6:$Q$3271,"&lt;="&amp;Q1039,$N$6:$N$3271,Calendar!$K$4),"")</f>
        <v/>
      </c>
      <c r="W1039" s="44">
        <f>IF(AND(B1039=Queue!$C$4,OR(Queue!$K$4="*",N1039=Queue!$K$4)),Q1039,"")</f>
        <v/>
      </c>
    </row>
    <row r="1040">
      <c r="A1040" s="35">
        <f>IF(M1040="","",HYPERLINK("https://www.youtube.com/watch?v="&amp;M1040,"▶"))</f>
        <v/>
      </c>
      <c r="B1040" s="36">
        <f>IF(C1040&lt;&gt;"",C1040,IF(P1040&lt;=IFERROR(INDEX(tblChannels[Watched Through],MATCH(N1040,tblChannels[Channel ID],0)),0),"Watched","Unwatched"))</f>
        <v/>
      </c>
      <c r="C1040" s="37" t="n"/>
      <c r="D1040" s="38" t="n"/>
      <c r="E1040" s="39" t="n">
        <v>44869.55763888889</v>
      </c>
      <c r="F1040" s="47" t="inlineStr">
        <is>
          <t>Super Carlin Brothers</t>
        </is>
      </c>
      <c r="G1040" t="inlineStr">
        <is>
          <t>Does Lightyear Prove Wall-E NEVER Happened? | Pixar Film Theory</t>
        </is>
      </c>
      <c r="H1040" s="41" t="n">
        <v>0.01087962962962963</v>
      </c>
      <c r="I1040" s="42" t="n">
        <v>115255</v>
      </c>
      <c r="J1040" s="42" t="n">
        <v>5421</v>
      </c>
      <c r="K1040" s="42" t="n">
        <v>529</v>
      </c>
      <c r="L1040" s="43" t="n"/>
      <c r="M1040" s="44" t="n"/>
      <c r="N1040" s="44" t="inlineStr">
        <is>
          <t>UCKZo4N0lVPccBkSiuyVh4yg</t>
        </is>
      </c>
      <c r="O1040" s="45" t="n">
        <v>44869.72430555556</v>
      </c>
      <c r="P1040" s="46" t="n">
        <v>44869</v>
      </c>
      <c r="Q1040" s="44" t="n">
        <v>2232</v>
      </c>
      <c r="R1040" s="44" t="inlineStr">
        <is>
          <t>No Video ID yet</t>
        </is>
      </c>
      <c r="S1040" s="46" t="n"/>
      <c r="T1040" s="46" t="n"/>
      <c r="U1040" s="44" t="n"/>
      <c r="V1040" s="44">
        <f>IF(AND(P1040&gt;=Calendar!$K$2,P1040&lt;EDATE(Calendar!$K$2,1),OR(Calendar!$K$4="*",N1040=Calendar!$K$4)),P1040*100+COUNTIFS($P$6:$P$3271,P1040,$Q$6:$Q$3271,"&lt;="&amp;Q1040,$N$6:$N$3271,Calendar!$K$4),"")</f>
        <v/>
      </c>
      <c r="W1040" s="44">
        <f>IF(AND(B1040=Queue!$C$4,OR(Queue!$K$4="*",N1040=Queue!$K$4)),Q1040,"")</f>
        <v/>
      </c>
    </row>
    <row r="1041">
      <c r="A1041" s="35">
        <f>IF(M1041="","",HYPERLINK("https://www.youtube.com/watch?v="&amp;M1041,"▶"))</f>
        <v/>
      </c>
      <c r="B1041" s="36">
        <f>IF(C1041&lt;&gt;"",C1041,IF(P1041&lt;=IFERROR(INDEX(tblChannels[Watched Through],MATCH(N1041,tblChannels[Channel ID],0)),0),"Watched","Unwatched"))</f>
        <v/>
      </c>
      <c r="C1041" s="37" t="n"/>
      <c r="D1041" s="38" t="n"/>
      <c r="E1041" s="39" t="n">
        <v>44869.42013888889</v>
      </c>
      <c r="F1041" s="40" t="inlineStr">
        <is>
          <t>Popcorn Culture</t>
        </is>
      </c>
      <c r="G1041" t="inlineStr">
        <is>
          <t>Memory Lane | Popcorn Culture</t>
        </is>
      </c>
      <c r="H1041" s="41" t="n">
        <v>0.03987268518518518</v>
      </c>
      <c r="I1041" s="42" t="n">
        <v>6597</v>
      </c>
      <c r="J1041" s="42" t="n">
        <v>357</v>
      </c>
      <c r="K1041" s="42" t="n">
        <v>36</v>
      </c>
      <c r="L1041" s="43" t="n"/>
      <c r="M1041" s="44" t="n"/>
      <c r="N1041" s="44" t="inlineStr">
        <is>
          <t>UCHfIbq9thHPC8yrKjAdJgDA</t>
        </is>
      </c>
      <c r="O1041" s="45" t="n">
        <v>44869.58680555555</v>
      </c>
      <c r="P1041" s="46" t="n">
        <v>44869</v>
      </c>
      <c r="Q1041" s="44" t="n">
        <v>2231</v>
      </c>
      <c r="R1041" s="44" t="inlineStr">
        <is>
          <t>No Video ID yet</t>
        </is>
      </c>
      <c r="S1041" s="46" t="n"/>
      <c r="T1041" s="46" t="n"/>
      <c r="U1041" s="44" t="n"/>
      <c r="V1041" s="44">
        <f>IF(AND(P1041&gt;=Calendar!$K$2,P1041&lt;EDATE(Calendar!$K$2,1),OR(Calendar!$K$4="*",N1041=Calendar!$K$4)),P1041*100+COUNTIFS($P$6:$P$3271,P1041,$Q$6:$Q$3271,"&lt;="&amp;Q1041,$N$6:$N$3271,Calendar!$K$4),"")</f>
        <v/>
      </c>
      <c r="W1041" s="44">
        <f>IF(AND(B1041=Queue!$C$4,OR(Queue!$K$4="*",N1041=Queue!$K$4)),Q1041,"")</f>
        <v/>
      </c>
    </row>
    <row r="1042">
      <c r="A1042" s="35">
        <f>IF(M1042="","",HYPERLINK("https://www.youtube.com/watch?v="&amp;M1042,"▶"))</f>
        <v/>
      </c>
      <c r="B1042" s="36">
        <f>IF(C1042&lt;&gt;"",C1042,IF(P1042&lt;=IFERROR(INDEX(tblChannels[Watched Through],MATCH(N1042,tblChannels[Channel ID],0)),0),"Watched","Unwatched"))</f>
        <v/>
      </c>
      <c r="C1042" s="37" t="n"/>
      <c r="D1042" s="38" t="n"/>
      <c r="E1042" s="39" t="n">
        <v>44867.64513888889</v>
      </c>
      <c r="F1042" s="47" t="inlineStr">
        <is>
          <t>Super Carlin Brothers</t>
        </is>
      </c>
      <c r="G1042" t="inlineStr">
        <is>
          <t>The TRUTH About Emperor Zurg | Pixar Film Theory</t>
        </is>
      </c>
      <c r="H1042" s="41" t="n">
        <v>0.01010416666666667</v>
      </c>
      <c r="I1042" s="42" t="n">
        <v>137548</v>
      </c>
      <c r="J1042" s="42" t="n">
        <v>6753</v>
      </c>
      <c r="K1042" s="42" t="n">
        <v>495</v>
      </c>
      <c r="L1042" s="43" t="n"/>
      <c r="M1042" s="44" t="n"/>
      <c r="N1042" s="44" t="inlineStr">
        <is>
          <t>UCKZo4N0lVPccBkSiuyVh4yg</t>
        </is>
      </c>
      <c r="O1042" s="45" t="n">
        <v>44867.81180555555</v>
      </c>
      <c r="P1042" s="46" t="n">
        <v>44867</v>
      </c>
      <c r="Q1042" s="44" t="n">
        <v>2230</v>
      </c>
      <c r="R1042" s="44" t="inlineStr">
        <is>
          <t>No Video ID yet</t>
        </is>
      </c>
      <c r="S1042" s="46" t="n"/>
      <c r="T1042" s="46" t="n"/>
      <c r="U1042" s="44" t="n"/>
      <c r="V1042" s="44">
        <f>IF(AND(P1042&gt;=Calendar!$K$2,P1042&lt;EDATE(Calendar!$K$2,1),OR(Calendar!$K$4="*",N1042=Calendar!$K$4)),P1042*100+COUNTIFS($P$6:$P$3271,P1042,$Q$6:$Q$3271,"&lt;="&amp;Q1042,$N$6:$N$3271,Calendar!$K$4),"")</f>
        <v/>
      </c>
      <c r="W1042" s="44">
        <f>IF(AND(B1042=Queue!$C$4,OR(Queue!$K$4="*",N1042=Queue!$K$4)),Q1042,"")</f>
        <v/>
      </c>
    </row>
    <row r="1043">
      <c r="A1043" s="35">
        <f>IF(M1043="","",HYPERLINK("https://www.youtube.com/watch?v="&amp;M1043,"▶"))</f>
        <v/>
      </c>
      <c r="B1043" s="36">
        <f>IF(C1043&lt;&gt;"",C1043,IF(P1043&lt;=IFERROR(INDEX(tblChannels[Watched Through],MATCH(N1043,tblChannels[Channel ID],0)),0),"Watched","Unwatched"))</f>
        <v/>
      </c>
      <c r="C1043" s="37" t="n"/>
      <c r="D1043" s="38" t="n"/>
      <c r="E1043" s="39" t="n">
        <v>44867.625</v>
      </c>
      <c r="F1043" s="49" t="inlineStr">
        <is>
          <t>Super Carlin Gaming</t>
        </is>
      </c>
      <c r="G1043" t="inlineStr">
        <is>
          <t>The Great Golem of Snowpoint Temple |  Pokémon Legends: Arceus Nuzlocke #22</t>
        </is>
      </c>
      <c r="H1043" s="41" t="n">
        <v>0.02136574074074074</v>
      </c>
      <c r="I1043" s="42" t="n">
        <v>3311</v>
      </c>
      <c r="J1043" s="42" t="n">
        <v>247</v>
      </c>
      <c r="K1043" s="42" t="n">
        <v>71</v>
      </c>
      <c r="L1043" s="43" t="n"/>
      <c r="M1043" s="44" t="n"/>
      <c r="N1043" s="44" t="inlineStr">
        <is>
          <t>UCor_9jRnNNZVzTuQ92PKsaQ</t>
        </is>
      </c>
      <c r="O1043" s="45" t="n">
        <v>44867.79166666666</v>
      </c>
      <c r="P1043" s="46" t="n">
        <v>44867</v>
      </c>
      <c r="Q1043" s="44" t="n">
        <v>2229</v>
      </c>
      <c r="R1043" s="44" t="inlineStr">
        <is>
          <t>No Video ID yet</t>
        </is>
      </c>
      <c r="S1043" s="46" t="n"/>
      <c r="T1043" s="46" t="n"/>
      <c r="U1043" s="44" t="n"/>
      <c r="V1043" s="44">
        <f>IF(AND(P1043&gt;=Calendar!$K$2,P1043&lt;EDATE(Calendar!$K$2,1),OR(Calendar!$K$4="*",N1043=Calendar!$K$4)),P1043*100+COUNTIFS($P$6:$P$3271,P1043,$Q$6:$Q$3271,"&lt;="&amp;Q1043,$N$6:$N$3271,Calendar!$K$4),"")</f>
        <v/>
      </c>
      <c r="W1043" s="44">
        <f>IF(AND(B1043=Queue!$C$4,OR(Queue!$K$4="*",N1043=Queue!$K$4)),Q1043,"")</f>
        <v/>
      </c>
    </row>
    <row r="1044">
      <c r="A1044" s="35">
        <f>IF(M1044="","",HYPERLINK("https://www.youtube.com/watch?v="&amp;M1044,"▶"))</f>
        <v/>
      </c>
      <c r="B1044" s="36">
        <f>IF(C1044&lt;&gt;"",C1044,IF(P1044&lt;=IFERROR(INDEX(tblChannels[Watched Through],MATCH(N1044,tblChannels[Channel ID],0)),0),"Watched","Unwatched"))</f>
        <v/>
      </c>
      <c r="C1044" s="37" t="n"/>
      <c r="D1044" s="38" t="n"/>
      <c r="E1044" s="39" t="n">
        <v>44862.70694444444</v>
      </c>
      <c r="F1044" s="47" t="inlineStr">
        <is>
          <t>Super Carlin Brothers</t>
        </is>
      </c>
      <c r="G1044" t="inlineStr">
        <is>
          <t>PROOF That Carl Just Imagined Everything in Up | Pixar Film Theory</t>
        </is>
      </c>
      <c r="H1044" s="41" t="n">
        <v>0.01321759259259259</v>
      </c>
      <c r="I1044" s="42" t="n">
        <v>217126</v>
      </c>
      <c r="J1044" s="42" t="n">
        <v>9194</v>
      </c>
      <c r="K1044" s="42" t="n">
        <v>803</v>
      </c>
      <c r="L1044" s="43" t="n"/>
      <c r="M1044" s="44" t="n"/>
      <c r="N1044" s="44" t="inlineStr">
        <is>
          <t>UCKZo4N0lVPccBkSiuyVh4yg</t>
        </is>
      </c>
      <c r="O1044" s="45" t="n">
        <v>44862.87361111111</v>
      </c>
      <c r="P1044" s="46" t="n">
        <v>44862</v>
      </c>
      <c r="Q1044" s="44" t="n">
        <v>2228</v>
      </c>
      <c r="R1044" s="44" t="inlineStr">
        <is>
          <t>No Video ID yet</t>
        </is>
      </c>
      <c r="S1044" s="46" t="n"/>
      <c r="T1044" s="46" t="n"/>
      <c r="U1044" s="44" t="n"/>
      <c r="V1044" s="44">
        <f>IF(AND(P1044&gt;=Calendar!$K$2,P1044&lt;EDATE(Calendar!$K$2,1),OR(Calendar!$K$4="*",N1044=Calendar!$K$4)),P1044*100+COUNTIFS($P$6:$P$3271,P1044,$Q$6:$Q$3271,"&lt;="&amp;Q1044,$N$6:$N$3271,Calendar!$K$4),"")</f>
        <v/>
      </c>
      <c r="W1044" s="44">
        <f>IF(AND(B1044=Queue!$C$4,OR(Queue!$K$4="*",N1044=Queue!$K$4)),Q1044,"")</f>
        <v/>
      </c>
    </row>
    <row r="1045">
      <c r="A1045" s="35">
        <f>IF(M1045="","",HYPERLINK("https://www.youtube.com/watch?v="&amp;M1045,"▶"))</f>
        <v/>
      </c>
      <c r="B1045" s="36">
        <f>IF(C1045&lt;&gt;"",C1045,IF(P1045&lt;=IFERROR(INDEX(tblChannels[Watched Through],MATCH(N1045,tblChannels[Channel ID],0)),0),"Watched","Unwatched"))</f>
        <v/>
      </c>
      <c r="C1045" s="37" t="n"/>
      <c r="D1045" s="38" t="n"/>
      <c r="E1045" s="39" t="n">
        <v>44862.67708333334</v>
      </c>
      <c r="F1045" s="49" t="inlineStr">
        <is>
          <t>Super Carlin Gaming</t>
        </is>
      </c>
      <c r="G1045" t="inlineStr">
        <is>
          <t>SOMEONE STRIKES GOLD | Box Breakers S2/E3</t>
        </is>
      </c>
      <c r="H1045" s="41" t="n">
        <v>0.03298611111111111</v>
      </c>
      <c r="I1045" s="42" t="n">
        <v>3274</v>
      </c>
      <c r="J1045" s="42" t="n">
        <v>169</v>
      </c>
      <c r="K1045" s="42" t="n">
        <v>26</v>
      </c>
      <c r="L1045" s="43" t="n"/>
      <c r="M1045" s="44" t="n"/>
      <c r="N1045" s="44" t="inlineStr">
        <is>
          <t>UCor_9jRnNNZVzTuQ92PKsaQ</t>
        </is>
      </c>
      <c r="O1045" s="45" t="n">
        <v>44862.84375</v>
      </c>
      <c r="P1045" s="46" t="n">
        <v>44862</v>
      </c>
      <c r="Q1045" s="44" t="n">
        <v>2227</v>
      </c>
      <c r="R1045" s="44" t="inlineStr">
        <is>
          <t>No Video ID yet</t>
        </is>
      </c>
      <c r="S1045" s="46" t="n"/>
      <c r="T1045" s="46" t="n"/>
      <c r="U1045" s="44" t="n"/>
      <c r="V1045" s="44">
        <f>IF(AND(P1045&gt;=Calendar!$K$2,P1045&lt;EDATE(Calendar!$K$2,1),OR(Calendar!$K$4="*",N1045=Calendar!$K$4)),P1045*100+COUNTIFS($P$6:$P$3271,P1045,$Q$6:$Q$3271,"&lt;="&amp;Q1045,$N$6:$N$3271,Calendar!$K$4),"")</f>
        <v/>
      </c>
      <c r="W1045" s="44">
        <f>IF(AND(B1045=Queue!$C$4,OR(Queue!$K$4="*",N1045=Queue!$K$4)),Q1045,"")</f>
        <v/>
      </c>
    </row>
    <row r="1046">
      <c r="A1046" s="35">
        <f>IF(M1046="","",HYPERLINK("https://www.youtube.com/watch?v="&amp;M1046,"▶"))</f>
        <v/>
      </c>
      <c r="B1046" s="36">
        <f>IF(C1046&lt;&gt;"",C1046,IF(P1046&lt;=IFERROR(INDEX(tblChannels[Watched Through],MATCH(N1046,tblChannels[Channel ID],0)),0),"Watched","Unwatched"))</f>
        <v/>
      </c>
      <c r="C1046" s="37" t="n"/>
      <c r="D1046" s="38" t="n"/>
      <c r="E1046" s="39" t="n">
        <v>44862.41666666666</v>
      </c>
      <c r="F1046" s="40" t="inlineStr">
        <is>
          <t>Popcorn Culture</t>
        </is>
      </c>
      <c r="G1046" t="inlineStr">
        <is>
          <t>The Tale of Tweet Tweet | Popcorn Culture</t>
        </is>
      </c>
      <c r="H1046" s="41" t="n">
        <v>0.05096064814814815</v>
      </c>
      <c r="I1046" s="42" t="n">
        <v>7553</v>
      </c>
      <c r="J1046" s="42" t="n">
        <v>344</v>
      </c>
      <c r="K1046" s="42" t="n">
        <v>38</v>
      </c>
      <c r="L1046" s="43" t="n"/>
      <c r="M1046" s="44" t="n"/>
      <c r="N1046" s="44" t="inlineStr">
        <is>
          <t>UCHfIbq9thHPC8yrKjAdJgDA</t>
        </is>
      </c>
      <c r="O1046" s="45" t="n">
        <v>44862.58333333334</v>
      </c>
      <c r="P1046" s="46" t="n">
        <v>44862</v>
      </c>
      <c r="Q1046" s="44" t="n">
        <v>2226</v>
      </c>
      <c r="R1046" s="44" t="inlineStr">
        <is>
          <t>No Video ID yet</t>
        </is>
      </c>
      <c r="S1046" s="46" t="n"/>
      <c r="T1046" s="46" t="n"/>
      <c r="U1046" s="44" t="n"/>
      <c r="V1046" s="44">
        <f>IF(AND(P1046&gt;=Calendar!$K$2,P1046&lt;EDATE(Calendar!$K$2,1),OR(Calendar!$K$4="*",N1046=Calendar!$K$4)),P1046*100+COUNTIFS($P$6:$P$3271,P1046,$Q$6:$Q$3271,"&lt;="&amp;Q1046,$N$6:$N$3271,Calendar!$K$4),"")</f>
        <v/>
      </c>
      <c r="W1046" s="44">
        <f>IF(AND(B1046=Queue!$C$4,OR(Queue!$K$4="*",N1046=Queue!$K$4)),Q1046,"")</f>
        <v/>
      </c>
    </row>
    <row r="1047">
      <c r="A1047" s="35">
        <f>IF(M1047="","",HYPERLINK("https://www.youtube.com/watch?v="&amp;M1047,"▶"))</f>
        <v/>
      </c>
      <c r="B1047" s="36">
        <f>IF(C1047&lt;&gt;"",C1047,IF(P1047&lt;=IFERROR(INDEX(tblChannels[Watched Through],MATCH(N1047,tblChannels[Channel ID],0)),0),"Watched","Unwatched"))</f>
        <v/>
      </c>
      <c r="C1047" s="37" t="n"/>
      <c r="D1047" s="38" t="n"/>
      <c r="E1047" s="39" t="n">
        <v>44861.58333333334</v>
      </c>
      <c r="F1047" s="50" t="inlineStr">
        <is>
          <t>Jonathan Carlin</t>
        </is>
      </c>
      <c r="G1047" t="inlineStr">
        <is>
          <t>Beth Runs the Chicago Marathon!</t>
        </is>
      </c>
      <c r="H1047" s="41" t="n">
        <v>0.0112962962962963</v>
      </c>
      <c r="I1047" s="42" t="n">
        <v>10951</v>
      </c>
      <c r="J1047" s="42" t="n">
        <v>640</v>
      </c>
      <c r="K1047" s="42" t="n">
        <v>57</v>
      </c>
      <c r="L1047" s="43" t="n"/>
      <c r="M1047" s="44" t="n"/>
      <c r="N1047" s="44" t="inlineStr">
        <is>
          <t>UCYPKFe86e6nm4TVUYKLsFUQ</t>
        </is>
      </c>
      <c r="O1047" s="45" t="n">
        <v>44861.75</v>
      </c>
      <c r="P1047" s="46" t="n">
        <v>44861</v>
      </c>
      <c r="Q1047" s="44" t="n">
        <v>2225</v>
      </c>
      <c r="R1047" s="44" t="inlineStr">
        <is>
          <t>No Video ID yet</t>
        </is>
      </c>
      <c r="S1047" s="46" t="n"/>
      <c r="T1047" s="46" t="n"/>
      <c r="U1047" s="44" t="n"/>
      <c r="V1047" s="44">
        <f>IF(AND(P1047&gt;=Calendar!$K$2,P1047&lt;EDATE(Calendar!$K$2,1),OR(Calendar!$K$4="*",N1047=Calendar!$K$4)),P1047*100+COUNTIFS($P$6:$P$3271,P1047,$Q$6:$Q$3271,"&lt;="&amp;Q1047,$N$6:$N$3271,Calendar!$K$4),"")</f>
        <v/>
      </c>
      <c r="W1047" s="44">
        <f>IF(AND(B1047=Queue!$C$4,OR(Queue!$K$4="*",N1047=Queue!$K$4)),Q1047,"")</f>
        <v/>
      </c>
    </row>
    <row r="1048">
      <c r="A1048" s="35">
        <f>IF(M1048="","",HYPERLINK("https://www.youtube.com/watch?v="&amp;M1048,"▶"))</f>
        <v/>
      </c>
      <c r="B1048" s="36">
        <f>IF(C1048&lt;&gt;"",C1048,IF(P1048&lt;=IFERROR(INDEX(tblChannels[Watched Through],MATCH(N1048,tblChannels[Channel ID],0)),0),"Watched","Unwatched"))</f>
        <v/>
      </c>
      <c r="C1048" s="37" t="n"/>
      <c r="D1048" s="38" t="n"/>
      <c r="E1048" s="39" t="n">
        <v>44859.79861111111</v>
      </c>
      <c r="F1048" s="47" t="inlineStr">
        <is>
          <t>Super Carlin Brothers</t>
        </is>
      </c>
      <c r="G1048" t="inlineStr">
        <is>
          <t>J vs Ben: ULTIMATE Disney Villain Trivia Quiz | BEAN BOOZLED PUNISHMENT</t>
        </is>
      </c>
      <c r="H1048" s="41" t="n">
        <v>0.03391203703703704</v>
      </c>
      <c r="I1048" s="42" t="n">
        <v>235879</v>
      </c>
      <c r="J1048" s="42" t="n">
        <v>7536</v>
      </c>
      <c r="K1048" s="42" t="n">
        <v>934</v>
      </c>
      <c r="L1048" s="43" t="n"/>
      <c r="M1048" s="44" t="n"/>
      <c r="N1048" s="44" t="inlineStr">
        <is>
          <t>UCKZo4N0lVPccBkSiuyVh4yg</t>
        </is>
      </c>
      <c r="O1048" s="45" t="n">
        <v>44859.96527777778</v>
      </c>
      <c r="P1048" s="46" t="n">
        <v>44859</v>
      </c>
      <c r="Q1048" s="44" t="n">
        <v>2224</v>
      </c>
      <c r="R1048" s="44" t="inlineStr">
        <is>
          <t>No Video ID yet</t>
        </is>
      </c>
      <c r="S1048" s="46" t="n"/>
      <c r="T1048" s="46" t="n"/>
      <c r="U1048" s="44" t="n"/>
      <c r="V1048" s="44">
        <f>IF(AND(P1048&gt;=Calendar!$K$2,P1048&lt;EDATE(Calendar!$K$2,1),OR(Calendar!$K$4="*",N1048=Calendar!$K$4)),P1048*100+COUNTIFS($P$6:$P$3271,P1048,$Q$6:$Q$3271,"&lt;="&amp;Q1048,$N$6:$N$3271,Calendar!$K$4),"")</f>
        <v/>
      </c>
      <c r="W1048" s="44">
        <f>IF(AND(B1048=Queue!$C$4,OR(Queue!$K$4="*",N1048=Queue!$K$4)),Q1048,"")</f>
        <v/>
      </c>
    </row>
    <row r="1049">
      <c r="A1049" s="35">
        <f>IF(M1049="","",HYPERLINK("https://www.youtube.com/watch?v="&amp;M1049,"▶"))</f>
        <v/>
      </c>
      <c r="B1049" s="36">
        <f>IF(C1049&lt;&gt;"",C1049,IF(P1049&lt;=IFERROR(INDEX(tblChannels[Watched Through],MATCH(N1049,tblChannels[Channel ID],0)),0),"Watched","Unwatched"))</f>
        <v/>
      </c>
      <c r="C1049" s="37" t="n"/>
      <c r="D1049" s="38" t="n"/>
      <c r="E1049" s="39" t="n">
        <v>44855.83194444444</v>
      </c>
      <c r="F1049" s="47" t="inlineStr">
        <is>
          <t>Super Carlin Brothers</t>
        </is>
      </c>
      <c r="G1049" t="inlineStr">
        <is>
          <t>ALL FANDOM TRIVIA - October 2022</t>
        </is>
      </c>
      <c r="H1049" s="41" t="n">
        <v>0.07718750000000001</v>
      </c>
      <c r="I1049" s="42" t="n">
        <v>30399</v>
      </c>
      <c r="J1049" s="42" t="n">
        <v>843</v>
      </c>
      <c r="K1049" s="42" t="n">
        <v>48</v>
      </c>
      <c r="L1049" s="43" t="n"/>
      <c r="M1049" s="44" t="n"/>
      <c r="N1049" s="44" t="inlineStr">
        <is>
          <t>UCKZo4N0lVPccBkSiuyVh4yg</t>
        </is>
      </c>
      <c r="O1049" s="45" t="n">
        <v>44855.99861111111</v>
      </c>
      <c r="P1049" s="46" t="n">
        <v>44855</v>
      </c>
      <c r="Q1049" s="44" t="n">
        <v>2223</v>
      </c>
      <c r="R1049" s="44" t="inlineStr">
        <is>
          <t>No Video ID yet</t>
        </is>
      </c>
      <c r="S1049" s="46" t="n"/>
      <c r="T1049" s="46" t="n"/>
      <c r="U1049" s="44" t="n"/>
      <c r="V1049" s="44">
        <f>IF(AND(P1049&gt;=Calendar!$K$2,P1049&lt;EDATE(Calendar!$K$2,1),OR(Calendar!$K$4="*",N1049=Calendar!$K$4)),P1049*100+COUNTIFS($P$6:$P$3271,P1049,$Q$6:$Q$3271,"&lt;="&amp;Q1049,$N$6:$N$3271,Calendar!$K$4),"")</f>
        <v/>
      </c>
      <c r="W1049" s="44">
        <f>IF(AND(B1049=Queue!$C$4,OR(Queue!$K$4="*",N1049=Queue!$K$4)),Q1049,"")</f>
        <v/>
      </c>
    </row>
    <row r="1050">
      <c r="A1050" s="35">
        <f>IF(M1050="","",HYPERLINK("https://www.youtube.com/watch?v="&amp;M1050,"▶"))</f>
        <v/>
      </c>
      <c r="B1050" s="36">
        <f>IF(C1050&lt;&gt;"",C1050,IF(P1050&lt;=IFERROR(INDEX(tblChannels[Watched Through],MATCH(N1050,tblChannels[Channel ID],0)),0),"Watched","Unwatched"))</f>
        <v/>
      </c>
      <c r="C1050" s="37" t="n"/>
      <c r="D1050" s="38" t="n"/>
      <c r="E1050" s="39" t="n">
        <v>44855.69583333333</v>
      </c>
      <c r="F1050" s="47" t="inlineStr">
        <is>
          <t>Super Carlin Brothers</t>
        </is>
      </c>
      <c r="G1050" t="inlineStr">
        <is>
          <t>Mr. Incredible VS Luisa - Who's More Powerful? | Disney Film Theory</t>
        </is>
      </c>
      <c r="H1050" s="41" t="n">
        <v>0.01511574074074074</v>
      </c>
      <c r="I1050" s="42" t="n">
        <v>114935</v>
      </c>
      <c r="J1050" s="42" t="n">
        <v>5813</v>
      </c>
      <c r="K1050" s="42" t="n">
        <v>786</v>
      </c>
      <c r="L1050" s="43" t="n"/>
      <c r="M1050" s="44" t="n"/>
      <c r="N1050" s="44" t="inlineStr">
        <is>
          <t>UCKZo4N0lVPccBkSiuyVh4yg</t>
        </is>
      </c>
      <c r="O1050" s="45" t="n">
        <v>44855.8625</v>
      </c>
      <c r="P1050" s="46" t="n">
        <v>44855</v>
      </c>
      <c r="Q1050" s="44" t="n">
        <v>2222</v>
      </c>
      <c r="R1050" s="44" t="inlineStr">
        <is>
          <t>No Video ID yet</t>
        </is>
      </c>
      <c r="S1050" s="46" t="n"/>
      <c r="T1050" s="46" t="n"/>
      <c r="U1050" s="44" t="n"/>
      <c r="V1050" s="44">
        <f>IF(AND(P1050&gt;=Calendar!$K$2,P1050&lt;EDATE(Calendar!$K$2,1),OR(Calendar!$K$4="*",N1050=Calendar!$K$4)),P1050*100+COUNTIFS($P$6:$P$3271,P1050,$Q$6:$Q$3271,"&lt;="&amp;Q1050,$N$6:$N$3271,Calendar!$K$4),"")</f>
        <v/>
      </c>
      <c r="W1050" s="44">
        <f>IF(AND(B1050=Queue!$C$4,OR(Queue!$K$4="*",N1050=Queue!$K$4)),Q1050,"")</f>
        <v/>
      </c>
    </row>
    <row r="1051">
      <c r="A1051" s="35">
        <f>IF(M1051="","",HYPERLINK("https://www.youtube.com/watch?v="&amp;M1051,"▶"))</f>
        <v/>
      </c>
      <c r="B1051" s="36">
        <f>IF(C1051&lt;&gt;"",C1051,IF(P1051&lt;=IFERROR(INDEX(tblChannels[Watched Through],MATCH(N1051,tblChannels[Channel ID],0)),0),"Watched","Unwatched"))</f>
        <v/>
      </c>
      <c r="C1051" s="37" t="n"/>
      <c r="D1051" s="38" t="n"/>
      <c r="E1051" s="39" t="n">
        <v>44855.58333333334</v>
      </c>
      <c r="F1051" s="49" t="inlineStr">
        <is>
          <t>Super Carlin Gaming</t>
        </is>
      </c>
      <c r="G1051" t="inlineStr">
        <is>
          <t>BIG NESSA PULL FTW | Box Breakers S2/E2</t>
        </is>
      </c>
      <c r="H1051" s="41" t="n">
        <v>0.02923611111111111</v>
      </c>
      <c r="I1051" s="42" t="n">
        <v>3210</v>
      </c>
      <c r="J1051" s="42" t="n">
        <v>180</v>
      </c>
      <c r="K1051" s="42" t="n">
        <v>9</v>
      </c>
      <c r="L1051" s="43" t="n"/>
      <c r="M1051" s="44" t="n"/>
      <c r="N1051" s="44" t="inlineStr">
        <is>
          <t>UCor_9jRnNNZVzTuQ92PKsaQ</t>
        </is>
      </c>
      <c r="O1051" s="45" t="n">
        <v>44855.75</v>
      </c>
      <c r="P1051" s="46" t="n">
        <v>44855</v>
      </c>
      <c r="Q1051" s="44" t="n">
        <v>2221</v>
      </c>
      <c r="R1051" s="44" t="inlineStr">
        <is>
          <t>No Video ID yet</t>
        </is>
      </c>
      <c r="S1051" s="46" t="n"/>
      <c r="T1051" s="46" t="n"/>
      <c r="U1051" s="44" t="n"/>
      <c r="V1051" s="44">
        <f>IF(AND(P1051&gt;=Calendar!$K$2,P1051&lt;EDATE(Calendar!$K$2,1),OR(Calendar!$K$4="*",N1051=Calendar!$K$4)),P1051*100+COUNTIFS($P$6:$P$3271,P1051,$Q$6:$Q$3271,"&lt;="&amp;Q1051,$N$6:$N$3271,Calendar!$K$4),"")</f>
        <v/>
      </c>
      <c r="W1051" s="44">
        <f>IF(AND(B1051=Queue!$C$4,OR(Queue!$K$4="*",N1051=Queue!$K$4)),Q1051,"")</f>
        <v/>
      </c>
    </row>
    <row r="1052">
      <c r="A1052" s="35">
        <f>IF(M1052="","",HYPERLINK("https://www.youtube.com/watch?v="&amp;M1052,"▶"))</f>
        <v/>
      </c>
      <c r="B1052" s="36">
        <f>IF(C1052&lt;&gt;"",C1052,IF(P1052&lt;=IFERROR(INDEX(tblChannels[Watched Through],MATCH(N1052,tblChannels[Channel ID],0)),0),"Watched","Unwatched"))</f>
        <v/>
      </c>
      <c r="C1052" s="37" t="n"/>
      <c r="D1052" s="38" t="n"/>
      <c r="E1052" s="39" t="n">
        <v>44855.41666666666</v>
      </c>
      <c r="F1052" s="40" t="inlineStr">
        <is>
          <t>Popcorn Culture</t>
        </is>
      </c>
      <c r="G1052" t="inlineStr">
        <is>
          <t>The LIVE Pop! | Popcorn Culture</t>
        </is>
      </c>
      <c r="H1052" s="41" t="n">
        <v>0.03789351851851852</v>
      </c>
      <c r="I1052" s="42" t="n">
        <v>6486</v>
      </c>
      <c r="J1052" s="42" t="n">
        <v>509</v>
      </c>
      <c r="K1052" s="42" t="n">
        <v>46</v>
      </c>
      <c r="L1052" s="43" t="n"/>
      <c r="M1052" s="44" t="n"/>
      <c r="N1052" s="44" t="inlineStr">
        <is>
          <t>UCHfIbq9thHPC8yrKjAdJgDA</t>
        </is>
      </c>
      <c r="O1052" s="45" t="n">
        <v>44855.58333333334</v>
      </c>
      <c r="P1052" s="46" t="n">
        <v>44855</v>
      </c>
      <c r="Q1052" s="44" t="n">
        <v>2220</v>
      </c>
      <c r="R1052" s="44" t="inlineStr">
        <is>
          <t>No Video ID yet</t>
        </is>
      </c>
      <c r="S1052" s="46" t="n"/>
      <c r="T1052" s="46" t="n"/>
      <c r="U1052" s="44" t="n"/>
      <c r="V1052" s="44">
        <f>IF(AND(P1052&gt;=Calendar!$K$2,P1052&lt;EDATE(Calendar!$K$2,1),OR(Calendar!$K$4="*",N1052=Calendar!$K$4)),P1052*100+COUNTIFS($P$6:$P$3271,P1052,$Q$6:$Q$3271,"&lt;="&amp;Q1052,$N$6:$N$3271,Calendar!$K$4),"")</f>
        <v/>
      </c>
      <c r="W1052" s="44">
        <f>IF(AND(B1052=Queue!$C$4,OR(Queue!$K$4="*",N1052=Queue!$K$4)),Q1052,"")</f>
        <v/>
      </c>
    </row>
    <row r="1053">
      <c r="A1053" s="35">
        <f>IF(M1053="","",HYPERLINK("https://www.youtube.com/watch?v="&amp;M1053,"▶"))</f>
        <v/>
      </c>
      <c r="B1053" s="36">
        <f>IF(C1053&lt;&gt;"",C1053,IF(P1053&lt;=IFERROR(INDEX(tblChannels[Watched Through],MATCH(N1053,tblChannels[Channel ID],0)),0),"Watched","Unwatched"))</f>
        <v/>
      </c>
      <c r="C1053" s="37" t="n"/>
      <c r="D1053" s="38" t="n"/>
      <c r="E1053" s="39" t="n">
        <v>44853.69027777778</v>
      </c>
      <c r="F1053" s="47" t="inlineStr">
        <is>
          <t>Super Carlin Brothers</t>
        </is>
      </c>
      <c r="G1053" t="inlineStr">
        <is>
          <t>Proof That Dumbledore NEVER Liked Snape | Harry Potter Film Theory</t>
        </is>
      </c>
      <c r="H1053" s="41" t="n">
        <v>0.01086805555555556</v>
      </c>
      <c r="I1053" s="42" t="n">
        <v>470261</v>
      </c>
      <c r="J1053" s="42" t="n">
        <v>16938</v>
      </c>
      <c r="K1053" s="42" t="n">
        <v>1661</v>
      </c>
      <c r="L1053" s="43" t="n"/>
      <c r="M1053" s="44" t="n"/>
      <c r="N1053" s="44" t="inlineStr">
        <is>
          <t>UCKZo4N0lVPccBkSiuyVh4yg</t>
        </is>
      </c>
      <c r="O1053" s="45" t="n">
        <v>44853.85694444444</v>
      </c>
      <c r="P1053" s="46" t="n">
        <v>44853</v>
      </c>
      <c r="Q1053" s="44" t="n">
        <v>2219</v>
      </c>
      <c r="R1053" s="44" t="inlineStr">
        <is>
          <t>No Video ID yet</t>
        </is>
      </c>
      <c r="S1053" s="46" t="n"/>
      <c r="T1053" s="46" t="n"/>
      <c r="U1053" s="44" t="n"/>
      <c r="V1053" s="44">
        <f>IF(AND(P1053&gt;=Calendar!$K$2,P1053&lt;EDATE(Calendar!$K$2,1),OR(Calendar!$K$4="*",N1053=Calendar!$K$4)),P1053*100+COUNTIFS($P$6:$P$3271,P1053,$Q$6:$Q$3271,"&lt;="&amp;Q1053,$N$6:$N$3271,Calendar!$K$4),"")</f>
        <v/>
      </c>
      <c r="W1053" s="44">
        <f>IF(AND(B1053=Queue!$C$4,OR(Queue!$K$4="*",N1053=Queue!$K$4)),Q1053,"")</f>
        <v/>
      </c>
    </row>
    <row r="1054">
      <c r="A1054" s="35">
        <f>IF(M1054="","",HYPERLINK("https://www.youtube.com/watch?v="&amp;M1054,"▶"))</f>
        <v/>
      </c>
      <c r="B1054" s="36">
        <f>IF(C1054&lt;&gt;"",C1054,IF(P1054&lt;=IFERROR(INDEX(tblChannels[Watched Through],MATCH(N1054,tblChannels[Channel ID],0)),0),"Watched","Unwatched"))</f>
        <v/>
      </c>
      <c r="C1054" s="37" t="n"/>
      <c r="D1054" s="38" t="n"/>
      <c r="E1054" s="39" t="n">
        <v>44848.41666666666</v>
      </c>
      <c r="F1054" s="40" t="inlineStr">
        <is>
          <t>Popcorn Culture</t>
        </is>
      </c>
      <c r="G1054" t="inlineStr">
        <is>
          <t>Going Full Twain | Popcorn Culture</t>
        </is>
      </c>
      <c r="H1054" s="41" t="n">
        <v>0.0525462962962963</v>
      </c>
      <c r="I1054" s="42" t="n">
        <v>5530</v>
      </c>
      <c r="J1054" s="42" t="n">
        <v>270</v>
      </c>
      <c r="K1054" s="42" t="n">
        <v>30</v>
      </c>
      <c r="L1054" s="43" t="n"/>
      <c r="M1054" s="44" t="n"/>
      <c r="N1054" s="44" t="inlineStr">
        <is>
          <t>UCHfIbq9thHPC8yrKjAdJgDA</t>
        </is>
      </c>
      <c r="O1054" s="45" t="n">
        <v>44848.58333333334</v>
      </c>
      <c r="P1054" s="46" t="n">
        <v>44848</v>
      </c>
      <c r="Q1054" s="44" t="n">
        <v>2218</v>
      </c>
      <c r="R1054" s="44" t="inlineStr">
        <is>
          <t>No Video ID yet</t>
        </is>
      </c>
      <c r="S1054" s="46" t="n"/>
      <c r="T1054" s="46" t="n"/>
      <c r="U1054" s="44" t="n"/>
      <c r="V1054" s="44">
        <f>IF(AND(P1054&gt;=Calendar!$K$2,P1054&lt;EDATE(Calendar!$K$2,1),OR(Calendar!$K$4="*",N1054=Calendar!$K$4)),P1054*100+COUNTIFS($P$6:$P$3271,P1054,$Q$6:$Q$3271,"&lt;="&amp;Q1054,$N$6:$N$3271,Calendar!$K$4),"")</f>
        <v/>
      </c>
      <c r="W1054" s="44">
        <f>IF(AND(B1054=Queue!$C$4,OR(Queue!$K$4="*",N1054=Queue!$K$4)),Q1054,"")</f>
        <v/>
      </c>
    </row>
    <row r="1055">
      <c r="A1055" s="35">
        <f>IF(M1055="","",HYPERLINK("https://www.youtube.com/watch?v="&amp;M1055,"▶"))</f>
        <v/>
      </c>
      <c r="B1055" s="36">
        <f>IF(C1055&lt;&gt;"",C1055,IF(P1055&lt;=IFERROR(INDEX(tblChannels[Watched Through],MATCH(N1055,tblChannels[Channel ID],0)),0),"Watched","Unwatched"))</f>
        <v/>
      </c>
      <c r="C1055" s="37" t="n"/>
      <c r="D1055" s="38" t="n"/>
      <c r="E1055" s="39" t="n">
        <v>44847.68055555555</v>
      </c>
      <c r="F1055" s="47" t="inlineStr">
        <is>
          <t>Super Carlin Brothers</t>
        </is>
      </c>
      <c r="G1055" t="inlineStr">
        <is>
          <t>What If Diary Riddle Came Back? | Harry Potter Film Theory</t>
        </is>
      </c>
      <c r="H1055" s="41" t="n">
        <v>0.01626157407407407</v>
      </c>
      <c r="I1055" s="42" t="n">
        <v>593156</v>
      </c>
      <c r="J1055" s="42" t="n">
        <v>16375</v>
      </c>
      <c r="K1055" s="42" t="n">
        <v>1696</v>
      </c>
      <c r="L1055" s="43" t="n"/>
      <c r="M1055" s="44" t="n"/>
      <c r="N1055" s="44" t="inlineStr">
        <is>
          <t>UCKZo4N0lVPccBkSiuyVh4yg</t>
        </is>
      </c>
      <c r="O1055" s="45" t="n">
        <v>44847.84722222222</v>
      </c>
      <c r="P1055" s="46" t="n">
        <v>44847</v>
      </c>
      <c r="Q1055" s="44" t="n">
        <v>2217</v>
      </c>
      <c r="R1055" s="44" t="inlineStr">
        <is>
          <t>No Video ID yet</t>
        </is>
      </c>
      <c r="S1055" s="46" t="n"/>
      <c r="T1055" s="46" t="n"/>
      <c r="U1055" s="44" t="n"/>
      <c r="V1055" s="44">
        <f>IF(AND(P1055&gt;=Calendar!$K$2,P1055&lt;EDATE(Calendar!$K$2,1),OR(Calendar!$K$4="*",N1055=Calendar!$K$4)),P1055*100+COUNTIFS($P$6:$P$3271,P1055,$Q$6:$Q$3271,"&lt;="&amp;Q1055,$N$6:$N$3271,Calendar!$K$4),"")</f>
        <v/>
      </c>
      <c r="W1055" s="44">
        <f>IF(AND(B1055=Queue!$C$4,OR(Queue!$K$4="*",N1055=Queue!$K$4)),Q1055,"")</f>
        <v/>
      </c>
    </row>
    <row r="1056">
      <c r="A1056" s="35">
        <f>IF(M1056="","",HYPERLINK("https://www.youtube.com/watch?v="&amp;M1056,"▶"))</f>
        <v/>
      </c>
      <c r="B1056" s="36">
        <f>IF(C1056&lt;&gt;"",C1056,IF(P1056&lt;=IFERROR(INDEX(tblChannels[Watched Through],MATCH(N1056,tblChannels[Channel ID],0)),0),"Watched","Unwatched"))</f>
        <v/>
      </c>
      <c r="C1056" s="37" t="n"/>
      <c r="D1056" s="38" t="n"/>
      <c r="E1056" s="39" t="n">
        <v>44846.625</v>
      </c>
      <c r="F1056" s="49" t="inlineStr">
        <is>
          <t>Super Carlin Gaming</t>
        </is>
      </c>
      <c r="G1056" t="inlineStr">
        <is>
          <t>Rise of the Dark Fox |  Pokémon Legends: Arceus Nuzlocke #21</t>
        </is>
      </c>
      <c r="H1056" s="41" t="n">
        <v>0.02837962962962963</v>
      </c>
      <c r="I1056" s="42" t="n">
        <v>5005</v>
      </c>
      <c r="J1056" s="42" t="n">
        <v>284</v>
      </c>
      <c r="K1056" s="42" t="n">
        <v>65</v>
      </c>
      <c r="L1056" s="43" t="n"/>
      <c r="M1056" s="44" t="n"/>
      <c r="N1056" s="44" t="inlineStr">
        <is>
          <t>UCor_9jRnNNZVzTuQ92PKsaQ</t>
        </is>
      </c>
      <c r="O1056" s="45" t="n">
        <v>44846.79166666666</v>
      </c>
      <c r="P1056" s="46" t="n">
        <v>44846</v>
      </c>
      <c r="Q1056" s="44" t="n">
        <v>2216</v>
      </c>
      <c r="R1056" s="44" t="inlineStr">
        <is>
          <t>No Video ID yet</t>
        </is>
      </c>
      <c r="S1056" s="46" t="n"/>
      <c r="T1056" s="46" t="n"/>
      <c r="U1056" s="44" t="n"/>
      <c r="V1056" s="44">
        <f>IF(AND(P1056&gt;=Calendar!$K$2,P1056&lt;EDATE(Calendar!$K$2,1),OR(Calendar!$K$4="*",N1056=Calendar!$K$4)),P1056*100+COUNTIFS($P$6:$P$3271,P1056,$Q$6:$Q$3271,"&lt;="&amp;Q1056,$N$6:$N$3271,Calendar!$K$4),"")</f>
        <v/>
      </c>
      <c r="W1056" s="44">
        <f>IF(AND(B1056=Queue!$C$4,OR(Queue!$K$4="*",N1056=Queue!$K$4)),Q1056,"")</f>
        <v/>
      </c>
    </row>
    <row r="1057">
      <c r="A1057" s="35">
        <f>IF(M1057="","",HYPERLINK("https://www.youtube.com/watch?v="&amp;M1057,"▶"))</f>
        <v/>
      </c>
      <c r="B1057" s="36">
        <f>IF(C1057&lt;&gt;"",C1057,IF(P1057&lt;=IFERROR(INDEX(tblChannels[Watched Through],MATCH(N1057,tblChannels[Channel ID],0)),0),"Watched","Unwatched"))</f>
        <v/>
      </c>
      <c r="C1057" s="37" t="n"/>
      <c r="D1057" s="38" t="n"/>
      <c r="E1057" s="39" t="n">
        <v>44845.68263888889</v>
      </c>
      <c r="F1057" s="47" t="inlineStr">
        <is>
          <t>Super Carlin Brothers</t>
        </is>
      </c>
      <c r="G1057" t="inlineStr">
        <is>
          <t>J vs Ben: ULTIMATE Prisoner of Azkaban Harry Potter TRIVIA Quiz</t>
        </is>
      </c>
      <c r="H1057" s="41" t="n">
        <v>0.02153935185185185</v>
      </c>
      <c r="I1057" s="42" t="n">
        <v>319989</v>
      </c>
      <c r="J1057" s="42" t="n">
        <v>8715</v>
      </c>
      <c r="K1057" s="42" t="n">
        <v>565</v>
      </c>
      <c r="L1057" s="43" t="n"/>
      <c r="M1057" s="44" t="n"/>
      <c r="N1057" s="44" t="inlineStr">
        <is>
          <t>UCKZo4N0lVPccBkSiuyVh4yg</t>
        </is>
      </c>
      <c r="O1057" s="45" t="n">
        <v>44845.84930555556</v>
      </c>
      <c r="P1057" s="46" t="n">
        <v>44845</v>
      </c>
      <c r="Q1057" s="44" t="n">
        <v>2215</v>
      </c>
      <c r="R1057" s="44" t="inlineStr">
        <is>
          <t>No Video ID yet</t>
        </is>
      </c>
      <c r="S1057" s="46" t="n"/>
      <c r="T1057" s="46" t="n"/>
      <c r="U1057" s="44" t="n"/>
      <c r="V1057" s="44">
        <f>IF(AND(P1057&gt;=Calendar!$K$2,P1057&lt;EDATE(Calendar!$K$2,1),OR(Calendar!$K$4="*",N1057=Calendar!$K$4)),P1057*100+COUNTIFS($P$6:$P$3271,P1057,$Q$6:$Q$3271,"&lt;="&amp;Q1057,$N$6:$N$3271,Calendar!$K$4),"")</f>
        <v/>
      </c>
      <c r="W1057" s="44">
        <f>IF(AND(B1057=Queue!$C$4,OR(Queue!$K$4="*",N1057=Queue!$K$4)),Q1057,"")</f>
        <v/>
      </c>
    </row>
    <row r="1058">
      <c r="A1058" s="35">
        <f>IF(M1058="","",HYPERLINK("https://www.youtube.com/watch?v="&amp;M1058,"▶"))</f>
        <v/>
      </c>
      <c r="B1058" s="36">
        <f>IF(C1058&lt;&gt;"",C1058,IF(P1058&lt;=IFERROR(INDEX(tblChannels[Watched Through],MATCH(N1058,tblChannels[Channel ID],0)),0),"Watched","Unwatched"))</f>
        <v/>
      </c>
      <c r="C1058" s="37" t="n"/>
      <c r="D1058" s="38" t="n"/>
      <c r="E1058" s="39" t="n">
        <v>44841.41666666666</v>
      </c>
      <c r="F1058" s="40" t="inlineStr">
        <is>
          <t>Popcorn Culture</t>
        </is>
      </c>
      <c r="G1058" t="inlineStr">
        <is>
          <t>The Key to the Odyssey | Popcorn Culture</t>
        </is>
      </c>
      <c r="H1058" s="41" t="n">
        <v>0.04297453703703704</v>
      </c>
      <c r="I1058" s="42" t="n">
        <v>4915</v>
      </c>
      <c r="J1058" s="42" t="n">
        <v>297</v>
      </c>
      <c r="K1058" s="42" t="n">
        <v>44</v>
      </c>
      <c r="L1058" s="43" t="n"/>
      <c r="M1058" s="44" t="n"/>
      <c r="N1058" s="44" t="inlineStr">
        <is>
          <t>UCHfIbq9thHPC8yrKjAdJgDA</t>
        </is>
      </c>
      <c r="O1058" s="45" t="n">
        <v>44841.58333333334</v>
      </c>
      <c r="P1058" s="46" t="n">
        <v>44841</v>
      </c>
      <c r="Q1058" s="44" t="n">
        <v>2214</v>
      </c>
      <c r="R1058" s="44" t="inlineStr">
        <is>
          <t>No Video ID yet</t>
        </is>
      </c>
      <c r="S1058" s="46" t="n"/>
      <c r="T1058" s="46" t="n"/>
      <c r="U1058" s="44" t="n"/>
      <c r="V1058" s="44">
        <f>IF(AND(P1058&gt;=Calendar!$K$2,P1058&lt;EDATE(Calendar!$K$2,1),OR(Calendar!$K$4="*",N1058=Calendar!$K$4)),P1058*100+COUNTIFS($P$6:$P$3271,P1058,$Q$6:$Q$3271,"&lt;="&amp;Q1058,$N$6:$N$3271,Calendar!$K$4),"")</f>
        <v/>
      </c>
      <c r="W1058" s="44">
        <f>IF(AND(B1058=Queue!$C$4,OR(Queue!$K$4="*",N1058=Queue!$K$4)),Q1058,"")</f>
        <v/>
      </c>
    </row>
    <row r="1059">
      <c r="A1059" s="35">
        <f>IF(M1059="","",HYPERLINK("https://www.youtube.com/watch?v="&amp;M1059,"▶"))</f>
        <v/>
      </c>
      <c r="B1059" s="36">
        <f>IF(C1059&lt;&gt;"",C1059,IF(P1059&lt;=IFERROR(INDEX(tblChannels[Watched Through],MATCH(N1059,tblChannels[Channel ID],0)),0),"Watched","Unwatched"))</f>
        <v/>
      </c>
      <c r="C1059" s="37" t="n"/>
      <c r="D1059" s="38" t="n"/>
      <c r="E1059" s="39" t="n">
        <v>44840.70347222222</v>
      </c>
      <c r="F1059" s="47" t="inlineStr">
        <is>
          <t>Super Carlin Brothers</t>
        </is>
      </c>
      <c r="G1059" t="inlineStr">
        <is>
          <t>The TRUTH About the Night Voldemort Attacked - FULL TIMELINE | Harry Potter Film Theory</t>
        </is>
      </c>
      <c r="H1059" s="41" t="n">
        <v>0.01608796296296296</v>
      </c>
      <c r="I1059" s="42" t="n">
        <v>667313</v>
      </c>
      <c r="J1059" s="42" t="n">
        <v>17697</v>
      </c>
      <c r="K1059" s="42" t="n">
        <v>1810</v>
      </c>
      <c r="L1059" s="43" t="n"/>
      <c r="M1059" s="44" t="n"/>
      <c r="N1059" s="44" t="inlineStr">
        <is>
          <t>UCKZo4N0lVPccBkSiuyVh4yg</t>
        </is>
      </c>
      <c r="O1059" s="45" t="n">
        <v>44840.87013888889</v>
      </c>
      <c r="P1059" s="46" t="n">
        <v>44840</v>
      </c>
      <c r="Q1059" s="44" t="n">
        <v>2213</v>
      </c>
      <c r="R1059" s="44" t="inlineStr">
        <is>
          <t>No Video ID yet</t>
        </is>
      </c>
      <c r="S1059" s="46" t="n"/>
      <c r="T1059" s="46" t="n"/>
      <c r="U1059" s="44" t="n"/>
      <c r="V1059" s="44">
        <f>IF(AND(P1059&gt;=Calendar!$K$2,P1059&lt;EDATE(Calendar!$K$2,1),OR(Calendar!$K$4="*",N1059=Calendar!$K$4)),P1059*100+COUNTIFS($P$6:$P$3271,P1059,$Q$6:$Q$3271,"&lt;="&amp;Q1059,$N$6:$N$3271,Calendar!$K$4),"")</f>
        <v/>
      </c>
      <c r="W1059" s="44">
        <f>IF(AND(B1059=Queue!$C$4,OR(Queue!$K$4="*",N1059=Queue!$K$4)),Q1059,"")</f>
        <v/>
      </c>
    </row>
    <row r="1060">
      <c r="A1060" s="35">
        <f>IF(M1060="","",HYPERLINK("https://www.youtube.com/watch?v="&amp;M1060,"▶"))</f>
        <v/>
      </c>
      <c r="B1060" s="36">
        <f>IF(C1060&lt;&gt;"",C1060,IF(P1060&lt;=IFERROR(INDEX(tblChannels[Watched Through],MATCH(N1060,tblChannels[Channel ID],0)),0),"Watched","Unwatched"))</f>
        <v/>
      </c>
      <c r="C1060" s="37" t="n"/>
      <c r="D1060" s="38" t="n"/>
      <c r="E1060" s="39" t="n">
        <v>44839.625</v>
      </c>
      <c r="F1060" s="49" t="inlineStr">
        <is>
          <t>Super Carlin Gaming</t>
        </is>
      </c>
      <c r="G1060" t="inlineStr">
        <is>
          <t>THE GREAT SCORPION HUNT... CONTINUES?? |  Pokémon Legends: Arceus Nuzlocke #20</t>
        </is>
      </c>
      <c r="H1060" s="41" t="n">
        <v>0.0309375</v>
      </c>
      <c r="I1060" s="42" t="n">
        <v>5032</v>
      </c>
      <c r="J1060" s="42" t="n">
        <v>293</v>
      </c>
      <c r="K1060" s="42" t="n">
        <v>64</v>
      </c>
      <c r="L1060" s="43" t="n"/>
      <c r="M1060" s="44" t="n"/>
      <c r="N1060" s="44" t="inlineStr">
        <is>
          <t>UCor_9jRnNNZVzTuQ92PKsaQ</t>
        </is>
      </c>
      <c r="O1060" s="45" t="n">
        <v>44839.79166666666</v>
      </c>
      <c r="P1060" s="46" t="n">
        <v>44839</v>
      </c>
      <c r="Q1060" s="44" t="n">
        <v>2212</v>
      </c>
      <c r="R1060" s="44" t="inlineStr">
        <is>
          <t>No Video ID yet</t>
        </is>
      </c>
      <c r="S1060" s="46" t="n"/>
      <c r="T1060" s="46" t="n"/>
      <c r="U1060" s="44" t="n"/>
      <c r="V1060" s="44">
        <f>IF(AND(P1060&gt;=Calendar!$K$2,P1060&lt;EDATE(Calendar!$K$2,1),OR(Calendar!$K$4="*",N1060=Calendar!$K$4)),P1060*100+COUNTIFS($P$6:$P$3271,P1060,$Q$6:$Q$3271,"&lt;="&amp;Q1060,$N$6:$N$3271,Calendar!$K$4),"")</f>
        <v/>
      </c>
      <c r="W1060" s="44">
        <f>IF(AND(B1060=Queue!$C$4,OR(Queue!$K$4="*",N1060=Queue!$K$4)),Q1060,"")</f>
        <v/>
      </c>
    </row>
    <row r="1061">
      <c r="A1061" s="35">
        <f>IF(M1061="","",HYPERLINK("https://www.youtube.com/watch?v="&amp;M1061,"▶"))</f>
        <v/>
      </c>
      <c r="B1061" s="36">
        <f>IF(C1061&lt;&gt;"",C1061,IF(P1061&lt;=IFERROR(INDEX(tblChannels[Watched Through],MATCH(N1061,tblChannels[Channel ID],0)),0),"Watched","Unwatched"))</f>
        <v/>
      </c>
      <c r="C1061" s="37" t="n"/>
      <c r="D1061" s="38" t="n"/>
      <c r="E1061" s="39" t="n">
        <v>44838.70763888889</v>
      </c>
      <c r="F1061" s="47" t="inlineStr">
        <is>
          <t>Super Carlin Brothers</t>
        </is>
      </c>
      <c r="G1061" t="inlineStr">
        <is>
          <t>Elsa VS Pepa - Who is More POWERFUL? | Disney Film Theory</t>
        </is>
      </c>
      <c r="H1061" s="41" t="n">
        <v>0.01119212962962963</v>
      </c>
      <c r="I1061" s="42" t="n">
        <v>100861</v>
      </c>
      <c r="J1061" s="42" t="n">
        <v>5522</v>
      </c>
      <c r="K1061" s="42" t="n">
        <v>606</v>
      </c>
      <c r="L1061" s="43" t="n"/>
      <c r="M1061" s="44" t="n"/>
      <c r="N1061" s="44" t="inlineStr">
        <is>
          <t>UCKZo4N0lVPccBkSiuyVh4yg</t>
        </is>
      </c>
      <c r="O1061" s="45" t="n">
        <v>44838.87430555555</v>
      </c>
      <c r="P1061" s="46" t="n">
        <v>44838</v>
      </c>
      <c r="Q1061" s="44" t="n">
        <v>2211</v>
      </c>
      <c r="R1061" s="44" t="inlineStr">
        <is>
          <t>No Video ID yet</t>
        </is>
      </c>
      <c r="S1061" s="46" t="n"/>
      <c r="T1061" s="46" t="n"/>
      <c r="U1061" s="44" t="n"/>
      <c r="V1061" s="44">
        <f>IF(AND(P1061&gt;=Calendar!$K$2,P1061&lt;EDATE(Calendar!$K$2,1),OR(Calendar!$K$4="*",N1061=Calendar!$K$4)),P1061*100+COUNTIFS($P$6:$P$3271,P1061,$Q$6:$Q$3271,"&lt;="&amp;Q1061,$N$6:$N$3271,Calendar!$K$4),"")</f>
        <v/>
      </c>
      <c r="W1061" s="44">
        <f>IF(AND(B1061=Queue!$C$4,OR(Queue!$K$4="*",N1061=Queue!$K$4)),Q1061,"")</f>
        <v/>
      </c>
    </row>
    <row r="1062">
      <c r="A1062" s="35">
        <f>IF(M1062="","",HYPERLINK("https://www.youtube.com/watch?v="&amp;M1062,"▶"))</f>
        <v/>
      </c>
      <c r="B1062" s="36">
        <f>IF(C1062&lt;&gt;"",C1062,IF(P1062&lt;=IFERROR(INDEX(tblChannels[Watched Through],MATCH(N1062,tblChannels[Channel ID],0)),0),"Watched","Unwatched"))</f>
        <v/>
      </c>
      <c r="C1062" s="37" t="n"/>
      <c r="D1062" s="38" t="n"/>
      <c r="E1062" s="39" t="n">
        <v>44835.625</v>
      </c>
      <c r="F1062" s="49" t="inlineStr">
        <is>
          <t>Super Carlin Gaming</t>
        </is>
      </c>
      <c r="G1062" t="inlineStr">
        <is>
          <t>ENTER LOST ORIGIN! | Box Breakers S2/E1</t>
        </is>
      </c>
      <c r="H1062" s="41" t="n">
        <v>0.03966435185185185</v>
      </c>
      <c r="I1062" s="42" t="n">
        <v>4971</v>
      </c>
      <c r="J1062" s="42" t="n">
        <v>234</v>
      </c>
      <c r="K1062" s="42" t="n">
        <v>25</v>
      </c>
      <c r="L1062" s="43" t="n"/>
      <c r="M1062" s="44" t="n"/>
      <c r="N1062" s="44" t="inlineStr">
        <is>
          <t>UCor_9jRnNNZVzTuQ92PKsaQ</t>
        </is>
      </c>
      <c r="O1062" s="45" t="n">
        <v>44835.79166666666</v>
      </c>
      <c r="P1062" s="46" t="n">
        <v>44835</v>
      </c>
      <c r="Q1062" s="44" t="n">
        <v>2210</v>
      </c>
      <c r="R1062" s="44" t="inlineStr">
        <is>
          <t>No Video ID yet</t>
        </is>
      </c>
      <c r="S1062" s="46" t="n"/>
      <c r="T1062" s="46" t="n"/>
      <c r="U1062" s="44" t="n"/>
      <c r="V1062" s="44">
        <f>IF(AND(P1062&gt;=Calendar!$K$2,P1062&lt;EDATE(Calendar!$K$2,1),OR(Calendar!$K$4="*",N1062=Calendar!$K$4)),P1062*100+COUNTIFS($P$6:$P$3271,P1062,$Q$6:$Q$3271,"&lt;="&amp;Q1062,$N$6:$N$3271,Calendar!$K$4),"")</f>
        <v/>
      </c>
      <c r="W1062" s="44">
        <f>IF(AND(B1062=Queue!$C$4,OR(Queue!$K$4="*",N1062=Queue!$K$4)),Q1062,"")</f>
        <v/>
      </c>
    </row>
    <row r="1063">
      <c r="A1063" s="35">
        <f>IF(M1063="","",HYPERLINK("https://www.youtube.com/watch?v="&amp;M1063,"▶"))</f>
        <v/>
      </c>
      <c r="B1063" s="36">
        <f>IF(C1063&lt;&gt;"",C1063,IF(P1063&lt;=IFERROR(INDEX(tblChannels[Watched Through],MATCH(N1063,tblChannels[Channel ID],0)),0),"Watched","Unwatched"))</f>
        <v/>
      </c>
      <c r="C1063" s="37" t="n"/>
      <c r="D1063" s="38" t="n"/>
      <c r="E1063" s="39" t="n">
        <v>44834.41666666666</v>
      </c>
      <c r="F1063" s="40" t="inlineStr">
        <is>
          <t>Popcorn Culture</t>
        </is>
      </c>
      <c r="G1063" t="inlineStr">
        <is>
          <t>Bear Attack!! | Popcorn Culture</t>
        </is>
      </c>
      <c r="H1063" s="41" t="n">
        <v>0.04332175925925926</v>
      </c>
      <c r="I1063" s="42" t="n">
        <v>5473</v>
      </c>
      <c r="J1063" s="42" t="n">
        <v>319</v>
      </c>
      <c r="K1063" s="42" t="n">
        <v>24</v>
      </c>
      <c r="L1063" s="43" t="n"/>
      <c r="M1063" s="44" t="n"/>
      <c r="N1063" s="44" t="inlineStr">
        <is>
          <t>UCHfIbq9thHPC8yrKjAdJgDA</t>
        </is>
      </c>
      <c r="O1063" s="45" t="n">
        <v>44834.58333333334</v>
      </c>
      <c r="P1063" s="46" t="n">
        <v>44834</v>
      </c>
      <c r="Q1063" s="44" t="n">
        <v>2209</v>
      </c>
      <c r="R1063" s="44" t="inlineStr">
        <is>
          <t>No Video ID yet</t>
        </is>
      </c>
      <c r="S1063" s="46" t="n"/>
      <c r="T1063" s="46" t="n"/>
      <c r="U1063" s="44" t="n"/>
      <c r="V1063" s="44">
        <f>IF(AND(P1063&gt;=Calendar!$K$2,P1063&lt;EDATE(Calendar!$K$2,1),OR(Calendar!$K$4="*",N1063=Calendar!$K$4)),P1063*100+COUNTIFS($P$6:$P$3271,P1063,$Q$6:$Q$3271,"&lt;="&amp;Q1063,$N$6:$N$3271,Calendar!$K$4),"")</f>
        <v/>
      </c>
      <c r="W1063" s="44">
        <f>IF(AND(B1063=Queue!$C$4,OR(Queue!$K$4="*",N1063=Queue!$K$4)),Q1063,"")</f>
        <v/>
      </c>
    </row>
    <row r="1064">
      <c r="A1064" s="35">
        <f>IF(M1064="","",HYPERLINK("https://www.youtube.com/watch?v="&amp;M1064,"▶"))</f>
        <v/>
      </c>
      <c r="B1064" s="36">
        <f>IF(C1064&lt;&gt;"",C1064,IF(P1064&lt;=IFERROR(INDEX(tblChannels[Watched Through],MATCH(N1064,tblChannels[Channel ID],0)),0),"Watched","Unwatched"))</f>
        <v/>
      </c>
      <c r="C1064" s="37" t="n"/>
      <c r="D1064" s="38" t="n"/>
      <c r="E1064" s="39" t="n">
        <v>44833.63541666666</v>
      </c>
      <c r="F1064" s="47" t="inlineStr">
        <is>
          <t>Super Carlin Brothers</t>
        </is>
      </c>
      <c r="G1064" t="inlineStr">
        <is>
          <t>What If Mirabel Never Hugged Isabela? | Encanto Film Theory</t>
        </is>
      </c>
      <c r="H1064" s="41" t="n">
        <v>0.01063657407407407</v>
      </c>
      <c r="I1064" s="42" t="n">
        <v>191849</v>
      </c>
      <c r="J1064" s="42" t="n">
        <v>6988</v>
      </c>
      <c r="K1064" s="42" t="n">
        <v>531</v>
      </c>
      <c r="L1064" s="43" t="n"/>
      <c r="M1064" s="44" t="n"/>
      <c r="N1064" s="44" t="inlineStr">
        <is>
          <t>UCKZo4N0lVPccBkSiuyVh4yg</t>
        </is>
      </c>
      <c r="O1064" s="45" t="n">
        <v>44833.80208333334</v>
      </c>
      <c r="P1064" s="46" t="n">
        <v>44833</v>
      </c>
      <c r="Q1064" s="44" t="n">
        <v>2208</v>
      </c>
      <c r="R1064" s="44" t="inlineStr">
        <is>
          <t>No Video ID yet</t>
        </is>
      </c>
      <c r="S1064" s="46" t="n"/>
      <c r="T1064" s="46" t="n"/>
      <c r="U1064" s="44" t="n"/>
      <c r="V1064" s="44">
        <f>IF(AND(P1064&gt;=Calendar!$K$2,P1064&lt;EDATE(Calendar!$K$2,1),OR(Calendar!$K$4="*",N1064=Calendar!$K$4)),P1064*100+COUNTIFS($P$6:$P$3271,P1064,$Q$6:$Q$3271,"&lt;="&amp;Q1064,$N$6:$N$3271,Calendar!$K$4),"")</f>
        <v/>
      </c>
      <c r="W1064" s="44">
        <f>IF(AND(B1064=Queue!$C$4,OR(Queue!$K$4="*",N1064=Queue!$K$4)),Q1064,"")</f>
        <v/>
      </c>
    </row>
    <row r="1065">
      <c r="A1065" s="35">
        <f>IF(M1065="","",HYPERLINK("https://www.youtube.com/watch?v="&amp;M1065,"▶"))</f>
        <v/>
      </c>
      <c r="B1065" s="36">
        <f>IF(C1065&lt;&gt;"",C1065,IF(P1065&lt;=IFERROR(INDEX(tblChannels[Watched Through],MATCH(N1065,tblChannels[Channel ID],0)),0),"Watched","Unwatched"))</f>
        <v/>
      </c>
      <c r="C1065" s="37" t="n"/>
      <c r="D1065" s="38" t="n"/>
      <c r="E1065" s="39" t="n">
        <v>44832.625</v>
      </c>
      <c r="F1065" s="49" t="inlineStr">
        <is>
          <t>Super Carlin Gaming</t>
        </is>
      </c>
      <c r="G1065" t="inlineStr">
        <is>
          <t>WE FOUND A SHINY!!! |  Pokémon Legends: Arceus Nuzlocke #19</t>
        </is>
      </c>
      <c r="H1065" s="41" t="n">
        <v>0.02700231481481482</v>
      </c>
      <c r="I1065" s="42" t="n">
        <v>5233</v>
      </c>
      <c r="J1065" s="42" t="n">
        <v>308</v>
      </c>
      <c r="K1065" s="42" t="n">
        <v>58</v>
      </c>
      <c r="L1065" s="43" t="n"/>
      <c r="M1065" s="44" t="n"/>
      <c r="N1065" s="44" t="inlineStr">
        <is>
          <t>UCor_9jRnNNZVzTuQ92PKsaQ</t>
        </is>
      </c>
      <c r="O1065" s="45" t="n">
        <v>44832.79166666666</v>
      </c>
      <c r="P1065" s="46" t="n">
        <v>44832</v>
      </c>
      <c r="Q1065" s="44" t="n">
        <v>2207</v>
      </c>
      <c r="R1065" s="44" t="inlineStr">
        <is>
          <t>No Video ID yet</t>
        </is>
      </c>
      <c r="S1065" s="46" t="n"/>
      <c r="T1065" s="46" t="n"/>
      <c r="U1065" s="44" t="n"/>
      <c r="V1065" s="44">
        <f>IF(AND(P1065&gt;=Calendar!$K$2,P1065&lt;EDATE(Calendar!$K$2,1),OR(Calendar!$K$4="*",N1065=Calendar!$K$4)),P1065*100+COUNTIFS($P$6:$P$3271,P1065,$Q$6:$Q$3271,"&lt;="&amp;Q1065,$N$6:$N$3271,Calendar!$K$4),"")</f>
        <v/>
      </c>
      <c r="W1065" s="44">
        <f>IF(AND(B1065=Queue!$C$4,OR(Queue!$K$4="*",N1065=Queue!$K$4)),Q1065,"")</f>
        <v/>
      </c>
    </row>
    <row r="1066">
      <c r="A1066" s="35">
        <f>IF(M1066="","",HYPERLINK("https://www.youtube.com/watch?v="&amp;M1066,"▶"))</f>
        <v/>
      </c>
      <c r="B1066" s="36">
        <f>IF(C1066&lt;&gt;"",C1066,IF(P1066&lt;=IFERROR(INDEX(tblChannels[Watched Through],MATCH(N1066,tblChannels[Channel ID],0)),0),"Watched","Unwatched"))</f>
        <v/>
      </c>
      <c r="C1066" s="37" t="n"/>
      <c r="D1066" s="38" t="n"/>
      <c r="E1066" s="39" t="n">
        <v>44831.66736111111</v>
      </c>
      <c r="F1066" s="47" t="inlineStr">
        <is>
          <t>Super Carlin Brothers</t>
        </is>
      </c>
      <c r="G1066" t="inlineStr">
        <is>
          <t>J vs Ben: ULTIMATE Chamber of Secrets Harry Potter TRIVIA Quiz</t>
        </is>
      </c>
      <c r="H1066" s="41" t="n">
        <v>0.02178240740740741</v>
      </c>
      <c r="I1066" s="42" t="n">
        <v>284768</v>
      </c>
      <c r="J1066" s="42" t="n">
        <v>8340</v>
      </c>
      <c r="K1066" s="42" t="n">
        <v>790</v>
      </c>
      <c r="L1066" s="43" t="n"/>
      <c r="M1066" s="44" t="n"/>
      <c r="N1066" s="44" t="inlineStr">
        <is>
          <t>UCKZo4N0lVPccBkSiuyVh4yg</t>
        </is>
      </c>
      <c r="O1066" s="45" t="n">
        <v>44831.83402777778</v>
      </c>
      <c r="P1066" s="46" t="n">
        <v>44831</v>
      </c>
      <c r="Q1066" s="44" t="n">
        <v>2206</v>
      </c>
      <c r="R1066" s="44" t="inlineStr">
        <is>
          <t>No Video ID yet</t>
        </is>
      </c>
      <c r="S1066" s="46" t="n"/>
      <c r="T1066" s="46" t="n"/>
      <c r="U1066" s="44" t="n"/>
      <c r="V1066" s="44">
        <f>IF(AND(P1066&gt;=Calendar!$K$2,P1066&lt;EDATE(Calendar!$K$2,1),OR(Calendar!$K$4="*",N1066=Calendar!$K$4)),P1066*100+COUNTIFS($P$6:$P$3271,P1066,$Q$6:$Q$3271,"&lt;="&amp;Q1066,$N$6:$N$3271,Calendar!$K$4),"")</f>
        <v/>
      </c>
      <c r="W1066" s="44">
        <f>IF(AND(B1066=Queue!$C$4,OR(Queue!$K$4="*",N1066=Queue!$K$4)),Q1066,"")</f>
        <v/>
      </c>
    </row>
    <row r="1067">
      <c r="A1067" s="35">
        <f>IF(M1067="","",HYPERLINK("https://www.youtube.com/watch?v="&amp;M1067,"▶"))</f>
        <v/>
      </c>
      <c r="B1067" s="36">
        <f>IF(C1067&lt;&gt;"",C1067,IF(P1067&lt;=IFERROR(INDEX(tblChannels[Watched Through],MATCH(N1067,tblChannels[Channel ID],0)),0),"Watched","Unwatched"))</f>
        <v/>
      </c>
      <c r="C1067" s="37" t="n"/>
      <c r="D1067" s="38" t="n"/>
      <c r="E1067" s="39" t="n">
        <v>44829.58333333334</v>
      </c>
      <c r="F1067" s="47" t="inlineStr">
        <is>
          <t>Super Carlin Brothers</t>
        </is>
      </c>
      <c r="G1067" t="inlineStr">
        <is>
          <t>Dumbledore's Big Plan - FULL STORY 1-7</t>
        </is>
      </c>
      <c r="H1067" s="41" t="n">
        <v>0.07887731481481482</v>
      </c>
      <c r="I1067" s="42" t="n">
        <v>5062206</v>
      </c>
      <c r="J1067" s="42" t="n">
        <v>60618</v>
      </c>
      <c r="K1067" s="42" t="n">
        <v>4298</v>
      </c>
      <c r="L1067" s="43" t="n"/>
      <c r="M1067" s="44" t="n"/>
      <c r="N1067" s="44" t="inlineStr">
        <is>
          <t>UCKZo4N0lVPccBkSiuyVh4yg</t>
        </is>
      </c>
      <c r="O1067" s="45" t="n">
        <v>44829.75</v>
      </c>
      <c r="P1067" s="46" t="n">
        <v>44829</v>
      </c>
      <c r="Q1067" s="44" t="n">
        <v>2205</v>
      </c>
      <c r="R1067" s="44" t="inlineStr">
        <is>
          <t>No Video ID yet</t>
        </is>
      </c>
      <c r="S1067" s="46" t="n"/>
      <c r="T1067" s="46" t="n"/>
      <c r="U1067" s="44" t="n"/>
      <c r="V1067" s="44">
        <f>IF(AND(P1067&gt;=Calendar!$K$2,P1067&lt;EDATE(Calendar!$K$2,1),OR(Calendar!$K$4="*",N1067=Calendar!$K$4)),P1067*100+COUNTIFS($P$6:$P$3271,P1067,$Q$6:$Q$3271,"&lt;="&amp;Q1067,$N$6:$N$3271,Calendar!$K$4),"")</f>
        <v/>
      </c>
      <c r="W1067" s="44">
        <f>IF(AND(B1067=Queue!$C$4,OR(Queue!$K$4="*",N1067=Queue!$K$4)),Q1067,"")</f>
        <v/>
      </c>
    </row>
    <row r="1068">
      <c r="A1068" s="35">
        <f>IF(M1068="","",HYPERLINK("https://www.youtube.com/watch?v="&amp;M1068,"▶"))</f>
        <v/>
      </c>
      <c r="B1068" s="36">
        <f>IF(C1068&lt;&gt;"",C1068,IF(P1068&lt;=IFERROR(INDEX(tblChannels[Watched Through],MATCH(N1068,tblChannels[Channel ID],0)),0),"Watched","Unwatched"))</f>
        <v/>
      </c>
      <c r="C1068" s="37" t="n"/>
      <c r="D1068" s="38" t="n"/>
      <c r="E1068" s="39" t="n">
        <v>44827.41666666666</v>
      </c>
      <c r="F1068" s="40" t="inlineStr">
        <is>
          <t>Popcorn Culture</t>
        </is>
      </c>
      <c r="G1068" t="inlineStr">
        <is>
          <t>Locust of Control | Popcorn Culture</t>
        </is>
      </c>
      <c r="H1068" s="41" t="n">
        <v>0.04672453703703704</v>
      </c>
      <c r="I1068" s="42" t="n">
        <v>5525</v>
      </c>
      <c r="J1068" s="42" t="n">
        <v>279</v>
      </c>
      <c r="K1068" s="42" t="n">
        <v>21</v>
      </c>
      <c r="L1068" s="43" t="n"/>
      <c r="M1068" s="44" t="n"/>
      <c r="N1068" s="44" t="inlineStr">
        <is>
          <t>UCHfIbq9thHPC8yrKjAdJgDA</t>
        </is>
      </c>
      <c r="O1068" s="45" t="n">
        <v>44827.58333333334</v>
      </c>
      <c r="P1068" s="46" t="n">
        <v>44827</v>
      </c>
      <c r="Q1068" s="44" t="n">
        <v>2204</v>
      </c>
      <c r="R1068" s="44" t="inlineStr">
        <is>
          <t>No Video ID yet</t>
        </is>
      </c>
      <c r="S1068" s="46" t="n"/>
      <c r="T1068" s="46" t="n"/>
      <c r="U1068" s="44" t="n"/>
      <c r="V1068" s="44">
        <f>IF(AND(P1068&gt;=Calendar!$K$2,P1068&lt;EDATE(Calendar!$K$2,1),OR(Calendar!$K$4="*",N1068=Calendar!$K$4)),P1068*100+COUNTIFS($P$6:$P$3271,P1068,$Q$6:$Q$3271,"&lt;="&amp;Q1068,$N$6:$N$3271,Calendar!$K$4),"")</f>
        <v/>
      </c>
      <c r="W1068" s="44">
        <f>IF(AND(B1068=Queue!$C$4,OR(Queue!$K$4="*",N1068=Queue!$K$4)),Q1068,"")</f>
        <v/>
      </c>
    </row>
    <row r="1069">
      <c r="A1069" s="35">
        <f>IF(M1069="","",HYPERLINK("https://www.youtube.com/watch?v="&amp;M1069,"▶"))</f>
        <v/>
      </c>
      <c r="B1069" s="36">
        <f>IF(C1069&lt;&gt;"",C1069,IF(P1069&lt;=IFERROR(INDEX(tblChannels[Watched Through],MATCH(N1069,tblChannels[Channel ID],0)),0),"Watched","Unwatched"))</f>
        <v/>
      </c>
      <c r="C1069" s="37" t="n"/>
      <c r="D1069" s="38" t="n"/>
      <c r="E1069" s="39" t="n">
        <v>44826.71388888889</v>
      </c>
      <c r="F1069" s="47" t="inlineStr">
        <is>
          <t>Super Carlin Brothers</t>
        </is>
      </c>
      <c r="G1069" t="inlineStr">
        <is>
          <t>Top 10 MOST Embarrassing Moments in Pixar Movies</t>
        </is>
      </c>
      <c r="H1069" s="41" t="n">
        <v>0.01263888888888889</v>
      </c>
      <c r="I1069" s="42" t="n">
        <v>120814</v>
      </c>
      <c r="J1069" s="42" t="n">
        <v>5885</v>
      </c>
      <c r="K1069" s="42" t="n">
        <v>407</v>
      </c>
      <c r="L1069" s="43" t="n"/>
      <c r="M1069" s="44" t="n"/>
      <c r="N1069" s="44" t="inlineStr">
        <is>
          <t>UCKZo4N0lVPccBkSiuyVh4yg</t>
        </is>
      </c>
      <c r="O1069" s="45" t="n">
        <v>44826.88055555556</v>
      </c>
      <c r="P1069" s="46" t="n">
        <v>44826</v>
      </c>
      <c r="Q1069" s="44" t="n">
        <v>2203</v>
      </c>
      <c r="R1069" s="44" t="inlineStr">
        <is>
          <t>No Video ID yet</t>
        </is>
      </c>
      <c r="S1069" s="46" t="n"/>
      <c r="T1069" s="46" t="n"/>
      <c r="U1069" s="44" t="n"/>
      <c r="V1069" s="44">
        <f>IF(AND(P1069&gt;=Calendar!$K$2,P1069&lt;EDATE(Calendar!$K$2,1),OR(Calendar!$K$4="*",N1069=Calendar!$K$4)),P1069*100+COUNTIFS($P$6:$P$3271,P1069,$Q$6:$Q$3271,"&lt;="&amp;Q1069,$N$6:$N$3271,Calendar!$K$4),"")</f>
        <v/>
      </c>
      <c r="W1069" s="44">
        <f>IF(AND(B1069=Queue!$C$4,OR(Queue!$K$4="*",N1069=Queue!$K$4)),Q1069,"")</f>
        <v/>
      </c>
    </row>
    <row r="1070">
      <c r="A1070" s="35">
        <f>IF(M1070="","",HYPERLINK("https://www.youtube.com/watch?v="&amp;M1070,"▶"))</f>
        <v/>
      </c>
      <c r="B1070" s="36">
        <f>IF(C1070&lt;&gt;"",C1070,IF(P1070&lt;=IFERROR(INDEX(tblChannels[Watched Through],MATCH(N1070,tblChannels[Channel ID],0)),0),"Watched","Unwatched"))</f>
        <v/>
      </c>
      <c r="C1070" s="37" t="n"/>
      <c r="D1070" s="38" t="n"/>
      <c r="E1070" s="39" t="n">
        <v>44825.625</v>
      </c>
      <c r="F1070" s="49" t="inlineStr">
        <is>
          <t>Super Carlin Gaming</t>
        </is>
      </c>
      <c r="G1070" t="inlineStr">
        <is>
          <t>ELECTRODE AND THE DORK |  Pokémon Legends: Arceus Nuzlocke #18</t>
        </is>
      </c>
      <c r="H1070" s="41" t="n">
        <v>0.03050925925925926</v>
      </c>
      <c r="I1070" s="42" t="n">
        <v>5033</v>
      </c>
      <c r="J1070" s="42" t="n">
        <v>323</v>
      </c>
      <c r="K1070" s="42" t="n">
        <v>63</v>
      </c>
      <c r="L1070" s="43" t="n"/>
      <c r="M1070" s="44" t="n"/>
      <c r="N1070" s="44" t="inlineStr">
        <is>
          <t>UCor_9jRnNNZVzTuQ92PKsaQ</t>
        </is>
      </c>
      <c r="O1070" s="45" t="n">
        <v>44825.79166666666</v>
      </c>
      <c r="P1070" s="46" t="n">
        <v>44825</v>
      </c>
      <c r="Q1070" s="44" t="n">
        <v>2202</v>
      </c>
      <c r="R1070" s="44" t="inlineStr">
        <is>
          <t>No Video ID yet</t>
        </is>
      </c>
      <c r="S1070" s="46" t="n"/>
      <c r="T1070" s="46" t="n"/>
      <c r="U1070" s="44" t="n"/>
      <c r="V1070" s="44">
        <f>IF(AND(P1070&gt;=Calendar!$K$2,P1070&lt;EDATE(Calendar!$K$2,1),OR(Calendar!$K$4="*",N1070=Calendar!$K$4)),P1070*100+COUNTIFS($P$6:$P$3271,P1070,$Q$6:$Q$3271,"&lt;="&amp;Q1070,$N$6:$N$3271,Calendar!$K$4),"")</f>
        <v/>
      </c>
      <c r="W1070" s="44">
        <f>IF(AND(B1070=Queue!$C$4,OR(Queue!$K$4="*",N1070=Queue!$K$4)),Q1070,"")</f>
        <v/>
      </c>
    </row>
    <row r="1071">
      <c r="A1071" s="35">
        <f>IF(M1071="","",HYPERLINK("https://www.youtube.com/watch?v="&amp;M1071,"▶"))</f>
        <v/>
      </c>
      <c r="B1071" s="36">
        <f>IF(C1071&lt;&gt;"",C1071,IF(P1071&lt;=IFERROR(INDEX(tblChannels[Watched Through],MATCH(N1071,tblChannels[Channel ID],0)),0),"Watched","Unwatched"))</f>
        <v/>
      </c>
      <c r="C1071" s="37" t="n"/>
      <c r="D1071" s="38" t="n"/>
      <c r="E1071" s="39" t="n">
        <v>44824.66875</v>
      </c>
      <c r="F1071" s="47" t="inlineStr">
        <is>
          <t>Super Carlin Brothers</t>
        </is>
      </c>
      <c r="G1071" t="inlineStr">
        <is>
          <t>Why Does Dumbledore Trust Hagrid So Much? | Harry Potter Film Theory</t>
        </is>
      </c>
      <c r="H1071" s="41" t="n">
        <v>0.009814814814814814</v>
      </c>
      <c r="I1071" s="42" t="n">
        <v>356134</v>
      </c>
      <c r="J1071" s="42" t="n">
        <v>13015</v>
      </c>
      <c r="K1071" s="42" t="n">
        <v>869</v>
      </c>
      <c r="L1071" s="43" t="n"/>
      <c r="M1071" s="44" t="n"/>
      <c r="N1071" s="44" t="inlineStr">
        <is>
          <t>UCKZo4N0lVPccBkSiuyVh4yg</t>
        </is>
      </c>
      <c r="O1071" s="45" t="n">
        <v>44824.83541666667</v>
      </c>
      <c r="P1071" s="46" t="n">
        <v>44824</v>
      </c>
      <c r="Q1071" s="44" t="n">
        <v>2201</v>
      </c>
      <c r="R1071" s="44" t="inlineStr">
        <is>
          <t>No Video ID yet</t>
        </is>
      </c>
      <c r="S1071" s="46" t="n"/>
      <c r="T1071" s="46" t="n"/>
      <c r="U1071" s="44" t="n"/>
      <c r="V1071" s="44">
        <f>IF(AND(P1071&gt;=Calendar!$K$2,P1071&lt;EDATE(Calendar!$K$2,1),OR(Calendar!$K$4="*",N1071=Calendar!$K$4)),P1071*100+COUNTIFS($P$6:$P$3271,P1071,$Q$6:$Q$3271,"&lt;="&amp;Q1071,$N$6:$N$3271,Calendar!$K$4),"")</f>
        <v/>
      </c>
      <c r="W1071" s="44">
        <f>IF(AND(B1071=Queue!$C$4,OR(Queue!$K$4="*",N1071=Queue!$K$4)),Q1071,"")</f>
        <v/>
      </c>
    </row>
    <row r="1072">
      <c r="A1072" s="35">
        <f>IF(M1072="","",HYPERLINK("https://www.youtube.com/watch?v="&amp;M1072,"▶"))</f>
        <v/>
      </c>
      <c r="B1072" s="36">
        <f>IF(C1072&lt;&gt;"",C1072,IF(P1072&lt;=IFERROR(INDEX(tblChannels[Watched Through],MATCH(N1072,tblChannels[Channel ID],0)),0),"Watched","Unwatched"))</f>
        <v/>
      </c>
      <c r="C1072" s="37" t="n"/>
      <c r="D1072" s="38" t="n"/>
      <c r="E1072" s="39" t="n">
        <v>44824.45833333334</v>
      </c>
      <c r="F1072" s="49" t="inlineStr">
        <is>
          <t>Super Carlin Gaming</t>
        </is>
      </c>
      <c r="G1072" t="inlineStr">
        <is>
          <t>Season 1 Finale! BEST Astral Radiance Pull YET | Box Breakers S1/E2</t>
        </is>
      </c>
      <c r="H1072" s="41" t="n">
        <v>0.04458333333333334</v>
      </c>
      <c r="I1072" s="42" t="n">
        <v>4443</v>
      </c>
      <c r="J1072" s="42" t="n">
        <v>223</v>
      </c>
      <c r="K1072" s="42" t="n">
        <v>27</v>
      </c>
      <c r="L1072" s="43" t="n"/>
      <c r="M1072" s="44" t="n"/>
      <c r="N1072" s="44" t="inlineStr">
        <is>
          <t>UCor_9jRnNNZVzTuQ92PKsaQ</t>
        </is>
      </c>
      <c r="O1072" s="45" t="n">
        <v>44824.625</v>
      </c>
      <c r="P1072" s="46" t="n">
        <v>44824</v>
      </c>
      <c r="Q1072" s="44" t="n">
        <v>2200</v>
      </c>
      <c r="R1072" s="44" t="inlineStr">
        <is>
          <t>No Video ID yet</t>
        </is>
      </c>
      <c r="S1072" s="46" t="n"/>
      <c r="T1072" s="46" t="n"/>
      <c r="U1072" s="44" t="n"/>
      <c r="V1072" s="44">
        <f>IF(AND(P1072&gt;=Calendar!$K$2,P1072&lt;EDATE(Calendar!$K$2,1),OR(Calendar!$K$4="*",N1072=Calendar!$K$4)),P1072*100+COUNTIFS($P$6:$P$3271,P1072,$Q$6:$Q$3271,"&lt;="&amp;Q1072,$N$6:$N$3271,Calendar!$K$4),"")</f>
        <v/>
      </c>
      <c r="W1072" s="44">
        <f>IF(AND(B1072=Queue!$C$4,OR(Queue!$K$4="*",N1072=Queue!$K$4)),Q1072,"")</f>
        <v/>
      </c>
    </row>
    <row r="1073">
      <c r="A1073" s="35">
        <f>IF(M1073="","",HYPERLINK("https://www.youtube.com/watch?v="&amp;M1073,"▶"))</f>
        <v/>
      </c>
      <c r="B1073" s="36">
        <f>IF(C1073&lt;&gt;"",C1073,IF(P1073&lt;=IFERROR(INDEX(tblChannels[Watched Through],MATCH(N1073,tblChannels[Channel ID],0)),0),"Watched","Unwatched"))</f>
        <v/>
      </c>
      <c r="C1073" s="37" t="n"/>
      <c r="D1073" s="38" t="n"/>
      <c r="E1073" s="39" t="n">
        <v>44823.58333333334</v>
      </c>
      <c r="F1073" s="50" t="inlineStr">
        <is>
          <t>Jonathan Carlin</t>
        </is>
      </c>
      <c r="G1073" t="inlineStr">
        <is>
          <t>Nick &amp; Nate Discover the Ocean and LOVE IT!</t>
        </is>
      </c>
      <c r="H1073" s="41" t="n">
        <v>0.008738425925925926</v>
      </c>
      <c r="I1073" s="42" t="n">
        <v>9295</v>
      </c>
      <c r="J1073" s="42" t="n">
        <v>591</v>
      </c>
      <c r="K1073" s="42" t="n">
        <v>47</v>
      </c>
      <c r="L1073" s="43" t="n"/>
      <c r="M1073" s="44" t="n"/>
      <c r="N1073" s="44" t="inlineStr">
        <is>
          <t>UCYPKFe86e6nm4TVUYKLsFUQ</t>
        </is>
      </c>
      <c r="O1073" s="45" t="n">
        <v>44823.75</v>
      </c>
      <c r="P1073" s="46" t="n">
        <v>44823</v>
      </c>
      <c r="Q1073" s="44" t="n">
        <v>2199</v>
      </c>
      <c r="R1073" s="44" t="inlineStr">
        <is>
          <t>No Video ID yet</t>
        </is>
      </c>
      <c r="S1073" s="46" t="n"/>
      <c r="T1073" s="46" t="n"/>
      <c r="U1073" s="44" t="n"/>
      <c r="V1073" s="44">
        <f>IF(AND(P1073&gt;=Calendar!$K$2,P1073&lt;EDATE(Calendar!$K$2,1),OR(Calendar!$K$4="*",N1073=Calendar!$K$4)),P1073*100+COUNTIFS($P$6:$P$3271,P1073,$Q$6:$Q$3271,"&lt;="&amp;Q1073,$N$6:$N$3271,Calendar!$K$4),"")</f>
        <v/>
      </c>
      <c r="W1073" s="44">
        <f>IF(AND(B1073=Queue!$C$4,OR(Queue!$K$4="*",N1073=Queue!$K$4)),Q1073,"")</f>
        <v/>
      </c>
    </row>
    <row r="1074">
      <c r="A1074" s="35">
        <f>IF(M1074="","",HYPERLINK("https://www.youtube.com/watch?v="&amp;M1074,"▶"))</f>
        <v/>
      </c>
      <c r="B1074" s="36">
        <f>IF(C1074&lt;&gt;"",C1074,IF(P1074&lt;=IFERROR(INDEX(tblChannels[Watched Through],MATCH(N1074,tblChannels[Channel ID],0)),0),"Watched","Unwatched"))</f>
        <v/>
      </c>
      <c r="C1074" s="37" t="n"/>
      <c r="D1074" s="38" t="n"/>
      <c r="E1074" s="39" t="n">
        <v>44820.68888888889</v>
      </c>
      <c r="F1074" s="47" t="inlineStr">
        <is>
          <t>Super Carlin Brothers</t>
        </is>
      </c>
      <c r="G1074" t="inlineStr">
        <is>
          <t>What If Harry Was In Slytherin? - The Deathly Hallows - Part 2</t>
        </is>
      </c>
      <c r="H1074" s="41" t="n">
        <v>0.02929398148148148</v>
      </c>
      <c r="I1074" s="42" t="n">
        <v>317718</v>
      </c>
      <c r="J1074" s="42" t="n">
        <v>19603</v>
      </c>
      <c r="K1074" s="42" t="n">
        <v>3055</v>
      </c>
      <c r="L1074" s="43" t="n"/>
      <c r="M1074" s="44" t="n"/>
      <c r="N1074" s="44" t="inlineStr">
        <is>
          <t>UCKZo4N0lVPccBkSiuyVh4yg</t>
        </is>
      </c>
      <c r="O1074" s="45" t="n">
        <v>44820.85555555556</v>
      </c>
      <c r="P1074" s="46" t="n">
        <v>44820</v>
      </c>
      <c r="Q1074" s="44" t="n">
        <v>2198</v>
      </c>
      <c r="R1074" s="44" t="inlineStr">
        <is>
          <t>No Video ID yet</t>
        </is>
      </c>
      <c r="S1074" s="46" t="n"/>
      <c r="T1074" s="46" t="n"/>
      <c r="U1074" s="44" t="n"/>
      <c r="V1074" s="44">
        <f>IF(AND(P1074&gt;=Calendar!$K$2,P1074&lt;EDATE(Calendar!$K$2,1),OR(Calendar!$K$4="*",N1074=Calendar!$K$4)),P1074*100+COUNTIFS($P$6:$P$3271,P1074,$Q$6:$Q$3271,"&lt;="&amp;Q1074,$N$6:$N$3271,Calendar!$K$4),"")</f>
        <v/>
      </c>
      <c r="W1074" s="44">
        <f>IF(AND(B1074=Queue!$C$4,OR(Queue!$K$4="*",N1074=Queue!$K$4)),Q1074,"")</f>
        <v/>
      </c>
    </row>
    <row r="1075">
      <c r="A1075" s="35">
        <f>IF(M1075="","",HYPERLINK("https://www.youtube.com/watch?v="&amp;M1075,"▶"))</f>
        <v/>
      </c>
      <c r="B1075" s="36">
        <f>IF(C1075&lt;&gt;"",C1075,IF(P1075&lt;=IFERROR(INDEX(tblChannels[Watched Through],MATCH(N1075,tblChannels[Channel ID],0)),0),"Watched","Unwatched"))</f>
        <v/>
      </c>
      <c r="C1075" s="37" t="n"/>
      <c r="D1075" s="38" t="n"/>
      <c r="E1075" s="39" t="n">
        <v>44820.41666666666</v>
      </c>
      <c r="F1075" s="40" t="inlineStr">
        <is>
          <t>Popcorn Culture</t>
        </is>
      </c>
      <c r="G1075" t="inlineStr">
        <is>
          <t>Planning for Bears | Popcorn Culture</t>
        </is>
      </c>
      <c r="H1075" s="41" t="n">
        <v>0.05096064814814815</v>
      </c>
      <c r="I1075" s="42" t="n">
        <v>5522</v>
      </c>
      <c r="J1075" s="42" t="n">
        <v>275</v>
      </c>
      <c r="K1075" s="42" t="n">
        <v>27</v>
      </c>
      <c r="L1075" s="43" t="n"/>
      <c r="M1075" s="44" t="n"/>
      <c r="N1075" s="44" t="inlineStr">
        <is>
          <t>UCHfIbq9thHPC8yrKjAdJgDA</t>
        </is>
      </c>
      <c r="O1075" s="45" t="n">
        <v>44820.58333333334</v>
      </c>
      <c r="P1075" s="46" t="n">
        <v>44820</v>
      </c>
      <c r="Q1075" s="44" t="n">
        <v>2197</v>
      </c>
      <c r="R1075" s="44" t="inlineStr">
        <is>
          <t>No Video ID yet</t>
        </is>
      </c>
      <c r="S1075" s="46" t="n"/>
      <c r="T1075" s="46" t="n"/>
      <c r="U1075" s="44" t="n"/>
      <c r="V1075" s="44">
        <f>IF(AND(P1075&gt;=Calendar!$K$2,P1075&lt;EDATE(Calendar!$K$2,1),OR(Calendar!$K$4="*",N1075=Calendar!$K$4)),P1075*100+COUNTIFS($P$6:$P$3271,P1075,$Q$6:$Q$3271,"&lt;="&amp;Q1075,$N$6:$N$3271,Calendar!$K$4),"")</f>
        <v/>
      </c>
      <c r="W1075" s="44">
        <f>IF(AND(B1075=Queue!$C$4,OR(Queue!$K$4="*",N1075=Queue!$K$4)),Q1075,"")</f>
        <v/>
      </c>
    </row>
    <row r="1076">
      <c r="A1076" s="35">
        <f>IF(M1076="","",HYPERLINK("https://www.youtube.com/watch?v="&amp;M1076,"▶"))</f>
        <v/>
      </c>
      <c r="B1076" s="36">
        <f>IF(C1076&lt;&gt;"",C1076,IF(P1076&lt;=IFERROR(INDEX(tblChannels[Watched Through],MATCH(N1076,tblChannels[Channel ID],0)),0),"Watched","Unwatched"))</f>
        <v/>
      </c>
      <c r="C1076" s="37" t="n"/>
      <c r="D1076" s="38" t="n"/>
      <c r="E1076" s="39" t="n">
        <v>44817.71388888889</v>
      </c>
      <c r="F1076" s="47" t="inlineStr">
        <is>
          <t>Super Carlin Brothers</t>
        </is>
      </c>
      <c r="G1076" t="inlineStr">
        <is>
          <t>J vs Ben: HARDEST Sorting Hat Harry Potter TRIVIA Quiz</t>
        </is>
      </c>
      <c r="H1076" s="41" t="n">
        <v>0.02049768518518518</v>
      </c>
      <c r="I1076" s="42" t="n">
        <v>226155</v>
      </c>
      <c r="J1076" s="42" t="n">
        <v>7884</v>
      </c>
      <c r="K1076" s="42" t="n">
        <v>626</v>
      </c>
      <c r="L1076" s="43" t="n"/>
      <c r="M1076" s="44" t="n"/>
      <c r="N1076" s="44" t="inlineStr">
        <is>
          <t>UCKZo4N0lVPccBkSiuyVh4yg</t>
        </is>
      </c>
      <c r="O1076" s="45" t="n">
        <v>44817.88055555556</v>
      </c>
      <c r="P1076" s="46" t="n">
        <v>44817</v>
      </c>
      <c r="Q1076" s="44" t="n">
        <v>2196</v>
      </c>
      <c r="R1076" s="44" t="inlineStr">
        <is>
          <t>No Video ID yet</t>
        </is>
      </c>
      <c r="S1076" s="46" t="n"/>
      <c r="T1076" s="46" t="n"/>
      <c r="U1076" s="44" t="n"/>
      <c r="V1076" s="44">
        <f>IF(AND(P1076&gt;=Calendar!$K$2,P1076&lt;EDATE(Calendar!$K$2,1),OR(Calendar!$K$4="*",N1076=Calendar!$K$4)),P1076*100+COUNTIFS($P$6:$P$3271,P1076,$Q$6:$Q$3271,"&lt;="&amp;Q1076,$N$6:$N$3271,Calendar!$K$4),"")</f>
        <v/>
      </c>
      <c r="W1076" s="44">
        <f>IF(AND(B1076=Queue!$C$4,OR(Queue!$K$4="*",N1076=Queue!$K$4)),Q1076,"")</f>
        <v/>
      </c>
    </row>
    <row r="1077">
      <c r="A1077" s="35">
        <f>IF(M1077="","",HYPERLINK("https://www.youtube.com/watch?v="&amp;M1077,"▶"))</f>
        <v/>
      </c>
      <c r="B1077" s="36">
        <f>IF(C1077&lt;&gt;"",C1077,IF(P1077&lt;=IFERROR(INDEX(tblChannels[Watched Through],MATCH(N1077,tblChannels[Channel ID],0)),0),"Watched","Unwatched"))</f>
        <v/>
      </c>
      <c r="C1077" s="37" t="n"/>
      <c r="D1077" s="38" t="n"/>
      <c r="E1077" s="39" t="n">
        <v>44813.78194444445</v>
      </c>
      <c r="F1077" s="47" t="inlineStr">
        <is>
          <t>Super Carlin Brothers</t>
        </is>
      </c>
      <c r="G1077" t="inlineStr">
        <is>
          <t>What if Harry Was In Slytherin - The Deathly Hallows Part 1 | Harry Potter Film Theory</t>
        </is>
      </c>
      <c r="H1077" s="41" t="n">
        <v>0.02923611111111111</v>
      </c>
      <c r="I1077" s="42" t="n">
        <v>375916</v>
      </c>
      <c r="J1077" s="42" t="n">
        <v>16323</v>
      </c>
      <c r="K1077" s="42" t="n">
        <v>1542</v>
      </c>
      <c r="L1077" s="43" t="n"/>
      <c r="M1077" s="44" t="n"/>
      <c r="N1077" s="44" t="inlineStr">
        <is>
          <t>UCKZo4N0lVPccBkSiuyVh4yg</t>
        </is>
      </c>
      <c r="O1077" s="45" t="n">
        <v>44813.94861111111</v>
      </c>
      <c r="P1077" s="46" t="n">
        <v>44813</v>
      </c>
      <c r="Q1077" s="44" t="n">
        <v>2195</v>
      </c>
      <c r="R1077" s="44" t="inlineStr">
        <is>
          <t>No Video ID yet</t>
        </is>
      </c>
      <c r="S1077" s="46" t="n"/>
      <c r="T1077" s="46" t="n"/>
      <c r="U1077" s="44" t="n"/>
      <c r="V1077" s="44">
        <f>IF(AND(P1077&gt;=Calendar!$K$2,P1077&lt;EDATE(Calendar!$K$2,1),OR(Calendar!$K$4="*",N1077=Calendar!$K$4)),P1077*100+COUNTIFS($P$6:$P$3271,P1077,$Q$6:$Q$3271,"&lt;="&amp;Q1077,$N$6:$N$3271,Calendar!$K$4),"")</f>
        <v/>
      </c>
      <c r="W1077" s="44">
        <f>IF(AND(B1077=Queue!$C$4,OR(Queue!$K$4="*",N1077=Queue!$K$4)),Q1077,"")</f>
        <v/>
      </c>
    </row>
    <row r="1078">
      <c r="A1078" s="35">
        <f>IF(M1078="","",HYPERLINK("https://www.youtube.com/watch?v="&amp;M1078,"▶"))</f>
        <v/>
      </c>
      <c r="B1078" s="36">
        <f>IF(C1078&lt;&gt;"",C1078,IF(P1078&lt;=IFERROR(INDEX(tblChannels[Watched Through],MATCH(N1078,tblChannels[Channel ID],0)),0),"Watched","Unwatched"))</f>
        <v/>
      </c>
      <c r="C1078" s="37" t="n"/>
      <c r="D1078" s="38" t="n"/>
      <c r="E1078" s="39" t="n">
        <v>44813.69791666666</v>
      </c>
      <c r="F1078" s="40" t="inlineStr">
        <is>
          <t>Popcorn Culture</t>
        </is>
      </c>
      <c r="G1078" t="inlineStr">
        <is>
          <t>Party Duck | Popcorn Culture</t>
        </is>
      </c>
      <c r="H1078" s="41" t="n">
        <v>0.04855324074074074</v>
      </c>
      <c r="I1078" s="42" t="n">
        <v>6461</v>
      </c>
      <c r="J1078" s="42" t="n">
        <v>290</v>
      </c>
      <c r="K1078" s="42" t="n">
        <v>30</v>
      </c>
      <c r="L1078" s="43" t="n"/>
      <c r="M1078" s="44" t="n"/>
      <c r="N1078" s="44" t="inlineStr">
        <is>
          <t>UCHfIbq9thHPC8yrKjAdJgDA</t>
        </is>
      </c>
      <c r="O1078" s="45" t="n">
        <v>44813.86458333334</v>
      </c>
      <c r="P1078" s="46" t="n">
        <v>44813</v>
      </c>
      <c r="Q1078" s="44" t="n">
        <v>2194</v>
      </c>
      <c r="R1078" s="44" t="inlineStr">
        <is>
          <t>No Video ID yet</t>
        </is>
      </c>
      <c r="S1078" s="46" t="n"/>
      <c r="T1078" s="46" t="n"/>
      <c r="U1078" s="44" t="n"/>
      <c r="V1078" s="44">
        <f>IF(AND(P1078&gt;=Calendar!$K$2,P1078&lt;EDATE(Calendar!$K$2,1),OR(Calendar!$K$4="*",N1078=Calendar!$K$4)),P1078*100+COUNTIFS($P$6:$P$3271,P1078,$Q$6:$Q$3271,"&lt;="&amp;Q1078,$N$6:$N$3271,Calendar!$K$4),"")</f>
        <v/>
      </c>
      <c r="W1078" s="44">
        <f>IF(AND(B1078=Queue!$C$4,OR(Queue!$K$4="*",N1078=Queue!$K$4)),Q1078,"")</f>
        <v/>
      </c>
    </row>
    <row r="1079">
      <c r="A1079" s="35">
        <f>IF(M1079="","",HYPERLINK("https://www.youtube.com/watch?v="&amp;M1079,"▶"))</f>
        <v/>
      </c>
      <c r="B1079" s="36">
        <f>IF(C1079&lt;&gt;"",C1079,IF(P1079&lt;=IFERROR(INDEX(tblChannels[Watched Through],MATCH(N1079,tblChannels[Channel ID],0)),0),"Watched","Unwatched"))</f>
        <v/>
      </c>
      <c r="C1079" s="37" t="n"/>
      <c r="D1079" s="38" t="n"/>
      <c r="E1079" s="39" t="n">
        <v>44810.68888888889</v>
      </c>
      <c r="F1079" s="47" t="inlineStr">
        <is>
          <t>Super Carlin Brothers</t>
        </is>
      </c>
      <c r="G1079" t="inlineStr">
        <is>
          <t>The Trace Makes NO SENSE | Harry Potter Film Theory</t>
        </is>
      </c>
      <c r="H1079" s="41" t="n">
        <v>0.01277777777777778</v>
      </c>
      <c r="I1079" s="42" t="n">
        <v>629945</v>
      </c>
      <c r="J1079" s="42" t="n">
        <v>19024</v>
      </c>
      <c r="K1079" s="42" t="n">
        <v>2234</v>
      </c>
      <c r="L1079" s="43" t="n"/>
      <c r="M1079" s="44" t="n"/>
      <c r="N1079" s="44" t="inlineStr">
        <is>
          <t>UCKZo4N0lVPccBkSiuyVh4yg</t>
        </is>
      </c>
      <c r="O1079" s="45" t="n">
        <v>44810.85555555556</v>
      </c>
      <c r="P1079" s="46" t="n">
        <v>44810</v>
      </c>
      <c r="Q1079" s="44" t="n">
        <v>2193</v>
      </c>
      <c r="R1079" s="44" t="inlineStr">
        <is>
          <t>No Video ID yet</t>
        </is>
      </c>
      <c r="S1079" s="46" t="n"/>
      <c r="T1079" s="46" t="n"/>
      <c r="U1079" s="44" t="n"/>
      <c r="V1079" s="44">
        <f>IF(AND(P1079&gt;=Calendar!$K$2,P1079&lt;EDATE(Calendar!$K$2,1),OR(Calendar!$K$4="*",N1079=Calendar!$K$4)),P1079*100+COUNTIFS($P$6:$P$3271,P1079,$Q$6:$Q$3271,"&lt;="&amp;Q1079,$N$6:$N$3271,Calendar!$K$4),"")</f>
        <v/>
      </c>
      <c r="W1079" s="44">
        <f>IF(AND(B1079=Queue!$C$4,OR(Queue!$K$4="*",N1079=Queue!$K$4)),Q1079,"")</f>
        <v/>
      </c>
    </row>
    <row r="1080">
      <c r="A1080" s="35">
        <f>IF(M1080="","",HYPERLINK("https://www.youtube.com/watch?v="&amp;M1080,"▶"))</f>
        <v/>
      </c>
      <c r="B1080" s="36">
        <f>IF(C1080&lt;&gt;"",C1080,IF(P1080&lt;=IFERROR(INDEX(tblChannels[Watched Through],MATCH(N1080,tblChannels[Channel ID],0)),0),"Watched","Unwatched"))</f>
        <v/>
      </c>
      <c r="C1080" s="37" t="n"/>
      <c r="D1080" s="38" t="n"/>
      <c r="E1080" s="39" t="n">
        <v>44806.67986111111</v>
      </c>
      <c r="F1080" s="47" t="inlineStr">
        <is>
          <t>Super Carlin Brothers</t>
        </is>
      </c>
      <c r="G1080" t="inlineStr">
        <is>
          <t>What If Harry Was In Slytherin - The Half-Blood Prince | Harry Potter Film Theory</t>
        </is>
      </c>
      <c r="H1080" s="41" t="n">
        <v>0.03444444444444444</v>
      </c>
      <c r="I1080" s="42" t="n">
        <v>492098</v>
      </c>
      <c r="J1080" s="42" t="n">
        <v>17903</v>
      </c>
      <c r="K1080" s="42" t="n">
        <v>1917</v>
      </c>
      <c r="L1080" s="43" t="n"/>
      <c r="M1080" s="44" t="n"/>
      <c r="N1080" s="44" t="inlineStr">
        <is>
          <t>UCKZo4N0lVPccBkSiuyVh4yg</t>
        </is>
      </c>
      <c r="O1080" s="45" t="n">
        <v>44806.84652777778</v>
      </c>
      <c r="P1080" s="46" t="n">
        <v>44806</v>
      </c>
      <c r="Q1080" s="44" t="n">
        <v>2192</v>
      </c>
      <c r="R1080" s="44" t="inlineStr">
        <is>
          <t>No Video ID yet</t>
        </is>
      </c>
      <c r="S1080" s="46" t="n"/>
      <c r="T1080" s="46" t="n"/>
      <c r="U1080" s="44" t="n"/>
      <c r="V1080" s="44">
        <f>IF(AND(P1080&gt;=Calendar!$K$2,P1080&lt;EDATE(Calendar!$K$2,1),OR(Calendar!$K$4="*",N1080=Calendar!$K$4)),P1080*100+COUNTIFS($P$6:$P$3271,P1080,$Q$6:$Q$3271,"&lt;="&amp;Q1080,$N$6:$N$3271,Calendar!$K$4),"")</f>
        <v/>
      </c>
      <c r="W1080" s="44">
        <f>IF(AND(B1080=Queue!$C$4,OR(Queue!$K$4="*",N1080=Queue!$K$4)),Q1080,"")</f>
        <v/>
      </c>
    </row>
    <row r="1081">
      <c r="A1081" s="35">
        <f>IF(M1081="","",HYPERLINK("https://www.youtube.com/watch?v="&amp;M1081,"▶"))</f>
        <v/>
      </c>
      <c r="B1081" s="36">
        <f>IF(C1081&lt;&gt;"",C1081,IF(P1081&lt;=IFERROR(INDEX(tblChannels[Watched Through],MATCH(N1081,tblChannels[Channel ID],0)),0),"Watched","Unwatched"))</f>
        <v/>
      </c>
      <c r="C1081" s="37" t="n"/>
      <c r="D1081" s="38" t="n"/>
      <c r="E1081" s="39" t="n">
        <v>44806.41666666666</v>
      </c>
      <c r="F1081" s="40" t="inlineStr">
        <is>
          <t>Popcorn Culture</t>
        </is>
      </c>
      <c r="G1081" t="inlineStr">
        <is>
          <t>YOU'RE MOSTLY WATER, MAN! | Popcorn Culture</t>
        </is>
      </c>
      <c r="H1081" s="41" t="n">
        <v>0.04385416666666667</v>
      </c>
      <c r="I1081" s="42" t="n">
        <v>5849</v>
      </c>
      <c r="J1081" s="42" t="n">
        <v>306</v>
      </c>
      <c r="K1081" s="42" t="n">
        <v>36</v>
      </c>
      <c r="L1081" s="43" t="n"/>
      <c r="M1081" s="44" t="n"/>
      <c r="N1081" s="44" t="inlineStr">
        <is>
          <t>UCHfIbq9thHPC8yrKjAdJgDA</t>
        </is>
      </c>
      <c r="O1081" s="45" t="n">
        <v>44806.58333333334</v>
      </c>
      <c r="P1081" s="46" t="n">
        <v>44806</v>
      </c>
      <c r="Q1081" s="44" t="n">
        <v>2191</v>
      </c>
      <c r="R1081" s="44" t="inlineStr">
        <is>
          <t>No Video ID yet</t>
        </is>
      </c>
      <c r="S1081" s="46" t="n"/>
      <c r="T1081" s="46" t="n"/>
      <c r="U1081" s="44" t="n"/>
      <c r="V1081" s="44">
        <f>IF(AND(P1081&gt;=Calendar!$K$2,P1081&lt;EDATE(Calendar!$K$2,1),OR(Calendar!$K$4="*",N1081=Calendar!$K$4)),P1081*100+COUNTIFS($P$6:$P$3271,P1081,$Q$6:$Q$3271,"&lt;="&amp;Q1081,$N$6:$N$3271,Calendar!$K$4),"")</f>
        <v/>
      </c>
      <c r="W1081" s="44">
        <f>IF(AND(B1081=Queue!$C$4,OR(Queue!$K$4="*",N1081=Queue!$K$4)),Q1081,"")</f>
        <v/>
      </c>
    </row>
    <row r="1082">
      <c r="A1082" s="35">
        <f>IF(M1082="","",HYPERLINK("https://www.youtube.com/watch?v="&amp;M1082,"▶"))</f>
        <v/>
      </c>
      <c r="B1082" s="36">
        <f>IF(C1082&lt;&gt;"",C1082,IF(P1082&lt;=IFERROR(INDEX(tblChannels[Watched Through],MATCH(N1082,tblChannels[Channel ID],0)),0),"Watched","Unwatched"))</f>
        <v/>
      </c>
      <c r="C1082" s="37" t="n"/>
      <c r="D1082" s="38" t="n"/>
      <c r="E1082" s="39" t="n">
        <v>44803.65347222222</v>
      </c>
      <c r="F1082" s="47" t="inlineStr">
        <is>
          <t>Super Carlin Brothers</t>
        </is>
      </c>
      <c r="G1082" t="inlineStr">
        <is>
          <t>J vs Ben: HARDEST Philosopher’s Stone Harry Potter TRIVIA Quiz</t>
        </is>
      </c>
      <c r="H1082" s="41" t="n">
        <v>0.02266203703703704</v>
      </c>
      <c r="I1082" s="42" t="n">
        <v>328938</v>
      </c>
      <c r="J1082" s="42" t="n">
        <v>9333</v>
      </c>
      <c r="K1082" s="42" t="n">
        <v>848</v>
      </c>
      <c r="L1082" s="43" t="n"/>
      <c r="M1082" s="44" t="n"/>
      <c r="N1082" s="44" t="inlineStr">
        <is>
          <t>UCKZo4N0lVPccBkSiuyVh4yg</t>
        </is>
      </c>
      <c r="O1082" s="45" t="n">
        <v>44803.82013888889</v>
      </c>
      <c r="P1082" s="46" t="n">
        <v>44803</v>
      </c>
      <c r="Q1082" s="44" t="n">
        <v>2190</v>
      </c>
      <c r="R1082" s="44" t="inlineStr">
        <is>
          <t>No Video ID yet</t>
        </is>
      </c>
      <c r="S1082" s="46" t="n"/>
      <c r="T1082" s="46" t="n"/>
      <c r="U1082" s="44" t="n"/>
      <c r="V1082" s="44">
        <f>IF(AND(P1082&gt;=Calendar!$K$2,P1082&lt;EDATE(Calendar!$K$2,1),OR(Calendar!$K$4="*",N1082=Calendar!$K$4)),P1082*100+COUNTIFS($P$6:$P$3271,P1082,$Q$6:$Q$3271,"&lt;="&amp;Q1082,$N$6:$N$3271,Calendar!$K$4),"")</f>
        <v/>
      </c>
      <c r="W1082" s="44">
        <f>IF(AND(B1082=Queue!$C$4,OR(Queue!$K$4="*",N1082=Queue!$K$4)),Q1082,"")</f>
        <v/>
      </c>
    </row>
    <row r="1083">
      <c r="A1083" s="35">
        <f>IF(M1083="","",HYPERLINK("https://www.youtube.com/watch?v="&amp;M1083,"▶"))</f>
        <v/>
      </c>
      <c r="B1083" s="36">
        <f>IF(C1083&lt;&gt;"",C1083,IF(P1083&lt;=IFERROR(INDEX(tblChannels[Watched Through],MATCH(N1083,tblChannels[Channel ID],0)),0),"Watched","Unwatched"))</f>
        <v/>
      </c>
      <c r="C1083" s="37" t="n"/>
      <c r="D1083" s="38" t="n"/>
      <c r="E1083" s="39" t="n">
        <v>44799.86388888889</v>
      </c>
      <c r="F1083" s="47" t="inlineStr">
        <is>
          <t>Super Carlin Brothers</t>
        </is>
      </c>
      <c r="G1083" t="inlineStr">
        <is>
          <t>ALL FANDOM TRIVIA - August 2022</t>
        </is>
      </c>
      <c r="H1083" s="41" t="n">
        <v>0.09324074074074074</v>
      </c>
      <c r="I1083" s="42" t="n">
        <v>63364</v>
      </c>
      <c r="J1083" s="42" t="n">
        <v>1269</v>
      </c>
      <c r="K1083" s="42" t="n">
        <v>100</v>
      </c>
      <c r="L1083" s="43" t="n"/>
      <c r="M1083" s="44" t="n"/>
      <c r="N1083" s="44" t="inlineStr">
        <is>
          <t>UCKZo4N0lVPccBkSiuyVh4yg</t>
        </is>
      </c>
      <c r="O1083" s="45" t="n">
        <v>44800.03055555555</v>
      </c>
      <c r="P1083" s="46" t="n">
        <v>44799</v>
      </c>
      <c r="Q1083" s="44" t="n">
        <v>2189</v>
      </c>
      <c r="R1083" s="44" t="inlineStr">
        <is>
          <t>No Video ID yet</t>
        </is>
      </c>
      <c r="S1083" s="46" t="n"/>
      <c r="T1083" s="46" t="n"/>
      <c r="U1083" s="44" t="n"/>
      <c r="V1083" s="44">
        <f>IF(AND(P1083&gt;=Calendar!$K$2,P1083&lt;EDATE(Calendar!$K$2,1),OR(Calendar!$K$4="*",N1083=Calendar!$K$4)),P1083*100+COUNTIFS($P$6:$P$3271,P1083,$Q$6:$Q$3271,"&lt;="&amp;Q1083,$N$6:$N$3271,Calendar!$K$4),"")</f>
        <v/>
      </c>
      <c r="W1083" s="44">
        <f>IF(AND(B1083=Queue!$C$4,OR(Queue!$K$4="*",N1083=Queue!$K$4)),Q1083,"")</f>
        <v/>
      </c>
    </row>
    <row r="1084">
      <c r="A1084" s="35">
        <f>IF(M1084="","",HYPERLINK("https://www.youtube.com/watch?v="&amp;M1084,"▶"))</f>
        <v/>
      </c>
      <c r="B1084" s="36">
        <f>IF(C1084&lt;&gt;"",C1084,IF(P1084&lt;=IFERROR(INDEX(tblChannels[Watched Through],MATCH(N1084,tblChannels[Channel ID],0)),0),"Watched","Unwatched"))</f>
        <v/>
      </c>
      <c r="C1084" s="37" t="n"/>
      <c r="D1084" s="38" t="n"/>
      <c r="E1084" s="39" t="n">
        <v>44799.61180555556</v>
      </c>
      <c r="F1084" s="47" t="inlineStr">
        <is>
          <t>Super Carlin Brothers</t>
        </is>
      </c>
      <c r="G1084" t="inlineStr">
        <is>
          <t>What If Harry Was In Slytherin - Order of the Phoenix | Harry Potter Film Theory</t>
        </is>
      </c>
      <c r="H1084" s="41" t="n">
        <v>0.03160879629629629</v>
      </c>
      <c r="I1084" s="42" t="n">
        <v>496750</v>
      </c>
      <c r="J1084" s="42" t="n">
        <v>17700</v>
      </c>
      <c r="K1084" s="42" t="n">
        <v>2536</v>
      </c>
      <c r="L1084" s="43" t="n"/>
      <c r="M1084" s="44" t="n"/>
      <c r="N1084" s="44" t="inlineStr">
        <is>
          <t>UCKZo4N0lVPccBkSiuyVh4yg</t>
        </is>
      </c>
      <c r="O1084" s="45" t="n">
        <v>44799.77847222222</v>
      </c>
      <c r="P1084" s="46" t="n">
        <v>44799</v>
      </c>
      <c r="Q1084" s="44" t="n">
        <v>2188</v>
      </c>
      <c r="R1084" s="44" t="inlineStr">
        <is>
          <t>No Video ID yet</t>
        </is>
      </c>
      <c r="S1084" s="46" t="n"/>
      <c r="T1084" s="46" t="n"/>
      <c r="U1084" s="44" t="n"/>
      <c r="V1084" s="44">
        <f>IF(AND(P1084&gt;=Calendar!$K$2,P1084&lt;EDATE(Calendar!$K$2,1),OR(Calendar!$K$4="*",N1084=Calendar!$K$4)),P1084*100+COUNTIFS($P$6:$P$3271,P1084,$Q$6:$Q$3271,"&lt;="&amp;Q1084,$N$6:$N$3271,Calendar!$K$4),"")</f>
        <v/>
      </c>
      <c r="W1084" s="44">
        <f>IF(AND(B1084=Queue!$C$4,OR(Queue!$K$4="*",N1084=Queue!$K$4)),Q1084,"")</f>
        <v/>
      </c>
    </row>
    <row r="1085">
      <c r="A1085" s="35">
        <f>IF(M1085="","",HYPERLINK("https://www.youtube.com/watch?v="&amp;M1085,"▶"))</f>
        <v/>
      </c>
      <c r="B1085" s="36">
        <f>IF(C1085&lt;&gt;"",C1085,IF(P1085&lt;=IFERROR(INDEX(tblChannels[Watched Through],MATCH(N1085,tblChannels[Channel ID],0)),0),"Watched","Unwatched"))</f>
        <v/>
      </c>
      <c r="C1085" s="37" t="n"/>
      <c r="D1085" s="38" t="n"/>
      <c r="E1085" s="39" t="n">
        <v>44799.41666666666</v>
      </c>
      <c r="F1085" s="40" t="inlineStr">
        <is>
          <t>Popcorn Culture</t>
        </is>
      </c>
      <c r="G1085" t="inlineStr">
        <is>
          <t>80 Foot Flat Boat | Popcorn Culture</t>
        </is>
      </c>
      <c r="H1085" s="41" t="n">
        <v>0.05060185185185185</v>
      </c>
      <c r="I1085" s="42" t="n">
        <v>6433</v>
      </c>
      <c r="J1085" s="42" t="n">
        <v>321</v>
      </c>
      <c r="K1085" s="42" t="n">
        <v>31</v>
      </c>
      <c r="L1085" s="43" t="n"/>
      <c r="M1085" s="44" t="n"/>
      <c r="N1085" s="44" t="inlineStr">
        <is>
          <t>UCHfIbq9thHPC8yrKjAdJgDA</t>
        </is>
      </c>
      <c r="O1085" s="45" t="n">
        <v>44799.58333333334</v>
      </c>
      <c r="P1085" s="46" t="n">
        <v>44799</v>
      </c>
      <c r="Q1085" s="44" t="n">
        <v>2187</v>
      </c>
      <c r="R1085" s="44" t="inlineStr">
        <is>
          <t>No Video ID yet</t>
        </is>
      </c>
      <c r="S1085" s="46" t="n"/>
      <c r="T1085" s="46" t="n"/>
      <c r="U1085" s="44" t="n"/>
      <c r="V1085" s="44">
        <f>IF(AND(P1085&gt;=Calendar!$K$2,P1085&lt;EDATE(Calendar!$K$2,1),OR(Calendar!$K$4="*",N1085=Calendar!$K$4)),P1085*100+COUNTIFS($P$6:$P$3271,P1085,$Q$6:$Q$3271,"&lt;="&amp;Q1085,$N$6:$N$3271,Calendar!$K$4),"")</f>
        <v/>
      </c>
      <c r="W1085" s="44">
        <f>IF(AND(B1085=Queue!$C$4,OR(Queue!$K$4="*",N1085=Queue!$K$4)),Q1085,"")</f>
        <v/>
      </c>
    </row>
    <row r="1086">
      <c r="A1086" s="35">
        <f>IF(M1086="","",HYPERLINK("https://www.youtube.com/watch?v="&amp;M1086,"▶"))</f>
        <v/>
      </c>
      <c r="B1086" s="36">
        <f>IF(C1086&lt;&gt;"",C1086,IF(P1086&lt;=IFERROR(INDEX(tblChannels[Watched Through],MATCH(N1086,tblChannels[Channel ID],0)),0),"Watched","Unwatched"))</f>
        <v/>
      </c>
      <c r="C1086" s="37" t="n"/>
      <c r="D1086" s="38" t="n"/>
      <c r="E1086" s="39" t="n">
        <v>44796.72291666667</v>
      </c>
      <c r="F1086" s="47" t="inlineStr">
        <is>
          <t>Super Carlin Brothers</t>
        </is>
      </c>
      <c r="G1086" t="inlineStr">
        <is>
          <t>Recasting The Harry Potter Movies! | Harry Potter Film Theory</t>
        </is>
      </c>
      <c r="H1086" s="41" t="n">
        <v>0.0137037037037037</v>
      </c>
      <c r="I1086" s="42" t="n">
        <v>182736</v>
      </c>
      <c r="J1086" s="42" t="n">
        <v>8727</v>
      </c>
      <c r="K1086" s="42" t="n">
        <v>2424</v>
      </c>
      <c r="L1086" s="43" t="n"/>
      <c r="M1086" s="44" t="n"/>
      <c r="N1086" s="44" t="inlineStr">
        <is>
          <t>UCKZo4N0lVPccBkSiuyVh4yg</t>
        </is>
      </c>
      <c r="O1086" s="45" t="n">
        <v>44796.88958333333</v>
      </c>
      <c r="P1086" s="46" t="n">
        <v>44796</v>
      </c>
      <c r="Q1086" s="44" t="n">
        <v>2186</v>
      </c>
      <c r="R1086" s="44" t="inlineStr">
        <is>
          <t>No Video ID yet</t>
        </is>
      </c>
      <c r="S1086" s="46" t="n"/>
      <c r="T1086" s="46" t="n"/>
      <c r="U1086" s="44" t="n"/>
      <c r="V1086" s="44">
        <f>IF(AND(P1086&gt;=Calendar!$K$2,P1086&lt;EDATE(Calendar!$K$2,1),OR(Calendar!$K$4="*",N1086=Calendar!$K$4)),P1086*100+COUNTIFS($P$6:$P$3271,P1086,$Q$6:$Q$3271,"&lt;="&amp;Q1086,$N$6:$N$3271,Calendar!$K$4),"")</f>
        <v/>
      </c>
      <c r="W1086" s="44">
        <f>IF(AND(B1086=Queue!$C$4,OR(Queue!$K$4="*",N1086=Queue!$K$4)),Q1086,"")</f>
        <v/>
      </c>
    </row>
    <row r="1087">
      <c r="A1087" s="35">
        <f>IF(M1087="","",HYPERLINK("https://www.youtube.com/watch?v="&amp;M1087,"▶"))</f>
        <v/>
      </c>
      <c r="B1087" s="36">
        <f>IF(C1087&lt;&gt;"",C1087,IF(P1087&lt;=IFERROR(INDEX(tblChannels[Watched Through],MATCH(N1087,tblChannels[Channel ID],0)),0),"Watched","Unwatched"))</f>
        <v/>
      </c>
      <c r="C1087" s="37" t="n"/>
      <c r="D1087" s="38" t="n"/>
      <c r="E1087" s="39" t="n">
        <v>44792.41666666666</v>
      </c>
      <c r="F1087" s="40" t="inlineStr">
        <is>
          <t>Popcorn Culture</t>
        </is>
      </c>
      <c r="G1087" t="inlineStr">
        <is>
          <t>Body Surfing Extraordinaire  | Popcorn Culture</t>
        </is>
      </c>
      <c r="H1087" s="41" t="n">
        <v>0.04672453703703704</v>
      </c>
      <c r="I1087" s="42" t="n">
        <v>6007</v>
      </c>
      <c r="J1087" s="42" t="n">
        <v>312</v>
      </c>
      <c r="K1087" s="42" t="n">
        <v>21</v>
      </c>
      <c r="L1087" s="43" t="n"/>
      <c r="M1087" s="44" t="n"/>
      <c r="N1087" s="44" t="inlineStr">
        <is>
          <t>UCHfIbq9thHPC8yrKjAdJgDA</t>
        </is>
      </c>
      <c r="O1087" s="45" t="n">
        <v>44792.58333333334</v>
      </c>
      <c r="P1087" s="46" t="n">
        <v>44792</v>
      </c>
      <c r="Q1087" s="44" t="n">
        <v>2185</v>
      </c>
      <c r="R1087" s="44" t="inlineStr">
        <is>
          <t>No Video ID yet</t>
        </is>
      </c>
      <c r="S1087" s="46" t="n"/>
      <c r="T1087" s="46" t="n"/>
      <c r="U1087" s="44" t="n"/>
      <c r="V1087" s="44">
        <f>IF(AND(P1087&gt;=Calendar!$K$2,P1087&lt;EDATE(Calendar!$K$2,1),OR(Calendar!$K$4="*",N1087=Calendar!$K$4)),P1087*100+COUNTIFS($P$6:$P$3271,P1087,$Q$6:$Q$3271,"&lt;="&amp;Q1087,$N$6:$N$3271,Calendar!$K$4),"")</f>
        <v/>
      </c>
      <c r="W1087" s="44">
        <f>IF(AND(B1087=Queue!$C$4,OR(Queue!$K$4="*",N1087=Queue!$K$4)),Q1087,"")</f>
        <v/>
      </c>
    </row>
    <row r="1088">
      <c r="A1088" s="35">
        <f>IF(M1088="","",HYPERLINK("https://www.youtube.com/watch?v="&amp;M1088,"▶"))</f>
        <v/>
      </c>
      <c r="B1088" s="36">
        <f>IF(C1088&lt;&gt;"",C1088,IF(P1088&lt;=IFERROR(INDEX(tblChannels[Watched Through],MATCH(N1088,tblChannels[Channel ID],0)),0),"Watched","Unwatched"))</f>
        <v/>
      </c>
      <c r="C1088" s="37" t="n"/>
      <c r="D1088" s="38" t="n"/>
      <c r="E1088" s="39" t="n">
        <v>44791.75625</v>
      </c>
      <c r="F1088" s="47" t="inlineStr">
        <is>
          <t>Super Carlin Brothers</t>
        </is>
      </c>
      <c r="G1088" t="inlineStr">
        <is>
          <t>What If Harry Was In Slytherin - Goblet of Fire | Harry Potter Film Theory</t>
        </is>
      </c>
      <c r="H1088" s="41" t="n">
        <v>0.02424768518518518</v>
      </c>
      <c r="I1088" s="42" t="n">
        <v>453452</v>
      </c>
      <c r="J1088" s="42" t="n">
        <v>19514</v>
      </c>
      <c r="K1088" s="42" t="n">
        <v>1808</v>
      </c>
      <c r="L1088" s="43" t="n"/>
      <c r="M1088" s="44" t="n"/>
      <c r="N1088" s="44" t="inlineStr">
        <is>
          <t>UCKZo4N0lVPccBkSiuyVh4yg</t>
        </is>
      </c>
      <c r="O1088" s="45" t="n">
        <v>44791.92291666667</v>
      </c>
      <c r="P1088" s="46" t="n">
        <v>44791</v>
      </c>
      <c r="Q1088" s="44" t="n">
        <v>2184</v>
      </c>
      <c r="R1088" s="44" t="inlineStr">
        <is>
          <t>No Video ID yet</t>
        </is>
      </c>
      <c r="S1088" s="46" t="n"/>
      <c r="T1088" s="46" t="n"/>
      <c r="U1088" s="44" t="n"/>
      <c r="V1088" s="44">
        <f>IF(AND(P1088&gt;=Calendar!$K$2,P1088&lt;EDATE(Calendar!$K$2,1),OR(Calendar!$K$4="*",N1088=Calendar!$K$4)),P1088*100+COUNTIFS($P$6:$P$3271,P1088,$Q$6:$Q$3271,"&lt;="&amp;Q1088,$N$6:$N$3271,Calendar!$K$4),"")</f>
        <v/>
      </c>
      <c r="W1088" s="44">
        <f>IF(AND(B1088=Queue!$C$4,OR(Queue!$K$4="*",N1088=Queue!$K$4)),Q1088,"")</f>
        <v/>
      </c>
    </row>
    <row r="1089">
      <c r="A1089" s="35">
        <f>IF(M1089="","",HYPERLINK("https://www.youtube.com/watch?v="&amp;M1089,"▶"))</f>
        <v/>
      </c>
      <c r="B1089" s="36">
        <f>IF(C1089&lt;&gt;"",C1089,IF(P1089&lt;=IFERROR(INDEX(tblChannels[Watched Through],MATCH(N1089,tblChannels[Channel ID],0)),0),"Watched","Unwatched"))</f>
        <v/>
      </c>
      <c r="C1089" s="37" t="n"/>
      <c r="D1089" s="38" t="n"/>
      <c r="E1089" s="39" t="n">
        <v>44789.81597222222</v>
      </c>
      <c r="F1089" s="47" t="inlineStr">
        <is>
          <t>Super Carlin Brothers</t>
        </is>
      </c>
      <c r="G1089" t="inlineStr">
        <is>
          <t>J vs Ben: ULTIMATE Hogwarts Letter Harry Potter TRIVIA Quiz</t>
        </is>
      </c>
      <c r="H1089" s="41" t="n">
        <v>0.02336805555555556</v>
      </c>
      <c r="I1089" s="42" t="n">
        <v>289604</v>
      </c>
      <c r="J1089" s="42" t="n">
        <v>8541</v>
      </c>
      <c r="K1089" s="42" t="n">
        <v>807</v>
      </c>
      <c r="L1089" s="43" t="n"/>
      <c r="M1089" s="44" t="n"/>
      <c r="N1089" s="44" t="inlineStr">
        <is>
          <t>UCKZo4N0lVPccBkSiuyVh4yg</t>
        </is>
      </c>
      <c r="O1089" s="45" t="n">
        <v>44789.98263888889</v>
      </c>
      <c r="P1089" s="46" t="n">
        <v>44789</v>
      </c>
      <c r="Q1089" s="44" t="n">
        <v>2183</v>
      </c>
      <c r="R1089" s="44" t="inlineStr">
        <is>
          <t>No Video ID yet</t>
        </is>
      </c>
      <c r="S1089" s="46" t="n"/>
      <c r="T1089" s="46" t="n"/>
      <c r="U1089" s="44" t="n"/>
      <c r="V1089" s="44">
        <f>IF(AND(P1089&gt;=Calendar!$K$2,P1089&lt;EDATE(Calendar!$K$2,1),OR(Calendar!$K$4="*",N1089=Calendar!$K$4)),P1089*100+COUNTIFS($P$6:$P$3271,P1089,$Q$6:$Q$3271,"&lt;="&amp;Q1089,$N$6:$N$3271,Calendar!$K$4),"")</f>
        <v/>
      </c>
      <c r="W1089" s="44">
        <f>IF(AND(B1089=Queue!$C$4,OR(Queue!$K$4="*",N1089=Queue!$K$4)),Q1089,"")</f>
        <v/>
      </c>
    </row>
    <row r="1090">
      <c r="A1090" s="35">
        <f>IF(M1090="","",HYPERLINK("https://www.youtube.com/watch?v="&amp;M1090,"▶"))</f>
        <v/>
      </c>
      <c r="B1090" s="36">
        <f>IF(C1090&lt;&gt;"",C1090,IF(P1090&lt;=IFERROR(INDEX(tblChannels[Watched Through],MATCH(N1090,tblChannels[Channel ID],0)),0),"Watched","Unwatched"))</f>
        <v/>
      </c>
      <c r="C1090" s="37" t="n"/>
      <c r="D1090" s="38" t="n"/>
      <c r="E1090" s="39" t="n">
        <v>44785.41666666666</v>
      </c>
      <c r="F1090" s="40" t="inlineStr">
        <is>
          <t>Popcorn Culture</t>
        </is>
      </c>
      <c r="G1090" t="inlineStr">
        <is>
          <t>Stabbed Pretending to be a Snowman  | Popcorn Culture</t>
        </is>
      </c>
      <c r="H1090" s="41" t="n">
        <v>0.04384259259259259</v>
      </c>
      <c r="I1090" s="42" t="n">
        <v>7599</v>
      </c>
      <c r="J1090" s="42" t="n">
        <v>366</v>
      </c>
      <c r="K1090" s="42" t="n">
        <v>34</v>
      </c>
      <c r="L1090" s="43" t="n"/>
      <c r="M1090" s="44" t="n"/>
      <c r="N1090" s="44" t="inlineStr">
        <is>
          <t>UCHfIbq9thHPC8yrKjAdJgDA</t>
        </is>
      </c>
      <c r="O1090" s="45" t="n">
        <v>44785.58333333334</v>
      </c>
      <c r="P1090" s="46" t="n">
        <v>44785</v>
      </c>
      <c r="Q1090" s="44" t="n">
        <v>2182</v>
      </c>
      <c r="R1090" s="44" t="inlineStr">
        <is>
          <t>No Video ID yet</t>
        </is>
      </c>
      <c r="S1090" s="46" t="n"/>
      <c r="T1090" s="46" t="n"/>
      <c r="U1090" s="44" t="n"/>
      <c r="V1090" s="44">
        <f>IF(AND(P1090&gt;=Calendar!$K$2,P1090&lt;EDATE(Calendar!$K$2,1),OR(Calendar!$K$4="*",N1090=Calendar!$K$4)),P1090*100+COUNTIFS($P$6:$P$3271,P1090,$Q$6:$Q$3271,"&lt;="&amp;Q1090,$N$6:$N$3271,Calendar!$K$4),"")</f>
        <v/>
      </c>
      <c r="W1090" s="44">
        <f>IF(AND(B1090=Queue!$C$4,OR(Queue!$K$4="*",N1090=Queue!$K$4)),Q1090,"")</f>
        <v/>
      </c>
    </row>
    <row r="1091">
      <c r="A1091" s="35">
        <f>IF(M1091="","",HYPERLINK("https://www.youtube.com/watch?v="&amp;M1091,"▶"))</f>
        <v/>
      </c>
      <c r="B1091" s="36">
        <f>IF(C1091&lt;&gt;"",C1091,IF(P1091&lt;=IFERROR(INDEX(tblChannels[Watched Through],MATCH(N1091,tblChannels[Channel ID],0)),0),"Watched","Unwatched"))</f>
        <v/>
      </c>
      <c r="C1091" s="37" t="n"/>
      <c r="D1091" s="38" t="n"/>
      <c r="E1091" s="39" t="n">
        <v>44784.69375</v>
      </c>
      <c r="F1091" s="47" t="inlineStr">
        <is>
          <t>Super Carlin Brothers</t>
        </is>
      </c>
      <c r="G1091" t="inlineStr">
        <is>
          <t>Ranking Every Power from Encanto | Disney Film Theory</t>
        </is>
      </c>
      <c r="H1091" s="41" t="n">
        <v>0.01478009259259259</v>
      </c>
      <c r="I1091" s="42" t="n">
        <v>206928</v>
      </c>
      <c r="J1091" s="42" t="n">
        <v>9079</v>
      </c>
      <c r="K1091" s="42" t="n">
        <v>903</v>
      </c>
      <c r="L1091" s="43" t="n"/>
      <c r="M1091" s="44" t="n"/>
      <c r="N1091" s="44" t="inlineStr">
        <is>
          <t>UCKZo4N0lVPccBkSiuyVh4yg</t>
        </is>
      </c>
      <c r="O1091" s="45" t="n">
        <v>44784.86041666667</v>
      </c>
      <c r="P1091" s="46" t="n">
        <v>44784</v>
      </c>
      <c r="Q1091" s="44" t="n">
        <v>2181</v>
      </c>
      <c r="R1091" s="44" t="inlineStr">
        <is>
          <t>No Video ID yet</t>
        </is>
      </c>
      <c r="S1091" s="46" t="n"/>
      <c r="T1091" s="46" t="n"/>
      <c r="U1091" s="44" t="n"/>
      <c r="V1091" s="44">
        <f>IF(AND(P1091&gt;=Calendar!$K$2,P1091&lt;EDATE(Calendar!$K$2,1),OR(Calendar!$K$4="*",N1091=Calendar!$K$4)),P1091*100+COUNTIFS($P$6:$P$3271,P1091,$Q$6:$Q$3271,"&lt;="&amp;Q1091,$N$6:$N$3271,Calendar!$K$4),"")</f>
        <v/>
      </c>
      <c r="W1091" s="44">
        <f>IF(AND(B1091=Queue!$C$4,OR(Queue!$K$4="*",N1091=Queue!$K$4)),Q1091,"")</f>
        <v/>
      </c>
    </row>
    <row r="1092">
      <c r="A1092" s="35">
        <f>IF(M1092="","",HYPERLINK("https://www.youtube.com/watch?v="&amp;M1092,"▶"))</f>
        <v/>
      </c>
      <c r="B1092" s="36">
        <f>IF(C1092&lt;&gt;"",C1092,IF(P1092&lt;=IFERROR(INDEX(tblChannels[Watched Through],MATCH(N1092,tblChannels[Channel ID],0)),0),"Watched","Unwatched"))</f>
        <v/>
      </c>
      <c r="C1092" s="37" t="n"/>
      <c r="D1092" s="38" t="n"/>
      <c r="E1092" s="39" t="n">
        <v>44783.625</v>
      </c>
      <c r="F1092" s="49" t="inlineStr">
        <is>
          <t>Super Carlin Gaming</t>
        </is>
      </c>
      <c r="G1092" t="inlineStr">
        <is>
          <t>Bear Necessities |  Pokémon Legends: Arceus Nuzlocke #17</t>
        </is>
      </c>
      <c r="H1092" s="41" t="n">
        <v>0.02890046296296296</v>
      </c>
      <c r="I1092" s="42" t="n">
        <v>6142</v>
      </c>
      <c r="J1092" s="42" t="n">
        <v>338</v>
      </c>
      <c r="K1092" s="42" t="n">
        <v>87</v>
      </c>
      <c r="L1092" s="43" t="n"/>
      <c r="M1092" s="44" t="n"/>
      <c r="N1092" s="44" t="inlineStr">
        <is>
          <t>UCor_9jRnNNZVzTuQ92PKsaQ</t>
        </is>
      </c>
      <c r="O1092" s="45" t="n">
        <v>44783.79166666666</v>
      </c>
      <c r="P1092" s="46" t="n">
        <v>44783</v>
      </c>
      <c r="Q1092" s="44" t="n">
        <v>2180</v>
      </c>
      <c r="R1092" s="44" t="inlineStr">
        <is>
          <t>No Video ID yet</t>
        </is>
      </c>
      <c r="S1092" s="46" t="n"/>
      <c r="T1092" s="46" t="n"/>
      <c r="U1092" s="44" t="n"/>
      <c r="V1092" s="44">
        <f>IF(AND(P1092&gt;=Calendar!$K$2,P1092&lt;EDATE(Calendar!$K$2,1),OR(Calendar!$K$4="*",N1092=Calendar!$K$4)),P1092*100+COUNTIFS($P$6:$P$3271,P1092,$Q$6:$Q$3271,"&lt;="&amp;Q1092,$N$6:$N$3271,Calendar!$K$4),"")</f>
        <v/>
      </c>
      <c r="W1092" s="44">
        <f>IF(AND(B1092=Queue!$C$4,OR(Queue!$K$4="*",N1092=Queue!$K$4)),Q1092,"")</f>
        <v/>
      </c>
    </row>
    <row r="1093">
      <c r="A1093" s="35">
        <f>IF(M1093="","",HYPERLINK("https://www.youtube.com/watch?v="&amp;M1093,"▶"))</f>
        <v/>
      </c>
      <c r="B1093" s="36">
        <f>IF(C1093&lt;&gt;"",C1093,IF(P1093&lt;=IFERROR(INDEX(tblChannels[Watched Through],MATCH(N1093,tblChannels[Channel ID],0)),0),"Watched","Unwatched"))</f>
        <v/>
      </c>
      <c r="C1093" s="37" t="n"/>
      <c r="D1093" s="38" t="n"/>
      <c r="E1093" s="39" t="n">
        <v>44782.81458333333</v>
      </c>
      <c r="F1093" s="47" t="inlineStr">
        <is>
          <t>Super Carlin Brothers</t>
        </is>
      </c>
      <c r="G1093" t="inlineStr">
        <is>
          <t>What If Harry Was In Slytherin? - Prisoner of Azkaban | Harry Potter Film Theory</t>
        </is>
      </c>
      <c r="H1093" s="41" t="n">
        <v>0.0228125</v>
      </c>
      <c r="I1093" s="42" t="n">
        <v>489077</v>
      </c>
      <c r="J1093" s="42" t="n">
        <v>22217</v>
      </c>
      <c r="K1093" s="42" t="n">
        <v>1762</v>
      </c>
      <c r="L1093" s="43" t="n"/>
      <c r="M1093" s="44" t="n"/>
      <c r="N1093" s="44" t="inlineStr">
        <is>
          <t>UCKZo4N0lVPccBkSiuyVh4yg</t>
        </is>
      </c>
      <c r="O1093" s="45" t="n">
        <v>44782.98125</v>
      </c>
      <c r="P1093" s="46" t="n">
        <v>44782</v>
      </c>
      <c r="Q1093" s="44" t="n">
        <v>2179</v>
      </c>
      <c r="R1093" s="44" t="inlineStr">
        <is>
          <t>No Video ID yet</t>
        </is>
      </c>
      <c r="S1093" s="46" t="n"/>
      <c r="T1093" s="46" t="n"/>
      <c r="U1093" s="44" t="n"/>
      <c r="V1093" s="44">
        <f>IF(AND(P1093&gt;=Calendar!$K$2,P1093&lt;EDATE(Calendar!$K$2,1),OR(Calendar!$K$4="*",N1093=Calendar!$K$4)),P1093*100+COUNTIFS($P$6:$P$3271,P1093,$Q$6:$Q$3271,"&lt;="&amp;Q1093,$N$6:$N$3271,Calendar!$K$4),"")</f>
        <v/>
      </c>
      <c r="W1093" s="44">
        <f>IF(AND(B1093=Queue!$C$4,OR(Queue!$K$4="*",N1093=Queue!$K$4)),Q1093,"")</f>
        <v/>
      </c>
    </row>
    <row r="1094">
      <c r="A1094" s="35">
        <f>IF(M1094="","",HYPERLINK("https://www.youtube.com/watch?v="&amp;M1094,"▶"))</f>
        <v/>
      </c>
      <c r="B1094" s="36">
        <f>IF(C1094&lt;&gt;"",C1094,IF(P1094&lt;=IFERROR(INDEX(tblChannels[Watched Through],MATCH(N1094,tblChannels[Channel ID],0)),0),"Watched","Unwatched"))</f>
        <v/>
      </c>
      <c r="C1094" s="37" t="n"/>
      <c r="D1094" s="38" t="n"/>
      <c r="E1094" s="39" t="n">
        <v>44781.58333333334</v>
      </c>
      <c r="F1094" s="50" t="inlineStr">
        <is>
          <t>Jonathan Carlin</t>
        </is>
      </c>
      <c r="G1094" t="inlineStr">
        <is>
          <t>Luke Finds Dinosaur Bones!</t>
        </is>
      </c>
      <c r="H1094" s="41" t="n">
        <v>0.01190972222222222</v>
      </c>
      <c r="I1094" s="42" t="n">
        <v>9580</v>
      </c>
      <c r="J1094" s="42" t="n">
        <v>597</v>
      </c>
      <c r="K1094" s="42" t="n">
        <v>33</v>
      </c>
      <c r="L1094" s="43" t="n"/>
      <c r="M1094" s="44" t="n"/>
      <c r="N1094" s="44" t="inlineStr">
        <is>
          <t>UCYPKFe86e6nm4TVUYKLsFUQ</t>
        </is>
      </c>
      <c r="O1094" s="45" t="n">
        <v>44781.75</v>
      </c>
      <c r="P1094" s="46" t="n">
        <v>44781</v>
      </c>
      <c r="Q1094" s="44" t="n">
        <v>2178</v>
      </c>
      <c r="R1094" s="44" t="inlineStr">
        <is>
          <t>No Video ID yet</t>
        </is>
      </c>
      <c r="S1094" s="46" t="n"/>
      <c r="T1094" s="46" t="n"/>
      <c r="U1094" s="44" t="n"/>
      <c r="V1094" s="44">
        <f>IF(AND(P1094&gt;=Calendar!$K$2,P1094&lt;EDATE(Calendar!$K$2,1),OR(Calendar!$K$4="*",N1094=Calendar!$K$4)),P1094*100+COUNTIFS($P$6:$P$3271,P1094,$Q$6:$Q$3271,"&lt;="&amp;Q1094,$N$6:$N$3271,Calendar!$K$4),"")</f>
        <v/>
      </c>
      <c r="W1094" s="44">
        <f>IF(AND(B1094=Queue!$C$4,OR(Queue!$K$4="*",N1094=Queue!$K$4)),Q1094,"")</f>
        <v/>
      </c>
    </row>
    <row r="1095">
      <c r="A1095" s="35">
        <f>IF(M1095="","",HYPERLINK("https://www.youtube.com/watch?v="&amp;M1095,"▶"))</f>
        <v/>
      </c>
      <c r="B1095" s="36">
        <f>IF(C1095&lt;&gt;"",C1095,IF(P1095&lt;=IFERROR(INDEX(tblChannels[Watched Through],MATCH(N1095,tblChannels[Channel ID],0)),0),"Watched","Unwatched"))</f>
        <v/>
      </c>
      <c r="C1095" s="37" t="n"/>
      <c r="D1095" s="38" t="n"/>
      <c r="E1095" s="39" t="n">
        <v>44778.41666666666</v>
      </c>
      <c r="F1095" s="40" t="inlineStr">
        <is>
          <t>Popcorn Culture</t>
        </is>
      </c>
      <c r="G1095" t="inlineStr">
        <is>
          <t>Find Your White Wine | Popcorn Culture</t>
        </is>
      </c>
      <c r="H1095" s="41" t="n">
        <v>0.0416087962962963</v>
      </c>
      <c r="I1095" s="42" t="n">
        <v>11089</v>
      </c>
      <c r="J1095" s="42" t="n">
        <v>489</v>
      </c>
      <c r="K1095" s="42" t="n">
        <v>40</v>
      </c>
      <c r="L1095" s="43" t="n"/>
      <c r="M1095" s="44" t="n"/>
      <c r="N1095" s="44" t="inlineStr">
        <is>
          <t>UCHfIbq9thHPC8yrKjAdJgDA</t>
        </is>
      </c>
      <c r="O1095" s="45" t="n">
        <v>44778.58333333334</v>
      </c>
      <c r="P1095" s="46" t="n">
        <v>44778</v>
      </c>
      <c r="Q1095" s="44" t="n">
        <v>2177</v>
      </c>
      <c r="R1095" s="44" t="inlineStr">
        <is>
          <t>No Video ID yet</t>
        </is>
      </c>
      <c r="S1095" s="46" t="n"/>
      <c r="T1095" s="46" t="n"/>
      <c r="U1095" s="44" t="n"/>
      <c r="V1095" s="44">
        <f>IF(AND(P1095&gt;=Calendar!$K$2,P1095&lt;EDATE(Calendar!$K$2,1),OR(Calendar!$K$4="*",N1095=Calendar!$K$4)),P1095*100+COUNTIFS($P$6:$P$3271,P1095,$Q$6:$Q$3271,"&lt;="&amp;Q1095,$N$6:$N$3271,Calendar!$K$4),"")</f>
        <v/>
      </c>
      <c r="W1095" s="44">
        <f>IF(AND(B1095=Queue!$C$4,OR(Queue!$K$4="*",N1095=Queue!$K$4)),Q1095,"")</f>
        <v/>
      </c>
    </row>
    <row r="1096">
      <c r="A1096" s="35">
        <f>IF(M1096="","",HYPERLINK("https://www.youtube.com/watch?v="&amp;M1096,"▶"))</f>
        <v/>
      </c>
      <c r="B1096" s="36">
        <f>IF(C1096&lt;&gt;"",C1096,IF(P1096&lt;=IFERROR(INDEX(tblChannels[Watched Through],MATCH(N1096,tblChannels[Channel ID],0)),0),"Watched","Unwatched"))</f>
        <v/>
      </c>
      <c r="C1096" s="37" t="n"/>
      <c r="D1096" s="38" t="n"/>
      <c r="E1096" s="39" t="n">
        <v>44777.62916666667</v>
      </c>
      <c r="F1096" s="47" t="inlineStr">
        <is>
          <t>Super Carlin Brothers</t>
        </is>
      </c>
      <c r="G1096" t="inlineStr">
        <is>
          <t>J vs Ben: The ULTIMATE Platform 9 &amp; 3/4 Harry Potter TRIVIA Quiz</t>
        </is>
      </c>
      <c r="H1096" s="41" t="n">
        <v>0.0202662037037037</v>
      </c>
      <c r="I1096" s="42" t="n">
        <v>214286</v>
      </c>
      <c r="J1096" s="42" t="n">
        <v>7927</v>
      </c>
      <c r="K1096" s="42" t="n">
        <v>594</v>
      </c>
      <c r="L1096" s="43" t="n"/>
      <c r="M1096" s="44" t="n"/>
      <c r="N1096" s="44" t="inlineStr">
        <is>
          <t>UCKZo4N0lVPccBkSiuyVh4yg</t>
        </is>
      </c>
      <c r="O1096" s="45" t="n">
        <v>44777.79583333333</v>
      </c>
      <c r="P1096" s="46" t="n">
        <v>44777</v>
      </c>
      <c r="Q1096" s="44" t="n">
        <v>2176</v>
      </c>
      <c r="R1096" s="44" t="inlineStr">
        <is>
          <t>No Video ID yet</t>
        </is>
      </c>
      <c r="S1096" s="46" t="n"/>
      <c r="T1096" s="46" t="n"/>
      <c r="U1096" s="44" t="n"/>
      <c r="V1096" s="44">
        <f>IF(AND(P1096&gt;=Calendar!$K$2,P1096&lt;EDATE(Calendar!$K$2,1),OR(Calendar!$K$4="*",N1096=Calendar!$K$4)),P1096*100+COUNTIFS($P$6:$P$3271,P1096,$Q$6:$Q$3271,"&lt;="&amp;Q1096,$N$6:$N$3271,Calendar!$K$4),"")</f>
        <v/>
      </c>
      <c r="W1096" s="44">
        <f>IF(AND(B1096=Queue!$C$4,OR(Queue!$K$4="*",N1096=Queue!$K$4)),Q1096,"")</f>
        <v/>
      </c>
    </row>
    <row r="1097">
      <c r="A1097" s="35">
        <f>IF(M1097="","",HYPERLINK("https://www.youtube.com/watch?v="&amp;M1097,"▶"))</f>
        <v/>
      </c>
      <c r="B1097" s="36">
        <f>IF(C1097&lt;&gt;"",C1097,IF(P1097&lt;=IFERROR(INDEX(tblChannels[Watched Through],MATCH(N1097,tblChannels[Channel ID],0)),0),"Watched","Unwatched"))</f>
        <v/>
      </c>
      <c r="C1097" s="37" t="n"/>
      <c r="D1097" s="38" t="n"/>
      <c r="E1097" s="39" t="n">
        <v>44776.625</v>
      </c>
      <c r="F1097" s="49" t="inlineStr">
        <is>
          <t>Super Carlin Gaming</t>
        </is>
      </c>
      <c r="G1097" t="inlineStr">
        <is>
          <t>The STONE Dragon |  Pokémon Legends: Arceus Nuzlocke #16</t>
        </is>
      </c>
      <c r="H1097" s="41" t="n">
        <v>0.034375</v>
      </c>
      <c r="I1097" s="42" t="n">
        <v>6584</v>
      </c>
      <c r="J1097" s="42" t="n">
        <v>345</v>
      </c>
      <c r="K1097" s="42" t="n">
        <v>75</v>
      </c>
      <c r="L1097" s="43" t="n"/>
      <c r="M1097" s="44" t="n"/>
      <c r="N1097" s="44" t="inlineStr">
        <is>
          <t>UCor_9jRnNNZVzTuQ92PKsaQ</t>
        </is>
      </c>
      <c r="O1097" s="45" t="n">
        <v>44776.79166666666</v>
      </c>
      <c r="P1097" s="46" t="n">
        <v>44776</v>
      </c>
      <c r="Q1097" s="44" t="n">
        <v>2175</v>
      </c>
      <c r="R1097" s="44" t="inlineStr">
        <is>
          <t>No Video ID yet</t>
        </is>
      </c>
      <c r="S1097" s="46" t="n"/>
      <c r="T1097" s="46" t="n"/>
      <c r="U1097" s="44" t="n"/>
      <c r="V1097" s="44">
        <f>IF(AND(P1097&gt;=Calendar!$K$2,P1097&lt;EDATE(Calendar!$K$2,1),OR(Calendar!$K$4="*",N1097=Calendar!$K$4)),P1097*100+COUNTIFS($P$6:$P$3271,P1097,$Q$6:$Q$3271,"&lt;="&amp;Q1097,$N$6:$N$3271,Calendar!$K$4),"")</f>
        <v/>
      </c>
      <c r="W1097" s="44">
        <f>IF(AND(B1097=Queue!$C$4,OR(Queue!$K$4="*",N1097=Queue!$K$4)),Q1097,"")</f>
        <v/>
      </c>
    </row>
    <row r="1098">
      <c r="A1098" s="35">
        <f>IF(M1098="","",HYPERLINK("https://www.youtube.com/watch?v="&amp;M1098,"▶"))</f>
        <v/>
      </c>
      <c r="B1098" s="36">
        <f>IF(C1098&lt;&gt;"",C1098,IF(P1098&lt;=IFERROR(INDEX(tblChannels[Watched Through],MATCH(N1098,tblChannels[Channel ID],0)),0),"Watched","Unwatched"))</f>
        <v/>
      </c>
      <c r="C1098" s="37" t="n"/>
      <c r="D1098" s="38" t="n"/>
      <c r="E1098" s="39" t="n">
        <v>44775.69444444445</v>
      </c>
      <c r="F1098" s="47" t="inlineStr">
        <is>
          <t>Super Carlin Brothers</t>
        </is>
      </c>
      <c r="G1098" t="inlineStr">
        <is>
          <t>What If Harry Was In Slytherin? - Chamber of Secrets | Harry Potter Film Theory</t>
        </is>
      </c>
      <c r="H1098" s="41" t="n">
        <v>0.01875</v>
      </c>
      <c r="I1098" s="42" t="n">
        <v>512077</v>
      </c>
      <c r="J1098" s="42" t="n">
        <v>20149</v>
      </c>
      <c r="K1098" s="42" t="n">
        <v>2196</v>
      </c>
      <c r="L1098" s="43" t="n"/>
      <c r="M1098" s="44" t="n"/>
      <c r="N1098" s="44" t="inlineStr">
        <is>
          <t>UCKZo4N0lVPccBkSiuyVh4yg</t>
        </is>
      </c>
      <c r="O1098" s="45" t="n">
        <v>44775.86111111111</v>
      </c>
      <c r="P1098" s="46" t="n">
        <v>44775</v>
      </c>
      <c r="Q1098" s="44" t="n">
        <v>2174</v>
      </c>
      <c r="R1098" s="44" t="inlineStr">
        <is>
          <t>No Video ID yet</t>
        </is>
      </c>
      <c r="S1098" s="46" t="n"/>
      <c r="T1098" s="46" t="n"/>
      <c r="U1098" s="44" t="n"/>
      <c r="V1098" s="44">
        <f>IF(AND(P1098&gt;=Calendar!$K$2,P1098&lt;EDATE(Calendar!$K$2,1),OR(Calendar!$K$4="*",N1098=Calendar!$K$4)),P1098*100+COUNTIFS($P$6:$P$3271,P1098,$Q$6:$Q$3271,"&lt;="&amp;Q1098,$N$6:$N$3271,Calendar!$K$4),"")</f>
        <v/>
      </c>
      <c r="W1098" s="44">
        <f>IF(AND(B1098=Queue!$C$4,OR(Queue!$K$4="*",N1098=Queue!$K$4)),Q1098,"")</f>
        <v/>
      </c>
    </row>
    <row r="1099">
      <c r="A1099" s="35">
        <f>IF(M1099="","",HYPERLINK("https://www.youtube.com/watch?v="&amp;M1099,"▶"))</f>
        <v/>
      </c>
      <c r="B1099" s="36">
        <f>IF(C1099&lt;&gt;"",C1099,IF(P1099&lt;=IFERROR(INDEX(tblChannels[Watched Through],MATCH(N1099,tblChannels[Channel ID],0)),0),"Watched","Unwatched"))</f>
        <v/>
      </c>
      <c r="C1099" s="37" t="n"/>
      <c r="D1099" s="38" t="n"/>
      <c r="E1099" s="39" t="n">
        <v>44771.41666666666</v>
      </c>
      <c r="F1099" s="40" t="inlineStr">
        <is>
          <t>Popcorn Culture</t>
        </is>
      </c>
      <c r="G1099" t="inlineStr">
        <is>
          <t>Wow, That's So Humid! | Popcorn Culture</t>
        </is>
      </c>
      <c r="H1099" s="41" t="n">
        <v>0.04629629629629629</v>
      </c>
      <c r="I1099" s="42" t="n">
        <v>8502</v>
      </c>
      <c r="J1099" s="42" t="n">
        <v>343</v>
      </c>
      <c r="K1099" s="42" t="n">
        <v>56</v>
      </c>
      <c r="L1099" s="43" t="n"/>
      <c r="M1099" s="44" t="n"/>
      <c r="N1099" s="44" t="inlineStr">
        <is>
          <t>UCHfIbq9thHPC8yrKjAdJgDA</t>
        </is>
      </c>
      <c r="O1099" s="45" t="n">
        <v>44771.58333333334</v>
      </c>
      <c r="P1099" s="46" t="n">
        <v>44771</v>
      </c>
      <c r="Q1099" s="44" t="n">
        <v>2173</v>
      </c>
      <c r="R1099" s="44" t="inlineStr">
        <is>
          <t>No Video ID yet</t>
        </is>
      </c>
      <c r="S1099" s="46" t="n"/>
      <c r="T1099" s="46" t="n"/>
      <c r="U1099" s="44" t="n"/>
      <c r="V1099" s="44">
        <f>IF(AND(P1099&gt;=Calendar!$K$2,P1099&lt;EDATE(Calendar!$K$2,1),OR(Calendar!$K$4="*",N1099=Calendar!$K$4)),P1099*100+COUNTIFS($P$6:$P$3271,P1099,$Q$6:$Q$3271,"&lt;="&amp;Q1099,$N$6:$N$3271,Calendar!$K$4),"")</f>
        <v/>
      </c>
      <c r="W1099" s="44">
        <f>IF(AND(B1099=Queue!$C$4,OR(Queue!$K$4="*",N1099=Queue!$K$4)),Q1099,"")</f>
        <v/>
      </c>
    </row>
    <row r="1100">
      <c r="A1100" s="35">
        <f>IF(M1100="","",HYPERLINK("https://www.youtube.com/watch?v="&amp;M1100,"▶"))</f>
        <v/>
      </c>
      <c r="B1100" s="36">
        <f>IF(C1100&lt;&gt;"",C1100,IF(P1100&lt;=IFERROR(INDEX(tblChannels[Watched Through],MATCH(N1100,tblChannels[Channel ID],0)),0),"Watched","Unwatched"))</f>
        <v/>
      </c>
      <c r="C1100" s="37" t="n"/>
      <c r="D1100" s="38" t="n"/>
      <c r="E1100" s="39" t="n">
        <v>44770.71458333333</v>
      </c>
      <c r="F1100" s="47" t="inlineStr">
        <is>
          <t>Super Carlin Brothers</t>
        </is>
      </c>
      <c r="G1100" t="inlineStr">
        <is>
          <t>The Future of the MCU Explained Phase 5 &amp; 6 | Marvel Film Theory</t>
        </is>
      </c>
      <c r="H1100" s="41" t="n">
        <v>0.01480324074074074</v>
      </c>
      <c r="I1100" s="42" t="n">
        <v>108124</v>
      </c>
      <c r="J1100" s="42" t="n">
        <v>5113</v>
      </c>
      <c r="K1100" s="42" t="n">
        <v>595</v>
      </c>
      <c r="L1100" s="43" t="n"/>
      <c r="M1100" s="44" t="n"/>
      <c r="N1100" s="44" t="inlineStr">
        <is>
          <t>UCKZo4N0lVPccBkSiuyVh4yg</t>
        </is>
      </c>
      <c r="O1100" s="45" t="n">
        <v>44770.88125</v>
      </c>
      <c r="P1100" s="46" t="n">
        <v>44770</v>
      </c>
      <c r="Q1100" s="44" t="n">
        <v>2172</v>
      </c>
      <c r="R1100" s="44" t="inlineStr">
        <is>
          <t>No Video ID yet</t>
        </is>
      </c>
      <c r="S1100" s="46" t="n"/>
      <c r="T1100" s="46" t="n"/>
      <c r="U1100" s="44" t="n"/>
      <c r="V1100" s="44">
        <f>IF(AND(P1100&gt;=Calendar!$K$2,P1100&lt;EDATE(Calendar!$K$2,1),OR(Calendar!$K$4="*",N1100=Calendar!$K$4)),P1100*100+COUNTIFS($P$6:$P$3271,P1100,$Q$6:$Q$3271,"&lt;="&amp;Q1100,$N$6:$N$3271,Calendar!$K$4),"")</f>
        <v/>
      </c>
      <c r="W1100" s="44">
        <f>IF(AND(B1100=Queue!$C$4,OR(Queue!$K$4="*",N1100=Queue!$K$4)),Q1100,"")</f>
        <v/>
      </c>
    </row>
    <row r="1101">
      <c r="A1101" s="35">
        <f>IF(M1101="","",HYPERLINK("https://www.youtube.com/watch?v="&amp;M1101,"▶"))</f>
        <v/>
      </c>
      <c r="B1101" s="36">
        <f>IF(C1101&lt;&gt;"",C1101,IF(P1101&lt;=IFERROR(INDEX(tblChannels[Watched Through],MATCH(N1101,tblChannels[Channel ID],0)),0),"Watched","Unwatched"))</f>
        <v/>
      </c>
      <c r="C1101" s="37" t="n"/>
      <c r="D1101" s="38" t="n"/>
      <c r="E1101" s="39" t="n">
        <v>44769.625</v>
      </c>
      <c r="F1101" s="49" t="inlineStr">
        <is>
          <t>Super Carlin Gaming</t>
        </is>
      </c>
      <c r="G1101" t="inlineStr">
        <is>
          <t>The Boulder and the Black Night |  Pokémon Legends: Arceus Nuzlocke #15</t>
        </is>
      </c>
      <c r="H1101" s="41" t="n">
        <v>0.03212962962962963</v>
      </c>
      <c r="I1101" s="42" t="n">
        <v>6503</v>
      </c>
      <c r="J1101" s="42" t="n">
        <v>359</v>
      </c>
      <c r="K1101" s="42" t="n">
        <v>75</v>
      </c>
      <c r="L1101" s="43" t="n"/>
      <c r="M1101" s="44" t="n"/>
      <c r="N1101" s="44" t="inlineStr">
        <is>
          <t>UCor_9jRnNNZVzTuQ92PKsaQ</t>
        </is>
      </c>
      <c r="O1101" s="45" t="n">
        <v>44769.79166666666</v>
      </c>
      <c r="P1101" s="46" t="n">
        <v>44769</v>
      </c>
      <c r="Q1101" s="44" t="n">
        <v>2171</v>
      </c>
      <c r="R1101" s="44" t="inlineStr">
        <is>
          <t>No Video ID yet</t>
        </is>
      </c>
      <c r="S1101" s="46" t="n"/>
      <c r="T1101" s="46" t="n"/>
      <c r="U1101" s="44" t="n"/>
      <c r="V1101" s="44">
        <f>IF(AND(P1101&gt;=Calendar!$K$2,P1101&lt;EDATE(Calendar!$K$2,1),OR(Calendar!$K$4="*",N1101=Calendar!$K$4)),P1101*100+COUNTIFS($P$6:$P$3271,P1101,$Q$6:$Q$3271,"&lt;="&amp;Q1101,$N$6:$N$3271,Calendar!$K$4),"")</f>
        <v/>
      </c>
      <c r="W1101" s="44">
        <f>IF(AND(B1101=Queue!$C$4,OR(Queue!$K$4="*",N1101=Queue!$K$4)),Q1101,"")</f>
        <v/>
      </c>
    </row>
    <row r="1102">
      <c r="A1102" s="35">
        <f>IF(M1102="","",HYPERLINK("https://www.youtube.com/watch?v="&amp;M1102,"▶"))</f>
        <v/>
      </c>
      <c r="B1102" s="36">
        <f>IF(C1102&lt;&gt;"",C1102,IF(P1102&lt;=IFERROR(INDEX(tblChannels[Watched Through],MATCH(N1102,tblChannels[Channel ID],0)),0),"Watched","Unwatched"))</f>
        <v/>
      </c>
      <c r="C1102" s="37" t="n"/>
      <c r="D1102" s="38" t="n"/>
      <c r="E1102" s="39" t="n">
        <v>44768.65138888889</v>
      </c>
      <c r="F1102" s="47" t="inlineStr">
        <is>
          <t>Super Carlin Brothers</t>
        </is>
      </c>
      <c r="G1102" t="inlineStr">
        <is>
          <t>What If Harry Was In Slytherin? - Philosopher's Stone | Harry Potter Film Theory</t>
        </is>
      </c>
      <c r="H1102" s="41" t="n">
        <v>0.0153125</v>
      </c>
      <c r="I1102" s="42" t="n">
        <v>982267</v>
      </c>
      <c r="J1102" s="42" t="n">
        <v>28319</v>
      </c>
      <c r="K1102" s="42" t="n">
        <v>2129</v>
      </c>
      <c r="L1102" s="43" t="n"/>
      <c r="M1102" s="44" t="n"/>
      <c r="N1102" s="44" t="inlineStr">
        <is>
          <t>UCKZo4N0lVPccBkSiuyVh4yg</t>
        </is>
      </c>
      <c r="O1102" s="45" t="n">
        <v>44768.81805555556</v>
      </c>
      <c r="P1102" s="46" t="n">
        <v>44768</v>
      </c>
      <c r="Q1102" s="44" t="n">
        <v>2170</v>
      </c>
      <c r="R1102" s="44" t="inlineStr">
        <is>
          <t>No Video ID yet</t>
        </is>
      </c>
      <c r="S1102" s="46" t="n"/>
      <c r="T1102" s="46" t="n"/>
      <c r="U1102" s="44" t="n"/>
      <c r="V1102" s="44">
        <f>IF(AND(P1102&gt;=Calendar!$K$2,P1102&lt;EDATE(Calendar!$K$2,1),OR(Calendar!$K$4="*",N1102=Calendar!$K$4)),P1102*100+COUNTIFS($P$6:$P$3271,P1102,$Q$6:$Q$3271,"&lt;="&amp;Q1102,$N$6:$N$3271,Calendar!$K$4),"")</f>
        <v/>
      </c>
      <c r="W1102" s="44">
        <f>IF(AND(B1102=Queue!$C$4,OR(Queue!$K$4="*",N1102=Queue!$K$4)),Q1102,"")</f>
        <v/>
      </c>
    </row>
    <row r="1103">
      <c r="A1103" s="35">
        <f>IF(M1103="","",HYPERLINK("https://www.youtube.com/watch?v="&amp;M1103,"▶"))</f>
        <v/>
      </c>
      <c r="B1103" s="36">
        <f>IF(C1103&lt;&gt;"",C1103,IF(P1103&lt;=IFERROR(INDEX(tblChannels[Watched Through],MATCH(N1103,tblChannels[Channel ID],0)),0),"Watched","Unwatched"))</f>
        <v/>
      </c>
      <c r="C1103" s="37" t="n"/>
      <c r="D1103" s="38" t="n"/>
      <c r="E1103" s="39" t="n">
        <v>44764.66666666666</v>
      </c>
      <c r="F1103" s="49" t="inlineStr">
        <is>
          <t>Super Carlin Gaming</t>
        </is>
      </c>
      <c r="G1103" t="inlineStr">
        <is>
          <t>We Discover the RAREST Common Card.. | Carlin Brother's Box Breakers Astral Radiance</t>
        </is>
      </c>
      <c r="H1103" s="41" t="n">
        <v>0.0296875</v>
      </c>
      <c r="I1103" s="42" t="n">
        <v>5548</v>
      </c>
      <c r="J1103" s="42" t="n">
        <v>306</v>
      </c>
      <c r="K1103" s="42" t="n">
        <v>36</v>
      </c>
      <c r="L1103" s="43" t="n"/>
      <c r="M1103" s="44" t="n"/>
      <c r="N1103" s="44" t="inlineStr">
        <is>
          <t>UCor_9jRnNNZVzTuQ92PKsaQ</t>
        </is>
      </c>
      <c r="O1103" s="45" t="n">
        <v>44764.83333333334</v>
      </c>
      <c r="P1103" s="46" t="n">
        <v>44764</v>
      </c>
      <c r="Q1103" s="44" t="n">
        <v>2169</v>
      </c>
      <c r="R1103" s="44" t="inlineStr">
        <is>
          <t>No Video ID yet</t>
        </is>
      </c>
      <c r="S1103" s="46" t="n"/>
      <c r="T1103" s="46" t="n"/>
      <c r="U1103" s="44" t="n"/>
      <c r="V1103" s="44">
        <f>IF(AND(P1103&gt;=Calendar!$K$2,P1103&lt;EDATE(Calendar!$K$2,1),OR(Calendar!$K$4="*",N1103=Calendar!$K$4)),P1103*100+COUNTIFS($P$6:$P$3271,P1103,$Q$6:$Q$3271,"&lt;="&amp;Q1103,$N$6:$N$3271,Calendar!$K$4),"")</f>
        <v/>
      </c>
      <c r="W1103" s="44">
        <f>IF(AND(B1103=Queue!$C$4,OR(Queue!$K$4="*",N1103=Queue!$K$4)),Q1103,"")</f>
        <v/>
      </c>
    </row>
    <row r="1104">
      <c r="A1104" s="35">
        <f>IF(M1104="","",HYPERLINK("https://www.youtube.com/watch?v="&amp;M1104,"▶"))</f>
        <v/>
      </c>
      <c r="B1104" s="36">
        <f>IF(C1104&lt;&gt;"",C1104,IF(P1104&lt;=IFERROR(INDEX(tblChannels[Watched Through],MATCH(N1104,tblChannels[Channel ID],0)),0),"Watched","Unwatched"))</f>
        <v/>
      </c>
      <c r="C1104" s="37" t="n"/>
      <c r="D1104" s="38" t="n"/>
      <c r="E1104" s="39" t="n">
        <v>44764.50625</v>
      </c>
      <c r="F1104" s="40" t="inlineStr">
        <is>
          <t>Popcorn Culture</t>
        </is>
      </c>
      <c r="G1104" t="inlineStr">
        <is>
          <t>Apple Hipsters | Popcorn Culture</t>
        </is>
      </c>
      <c r="H1104" s="41" t="n">
        <v>0.04462962962962963</v>
      </c>
      <c r="I1104" s="42" t="n">
        <v>5563</v>
      </c>
      <c r="J1104" s="42" t="n">
        <v>312</v>
      </c>
      <c r="K1104" s="42" t="n">
        <v>31</v>
      </c>
      <c r="L1104" s="43" t="n"/>
      <c r="M1104" s="44" t="n"/>
      <c r="N1104" s="44" t="inlineStr">
        <is>
          <t>UCHfIbq9thHPC8yrKjAdJgDA</t>
        </is>
      </c>
      <c r="O1104" s="45" t="n">
        <v>44764.67291666667</v>
      </c>
      <c r="P1104" s="46" t="n">
        <v>44764</v>
      </c>
      <c r="Q1104" s="44" t="n">
        <v>2168</v>
      </c>
      <c r="R1104" s="44" t="inlineStr">
        <is>
          <t>No Video ID yet</t>
        </is>
      </c>
      <c r="S1104" s="46" t="n"/>
      <c r="T1104" s="46" t="n"/>
      <c r="U1104" s="44" t="n"/>
      <c r="V1104" s="44">
        <f>IF(AND(P1104&gt;=Calendar!$K$2,P1104&lt;EDATE(Calendar!$K$2,1),OR(Calendar!$K$4="*",N1104=Calendar!$K$4)),P1104*100+COUNTIFS($P$6:$P$3271,P1104,$Q$6:$Q$3271,"&lt;="&amp;Q1104,$N$6:$N$3271,Calendar!$K$4),"")</f>
        <v/>
      </c>
      <c r="W1104" s="44">
        <f>IF(AND(B1104=Queue!$C$4,OR(Queue!$K$4="*",N1104=Queue!$K$4)),Q1104,"")</f>
        <v/>
      </c>
    </row>
    <row r="1105">
      <c r="A1105" s="35">
        <f>IF(M1105="","",HYPERLINK("https://www.youtube.com/watch?v="&amp;M1105,"▶"))</f>
        <v/>
      </c>
      <c r="B1105" s="36">
        <f>IF(C1105&lt;&gt;"",C1105,IF(P1105&lt;=IFERROR(INDEX(tblChannels[Watched Through],MATCH(N1105,tblChannels[Channel ID],0)),0),"Watched","Unwatched"))</f>
        <v/>
      </c>
      <c r="C1105" s="37" t="n"/>
      <c r="D1105" s="38" t="n"/>
      <c r="E1105" s="39" t="n">
        <v>44763.68888888889</v>
      </c>
      <c r="F1105" s="47" t="inlineStr">
        <is>
          <t>Super Carlin Brothers</t>
        </is>
      </c>
      <c r="G1105" t="inlineStr">
        <is>
          <t>J vs Ben: The HARDEST James &amp; Lily Potter TRIVIA Quiz | Harry Potter Game</t>
        </is>
      </c>
      <c r="H1105" s="41" t="n">
        <v>0.019375</v>
      </c>
      <c r="I1105" s="42" t="n">
        <v>217377</v>
      </c>
      <c r="J1105" s="42" t="n">
        <v>7994</v>
      </c>
      <c r="K1105" s="42" t="n">
        <v>553</v>
      </c>
      <c r="L1105" s="43" t="n"/>
      <c r="M1105" s="44" t="n"/>
      <c r="N1105" s="44" t="inlineStr">
        <is>
          <t>UCKZo4N0lVPccBkSiuyVh4yg</t>
        </is>
      </c>
      <c r="O1105" s="45" t="n">
        <v>44763.85555555556</v>
      </c>
      <c r="P1105" s="46" t="n">
        <v>44763</v>
      </c>
      <c r="Q1105" s="44" t="n">
        <v>2167</v>
      </c>
      <c r="R1105" s="44" t="inlineStr">
        <is>
          <t>No Video ID yet</t>
        </is>
      </c>
      <c r="S1105" s="46" t="n"/>
      <c r="T1105" s="46" t="n"/>
      <c r="U1105" s="44" t="n"/>
      <c r="V1105" s="44">
        <f>IF(AND(P1105&gt;=Calendar!$K$2,P1105&lt;EDATE(Calendar!$K$2,1),OR(Calendar!$K$4="*",N1105=Calendar!$K$4)),P1105*100+COUNTIFS($P$6:$P$3271,P1105,$Q$6:$Q$3271,"&lt;="&amp;Q1105,$N$6:$N$3271,Calendar!$K$4),"")</f>
        <v/>
      </c>
      <c r="W1105" s="44">
        <f>IF(AND(B1105=Queue!$C$4,OR(Queue!$K$4="*",N1105=Queue!$K$4)),Q1105,"")</f>
        <v/>
      </c>
    </row>
    <row r="1106">
      <c r="A1106" s="35">
        <f>IF(M1106="","",HYPERLINK("https://www.youtube.com/watch?v="&amp;M1106,"▶"))</f>
        <v/>
      </c>
      <c r="B1106" s="36">
        <f>IF(C1106&lt;&gt;"",C1106,IF(P1106&lt;=IFERROR(INDEX(tblChannels[Watched Through],MATCH(N1106,tblChannels[Channel ID],0)),0),"Watched","Unwatched"))</f>
        <v/>
      </c>
      <c r="C1106" s="37" t="n"/>
      <c r="D1106" s="38" t="n"/>
      <c r="E1106" s="39" t="n">
        <v>44762.625</v>
      </c>
      <c r="F1106" s="49" t="inlineStr">
        <is>
          <t>Super Carlin Gaming</t>
        </is>
      </c>
      <c r="G1106" t="inlineStr">
        <is>
          <t>On the ALPHA Hunt |  Pokémon Legends: Arceus Nuzlocke #14</t>
        </is>
      </c>
      <c r="H1106" s="41" t="n">
        <v>0.02645833333333333</v>
      </c>
      <c r="I1106" s="42" t="n">
        <v>6298</v>
      </c>
      <c r="J1106" s="42" t="n">
        <v>394</v>
      </c>
      <c r="K1106" s="42" t="n">
        <v>130</v>
      </c>
      <c r="L1106" s="43" t="n"/>
      <c r="M1106" s="44" t="n"/>
      <c r="N1106" s="44" t="inlineStr">
        <is>
          <t>UCor_9jRnNNZVzTuQ92PKsaQ</t>
        </is>
      </c>
      <c r="O1106" s="45" t="n">
        <v>44762.79166666666</v>
      </c>
      <c r="P1106" s="46" t="n">
        <v>44762</v>
      </c>
      <c r="Q1106" s="44" t="n">
        <v>2166</v>
      </c>
      <c r="R1106" s="44" t="inlineStr">
        <is>
          <t>No Video ID yet</t>
        </is>
      </c>
      <c r="S1106" s="46" t="n"/>
      <c r="T1106" s="46" t="n"/>
      <c r="U1106" s="44" t="n"/>
      <c r="V1106" s="44">
        <f>IF(AND(P1106&gt;=Calendar!$K$2,P1106&lt;EDATE(Calendar!$K$2,1),OR(Calendar!$K$4="*",N1106=Calendar!$K$4)),P1106*100+COUNTIFS($P$6:$P$3271,P1106,$Q$6:$Q$3271,"&lt;="&amp;Q1106,$N$6:$N$3271,Calendar!$K$4),"")</f>
        <v/>
      </c>
      <c r="W1106" s="44">
        <f>IF(AND(B1106=Queue!$C$4,OR(Queue!$K$4="*",N1106=Queue!$K$4)),Q1106,"")</f>
        <v/>
      </c>
    </row>
    <row r="1107">
      <c r="A1107" s="35">
        <f>IF(M1107="","",HYPERLINK("https://www.youtube.com/watch?v="&amp;M1107,"▶"))</f>
        <v/>
      </c>
      <c r="B1107" s="36">
        <f>IF(C1107&lt;&gt;"",C1107,IF(P1107&lt;=IFERROR(INDEX(tblChannels[Watched Through],MATCH(N1107,tblChannels[Channel ID],0)),0),"Watched","Unwatched"))</f>
        <v/>
      </c>
      <c r="C1107" s="37" t="n"/>
      <c r="D1107" s="38" t="n"/>
      <c r="E1107" s="39" t="n">
        <v>44762.58333333334</v>
      </c>
      <c r="F1107" s="50" t="inlineStr">
        <is>
          <t>Jonathan Carlin</t>
        </is>
      </c>
      <c r="G1107" t="inlineStr">
        <is>
          <t>RTX Texas Adventure - Our First Time in Austin!</t>
        </is>
      </c>
      <c r="H1107" s="41" t="n">
        <v>0.01582175925925926</v>
      </c>
      <c r="I1107" s="42" t="n">
        <v>10662</v>
      </c>
      <c r="J1107" s="42" t="n">
        <v>728</v>
      </c>
      <c r="K1107" s="42" t="n">
        <v>68</v>
      </c>
      <c r="L1107" s="43" t="n"/>
      <c r="M1107" s="44" t="n"/>
      <c r="N1107" s="44" t="inlineStr">
        <is>
          <t>UCYPKFe86e6nm4TVUYKLsFUQ</t>
        </is>
      </c>
      <c r="O1107" s="45" t="n">
        <v>44762.75</v>
      </c>
      <c r="P1107" s="46" t="n">
        <v>44762</v>
      </c>
      <c r="Q1107" s="44" t="n">
        <v>2165</v>
      </c>
      <c r="R1107" s="44" t="inlineStr">
        <is>
          <t>No Video ID yet</t>
        </is>
      </c>
      <c r="S1107" s="46" t="n"/>
      <c r="T1107" s="46" t="n"/>
      <c r="U1107" s="44" t="n"/>
      <c r="V1107" s="44">
        <f>IF(AND(P1107&gt;=Calendar!$K$2,P1107&lt;EDATE(Calendar!$K$2,1),OR(Calendar!$K$4="*",N1107=Calendar!$K$4)),P1107*100+COUNTIFS($P$6:$P$3271,P1107,$Q$6:$Q$3271,"&lt;="&amp;Q1107,$N$6:$N$3271,Calendar!$K$4),"")</f>
        <v/>
      </c>
      <c r="W1107" s="44">
        <f>IF(AND(B1107=Queue!$C$4,OR(Queue!$K$4="*",N1107=Queue!$K$4)),Q1107,"")</f>
        <v/>
      </c>
    </row>
    <row r="1108">
      <c r="A1108" s="35">
        <f>IF(M1108="","",HYPERLINK("https://www.youtube.com/watch?v="&amp;M1108,"▶"))</f>
        <v/>
      </c>
      <c r="B1108" s="36">
        <f>IF(C1108&lt;&gt;"",C1108,IF(P1108&lt;=IFERROR(INDEX(tblChannels[Watched Through],MATCH(N1108,tblChannels[Channel ID],0)),0),"Watched","Unwatched"))</f>
        <v/>
      </c>
      <c r="C1108" s="37" t="n"/>
      <c r="D1108" s="38" t="n"/>
      <c r="E1108" s="39" t="n">
        <v>44761.68611111111</v>
      </c>
      <c r="F1108" s="47" t="inlineStr">
        <is>
          <t>Super Carlin Brothers</t>
        </is>
      </c>
      <c r="G1108" t="inlineStr">
        <is>
          <t>Stormbreaker’s SECRET Power Explained | Marvel Film Theory</t>
        </is>
      </c>
      <c r="H1108" s="41" t="n">
        <v>0.009305555555555555</v>
      </c>
      <c r="I1108" s="42" t="n">
        <v>87529</v>
      </c>
      <c r="J1108" s="42" t="n">
        <v>4418</v>
      </c>
      <c r="K1108" s="42" t="n">
        <v>430</v>
      </c>
      <c r="L1108" s="43" t="n"/>
      <c r="M1108" s="44" t="n"/>
      <c r="N1108" s="44" t="inlineStr">
        <is>
          <t>UCKZo4N0lVPccBkSiuyVh4yg</t>
        </is>
      </c>
      <c r="O1108" s="45" t="n">
        <v>44761.85277777778</v>
      </c>
      <c r="P1108" s="46" t="n">
        <v>44761</v>
      </c>
      <c r="Q1108" s="44" t="n">
        <v>2164</v>
      </c>
      <c r="R1108" s="44" t="inlineStr">
        <is>
          <t>No Video ID yet</t>
        </is>
      </c>
      <c r="S1108" s="46" t="n"/>
      <c r="T1108" s="46" t="n"/>
      <c r="U1108" s="44" t="n"/>
      <c r="V1108" s="44">
        <f>IF(AND(P1108&gt;=Calendar!$K$2,P1108&lt;EDATE(Calendar!$K$2,1),OR(Calendar!$K$4="*",N1108=Calendar!$K$4)),P1108*100+COUNTIFS($P$6:$P$3271,P1108,$Q$6:$Q$3271,"&lt;="&amp;Q1108,$N$6:$N$3271,Calendar!$K$4),"")</f>
        <v/>
      </c>
      <c r="W1108" s="44">
        <f>IF(AND(B1108=Queue!$C$4,OR(Queue!$K$4="*",N1108=Queue!$K$4)),Q1108,"")</f>
        <v/>
      </c>
    </row>
    <row r="1109">
      <c r="A1109" s="35">
        <f>IF(M1109="","",HYPERLINK("https://www.youtube.com/watch?v="&amp;M1109,"▶"))</f>
        <v/>
      </c>
      <c r="B1109" s="36">
        <f>IF(C1109&lt;&gt;"",C1109,IF(P1109&lt;=IFERROR(INDEX(tblChannels[Watched Through],MATCH(N1109,tblChannels[Channel ID],0)),0),"Watched","Unwatched"))</f>
        <v/>
      </c>
      <c r="C1109" s="37" t="n"/>
      <c r="D1109" s="38" t="n"/>
      <c r="E1109" s="39" t="n">
        <v>44757.41666666666</v>
      </c>
      <c r="F1109" s="40" t="inlineStr">
        <is>
          <t>Popcorn Culture</t>
        </is>
      </c>
      <c r="G1109" t="inlineStr">
        <is>
          <t>Sherlock vs. Houdini | Popcorn Culture</t>
        </is>
      </c>
      <c r="H1109" s="41" t="n">
        <v>0.0518287037037037</v>
      </c>
      <c r="I1109" s="42" t="n">
        <v>6860</v>
      </c>
      <c r="J1109" s="42" t="n">
        <v>333</v>
      </c>
      <c r="K1109" s="42" t="n">
        <v>43</v>
      </c>
      <c r="L1109" s="43" t="n"/>
      <c r="M1109" s="44" t="n"/>
      <c r="N1109" s="44" t="inlineStr">
        <is>
          <t>UCHfIbq9thHPC8yrKjAdJgDA</t>
        </is>
      </c>
      <c r="O1109" s="45" t="n">
        <v>44757.58333333334</v>
      </c>
      <c r="P1109" s="46" t="n">
        <v>44757</v>
      </c>
      <c r="Q1109" s="44" t="n">
        <v>2163</v>
      </c>
      <c r="R1109" s="44" t="inlineStr">
        <is>
          <t>No Video ID yet</t>
        </is>
      </c>
      <c r="S1109" s="46" t="n"/>
      <c r="T1109" s="46" t="n"/>
      <c r="U1109" s="44" t="n"/>
      <c r="V1109" s="44">
        <f>IF(AND(P1109&gt;=Calendar!$K$2,P1109&lt;EDATE(Calendar!$K$2,1),OR(Calendar!$K$4="*",N1109=Calendar!$K$4)),P1109*100+COUNTIFS($P$6:$P$3271,P1109,$Q$6:$Q$3271,"&lt;="&amp;Q1109,$N$6:$N$3271,Calendar!$K$4),"")</f>
        <v/>
      </c>
      <c r="W1109" s="44">
        <f>IF(AND(B1109=Queue!$C$4,OR(Queue!$K$4="*",N1109=Queue!$K$4)),Q1109,"")</f>
        <v/>
      </c>
    </row>
    <row r="1110">
      <c r="A1110" s="35">
        <f>IF(M1110="","",HYPERLINK("https://www.youtube.com/watch?v="&amp;M1110,"▶"))</f>
        <v/>
      </c>
      <c r="B1110" s="36">
        <f>IF(C1110&lt;&gt;"",C1110,IF(P1110&lt;=IFERROR(INDEX(tblChannels[Watched Through],MATCH(N1110,tblChannels[Channel ID],0)),0),"Watched","Unwatched"))</f>
        <v/>
      </c>
      <c r="C1110" s="37" t="n"/>
      <c r="D1110" s="38" t="n"/>
      <c r="E1110" s="39" t="n">
        <v>44756.65486111111</v>
      </c>
      <c r="F1110" s="47" t="inlineStr">
        <is>
          <t>Super Carlin Brothers</t>
        </is>
      </c>
      <c r="G1110" t="inlineStr">
        <is>
          <t>Why Didn’t Thanos Seek Out Eternity? | Marvel Film Theory</t>
        </is>
      </c>
      <c r="H1110" s="41" t="n">
        <v>0.01020833333333333</v>
      </c>
      <c r="I1110" s="42" t="n">
        <v>124024</v>
      </c>
      <c r="J1110" s="42" t="n">
        <v>5618</v>
      </c>
      <c r="K1110" s="42" t="n">
        <v>643</v>
      </c>
      <c r="L1110" s="43" t="n"/>
      <c r="M1110" s="44" t="n"/>
      <c r="N1110" s="44" t="inlineStr">
        <is>
          <t>UCKZo4N0lVPccBkSiuyVh4yg</t>
        </is>
      </c>
      <c r="O1110" s="45" t="n">
        <v>44756.82152777778</v>
      </c>
      <c r="P1110" s="46" t="n">
        <v>44756</v>
      </c>
      <c r="Q1110" s="44" t="n">
        <v>2162</v>
      </c>
      <c r="R1110" s="44" t="inlineStr">
        <is>
          <t>No Video ID yet</t>
        </is>
      </c>
      <c r="S1110" s="46" t="n"/>
      <c r="T1110" s="46" t="n"/>
      <c r="U1110" s="44" t="n"/>
      <c r="V1110" s="44">
        <f>IF(AND(P1110&gt;=Calendar!$K$2,P1110&lt;EDATE(Calendar!$K$2,1),OR(Calendar!$K$4="*",N1110=Calendar!$K$4)),P1110*100+COUNTIFS($P$6:$P$3271,P1110,$Q$6:$Q$3271,"&lt;="&amp;Q1110,$N$6:$N$3271,Calendar!$K$4),"")</f>
        <v/>
      </c>
      <c r="W1110" s="44">
        <f>IF(AND(B1110=Queue!$C$4,OR(Queue!$K$4="*",N1110=Queue!$K$4)),Q1110,"")</f>
        <v/>
      </c>
    </row>
    <row r="1111">
      <c r="A1111" s="35">
        <f>IF(M1111="","",HYPERLINK("https://www.youtube.com/watch?v="&amp;M1111,"▶"))</f>
        <v/>
      </c>
      <c r="B1111" s="36">
        <f>IF(C1111&lt;&gt;"",C1111,IF(P1111&lt;=IFERROR(INDEX(tblChannels[Watched Through],MATCH(N1111,tblChannels[Channel ID],0)),0),"Watched","Unwatched"))</f>
        <v/>
      </c>
      <c r="C1111" s="37" t="n"/>
      <c r="D1111" s="38" t="n"/>
      <c r="E1111" s="39" t="n">
        <v>44754.67638888889</v>
      </c>
      <c r="F1111" s="47" t="inlineStr">
        <is>
          <t>Super Carlin Brothers</t>
        </is>
      </c>
      <c r="G1111" t="inlineStr">
        <is>
          <t>Thor: Love &amp; Thunder Spoiler REVIEW | Marvel Film Theory</t>
        </is>
      </c>
      <c r="H1111" s="41" t="n">
        <v>0.04184027777777777</v>
      </c>
      <c r="I1111" s="42" t="n">
        <v>106179</v>
      </c>
      <c r="J1111" s="42" t="n">
        <v>3634</v>
      </c>
      <c r="K1111" s="42" t="n">
        <v>758</v>
      </c>
      <c r="L1111" s="43" t="n"/>
      <c r="M1111" s="44" t="n"/>
      <c r="N1111" s="44" t="inlineStr">
        <is>
          <t>UCKZo4N0lVPccBkSiuyVh4yg</t>
        </is>
      </c>
      <c r="O1111" s="45" t="n">
        <v>44754.84305555555</v>
      </c>
      <c r="P1111" s="46" t="n">
        <v>44754</v>
      </c>
      <c r="Q1111" s="44" t="n">
        <v>2161</v>
      </c>
      <c r="R1111" s="44" t="inlineStr">
        <is>
          <t>No Video ID yet</t>
        </is>
      </c>
      <c r="S1111" s="46" t="n"/>
      <c r="T1111" s="46" t="n"/>
      <c r="U1111" s="44" t="n"/>
      <c r="V1111" s="44">
        <f>IF(AND(P1111&gt;=Calendar!$K$2,P1111&lt;EDATE(Calendar!$K$2,1),OR(Calendar!$K$4="*",N1111=Calendar!$K$4)),P1111*100+COUNTIFS($P$6:$P$3271,P1111,$Q$6:$Q$3271,"&lt;="&amp;Q1111,$N$6:$N$3271,Calendar!$K$4),"")</f>
        <v/>
      </c>
      <c r="W1111" s="44">
        <f>IF(AND(B1111=Queue!$C$4,OR(Queue!$K$4="*",N1111=Queue!$K$4)),Q1111,"")</f>
        <v/>
      </c>
    </row>
    <row r="1112">
      <c r="A1112" s="35">
        <f>IF(M1112="","",HYPERLINK("https://www.youtube.com/watch?v="&amp;M1112,"▶"))</f>
        <v/>
      </c>
      <c r="B1112" s="36">
        <f>IF(C1112&lt;&gt;"",C1112,IF(P1112&lt;=IFERROR(INDEX(tblChannels[Watched Through],MATCH(N1112,tblChannels[Channel ID],0)),0),"Watched","Unwatched"))</f>
        <v/>
      </c>
      <c r="C1112" s="37" t="n"/>
      <c r="D1112" s="38" t="n"/>
      <c r="E1112" s="39" t="n">
        <v>44750.41666666666</v>
      </c>
      <c r="F1112" s="40" t="inlineStr">
        <is>
          <t>Popcorn Culture</t>
        </is>
      </c>
      <c r="G1112" t="inlineStr">
        <is>
          <t>It Should At Least Be A Hat | Popcorn Culture</t>
        </is>
      </c>
      <c r="H1112" s="41" t="n">
        <v>0.04667824074074074</v>
      </c>
      <c r="I1112" s="42" t="n">
        <v>6119</v>
      </c>
      <c r="J1112" s="42" t="n">
        <v>325</v>
      </c>
      <c r="K1112" s="42" t="n">
        <v>44</v>
      </c>
      <c r="L1112" s="43" t="n"/>
      <c r="M1112" s="44" t="n"/>
      <c r="N1112" s="44" t="inlineStr">
        <is>
          <t>UCHfIbq9thHPC8yrKjAdJgDA</t>
        </is>
      </c>
      <c r="O1112" s="45" t="n">
        <v>44750.58333333334</v>
      </c>
      <c r="P1112" s="46" t="n">
        <v>44750</v>
      </c>
      <c r="Q1112" s="44" t="n">
        <v>2160</v>
      </c>
      <c r="R1112" s="44" t="inlineStr">
        <is>
          <t>No Video ID yet</t>
        </is>
      </c>
      <c r="S1112" s="46" t="n"/>
      <c r="T1112" s="46" t="n"/>
      <c r="U1112" s="44" t="n"/>
      <c r="V1112" s="44">
        <f>IF(AND(P1112&gt;=Calendar!$K$2,P1112&lt;EDATE(Calendar!$K$2,1),OR(Calendar!$K$4="*",N1112=Calendar!$K$4)),P1112*100+COUNTIFS($P$6:$P$3271,P1112,$Q$6:$Q$3271,"&lt;="&amp;Q1112,$N$6:$N$3271,Calendar!$K$4),"")</f>
        <v/>
      </c>
      <c r="W1112" s="44">
        <f>IF(AND(B1112=Queue!$C$4,OR(Queue!$K$4="*",N1112=Queue!$K$4)),Q1112,"")</f>
        <v/>
      </c>
    </row>
    <row r="1113">
      <c r="A1113" s="35">
        <f>IF(M1113="","",HYPERLINK("https://www.youtube.com/watch?v="&amp;M1113,"▶"))</f>
        <v/>
      </c>
      <c r="B1113" s="36">
        <f>IF(C1113&lt;&gt;"",C1113,IF(P1113&lt;=IFERROR(INDEX(tblChannels[Watched Through],MATCH(N1113,tblChannels[Channel ID],0)),0),"Watched","Unwatched"))</f>
        <v/>
      </c>
      <c r="C1113" s="37" t="n"/>
      <c r="D1113" s="38" t="n"/>
      <c r="E1113" s="39" t="n">
        <v>44746.58333333334</v>
      </c>
      <c r="F1113" s="50" t="inlineStr">
        <is>
          <t>Jonathan Carlin</t>
        </is>
      </c>
      <c r="G1113" t="inlineStr">
        <is>
          <t>10 YEARS OF SUPER CARLIN BROTHERS</t>
        </is>
      </c>
      <c r="H1113" s="41" t="n">
        <v>0.01171296296296296</v>
      </c>
      <c r="I1113" s="42" t="n">
        <v>17052</v>
      </c>
      <c r="J1113" s="42" t="n">
        <v>1089</v>
      </c>
      <c r="K1113" s="42" t="n">
        <v>49</v>
      </c>
      <c r="L1113" s="43" t="n"/>
      <c r="M1113" s="44" t="n"/>
      <c r="N1113" s="44" t="inlineStr">
        <is>
          <t>UCYPKFe86e6nm4TVUYKLsFUQ</t>
        </is>
      </c>
      <c r="O1113" s="45" t="n">
        <v>44746.75</v>
      </c>
      <c r="P1113" s="46" t="n">
        <v>44746</v>
      </c>
      <c r="Q1113" s="44" t="n">
        <v>2159</v>
      </c>
      <c r="R1113" s="44" t="inlineStr">
        <is>
          <t>No Video ID yet</t>
        </is>
      </c>
      <c r="S1113" s="46" t="n"/>
      <c r="T1113" s="46" t="n"/>
      <c r="U1113" s="44" t="n"/>
      <c r="V1113" s="44">
        <f>IF(AND(P1113&gt;=Calendar!$K$2,P1113&lt;EDATE(Calendar!$K$2,1),OR(Calendar!$K$4="*",N1113=Calendar!$K$4)),P1113*100+COUNTIFS($P$6:$P$3271,P1113,$Q$6:$Q$3271,"&lt;="&amp;Q1113,$N$6:$N$3271,Calendar!$K$4),"")</f>
        <v/>
      </c>
      <c r="W1113" s="44">
        <f>IF(AND(B1113=Queue!$C$4,OR(Queue!$K$4="*",N1113=Queue!$K$4)),Q1113,"")</f>
        <v/>
      </c>
    </row>
    <row r="1114">
      <c r="A1114" s="35">
        <f>IF(M1114="","",HYPERLINK("https://www.youtube.com/watch?v="&amp;M1114,"▶"))</f>
        <v/>
      </c>
      <c r="B1114" s="36">
        <f>IF(C1114&lt;&gt;"",C1114,IF(P1114&lt;=IFERROR(INDEX(tblChannels[Watched Through],MATCH(N1114,tblChannels[Channel ID],0)),0),"Watched","Unwatched"))</f>
        <v/>
      </c>
      <c r="C1114" s="37" t="n"/>
      <c r="D1114" s="38" t="n"/>
      <c r="E1114" s="39" t="n">
        <v>44743.41666666666</v>
      </c>
      <c r="F1114" s="40" t="inlineStr">
        <is>
          <t>Popcorn Culture</t>
        </is>
      </c>
      <c r="G1114" t="inlineStr">
        <is>
          <t>The Unscratched Itch Phenomenon | Popcorn Culture</t>
        </is>
      </c>
      <c r="H1114" s="41" t="n">
        <v>0.04827546296296296</v>
      </c>
      <c r="I1114" s="42" t="n">
        <v>6616</v>
      </c>
      <c r="J1114" s="42" t="n">
        <v>333</v>
      </c>
      <c r="K1114" s="42" t="n">
        <v>54</v>
      </c>
      <c r="L1114" s="43" t="n"/>
      <c r="M1114" s="44" t="n"/>
      <c r="N1114" s="44" t="inlineStr">
        <is>
          <t>UCHfIbq9thHPC8yrKjAdJgDA</t>
        </is>
      </c>
      <c r="O1114" s="45" t="n">
        <v>44743.58333333334</v>
      </c>
      <c r="P1114" s="46" t="n">
        <v>44743</v>
      </c>
      <c r="Q1114" s="44" t="n">
        <v>2158</v>
      </c>
      <c r="R1114" s="44" t="inlineStr">
        <is>
          <t>No Video ID yet</t>
        </is>
      </c>
      <c r="S1114" s="46" t="n"/>
      <c r="T1114" s="46" t="n"/>
      <c r="U1114" s="44" t="n"/>
      <c r="V1114" s="44">
        <f>IF(AND(P1114&gt;=Calendar!$K$2,P1114&lt;EDATE(Calendar!$K$2,1),OR(Calendar!$K$4="*",N1114=Calendar!$K$4)),P1114*100+COUNTIFS($P$6:$P$3271,P1114,$Q$6:$Q$3271,"&lt;="&amp;Q1114,$N$6:$N$3271,Calendar!$K$4),"")</f>
        <v/>
      </c>
      <c r="W1114" s="44">
        <f>IF(AND(B1114=Queue!$C$4,OR(Queue!$K$4="*",N1114=Queue!$K$4)),Q1114,"")</f>
        <v/>
      </c>
    </row>
    <row r="1115">
      <c r="A1115" s="35">
        <f>IF(M1115="","",HYPERLINK("https://www.youtube.com/watch?v="&amp;M1115,"▶"))</f>
        <v/>
      </c>
      <c r="B1115" s="36">
        <f>IF(C1115&lt;&gt;"",C1115,IF(P1115&lt;=IFERROR(INDEX(tblChannels[Watched Through],MATCH(N1115,tblChannels[Channel ID],0)),0),"Watched","Unwatched"))</f>
        <v/>
      </c>
      <c r="C1115" s="37" t="n"/>
      <c r="D1115" s="38" t="n"/>
      <c r="E1115" s="39" t="n">
        <v>44742.7</v>
      </c>
      <c r="F1115" s="47" t="inlineStr">
        <is>
          <t>Super Carlin Brothers</t>
        </is>
      </c>
      <c r="G1115" t="inlineStr">
        <is>
          <t>Buzz Owned Lightning McQueen | Pixar Film Theory</t>
        </is>
      </c>
      <c r="H1115" s="41" t="n">
        <v>0.009849537037037037</v>
      </c>
      <c r="I1115" s="42" t="n">
        <v>131914</v>
      </c>
      <c r="J1115" s="42" t="n">
        <v>6635</v>
      </c>
      <c r="K1115" s="42" t="n">
        <v>454</v>
      </c>
      <c r="L1115" s="43" t="n"/>
      <c r="M1115" s="44" t="n"/>
      <c r="N1115" s="44" t="inlineStr">
        <is>
          <t>UCKZo4N0lVPccBkSiuyVh4yg</t>
        </is>
      </c>
      <c r="O1115" s="45" t="n">
        <v>44742.86666666667</v>
      </c>
      <c r="P1115" s="46" t="n">
        <v>44742</v>
      </c>
      <c r="Q1115" s="44" t="n">
        <v>2157</v>
      </c>
      <c r="R1115" s="44" t="inlineStr">
        <is>
          <t>No Video ID yet</t>
        </is>
      </c>
      <c r="S1115" s="46" t="n"/>
      <c r="T1115" s="46" t="n"/>
      <c r="U1115" s="44" t="n"/>
      <c r="V1115" s="44">
        <f>IF(AND(P1115&gt;=Calendar!$K$2,P1115&lt;EDATE(Calendar!$K$2,1),OR(Calendar!$K$4="*",N1115=Calendar!$K$4)),P1115*100+COUNTIFS($P$6:$P$3271,P1115,$Q$6:$Q$3271,"&lt;="&amp;Q1115,$N$6:$N$3271,Calendar!$K$4),"")</f>
        <v/>
      </c>
      <c r="W1115" s="44">
        <f>IF(AND(B1115=Queue!$C$4,OR(Queue!$K$4="*",N1115=Queue!$K$4)),Q1115,"")</f>
        <v/>
      </c>
    </row>
    <row r="1116">
      <c r="A1116" s="35">
        <f>IF(M1116="","",HYPERLINK("https://www.youtube.com/watch?v="&amp;M1116,"▶"))</f>
        <v/>
      </c>
      <c r="B1116" s="36">
        <f>IF(C1116&lt;&gt;"",C1116,IF(P1116&lt;=IFERROR(INDEX(tblChannels[Watched Through],MATCH(N1116,tblChannels[Channel ID],0)),0),"Watched","Unwatched"))</f>
        <v/>
      </c>
      <c r="C1116" s="37" t="n"/>
      <c r="D1116" s="38" t="n"/>
      <c r="E1116" s="39" t="n">
        <v>44740.64652777778</v>
      </c>
      <c r="F1116" s="47" t="inlineStr">
        <is>
          <t>Super Carlin Brothers</t>
        </is>
      </c>
      <c r="G1116" t="inlineStr">
        <is>
          <t>What If Sirius HAD Been the Secret Keeper? | Harry Potter Film Theory</t>
        </is>
      </c>
      <c r="H1116" s="41" t="n">
        <v>0.01133101851851852</v>
      </c>
      <c r="I1116" s="42" t="n">
        <v>435360</v>
      </c>
      <c r="J1116" s="42" t="n">
        <v>16694</v>
      </c>
      <c r="K1116" s="42" t="n">
        <v>2165</v>
      </c>
      <c r="L1116" s="43" t="n"/>
      <c r="M1116" s="44" t="n"/>
      <c r="N1116" s="44" t="inlineStr">
        <is>
          <t>UCKZo4N0lVPccBkSiuyVh4yg</t>
        </is>
      </c>
      <c r="O1116" s="45" t="n">
        <v>44740.81319444445</v>
      </c>
      <c r="P1116" s="46" t="n">
        <v>44740</v>
      </c>
      <c r="Q1116" s="44" t="n">
        <v>2156</v>
      </c>
      <c r="R1116" s="44" t="inlineStr">
        <is>
          <t>No Video ID yet</t>
        </is>
      </c>
      <c r="S1116" s="46" t="n"/>
      <c r="T1116" s="46" t="n"/>
      <c r="U1116" s="44" t="n"/>
      <c r="V1116" s="44">
        <f>IF(AND(P1116&gt;=Calendar!$K$2,P1116&lt;EDATE(Calendar!$K$2,1),OR(Calendar!$K$4="*",N1116=Calendar!$K$4)),P1116*100+COUNTIFS($P$6:$P$3271,P1116,$Q$6:$Q$3271,"&lt;="&amp;Q1116,$N$6:$N$3271,Calendar!$K$4),"")</f>
        <v/>
      </c>
      <c r="W1116" s="44">
        <f>IF(AND(B1116=Queue!$C$4,OR(Queue!$K$4="*",N1116=Queue!$K$4)),Q1116,"")</f>
        <v/>
      </c>
    </row>
    <row r="1117">
      <c r="A1117" s="35">
        <f>IF(M1117="","",HYPERLINK("https://www.youtube.com/watch?v="&amp;M1117,"▶"))</f>
        <v/>
      </c>
      <c r="B1117" s="36">
        <f>IF(C1117&lt;&gt;"",C1117,IF(P1117&lt;=IFERROR(INDEX(tblChannels[Watched Through],MATCH(N1117,tblChannels[Channel ID],0)),0),"Watched","Unwatched"))</f>
        <v/>
      </c>
      <c r="C1117" s="37" t="n"/>
      <c r="D1117" s="38" t="n"/>
      <c r="E1117" s="39" t="n">
        <v>44739.625</v>
      </c>
      <c r="F1117" s="50" t="inlineStr">
        <is>
          <t>Jonathan Carlin</t>
        </is>
      </c>
      <c r="G1117" t="inlineStr">
        <is>
          <t>Happy Father's Day!</t>
        </is>
      </c>
      <c r="H1117" s="41" t="n">
        <v>0.008761574074074074</v>
      </c>
      <c r="I1117" s="42" t="n">
        <v>11407</v>
      </c>
      <c r="J1117" s="42" t="n">
        <v>782</v>
      </c>
      <c r="K1117" s="42" t="n">
        <v>37</v>
      </c>
      <c r="L1117" s="43" t="n"/>
      <c r="M1117" s="44" t="n"/>
      <c r="N1117" s="44" t="inlineStr">
        <is>
          <t>UCYPKFe86e6nm4TVUYKLsFUQ</t>
        </is>
      </c>
      <c r="O1117" s="45" t="n">
        <v>44739.79166666666</v>
      </c>
      <c r="P1117" s="46" t="n">
        <v>44739</v>
      </c>
      <c r="Q1117" s="44" t="n">
        <v>2155</v>
      </c>
      <c r="R1117" s="44" t="inlineStr">
        <is>
          <t>No Video ID yet</t>
        </is>
      </c>
      <c r="S1117" s="46" t="n"/>
      <c r="T1117" s="46" t="n"/>
      <c r="U1117" s="44" t="n"/>
      <c r="V1117" s="44">
        <f>IF(AND(P1117&gt;=Calendar!$K$2,P1117&lt;EDATE(Calendar!$K$2,1),OR(Calendar!$K$4="*",N1117=Calendar!$K$4)),P1117*100+COUNTIFS($P$6:$P$3271,P1117,$Q$6:$Q$3271,"&lt;="&amp;Q1117,$N$6:$N$3271,Calendar!$K$4),"")</f>
        <v/>
      </c>
      <c r="W1117" s="44">
        <f>IF(AND(B1117=Queue!$C$4,OR(Queue!$K$4="*",N1117=Queue!$K$4)),Q1117,"")</f>
        <v/>
      </c>
    </row>
    <row r="1118">
      <c r="A1118" s="35">
        <f>IF(M1118="","",HYPERLINK("https://www.youtube.com/watch?v="&amp;M1118,"▶"))</f>
        <v/>
      </c>
      <c r="B1118" s="36">
        <f>IF(C1118&lt;&gt;"",C1118,IF(P1118&lt;=IFERROR(INDEX(tblChannels[Watched Through],MATCH(N1118,tblChannels[Channel ID],0)),0),"Watched","Unwatched"))</f>
        <v/>
      </c>
      <c r="C1118" s="37" t="n"/>
      <c r="D1118" s="38" t="n"/>
      <c r="E1118" s="39" t="n">
        <v>44736.87361111111</v>
      </c>
      <c r="F1118" s="47" t="inlineStr">
        <is>
          <t>Super Carlin Brothers</t>
        </is>
      </c>
      <c r="G1118" t="inlineStr">
        <is>
          <t>SCB 10-YEAR CELEBRATION ALL FANDOM TRIVIA LIVESTREAM!</t>
        </is>
      </c>
      <c r="H1118" s="41" t="n">
        <v>0.1151041666666667</v>
      </c>
      <c r="I1118" s="42" t="n">
        <v>132842</v>
      </c>
      <c r="J1118" s="42" t="n">
        <v>1783</v>
      </c>
      <c r="K1118" s="42" t="n">
        <v>93</v>
      </c>
      <c r="L1118" s="43" t="n"/>
      <c r="M1118" s="44" t="n"/>
      <c r="N1118" s="44" t="inlineStr">
        <is>
          <t>UCKZo4N0lVPccBkSiuyVh4yg</t>
        </is>
      </c>
      <c r="O1118" s="45" t="n">
        <v>44737.04027777778</v>
      </c>
      <c r="P1118" s="46" t="n">
        <v>44736</v>
      </c>
      <c r="Q1118" s="44" t="n">
        <v>2154</v>
      </c>
      <c r="R1118" s="44" t="inlineStr">
        <is>
          <t>No Video ID yet</t>
        </is>
      </c>
      <c r="S1118" s="46" t="n"/>
      <c r="T1118" s="46" t="n"/>
      <c r="U1118" s="44" t="n"/>
      <c r="V1118" s="44">
        <f>IF(AND(P1118&gt;=Calendar!$K$2,P1118&lt;EDATE(Calendar!$K$2,1),OR(Calendar!$K$4="*",N1118=Calendar!$K$4)),P1118*100+COUNTIFS($P$6:$P$3271,P1118,$Q$6:$Q$3271,"&lt;="&amp;Q1118,$N$6:$N$3271,Calendar!$K$4),"")</f>
        <v/>
      </c>
      <c r="W1118" s="44">
        <f>IF(AND(B1118=Queue!$C$4,OR(Queue!$K$4="*",N1118=Queue!$K$4)),Q1118,"")</f>
        <v/>
      </c>
    </row>
    <row r="1119">
      <c r="A1119" s="35">
        <f>IF(M1119="","",HYPERLINK("https://www.youtube.com/watch?v="&amp;M1119,"▶"))</f>
        <v/>
      </c>
      <c r="B1119" s="36">
        <f>IF(C1119&lt;&gt;"",C1119,IF(P1119&lt;=IFERROR(INDEX(tblChannels[Watched Through],MATCH(N1119,tblChannels[Channel ID],0)),0),"Watched","Unwatched"))</f>
        <v/>
      </c>
      <c r="C1119" s="37" t="n"/>
      <c r="D1119" s="38" t="n"/>
      <c r="E1119" s="39" t="n">
        <v>44736.41666666666</v>
      </c>
      <c r="F1119" s="40" t="inlineStr">
        <is>
          <t>Popcorn Culture</t>
        </is>
      </c>
      <c r="G1119" t="inlineStr">
        <is>
          <t>Get New’d! | Popcorn Culture</t>
        </is>
      </c>
      <c r="H1119" s="41" t="n">
        <v>0.04576388888888889</v>
      </c>
      <c r="I1119" s="42" t="n">
        <v>6330</v>
      </c>
      <c r="J1119" s="42" t="n">
        <v>358</v>
      </c>
      <c r="K1119" s="42" t="n">
        <v>31</v>
      </c>
      <c r="L1119" s="43" t="n"/>
      <c r="M1119" s="44" t="n"/>
      <c r="N1119" s="44" t="inlineStr">
        <is>
          <t>UCHfIbq9thHPC8yrKjAdJgDA</t>
        </is>
      </c>
      <c r="O1119" s="45" t="n">
        <v>44736.58333333334</v>
      </c>
      <c r="P1119" s="46" t="n">
        <v>44736</v>
      </c>
      <c r="Q1119" s="44" t="n">
        <v>2153</v>
      </c>
      <c r="R1119" s="44" t="inlineStr">
        <is>
          <t>No Video ID yet</t>
        </is>
      </c>
      <c r="S1119" s="46" t="n"/>
      <c r="T1119" s="46" t="n"/>
      <c r="U1119" s="44" t="n"/>
      <c r="V1119" s="44">
        <f>IF(AND(P1119&gt;=Calendar!$K$2,P1119&lt;EDATE(Calendar!$K$2,1),OR(Calendar!$K$4="*",N1119=Calendar!$K$4)),P1119*100+COUNTIFS($P$6:$P$3271,P1119,$Q$6:$Q$3271,"&lt;="&amp;Q1119,$N$6:$N$3271,Calendar!$K$4),"")</f>
        <v/>
      </c>
      <c r="W1119" s="44">
        <f>IF(AND(B1119=Queue!$C$4,OR(Queue!$K$4="*",N1119=Queue!$K$4)),Q1119,"")</f>
        <v/>
      </c>
    </row>
    <row r="1120">
      <c r="A1120" s="35">
        <f>IF(M1120="","",HYPERLINK("https://www.youtube.com/watch?v="&amp;M1120,"▶"))</f>
        <v/>
      </c>
      <c r="B1120" s="36">
        <f>IF(C1120&lt;&gt;"",C1120,IF(P1120&lt;=IFERROR(INDEX(tblChannels[Watched Through],MATCH(N1120,tblChannels[Channel ID],0)),0),"Watched","Unwatched"))</f>
        <v/>
      </c>
      <c r="C1120" s="37" t="n"/>
      <c r="D1120" s="38" t="n"/>
      <c r="E1120" s="39" t="n">
        <v>44735.64513888889</v>
      </c>
      <c r="F1120" s="47" t="inlineStr">
        <is>
          <t>Super Carlin Brothers</t>
        </is>
      </c>
      <c r="G1120" t="inlineStr">
        <is>
          <t>How LIGHTYEAR Fits Into The Pixar Theory</t>
        </is>
      </c>
      <c r="H1120" s="41" t="n">
        <v>0.01119212962962963</v>
      </c>
      <c r="I1120" s="42" t="n">
        <v>207532</v>
      </c>
      <c r="J1120" s="42" t="n">
        <v>9377</v>
      </c>
      <c r="K1120" s="42" t="n">
        <v>810</v>
      </c>
      <c r="L1120" s="43" t="n"/>
      <c r="M1120" s="44" t="n"/>
      <c r="N1120" s="44" t="inlineStr">
        <is>
          <t>UCKZo4N0lVPccBkSiuyVh4yg</t>
        </is>
      </c>
      <c r="O1120" s="45" t="n">
        <v>44735.81180555555</v>
      </c>
      <c r="P1120" s="46" t="n">
        <v>44735</v>
      </c>
      <c r="Q1120" s="44" t="n">
        <v>2152</v>
      </c>
      <c r="R1120" s="44" t="inlineStr">
        <is>
          <t>No Video ID yet</t>
        </is>
      </c>
      <c r="S1120" s="46" t="n"/>
      <c r="T1120" s="46" t="n"/>
      <c r="U1120" s="44" t="n"/>
      <c r="V1120" s="44">
        <f>IF(AND(P1120&gt;=Calendar!$K$2,P1120&lt;EDATE(Calendar!$K$2,1),OR(Calendar!$K$4="*",N1120=Calendar!$K$4)),P1120*100+COUNTIFS($P$6:$P$3271,P1120,$Q$6:$Q$3271,"&lt;="&amp;Q1120,$N$6:$N$3271,Calendar!$K$4),"")</f>
        <v/>
      </c>
      <c r="W1120" s="44">
        <f>IF(AND(B1120=Queue!$C$4,OR(Queue!$K$4="*",N1120=Queue!$K$4)),Q1120,"")</f>
        <v/>
      </c>
    </row>
    <row r="1121">
      <c r="A1121" s="35">
        <f>IF(M1121="","",HYPERLINK("https://www.youtube.com/watch?v="&amp;M1121,"▶"))</f>
        <v/>
      </c>
      <c r="B1121" s="36">
        <f>IF(C1121&lt;&gt;"",C1121,IF(P1121&lt;=IFERROR(INDEX(tblChannels[Watched Through],MATCH(N1121,tblChannels[Channel ID],0)),0),"Watched","Unwatched"))</f>
        <v/>
      </c>
      <c r="C1121" s="37" t="n"/>
      <c r="D1121" s="38" t="n"/>
      <c r="E1121" s="39" t="n">
        <v>44733.73333333333</v>
      </c>
      <c r="F1121" s="49" t="inlineStr">
        <is>
          <t>Super Carlin Gaming</t>
        </is>
      </c>
      <c r="G1121" t="inlineStr">
        <is>
          <t>Carlin Brother's Box Breakers | PILOT</t>
        </is>
      </c>
      <c r="H1121" s="41" t="n">
        <v>0.02059027777777778</v>
      </c>
      <c r="I1121" s="42" t="n">
        <v>12354</v>
      </c>
      <c r="J1121" s="42" t="n">
        <v>563</v>
      </c>
      <c r="K1121" s="42" t="n">
        <v>103</v>
      </c>
      <c r="L1121" s="43" t="n"/>
      <c r="M1121" s="44" t="n"/>
      <c r="N1121" s="44" t="inlineStr">
        <is>
          <t>UCor_9jRnNNZVzTuQ92PKsaQ</t>
        </is>
      </c>
      <c r="O1121" s="45" t="n">
        <v>44733.9</v>
      </c>
      <c r="P1121" s="46" t="n">
        <v>44733</v>
      </c>
      <c r="Q1121" s="44" t="n">
        <v>2151</v>
      </c>
      <c r="R1121" s="44" t="inlineStr">
        <is>
          <t>No Video ID yet</t>
        </is>
      </c>
      <c r="S1121" s="46" t="n"/>
      <c r="T1121" s="46" t="n"/>
      <c r="U1121" s="44" t="n"/>
      <c r="V1121" s="44">
        <f>IF(AND(P1121&gt;=Calendar!$K$2,P1121&lt;EDATE(Calendar!$K$2,1),OR(Calendar!$K$4="*",N1121=Calendar!$K$4)),P1121*100+COUNTIFS($P$6:$P$3271,P1121,$Q$6:$Q$3271,"&lt;="&amp;Q1121,$N$6:$N$3271,Calendar!$K$4),"")</f>
        <v/>
      </c>
      <c r="W1121" s="44">
        <f>IF(AND(B1121=Queue!$C$4,OR(Queue!$K$4="*",N1121=Queue!$K$4)),Q1121,"")</f>
        <v/>
      </c>
    </row>
    <row r="1122">
      <c r="A1122" s="35">
        <f>IF(M1122="","",HYPERLINK("https://www.youtube.com/watch?v="&amp;M1122,"▶"))</f>
        <v/>
      </c>
      <c r="B1122" s="36">
        <f>IF(C1122&lt;&gt;"",C1122,IF(P1122&lt;=IFERROR(INDEX(tblChannels[Watched Through],MATCH(N1122,tblChannels[Channel ID],0)),0),"Watched","Unwatched"))</f>
        <v/>
      </c>
      <c r="C1122" s="37" t="n"/>
      <c r="D1122" s="38" t="n"/>
      <c r="E1122" s="39" t="n">
        <v>44733.7125</v>
      </c>
      <c r="F1122" s="47" t="inlineStr">
        <is>
          <t>Super Carlin Brothers</t>
        </is>
      </c>
      <c r="G1122" t="inlineStr">
        <is>
          <t>Lightyear REVIEW</t>
        </is>
      </c>
      <c r="H1122" s="41" t="n">
        <v>0.03388888888888889</v>
      </c>
      <c r="I1122" s="42" t="n">
        <v>92693</v>
      </c>
      <c r="J1122" s="42" t="n">
        <v>3928</v>
      </c>
      <c r="K1122" s="42" t="n">
        <v>775</v>
      </c>
      <c r="L1122" s="43" t="n"/>
      <c r="M1122" s="44" t="n"/>
      <c r="N1122" s="44" t="inlineStr">
        <is>
          <t>UCKZo4N0lVPccBkSiuyVh4yg</t>
        </is>
      </c>
      <c r="O1122" s="45" t="n">
        <v>44733.87916666667</v>
      </c>
      <c r="P1122" s="46" t="n">
        <v>44733</v>
      </c>
      <c r="Q1122" s="44" t="n">
        <v>2150</v>
      </c>
      <c r="R1122" s="44" t="inlineStr">
        <is>
          <t>No Video ID yet</t>
        </is>
      </c>
      <c r="S1122" s="46" t="n"/>
      <c r="T1122" s="46" t="n"/>
      <c r="U1122" s="44" t="n"/>
      <c r="V1122" s="44">
        <f>IF(AND(P1122&gt;=Calendar!$K$2,P1122&lt;EDATE(Calendar!$K$2,1),OR(Calendar!$K$4="*",N1122=Calendar!$K$4)),P1122*100+COUNTIFS($P$6:$P$3271,P1122,$Q$6:$Q$3271,"&lt;="&amp;Q1122,$N$6:$N$3271,Calendar!$K$4),"")</f>
        <v/>
      </c>
      <c r="W1122" s="44">
        <f>IF(AND(B1122=Queue!$C$4,OR(Queue!$K$4="*",N1122=Queue!$K$4)),Q1122,"")</f>
        <v/>
      </c>
    </row>
    <row r="1123">
      <c r="A1123" s="35">
        <f>IF(M1123="","",HYPERLINK("https://www.youtube.com/watch?v="&amp;M1123,"▶"))</f>
        <v/>
      </c>
      <c r="B1123" s="36">
        <f>IF(C1123&lt;&gt;"",C1123,IF(P1123&lt;=IFERROR(INDEX(tblChannels[Watched Through],MATCH(N1123,tblChannels[Channel ID],0)),0),"Watched","Unwatched"))</f>
        <v/>
      </c>
      <c r="C1123" s="37" t="n"/>
      <c r="D1123" s="38" t="n"/>
      <c r="E1123" s="39" t="n">
        <v>44729.41666666666</v>
      </c>
      <c r="F1123" s="40" t="inlineStr">
        <is>
          <t>Popcorn Culture</t>
        </is>
      </c>
      <c r="G1123" t="inlineStr">
        <is>
          <t>I'm Model Trains For You | Popcorn Culture</t>
        </is>
      </c>
      <c r="H1123" s="41" t="n">
        <v>0.04755787037037037</v>
      </c>
      <c r="I1123" s="42" t="n">
        <v>6589</v>
      </c>
      <c r="J1123" s="42" t="n">
        <v>360</v>
      </c>
      <c r="K1123" s="42" t="n">
        <v>48</v>
      </c>
      <c r="L1123" s="43" t="n"/>
      <c r="M1123" s="44" t="n"/>
      <c r="N1123" s="44" t="inlineStr">
        <is>
          <t>UCHfIbq9thHPC8yrKjAdJgDA</t>
        </is>
      </c>
      <c r="O1123" s="45" t="n">
        <v>44729.58333333334</v>
      </c>
      <c r="P1123" s="46" t="n">
        <v>44729</v>
      </c>
      <c r="Q1123" s="44" t="n">
        <v>2149</v>
      </c>
      <c r="R1123" s="44" t="inlineStr">
        <is>
          <t>No Video ID yet</t>
        </is>
      </c>
      <c r="S1123" s="46" t="n"/>
      <c r="T1123" s="46" t="n"/>
      <c r="U1123" s="44" t="n"/>
      <c r="V1123" s="44">
        <f>IF(AND(P1123&gt;=Calendar!$K$2,P1123&lt;EDATE(Calendar!$K$2,1),OR(Calendar!$K$4="*",N1123=Calendar!$K$4)),P1123*100+COUNTIFS($P$6:$P$3271,P1123,$Q$6:$Q$3271,"&lt;="&amp;Q1123,$N$6:$N$3271,Calendar!$K$4),"")</f>
        <v/>
      </c>
      <c r="W1123" s="44">
        <f>IF(AND(B1123=Queue!$C$4,OR(Queue!$K$4="*",N1123=Queue!$K$4)),Q1123,"")</f>
        <v/>
      </c>
    </row>
    <row r="1124">
      <c r="A1124" s="35">
        <f>IF(M1124="","",HYPERLINK("https://www.youtube.com/watch?v="&amp;M1124,"▶"))</f>
        <v/>
      </c>
      <c r="B1124" s="36">
        <f>IF(C1124&lt;&gt;"",C1124,IF(P1124&lt;=IFERROR(INDEX(tblChannels[Watched Through],MATCH(N1124,tblChannels[Channel ID],0)),0),"Watched","Unwatched"))</f>
        <v/>
      </c>
      <c r="C1124" s="37" t="n"/>
      <c r="D1124" s="38" t="n"/>
      <c r="E1124" s="39" t="n">
        <v>44728.64583333334</v>
      </c>
      <c r="F1124" s="47" t="inlineStr">
        <is>
          <t>Super Carlin Brothers</t>
        </is>
      </c>
      <c r="G1124" t="inlineStr">
        <is>
          <t>Top 5 Plot Holes in Secrets of Dumbledore | Harry Potter Film Theory</t>
        </is>
      </c>
      <c r="H1124" s="41" t="n">
        <v>0.01295138888888889</v>
      </c>
      <c r="I1124" s="42" t="n">
        <v>274890</v>
      </c>
      <c r="J1124" s="42" t="n">
        <v>10438</v>
      </c>
      <c r="K1124" s="42" t="n">
        <v>1147</v>
      </c>
      <c r="L1124" s="43" t="n"/>
      <c r="M1124" s="44" t="n"/>
      <c r="N1124" s="44" t="inlineStr">
        <is>
          <t>UCKZo4N0lVPccBkSiuyVh4yg</t>
        </is>
      </c>
      <c r="O1124" s="45" t="n">
        <v>44728.8125</v>
      </c>
      <c r="P1124" s="46" t="n">
        <v>44728</v>
      </c>
      <c r="Q1124" s="44" t="n">
        <v>2148</v>
      </c>
      <c r="R1124" s="44" t="inlineStr">
        <is>
          <t>No Video ID yet</t>
        </is>
      </c>
      <c r="S1124" s="46" t="n"/>
      <c r="T1124" s="46" t="n"/>
      <c r="U1124" s="44" t="n"/>
      <c r="V1124" s="44">
        <f>IF(AND(P1124&gt;=Calendar!$K$2,P1124&lt;EDATE(Calendar!$K$2,1),OR(Calendar!$K$4="*",N1124=Calendar!$K$4)),P1124*100+COUNTIFS($P$6:$P$3271,P1124,$Q$6:$Q$3271,"&lt;="&amp;Q1124,$N$6:$N$3271,Calendar!$K$4),"")</f>
        <v/>
      </c>
      <c r="W1124" s="44">
        <f>IF(AND(B1124=Queue!$C$4,OR(Queue!$K$4="*",N1124=Queue!$K$4)),Q1124,"")</f>
        <v/>
      </c>
    </row>
    <row r="1125">
      <c r="A1125" s="35">
        <f>IF(M1125="","",HYPERLINK("https://www.youtube.com/watch?v="&amp;M1125,"▶"))</f>
        <v/>
      </c>
      <c r="B1125" s="36">
        <f>IF(C1125&lt;&gt;"",C1125,IF(P1125&lt;=IFERROR(INDEX(tblChannels[Watched Through],MATCH(N1125,tblChannels[Channel ID],0)),0),"Watched","Unwatched"))</f>
        <v/>
      </c>
      <c r="C1125" s="37" t="n"/>
      <c r="D1125" s="38" t="n"/>
      <c r="E1125" s="39" t="n">
        <v>44726.625</v>
      </c>
      <c r="F1125" s="47" t="inlineStr">
        <is>
          <t>Super Carlin Brothers</t>
        </is>
      </c>
      <c r="G1125" t="inlineStr">
        <is>
          <t>How Soul Explains What Happened to Riley | Pixar Film Theory</t>
        </is>
      </c>
      <c r="H1125" s="41" t="n">
        <v>0.009282407407407408</v>
      </c>
      <c r="I1125" s="42" t="n">
        <v>279734</v>
      </c>
      <c r="J1125" s="42" t="n">
        <v>11027</v>
      </c>
      <c r="K1125" s="42" t="n">
        <v>468</v>
      </c>
      <c r="L1125" s="43" t="n"/>
      <c r="M1125" s="44" t="n"/>
      <c r="N1125" s="44" t="inlineStr">
        <is>
          <t>UCKZo4N0lVPccBkSiuyVh4yg</t>
        </is>
      </c>
      <c r="O1125" s="45" t="n">
        <v>44726.79166666666</v>
      </c>
      <c r="P1125" s="46" t="n">
        <v>44726</v>
      </c>
      <c r="Q1125" s="44" t="n">
        <v>2147</v>
      </c>
      <c r="R1125" s="44" t="inlineStr">
        <is>
          <t>No Video ID yet</t>
        </is>
      </c>
      <c r="S1125" s="46" t="n"/>
      <c r="T1125" s="46" t="n"/>
      <c r="U1125" s="44" t="n"/>
      <c r="V1125" s="44">
        <f>IF(AND(P1125&gt;=Calendar!$K$2,P1125&lt;EDATE(Calendar!$K$2,1),OR(Calendar!$K$4="*",N1125=Calendar!$K$4)),P1125*100+COUNTIFS($P$6:$P$3271,P1125,$Q$6:$Q$3271,"&lt;="&amp;Q1125,$N$6:$N$3271,Calendar!$K$4),"")</f>
        <v/>
      </c>
      <c r="W1125" s="44">
        <f>IF(AND(B1125=Queue!$C$4,OR(Queue!$K$4="*",N1125=Queue!$K$4)),Q1125,"")</f>
        <v/>
      </c>
    </row>
    <row r="1126">
      <c r="A1126" s="35">
        <f>IF(M1126="","",HYPERLINK("https://www.youtube.com/watch?v="&amp;M1126,"▶"))</f>
        <v/>
      </c>
      <c r="B1126" s="36">
        <f>IF(C1126&lt;&gt;"",C1126,IF(P1126&lt;=IFERROR(INDEX(tblChannels[Watched Through],MATCH(N1126,tblChannels[Channel ID],0)),0),"Watched","Unwatched"))</f>
        <v/>
      </c>
      <c r="C1126" s="37" t="n"/>
      <c r="D1126" s="38" t="n"/>
      <c r="E1126" s="39" t="n">
        <v>44725.625</v>
      </c>
      <c r="F1126" s="50" t="inlineStr">
        <is>
          <t>Jonathan Carlin</t>
        </is>
      </c>
      <c r="G1126" t="inlineStr">
        <is>
          <t>Hilton Head Family Vacation!</t>
        </is>
      </c>
      <c r="H1126" s="41" t="n">
        <v>0.01475694444444444</v>
      </c>
      <c r="I1126" s="42" t="n">
        <v>14442</v>
      </c>
      <c r="J1126" s="42" t="n">
        <v>807</v>
      </c>
      <c r="K1126" s="42" t="n">
        <v>0</v>
      </c>
      <c r="L1126" s="43" t="n"/>
      <c r="M1126" s="44" t="n"/>
      <c r="N1126" s="44" t="inlineStr">
        <is>
          <t>UCYPKFe86e6nm4TVUYKLsFUQ</t>
        </is>
      </c>
      <c r="O1126" s="45" t="n">
        <v>44725.79166666666</v>
      </c>
      <c r="P1126" s="46" t="n">
        <v>44725</v>
      </c>
      <c r="Q1126" s="44" t="n">
        <v>2146</v>
      </c>
      <c r="R1126" s="44" t="inlineStr">
        <is>
          <t>No Video ID yet</t>
        </is>
      </c>
      <c r="S1126" s="46" t="n"/>
      <c r="T1126" s="46" t="n"/>
      <c r="U1126" s="44" t="n"/>
      <c r="V1126" s="44">
        <f>IF(AND(P1126&gt;=Calendar!$K$2,P1126&lt;EDATE(Calendar!$K$2,1),OR(Calendar!$K$4="*",N1126=Calendar!$K$4)),P1126*100+COUNTIFS($P$6:$P$3271,P1126,$Q$6:$Q$3271,"&lt;="&amp;Q1126,$N$6:$N$3271,Calendar!$K$4),"")</f>
        <v/>
      </c>
      <c r="W1126" s="44">
        <f>IF(AND(B1126=Queue!$C$4,OR(Queue!$K$4="*",N1126=Queue!$K$4)),Q1126,"")</f>
        <v/>
      </c>
    </row>
    <row r="1127">
      <c r="A1127" s="35">
        <f>IF(M1127="","",HYPERLINK("https://www.youtube.com/watch?v="&amp;M1127,"▶"))</f>
        <v/>
      </c>
      <c r="B1127" s="36">
        <f>IF(C1127&lt;&gt;"",C1127,IF(P1127&lt;=IFERROR(INDEX(tblChannels[Watched Through],MATCH(N1127,tblChannels[Channel ID],0)),0),"Watched","Unwatched"))</f>
        <v/>
      </c>
      <c r="C1127" s="37" t="n"/>
      <c r="D1127" s="38" t="n"/>
      <c r="E1127" s="39" t="n">
        <v>44722.41666666666</v>
      </c>
      <c r="F1127" s="40" t="inlineStr">
        <is>
          <t>Popcorn Culture</t>
        </is>
      </c>
      <c r="G1127" t="inlineStr">
        <is>
          <t>Codeword: APPLES | Popcorn Culture</t>
        </is>
      </c>
      <c r="H1127" s="41" t="n">
        <v>0.05082175925925926</v>
      </c>
      <c r="I1127" s="42" t="n">
        <v>7213</v>
      </c>
      <c r="J1127" s="42" t="n">
        <v>344</v>
      </c>
      <c r="K1127" s="42" t="n">
        <v>41</v>
      </c>
      <c r="L1127" s="43" t="n"/>
      <c r="M1127" s="44" t="n"/>
      <c r="N1127" s="44" t="inlineStr">
        <is>
          <t>UCHfIbq9thHPC8yrKjAdJgDA</t>
        </is>
      </c>
      <c r="O1127" s="45" t="n">
        <v>44722.58333333334</v>
      </c>
      <c r="P1127" s="46" t="n">
        <v>44722</v>
      </c>
      <c r="Q1127" s="44" t="n">
        <v>2145</v>
      </c>
      <c r="R1127" s="44" t="inlineStr">
        <is>
          <t>No Video ID yet</t>
        </is>
      </c>
      <c r="S1127" s="46" t="n"/>
      <c r="T1127" s="46" t="n"/>
      <c r="U1127" s="44" t="n"/>
      <c r="V1127" s="44">
        <f>IF(AND(P1127&gt;=Calendar!$K$2,P1127&lt;EDATE(Calendar!$K$2,1),OR(Calendar!$K$4="*",N1127=Calendar!$K$4)),P1127*100+COUNTIFS($P$6:$P$3271,P1127,$Q$6:$Q$3271,"&lt;="&amp;Q1127,$N$6:$N$3271,Calendar!$K$4),"")</f>
        <v/>
      </c>
      <c r="W1127" s="44">
        <f>IF(AND(B1127=Queue!$C$4,OR(Queue!$K$4="*",N1127=Queue!$K$4)),Q1127,"")</f>
        <v/>
      </c>
    </row>
    <row r="1128">
      <c r="A1128" s="35">
        <f>IF(M1128="","",HYPERLINK("https://www.youtube.com/watch?v="&amp;M1128,"▶"))</f>
        <v/>
      </c>
      <c r="B1128" s="36">
        <f>IF(C1128&lt;&gt;"",C1128,IF(P1128&lt;=IFERROR(INDEX(tblChannels[Watched Through],MATCH(N1128,tblChannels[Channel ID],0)),0),"Watched","Unwatched"))</f>
        <v/>
      </c>
      <c r="C1128" s="37" t="n"/>
      <c r="D1128" s="38" t="n"/>
      <c r="E1128" s="39" t="n">
        <v>44721.65208333333</v>
      </c>
      <c r="F1128" s="47" t="inlineStr">
        <is>
          <t>Super Carlin Brothers</t>
        </is>
      </c>
      <c r="G1128" t="inlineStr">
        <is>
          <t>Loki’s ULTIMATE Trick Revealed | Marvel Film Theory</t>
        </is>
      </c>
      <c r="H1128" s="41" t="n">
        <v>0.01346064814814815</v>
      </c>
      <c r="I1128" s="42" t="n">
        <v>166413</v>
      </c>
      <c r="J1128" s="42" t="n">
        <v>9111</v>
      </c>
      <c r="K1128" s="42" t="n">
        <v>902</v>
      </c>
      <c r="L1128" s="43" t="n"/>
      <c r="M1128" s="44" t="n"/>
      <c r="N1128" s="44" t="inlineStr">
        <is>
          <t>UCKZo4N0lVPccBkSiuyVh4yg</t>
        </is>
      </c>
      <c r="O1128" s="45" t="n">
        <v>44721.81875</v>
      </c>
      <c r="P1128" s="46" t="n">
        <v>44721</v>
      </c>
      <c r="Q1128" s="44" t="n">
        <v>2144</v>
      </c>
      <c r="R1128" s="44" t="inlineStr">
        <is>
          <t>No Video ID yet</t>
        </is>
      </c>
      <c r="S1128" s="46" t="n"/>
      <c r="T1128" s="46" t="n"/>
      <c r="U1128" s="44" t="n"/>
      <c r="V1128" s="44">
        <f>IF(AND(P1128&gt;=Calendar!$K$2,P1128&lt;EDATE(Calendar!$K$2,1),OR(Calendar!$K$4="*",N1128=Calendar!$K$4)),P1128*100+COUNTIFS($P$6:$P$3271,P1128,$Q$6:$Q$3271,"&lt;="&amp;Q1128,$N$6:$N$3271,Calendar!$K$4),"")</f>
        <v/>
      </c>
      <c r="W1128" s="44">
        <f>IF(AND(B1128=Queue!$C$4,OR(Queue!$K$4="*",N1128=Queue!$K$4)),Q1128,"")</f>
        <v/>
      </c>
    </row>
    <row r="1129">
      <c r="A1129" s="35">
        <f>IF(M1129="","",HYPERLINK("https://www.youtube.com/watch?v="&amp;M1129,"▶"))</f>
        <v/>
      </c>
      <c r="B1129" s="36">
        <f>IF(C1129&lt;&gt;"",C1129,IF(P1129&lt;=IFERROR(INDEX(tblChannels[Watched Through],MATCH(N1129,tblChannels[Channel ID],0)),0),"Watched","Unwatched"))</f>
        <v/>
      </c>
      <c r="C1129" s="37" t="n"/>
      <c r="D1129" s="38" t="n"/>
      <c r="E1129" s="39" t="n">
        <v>44719.70277777778</v>
      </c>
      <c r="F1129" s="47" t="inlineStr">
        <is>
          <t>Super Carlin Brothers</t>
        </is>
      </c>
      <c r="G1129" t="inlineStr">
        <is>
          <t>J vs Ben: HARDEST Care of Magical Creatures Harry Potter Trivia Quiz</t>
        </is>
      </c>
      <c r="H1129" s="41" t="n">
        <v>0.02086805555555556</v>
      </c>
      <c r="I1129" s="42" t="n">
        <v>184178</v>
      </c>
      <c r="J1129" s="42" t="n">
        <v>6581</v>
      </c>
      <c r="K1129" s="42" t="n">
        <v>452</v>
      </c>
      <c r="L1129" s="43" t="n"/>
      <c r="M1129" s="44" t="n"/>
      <c r="N1129" s="44" t="inlineStr">
        <is>
          <t>UCKZo4N0lVPccBkSiuyVh4yg</t>
        </is>
      </c>
      <c r="O1129" s="45" t="n">
        <v>44719.86944444444</v>
      </c>
      <c r="P1129" s="46" t="n">
        <v>44719</v>
      </c>
      <c r="Q1129" s="44" t="n">
        <v>2143</v>
      </c>
      <c r="R1129" s="44" t="inlineStr">
        <is>
          <t>No Video ID yet</t>
        </is>
      </c>
      <c r="S1129" s="46" t="n"/>
      <c r="T1129" s="46" t="n"/>
      <c r="U1129" s="44" t="n"/>
      <c r="V1129" s="44">
        <f>IF(AND(P1129&gt;=Calendar!$K$2,P1129&lt;EDATE(Calendar!$K$2,1),OR(Calendar!$K$4="*",N1129=Calendar!$K$4)),P1129*100+COUNTIFS($P$6:$P$3271,P1129,$Q$6:$Q$3271,"&lt;="&amp;Q1129,$N$6:$N$3271,Calendar!$K$4),"")</f>
        <v/>
      </c>
      <c r="W1129" s="44">
        <f>IF(AND(B1129=Queue!$C$4,OR(Queue!$K$4="*",N1129=Queue!$K$4)),Q1129,"")</f>
        <v/>
      </c>
    </row>
    <row r="1130">
      <c r="A1130" s="35">
        <f>IF(M1130="","",HYPERLINK("https://www.youtube.com/watch?v="&amp;M1130,"▶"))</f>
        <v/>
      </c>
      <c r="B1130" s="36">
        <f>IF(C1130&lt;&gt;"",C1130,IF(P1130&lt;=IFERROR(INDEX(tblChannels[Watched Through],MATCH(N1130,tblChannels[Channel ID],0)),0),"Watched","Unwatched"))</f>
        <v/>
      </c>
      <c r="C1130" s="37" t="n"/>
      <c r="D1130" s="38" t="n"/>
      <c r="E1130" s="39" t="n">
        <v>44715.41666666666</v>
      </c>
      <c r="F1130" s="40" t="inlineStr">
        <is>
          <t>Popcorn Culture</t>
        </is>
      </c>
      <c r="G1130" t="inlineStr">
        <is>
          <t>The Legend of Bazooka Jack | Popcorn Culture</t>
        </is>
      </c>
      <c r="H1130" s="41" t="n">
        <v>0.05310185185185185</v>
      </c>
      <c r="I1130" s="42" t="n">
        <v>7282</v>
      </c>
      <c r="J1130" s="42" t="n">
        <v>339</v>
      </c>
      <c r="K1130" s="42" t="n">
        <v>35</v>
      </c>
      <c r="L1130" s="43" t="n"/>
      <c r="M1130" s="44" t="n"/>
      <c r="N1130" s="44" t="inlineStr">
        <is>
          <t>UCHfIbq9thHPC8yrKjAdJgDA</t>
        </is>
      </c>
      <c r="O1130" s="45" t="n">
        <v>44715.58333333334</v>
      </c>
      <c r="P1130" s="46" t="n">
        <v>44715</v>
      </c>
      <c r="Q1130" s="44" t="n">
        <v>2142</v>
      </c>
      <c r="R1130" s="44" t="inlineStr">
        <is>
          <t>No Video ID yet</t>
        </is>
      </c>
      <c r="S1130" s="46" t="n"/>
      <c r="T1130" s="46" t="n"/>
      <c r="U1130" s="44" t="n"/>
      <c r="V1130" s="44">
        <f>IF(AND(P1130&gt;=Calendar!$K$2,P1130&lt;EDATE(Calendar!$K$2,1),OR(Calendar!$K$4="*",N1130=Calendar!$K$4)),P1130*100+COUNTIFS($P$6:$P$3271,P1130,$Q$6:$Q$3271,"&lt;="&amp;Q1130,$N$6:$N$3271,Calendar!$K$4),"")</f>
        <v/>
      </c>
      <c r="W1130" s="44">
        <f>IF(AND(B1130=Queue!$C$4,OR(Queue!$K$4="*",N1130=Queue!$K$4)),Q1130,"")</f>
        <v/>
      </c>
    </row>
    <row r="1131">
      <c r="A1131" s="35">
        <f>IF(M1131="","",HYPERLINK("https://www.youtube.com/watch?v="&amp;M1131,"▶"))</f>
        <v/>
      </c>
      <c r="B1131" s="36">
        <f>IF(C1131&lt;&gt;"",C1131,IF(P1131&lt;=IFERROR(INDEX(tblChannels[Watched Through],MATCH(N1131,tblChannels[Channel ID],0)),0),"Watched","Unwatched"))</f>
        <v/>
      </c>
      <c r="C1131" s="37" t="n"/>
      <c r="D1131" s="38" t="n"/>
      <c r="E1131" s="39" t="n">
        <v>44714.59097222222</v>
      </c>
      <c r="F1131" s="47" t="inlineStr">
        <is>
          <t>Super Carlin Brothers</t>
        </is>
      </c>
      <c r="G1131" t="inlineStr">
        <is>
          <t>Why The Qilin ACTUALLY Bowed To Dumbledore | Harry Potter Film Theory</t>
        </is>
      </c>
      <c r="H1131" s="41" t="n">
        <v>0.01145833333333333</v>
      </c>
      <c r="I1131" s="42" t="n">
        <v>478434</v>
      </c>
      <c r="J1131" s="42" t="n">
        <v>14694</v>
      </c>
      <c r="K1131" s="42" t="n">
        <v>1679</v>
      </c>
      <c r="L1131" s="43" t="n"/>
      <c r="M1131" s="44" t="n"/>
      <c r="N1131" s="44" t="inlineStr">
        <is>
          <t>UCKZo4N0lVPccBkSiuyVh4yg</t>
        </is>
      </c>
      <c r="O1131" s="45" t="n">
        <v>44714.75763888889</v>
      </c>
      <c r="P1131" s="46" t="n">
        <v>44714</v>
      </c>
      <c r="Q1131" s="44" t="n">
        <v>2141</v>
      </c>
      <c r="R1131" s="44" t="inlineStr">
        <is>
          <t>No Video ID yet</t>
        </is>
      </c>
      <c r="S1131" s="46" t="n"/>
      <c r="T1131" s="46" t="n"/>
      <c r="U1131" s="44" t="n"/>
      <c r="V1131" s="44">
        <f>IF(AND(P1131&gt;=Calendar!$K$2,P1131&lt;EDATE(Calendar!$K$2,1),OR(Calendar!$K$4="*",N1131=Calendar!$K$4)),P1131*100+COUNTIFS($P$6:$P$3271,P1131,$Q$6:$Q$3271,"&lt;="&amp;Q1131,$N$6:$N$3271,Calendar!$K$4),"")</f>
        <v/>
      </c>
      <c r="W1131" s="44">
        <f>IF(AND(B1131=Queue!$C$4,OR(Queue!$K$4="*",N1131=Queue!$K$4)),Q1131,"")</f>
        <v/>
      </c>
    </row>
    <row r="1132">
      <c r="A1132" s="35">
        <f>IF(M1132="","",HYPERLINK("https://www.youtube.com/watch?v="&amp;M1132,"▶"))</f>
        <v/>
      </c>
      <c r="B1132" s="36">
        <f>IF(C1132&lt;&gt;"",C1132,IF(P1132&lt;=IFERROR(INDEX(tblChannels[Watched Through],MATCH(N1132,tblChannels[Channel ID],0)),0),"Watched","Unwatched"))</f>
        <v/>
      </c>
      <c r="C1132" s="37" t="n"/>
      <c r="D1132" s="38" t="n"/>
      <c r="E1132" s="39" t="n">
        <v>44713.7125</v>
      </c>
      <c r="F1132" s="50" t="inlineStr">
        <is>
          <t>Jonathan Carlin</t>
        </is>
      </c>
      <c r="G1132" t="inlineStr">
        <is>
          <t>Our First LIVE SHOW</t>
        </is>
      </c>
      <c r="H1132" s="41" t="n">
        <v>0.01341435185185185</v>
      </c>
      <c r="I1132" s="42" t="n">
        <v>11216</v>
      </c>
      <c r="J1132" s="42" t="n">
        <v>801</v>
      </c>
      <c r="K1132" s="42" t="n">
        <v>49</v>
      </c>
      <c r="L1132" s="43" t="n"/>
      <c r="M1132" s="44" t="n"/>
      <c r="N1132" s="44" t="inlineStr">
        <is>
          <t>UCYPKFe86e6nm4TVUYKLsFUQ</t>
        </is>
      </c>
      <c r="O1132" s="45" t="n">
        <v>44713.87916666667</v>
      </c>
      <c r="P1132" s="46" t="n">
        <v>44713</v>
      </c>
      <c r="Q1132" s="44" t="n">
        <v>2140</v>
      </c>
      <c r="R1132" s="44" t="inlineStr">
        <is>
          <t>No Video ID yet</t>
        </is>
      </c>
      <c r="S1132" s="46" t="n"/>
      <c r="T1132" s="46" t="n"/>
      <c r="U1132" s="44" t="n"/>
      <c r="V1132" s="44">
        <f>IF(AND(P1132&gt;=Calendar!$K$2,P1132&lt;EDATE(Calendar!$K$2,1),OR(Calendar!$K$4="*",N1132=Calendar!$K$4)),P1132*100+COUNTIFS($P$6:$P$3271,P1132,$Q$6:$Q$3271,"&lt;="&amp;Q1132,$N$6:$N$3271,Calendar!$K$4),"")</f>
        <v/>
      </c>
      <c r="W1132" s="44">
        <f>IF(AND(B1132=Queue!$C$4,OR(Queue!$K$4="*",N1132=Queue!$K$4)),Q1132,"")</f>
        <v/>
      </c>
    </row>
    <row r="1133">
      <c r="A1133" s="35">
        <f>IF(M1133="","",HYPERLINK("https://www.youtube.com/watch?v="&amp;M1133,"▶"))</f>
        <v/>
      </c>
      <c r="B1133" s="36">
        <f>IF(C1133&lt;&gt;"",C1133,IF(P1133&lt;=IFERROR(INDEX(tblChannels[Watched Through],MATCH(N1133,tblChannels[Channel ID],0)),0),"Watched","Unwatched"))</f>
        <v/>
      </c>
      <c r="C1133" s="37" t="n"/>
      <c r="D1133" s="38" t="n"/>
      <c r="E1133" s="39" t="n">
        <v>44712.65069444444</v>
      </c>
      <c r="F1133" s="47" t="inlineStr">
        <is>
          <t>Super Carlin Brothers</t>
        </is>
      </c>
      <c r="G1133" t="inlineStr">
        <is>
          <t>This Fantastic Beast Changes EVERYTHING | Harry Potter Film Theory</t>
        </is>
      </c>
      <c r="H1133" s="41" t="n">
        <v>0.01111111111111111</v>
      </c>
      <c r="I1133" s="42" t="n">
        <v>307779</v>
      </c>
      <c r="J1133" s="42" t="n">
        <v>11607</v>
      </c>
      <c r="K1133" s="42" t="n">
        <v>953</v>
      </c>
      <c r="L1133" s="43" t="n"/>
      <c r="M1133" s="44" t="n"/>
      <c r="N1133" s="44" t="inlineStr">
        <is>
          <t>UCKZo4N0lVPccBkSiuyVh4yg</t>
        </is>
      </c>
      <c r="O1133" s="45" t="n">
        <v>44712.81736111111</v>
      </c>
      <c r="P1133" s="46" t="n">
        <v>44712</v>
      </c>
      <c r="Q1133" s="44" t="n">
        <v>2139</v>
      </c>
      <c r="R1133" s="44" t="inlineStr">
        <is>
          <t>No Video ID yet</t>
        </is>
      </c>
      <c r="S1133" s="46" t="n"/>
      <c r="T1133" s="46" t="n"/>
      <c r="U1133" s="44" t="n"/>
      <c r="V1133" s="44">
        <f>IF(AND(P1133&gt;=Calendar!$K$2,P1133&lt;EDATE(Calendar!$K$2,1),OR(Calendar!$K$4="*",N1133=Calendar!$K$4)),P1133*100+COUNTIFS($P$6:$P$3271,P1133,$Q$6:$Q$3271,"&lt;="&amp;Q1133,$N$6:$N$3271,Calendar!$K$4),"")</f>
        <v/>
      </c>
      <c r="W1133" s="44">
        <f>IF(AND(B1133=Queue!$C$4,OR(Queue!$K$4="*",N1133=Queue!$K$4)),Q1133,"")</f>
        <v/>
      </c>
    </row>
    <row r="1134">
      <c r="A1134" s="35">
        <f>IF(M1134="","",HYPERLINK("https://www.youtube.com/watch?v="&amp;M1134,"▶"))</f>
        <v/>
      </c>
      <c r="B1134" s="36">
        <f>IF(C1134&lt;&gt;"",C1134,IF(P1134&lt;=IFERROR(INDEX(tblChannels[Watched Through],MATCH(N1134,tblChannels[Channel ID],0)),0),"Watched","Unwatched"))</f>
        <v/>
      </c>
      <c r="C1134" s="37" t="n"/>
      <c r="D1134" s="38" t="n"/>
      <c r="E1134" s="39" t="n">
        <v>44708.41666666666</v>
      </c>
      <c r="F1134" s="40" t="inlineStr">
        <is>
          <t>Popcorn Culture</t>
        </is>
      </c>
      <c r="G1134" t="inlineStr">
        <is>
          <t>World's SKETCHIEST Uber | Popcorn Culture</t>
        </is>
      </c>
      <c r="H1134" s="41" t="n">
        <v>0.05087962962962963</v>
      </c>
      <c r="I1134" s="42" t="n">
        <v>7430</v>
      </c>
      <c r="J1134" s="42" t="n">
        <v>406</v>
      </c>
      <c r="K1134" s="42" t="n">
        <v>60</v>
      </c>
      <c r="L1134" s="43" t="n"/>
      <c r="M1134" s="44" t="n"/>
      <c r="N1134" s="44" t="inlineStr">
        <is>
          <t>UCHfIbq9thHPC8yrKjAdJgDA</t>
        </is>
      </c>
      <c r="O1134" s="45" t="n">
        <v>44708.58333333334</v>
      </c>
      <c r="P1134" s="46" t="n">
        <v>44708</v>
      </c>
      <c r="Q1134" s="44" t="n">
        <v>2138</v>
      </c>
      <c r="R1134" s="44" t="inlineStr">
        <is>
          <t>No Video ID yet</t>
        </is>
      </c>
      <c r="S1134" s="46" t="n"/>
      <c r="T1134" s="46" t="n"/>
      <c r="U1134" s="44" t="n"/>
      <c r="V1134" s="44">
        <f>IF(AND(P1134&gt;=Calendar!$K$2,P1134&lt;EDATE(Calendar!$K$2,1),OR(Calendar!$K$4="*",N1134=Calendar!$K$4)),P1134*100+COUNTIFS($P$6:$P$3271,P1134,$Q$6:$Q$3271,"&lt;="&amp;Q1134,$N$6:$N$3271,Calendar!$K$4),"")</f>
        <v/>
      </c>
      <c r="W1134" s="44">
        <f>IF(AND(B1134=Queue!$C$4,OR(Queue!$K$4="*",N1134=Queue!$K$4)),Q1134,"")</f>
        <v/>
      </c>
    </row>
    <row r="1135">
      <c r="A1135" s="35">
        <f>IF(M1135="","",HYPERLINK("https://www.youtube.com/watch?v="&amp;M1135,"▶"))</f>
        <v/>
      </c>
      <c r="B1135" s="36">
        <f>IF(C1135&lt;&gt;"",C1135,IF(P1135&lt;=IFERROR(INDEX(tblChannels[Watched Through],MATCH(N1135,tblChannels[Channel ID],0)),0),"Watched","Unwatched"))</f>
        <v/>
      </c>
      <c r="C1135" s="37" t="n"/>
      <c r="D1135" s="38" t="n"/>
      <c r="E1135" s="39" t="n">
        <v>44707.71041666667</v>
      </c>
      <c r="F1135" s="47" t="inlineStr">
        <is>
          <t>Super Carlin Brothers</t>
        </is>
      </c>
      <c r="G1135" t="inlineStr">
        <is>
          <t>Turning Red &amp; Soul Are CONNECTED! | Pixar Film Theory</t>
        </is>
      </c>
      <c r="H1135" s="41" t="n">
        <v>0.009502314814814814</v>
      </c>
      <c r="I1135" s="42" t="n">
        <v>153167</v>
      </c>
      <c r="J1135" s="42" t="n">
        <v>6951</v>
      </c>
      <c r="K1135" s="42" t="n">
        <v>352</v>
      </c>
      <c r="L1135" s="43" t="n"/>
      <c r="M1135" s="44" t="n"/>
      <c r="N1135" s="44" t="inlineStr">
        <is>
          <t>UCKZo4N0lVPccBkSiuyVh4yg</t>
        </is>
      </c>
      <c r="O1135" s="45" t="n">
        <v>44707.87708333333</v>
      </c>
      <c r="P1135" s="46" t="n">
        <v>44707</v>
      </c>
      <c r="Q1135" s="44" t="n">
        <v>2137</v>
      </c>
      <c r="R1135" s="44" t="inlineStr">
        <is>
          <t>No Video ID yet</t>
        </is>
      </c>
      <c r="S1135" s="46" t="n"/>
      <c r="T1135" s="46" t="n"/>
      <c r="U1135" s="44" t="n"/>
      <c r="V1135" s="44">
        <f>IF(AND(P1135&gt;=Calendar!$K$2,P1135&lt;EDATE(Calendar!$K$2,1),OR(Calendar!$K$4="*",N1135=Calendar!$K$4)),P1135*100+COUNTIFS($P$6:$P$3271,P1135,$Q$6:$Q$3271,"&lt;="&amp;Q1135,$N$6:$N$3271,Calendar!$K$4),"")</f>
        <v/>
      </c>
      <c r="W1135" s="44">
        <f>IF(AND(B1135=Queue!$C$4,OR(Queue!$K$4="*",N1135=Queue!$K$4)),Q1135,"")</f>
        <v/>
      </c>
    </row>
    <row r="1136">
      <c r="A1136" s="35">
        <f>IF(M1136="","",HYPERLINK("https://www.youtube.com/watch?v="&amp;M1136,"▶"))</f>
        <v/>
      </c>
      <c r="B1136" s="36">
        <f>IF(C1136&lt;&gt;"",C1136,IF(P1136&lt;=IFERROR(INDEX(tblChannels[Watched Through],MATCH(N1136,tblChannels[Channel ID],0)),0),"Watched","Unwatched"))</f>
        <v/>
      </c>
      <c r="C1136" s="37" t="n"/>
      <c r="D1136" s="38" t="n"/>
      <c r="E1136" s="39" t="n">
        <v>44706.625</v>
      </c>
      <c r="F1136" s="49" t="inlineStr">
        <is>
          <t>Super Carlin Gaming</t>
        </is>
      </c>
      <c r="G1136" t="inlineStr">
        <is>
          <t>Lord of the Isles |  Pokémon Legends: Arceus Nuzlocke #13</t>
        </is>
      </c>
      <c r="H1136" s="41" t="n">
        <v>0.02422453703703704</v>
      </c>
      <c r="I1136" s="42" t="n">
        <v>7496</v>
      </c>
      <c r="J1136" s="42" t="n">
        <v>449</v>
      </c>
      <c r="K1136" s="42" t="n">
        <v>101</v>
      </c>
      <c r="L1136" s="43" t="n"/>
      <c r="M1136" s="44" t="n"/>
      <c r="N1136" s="44" t="inlineStr">
        <is>
          <t>UCor_9jRnNNZVzTuQ92PKsaQ</t>
        </is>
      </c>
      <c r="O1136" s="45" t="n">
        <v>44706.79166666666</v>
      </c>
      <c r="P1136" s="46" t="n">
        <v>44706</v>
      </c>
      <c r="Q1136" s="44" t="n">
        <v>2136</v>
      </c>
      <c r="R1136" s="44" t="inlineStr">
        <is>
          <t>No Video ID yet</t>
        </is>
      </c>
      <c r="S1136" s="46" t="n"/>
      <c r="T1136" s="46" t="n"/>
      <c r="U1136" s="44" t="n"/>
      <c r="V1136" s="44">
        <f>IF(AND(P1136&gt;=Calendar!$K$2,P1136&lt;EDATE(Calendar!$K$2,1),OR(Calendar!$K$4="*",N1136=Calendar!$K$4)),P1136*100+COUNTIFS($P$6:$P$3271,P1136,$Q$6:$Q$3271,"&lt;="&amp;Q1136,$N$6:$N$3271,Calendar!$K$4),"")</f>
        <v/>
      </c>
      <c r="W1136" s="44">
        <f>IF(AND(B1136=Queue!$C$4,OR(Queue!$K$4="*",N1136=Queue!$K$4)),Q1136,"")</f>
        <v/>
      </c>
    </row>
    <row r="1137">
      <c r="A1137" s="35">
        <f>IF(M1137="","",HYPERLINK("https://www.youtube.com/watch?v="&amp;M1137,"▶"))</f>
        <v/>
      </c>
      <c r="B1137" s="36">
        <f>IF(C1137&lt;&gt;"",C1137,IF(P1137&lt;=IFERROR(INDEX(tblChannels[Watched Through],MATCH(N1137,tblChannels[Channel ID],0)),0),"Watched","Unwatched"))</f>
        <v/>
      </c>
      <c r="C1137" s="37" t="n"/>
      <c r="D1137" s="38" t="n"/>
      <c r="E1137" s="39" t="n">
        <v>44705.77986111111</v>
      </c>
      <c r="F1137" s="47" t="inlineStr">
        <is>
          <t>Super Carlin Brothers</t>
        </is>
      </c>
      <c r="G1137" t="inlineStr">
        <is>
          <t>Sorting Star Wars Characters into Harry Potter Hogwarts Houses | J vs Ben</t>
        </is>
      </c>
      <c r="H1137" s="41" t="n">
        <v>0.0340162037037037</v>
      </c>
      <c r="I1137" s="42" t="n">
        <v>247934</v>
      </c>
      <c r="J1137" s="42" t="n">
        <v>7944</v>
      </c>
      <c r="K1137" s="42" t="n">
        <v>1418</v>
      </c>
      <c r="L1137" s="43" t="n"/>
      <c r="M1137" s="44" t="n"/>
      <c r="N1137" s="44" t="inlineStr">
        <is>
          <t>UCKZo4N0lVPccBkSiuyVh4yg</t>
        </is>
      </c>
      <c r="O1137" s="45" t="n">
        <v>44705.94652777778</v>
      </c>
      <c r="P1137" s="46" t="n">
        <v>44705</v>
      </c>
      <c r="Q1137" s="44" t="n">
        <v>2135</v>
      </c>
      <c r="R1137" s="44" t="inlineStr">
        <is>
          <t>No Video ID yet</t>
        </is>
      </c>
      <c r="S1137" s="46" t="n"/>
      <c r="T1137" s="46" t="n"/>
      <c r="U1137" s="44" t="n"/>
      <c r="V1137" s="44">
        <f>IF(AND(P1137&gt;=Calendar!$K$2,P1137&lt;EDATE(Calendar!$K$2,1),OR(Calendar!$K$4="*",N1137=Calendar!$K$4)),P1137*100+COUNTIFS($P$6:$P$3271,P1137,$Q$6:$Q$3271,"&lt;="&amp;Q1137,$N$6:$N$3271,Calendar!$K$4),"")</f>
        <v/>
      </c>
      <c r="W1137" s="44">
        <f>IF(AND(B1137=Queue!$C$4,OR(Queue!$K$4="*",N1137=Queue!$K$4)),Q1137,"")</f>
        <v/>
      </c>
    </row>
    <row r="1138">
      <c r="A1138" s="35">
        <f>IF(M1138="","",HYPERLINK("https://www.youtube.com/watch?v="&amp;M1138,"▶"))</f>
        <v/>
      </c>
      <c r="B1138" s="36">
        <f>IF(C1138&lt;&gt;"",C1138,IF(P1138&lt;=IFERROR(INDEX(tblChannels[Watched Through],MATCH(N1138,tblChannels[Channel ID],0)),0),"Watched","Unwatched"))</f>
        <v/>
      </c>
      <c r="C1138" s="37" t="n"/>
      <c r="D1138" s="38" t="n"/>
      <c r="E1138" s="39" t="n">
        <v>44704.6875</v>
      </c>
      <c r="F1138" s="50" t="inlineStr">
        <is>
          <t>Jonathan Carlin</t>
        </is>
      </c>
      <c r="G1138" t="inlineStr">
        <is>
          <t>Summer Sledding, Ducks &amp; LEGO!</t>
        </is>
      </c>
      <c r="H1138" s="41" t="n">
        <v>0.01002314814814815</v>
      </c>
      <c r="I1138" s="42" t="n">
        <v>9294</v>
      </c>
      <c r="J1138" s="42" t="n">
        <v>683</v>
      </c>
      <c r="K1138" s="42" t="n">
        <v>63</v>
      </c>
      <c r="L1138" s="43" t="n"/>
      <c r="M1138" s="44" t="n"/>
      <c r="N1138" s="44" t="inlineStr">
        <is>
          <t>UCYPKFe86e6nm4TVUYKLsFUQ</t>
        </is>
      </c>
      <c r="O1138" s="45" t="n">
        <v>44704.85416666666</v>
      </c>
      <c r="P1138" s="46" t="n">
        <v>44704</v>
      </c>
      <c r="Q1138" s="44" t="n">
        <v>2134</v>
      </c>
      <c r="R1138" s="44" t="inlineStr">
        <is>
          <t>No Video ID yet</t>
        </is>
      </c>
      <c r="S1138" s="46" t="n"/>
      <c r="T1138" s="46" t="n"/>
      <c r="U1138" s="44" t="n"/>
      <c r="V1138" s="44">
        <f>IF(AND(P1138&gt;=Calendar!$K$2,P1138&lt;EDATE(Calendar!$K$2,1),OR(Calendar!$K$4="*",N1138=Calendar!$K$4)),P1138*100+COUNTIFS($P$6:$P$3271,P1138,$Q$6:$Q$3271,"&lt;="&amp;Q1138,$N$6:$N$3271,Calendar!$K$4),"")</f>
        <v/>
      </c>
      <c r="W1138" s="44">
        <f>IF(AND(B1138=Queue!$C$4,OR(Queue!$K$4="*",N1138=Queue!$K$4)),Q1138,"")</f>
        <v/>
      </c>
    </row>
    <row r="1139">
      <c r="A1139" s="35">
        <f>IF(M1139="","",HYPERLINK("https://www.youtube.com/watch?v="&amp;M1139,"▶"))</f>
        <v/>
      </c>
      <c r="B1139" s="36">
        <f>IF(C1139&lt;&gt;"",C1139,IF(P1139&lt;=IFERROR(INDEX(tblChannels[Watched Through],MATCH(N1139,tblChannels[Channel ID],0)),0),"Watched","Unwatched"))</f>
        <v/>
      </c>
      <c r="C1139" s="37" t="n"/>
      <c r="D1139" s="38" t="n"/>
      <c r="E1139" s="39" t="n">
        <v>44701.41666666666</v>
      </c>
      <c r="F1139" s="40" t="inlineStr">
        <is>
          <t>Popcorn Culture</t>
        </is>
      </c>
      <c r="G1139" t="inlineStr">
        <is>
          <t>This Ain't a Rabbit Diner | Popcorn Culture</t>
        </is>
      </c>
      <c r="H1139" s="41" t="n">
        <v>0.04502314814814815</v>
      </c>
      <c r="I1139" s="42" t="n">
        <v>6425</v>
      </c>
      <c r="J1139" s="42" t="n">
        <v>357</v>
      </c>
      <c r="K1139" s="42" t="n">
        <v>47</v>
      </c>
      <c r="L1139" s="43" t="n"/>
      <c r="M1139" s="44" t="n"/>
      <c r="N1139" s="44" t="inlineStr">
        <is>
          <t>UCHfIbq9thHPC8yrKjAdJgDA</t>
        </is>
      </c>
      <c r="O1139" s="45" t="n">
        <v>44701.58333333334</v>
      </c>
      <c r="P1139" s="46" t="n">
        <v>44701</v>
      </c>
      <c r="Q1139" s="44" t="n">
        <v>2133</v>
      </c>
      <c r="R1139" s="44" t="inlineStr">
        <is>
          <t>No Video ID yet</t>
        </is>
      </c>
      <c r="S1139" s="46" t="n"/>
      <c r="T1139" s="46" t="n"/>
      <c r="U1139" s="44" t="n"/>
      <c r="V1139" s="44">
        <f>IF(AND(P1139&gt;=Calendar!$K$2,P1139&lt;EDATE(Calendar!$K$2,1),OR(Calendar!$K$4="*",N1139=Calendar!$K$4)),P1139*100+COUNTIFS($P$6:$P$3271,P1139,$Q$6:$Q$3271,"&lt;="&amp;Q1139,$N$6:$N$3271,Calendar!$K$4),"")</f>
        <v/>
      </c>
      <c r="W1139" s="44">
        <f>IF(AND(B1139=Queue!$C$4,OR(Queue!$K$4="*",N1139=Queue!$K$4)),Q1139,"")</f>
        <v/>
      </c>
    </row>
    <row r="1140">
      <c r="A1140" s="35">
        <f>IF(M1140="","",HYPERLINK("https://www.youtube.com/watch?v="&amp;M1140,"▶"))</f>
        <v/>
      </c>
      <c r="B1140" s="36">
        <f>IF(C1140&lt;&gt;"",C1140,IF(P1140&lt;=IFERROR(INDEX(tblChannels[Watched Through],MATCH(N1140,tblChannels[Channel ID],0)),0),"Watched","Unwatched"))</f>
        <v/>
      </c>
      <c r="C1140" s="37" t="n"/>
      <c r="D1140" s="38" t="n"/>
      <c r="E1140" s="39" t="n">
        <v>44700.61111111111</v>
      </c>
      <c r="F1140" s="47" t="inlineStr">
        <is>
          <t>Super Carlin Brothers</t>
        </is>
      </c>
      <c r="G1140" t="inlineStr">
        <is>
          <t>The TOP 5 Most Believable Harry Potter Theories</t>
        </is>
      </c>
      <c r="H1140" s="41" t="n">
        <v>0.01560185185185185</v>
      </c>
      <c r="I1140" s="42" t="n">
        <v>1086325</v>
      </c>
      <c r="J1140" s="42" t="n">
        <v>29330</v>
      </c>
      <c r="K1140" s="42" t="n">
        <v>2032</v>
      </c>
      <c r="L1140" s="43" t="n"/>
      <c r="M1140" s="44" t="n"/>
      <c r="N1140" s="44" t="inlineStr">
        <is>
          <t>UCKZo4N0lVPccBkSiuyVh4yg</t>
        </is>
      </c>
      <c r="O1140" s="45" t="n">
        <v>44700.77777777778</v>
      </c>
      <c r="P1140" s="46" t="n">
        <v>44700</v>
      </c>
      <c r="Q1140" s="44" t="n">
        <v>2132</v>
      </c>
      <c r="R1140" s="44" t="inlineStr">
        <is>
          <t>No Video ID yet</t>
        </is>
      </c>
      <c r="S1140" s="46" t="n"/>
      <c r="T1140" s="46" t="n"/>
      <c r="U1140" s="44" t="n"/>
      <c r="V1140" s="44">
        <f>IF(AND(P1140&gt;=Calendar!$K$2,P1140&lt;EDATE(Calendar!$K$2,1),OR(Calendar!$K$4="*",N1140=Calendar!$K$4)),P1140*100+COUNTIFS($P$6:$P$3271,P1140,$Q$6:$Q$3271,"&lt;="&amp;Q1140,$N$6:$N$3271,Calendar!$K$4),"")</f>
        <v/>
      </c>
      <c r="W1140" s="44">
        <f>IF(AND(B1140=Queue!$C$4,OR(Queue!$K$4="*",N1140=Queue!$K$4)),Q1140,"")</f>
        <v/>
      </c>
    </row>
    <row r="1141">
      <c r="A1141" s="35">
        <f>IF(M1141="","",HYPERLINK("https://www.youtube.com/watch?v="&amp;M1141,"▶"))</f>
        <v/>
      </c>
      <c r="B1141" s="36">
        <f>IF(C1141&lt;&gt;"",C1141,IF(P1141&lt;=IFERROR(INDEX(tblChannels[Watched Through],MATCH(N1141,tblChannels[Channel ID],0)),0),"Watched","Unwatched"))</f>
        <v/>
      </c>
      <c r="C1141" s="37" t="n"/>
      <c r="D1141" s="38" t="n"/>
      <c r="E1141" s="39" t="n">
        <v>44699.625</v>
      </c>
      <c r="F1141" s="49" t="inlineStr">
        <is>
          <t>Super Carlin Gaming</t>
        </is>
      </c>
      <c r="G1141" t="inlineStr">
        <is>
          <t>Prepare for Trouble... And Make It Triple |  Pokémon Legends: Arceus Nuzlocke #12</t>
        </is>
      </c>
      <c r="H1141" s="41" t="n">
        <v>0.03157407407407407</v>
      </c>
      <c r="I1141" s="42" t="n">
        <v>7825</v>
      </c>
      <c r="J1141" s="42" t="n">
        <v>457</v>
      </c>
      <c r="K1141" s="42" t="n">
        <v>171</v>
      </c>
      <c r="L1141" s="43" t="n"/>
      <c r="M1141" s="44" t="n"/>
      <c r="N1141" s="44" t="inlineStr">
        <is>
          <t>UCor_9jRnNNZVzTuQ92PKsaQ</t>
        </is>
      </c>
      <c r="O1141" s="45" t="n">
        <v>44699.79166666666</v>
      </c>
      <c r="P1141" s="46" t="n">
        <v>44699</v>
      </c>
      <c r="Q1141" s="44" t="n">
        <v>2131</v>
      </c>
      <c r="R1141" s="44" t="inlineStr">
        <is>
          <t>No Video ID yet</t>
        </is>
      </c>
      <c r="S1141" s="46" t="n"/>
      <c r="T1141" s="46" t="n"/>
      <c r="U1141" s="44" t="n"/>
      <c r="V1141" s="44">
        <f>IF(AND(P1141&gt;=Calendar!$K$2,P1141&lt;EDATE(Calendar!$K$2,1),OR(Calendar!$K$4="*",N1141=Calendar!$K$4)),P1141*100+COUNTIFS($P$6:$P$3271,P1141,$Q$6:$Q$3271,"&lt;="&amp;Q1141,$N$6:$N$3271,Calendar!$K$4),"")</f>
        <v/>
      </c>
      <c r="W1141" s="44">
        <f>IF(AND(B1141=Queue!$C$4,OR(Queue!$K$4="*",N1141=Queue!$K$4)),Q1141,"")</f>
        <v/>
      </c>
    </row>
    <row r="1142">
      <c r="A1142" s="35">
        <f>IF(M1142="","",HYPERLINK("https://www.youtube.com/watch?v="&amp;M1142,"▶"))</f>
        <v/>
      </c>
      <c r="B1142" s="36">
        <f>IF(C1142&lt;&gt;"",C1142,IF(P1142&lt;=IFERROR(INDEX(tblChannels[Watched Through],MATCH(N1142,tblChannels[Channel ID],0)),0),"Watched","Unwatched"))</f>
        <v/>
      </c>
      <c r="C1142" s="37" t="n"/>
      <c r="D1142" s="38" t="n"/>
      <c r="E1142" s="39" t="n">
        <v>44698.70555555556</v>
      </c>
      <c r="F1142" s="47" t="inlineStr">
        <is>
          <t>Super Carlin Brothers</t>
        </is>
      </c>
      <c r="G1142" t="inlineStr">
        <is>
          <t>Doctor Strange’s Third Eye Explained | Marvel Film Theory</t>
        </is>
      </c>
      <c r="H1142" s="41" t="n">
        <v>0.009953703703703704</v>
      </c>
      <c r="I1142" s="42" t="n">
        <v>322450</v>
      </c>
      <c r="J1142" s="42" t="n">
        <v>12438</v>
      </c>
      <c r="K1142" s="42" t="n">
        <v>651</v>
      </c>
      <c r="L1142" s="43" t="n"/>
      <c r="M1142" s="44" t="n"/>
      <c r="N1142" s="44" t="inlineStr">
        <is>
          <t>UCKZo4N0lVPccBkSiuyVh4yg</t>
        </is>
      </c>
      <c r="O1142" s="45" t="n">
        <v>44698.87222222222</v>
      </c>
      <c r="P1142" s="46" t="n">
        <v>44698</v>
      </c>
      <c r="Q1142" s="44" t="n">
        <v>2130</v>
      </c>
      <c r="R1142" s="44" t="inlineStr">
        <is>
          <t>No Video ID yet</t>
        </is>
      </c>
      <c r="S1142" s="46" t="n"/>
      <c r="T1142" s="46" t="n"/>
      <c r="U1142" s="44" t="n"/>
      <c r="V1142" s="44">
        <f>IF(AND(P1142&gt;=Calendar!$K$2,P1142&lt;EDATE(Calendar!$K$2,1),OR(Calendar!$K$4="*",N1142=Calendar!$K$4)),P1142*100+COUNTIFS($P$6:$P$3271,P1142,$Q$6:$Q$3271,"&lt;="&amp;Q1142,$N$6:$N$3271,Calendar!$K$4),"")</f>
        <v/>
      </c>
      <c r="W1142" s="44">
        <f>IF(AND(B1142=Queue!$C$4,OR(Queue!$K$4="*",N1142=Queue!$K$4)),Q1142,"")</f>
        <v/>
      </c>
    </row>
    <row r="1143">
      <c r="A1143" s="35">
        <f>IF(M1143="","",HYPERLINK("https://www.youtube.com/watch?v="&amp;M1143,"▶"))</f>
        <v/>
      </c>
      <c r="B1143" s="36">
        <f>IF(C1143&lt;&gt;"",C1143,IF(P1143&lt;=IFERROR(INDEX(tblChannels[Watched Through],MATCH(N1143,tblChannels[Channel ID],0)),0),"Watched","Unwatched"))</f>
        <v/>
      </c>
      <c r="C1143" s="37" t="n"/>
      <c r="D1143" s="38" t="n"/>
      <c r="E1143" s="39" t="n">
        <v>44698.625</v>
      </c>
      <c r="F1143" s="50" t="inlineStr">
        <is>
          <t>Jonathan Carlin</t>
        </is>
      </c>
      <c r="G1143" t="inlineStr">
        <is>
          <t>Mother's Day, Treadmills &amp; Pancakes</t>
        </is>
      </c>
      <c r="H1143" s="41" t="n">
        <v>0.01265046296296296</v>
      </c>
      <c r="I1143" s="42" t="n">
        <v>11445</v>
      </c>
      <c r="J1143" s="42" t="n">
        <v>765</v>
      </c>
      <c r="K1143" s="42" t="n">
        <v>0</v>
      </c>
      <c r="L1143" s="43" t="n"/>
      <c r="M1143" s="44" t="n"/>
      <c r="N1143" s="44" t="inlineStr">
        <is>
          <t>UCYPKFe86e6nm4TVUYKLsFUQ</t>
        </is>
      </c>
      <c r="O1143" s="45" t="n">
        <v>44698.79166666666</v>
      </c>
      <c r="P1143" s="46" t="n">
        <v>44698</v>
      </c>
      <c r="Q1143" s="44" t="n">
        <v>2129</v>
      </c>
      <c r="R1143" s="44" t="inlineStr">
        <is>
          <t>No Video ID yet</t>
        </is>
      </c>
      <c r="S1143" s="46" t="n"/>
      <c r="T1143" s="46" t="n"/>
      <c r="U1143" s="44" t="n"/>
      <c r="V1143" s="44">
        <f>IF(AND(P1143&gt;=Calendar!$K$2,P1143&lt;EDATE(Calendar!$K$2,1),OR(Calendar!$K$4="*",N1143=Calendar!$K$4)),P1143*100+COUNTIFS($P$6:$P$3271,P1143,$Q$6:$Q$3271,"&lt;="&amp;Q1143,$N$6:$N$3271,Calendar!$K$4),"")</f>
        <v/>
      </c>
      <c r="W1143" s="44">
        <f>IF(AND(B1143=Queue!$C$4,OR(Queue!$K$4="*",N1143=Queue!$K$4)),Q1143,"")</f>
        <v/>
      </c>
    </row>
    <row r="1144">
      <c r="A1144" s="35">
        <f>IF(M1144="","",HYPERLINK("https://www.youtube.com/watch?v="&amp;M1144,"▶"))</f>
        <v/>
      </c>
      <c r="B1144" s="36">
        <f>IF(C1144&lt;&gt;"",C1144,IF(P1144&lt;=IFERROR(INDEX(tblChannels[Watched Through],MATCH(N1144,tblChannels[Channel ID],0)),0),"Watched","Unwatched"))</f>
        <v/>
      </c>
      <c r="C1144" s="37" t="n"/>
      <c r="D1144" s="38" t="n"/>
      <c r="E1144" s="39" t="n">
        <v>44694.41666666666</v>
      </c>
      <c r="F1144" s="40" t="inlineStr">
        <is>
          <t>Popcorn Culture</t>
        </is>
      </c>
      <c r="G1144" t="inlineStr">
        <is>
          <t>The Truth About Kim Kardashian | Popcorn Culture</t>
        </is>
      </c>
      <c r="H1144" s="41" t="n">
        <v>0.05596064814814815</v>
      </c>
      <c r="I1144" s="42" t="n">
        <v>8437</v>
      </c>
      <c r="J1144" s="42" t="n">
        <v>404</v>
      </c>
      <c r="K1144" s="42" t="n">
        <v>59</v>
      </c>
      <c r="L1144" s="43" t="n"/>
      <c r="M1144" s="44" t="n"/>
      <c r="N1144" s="44" t="inlineStr">
        <is>
          <t>UCHfIbq9thHPC8yrKjAdJgDA</t>
        </is>
      </c>
      <c r="O1144" s="45" t="n">
        <v>44694.58333333334</v>
      </c>
      <c r="P1144" s="46" t="n">
        <v>44694</v>
      </c>
      <c r="Q1144" s="44" t="n">
        <v>2128</v>
      </c>
      <c r="R1144" s="44" t="inlineStr">
        <is>
          <t>No Video ID yet</t>
        </is>
      </c>
      <c r="S1144" s="46" t="n"/>
      <c r="T1144" s="46" t="n"/>
      <c r="U1144" s="44" t="n"/>
      <c r="V1144" s="44">
        <f>IF(AND(P1144&gt;=Calendar!$K$2,P1144&lt;EDATE(Calendar!$K$2,1),OR(Calendar!$K$4="*",N1144=Calendar!$K$4)),P1144*100+COUNTIFS($P$6:$P$3271,P1144,$Q$6:$Q$3271,"&lt;="&amp;Q1144,$N$6:$N$3271,Calendar!$K$4),"")</f>
        <v/>
      </c>
      <c r="W1144" s="44">
        <f>IF(AND(B1144=Queue!$C$4,OR(Queue!$K$4="*",N1144=Queue!$K$4)),Q1144,"")</f>
        <v/>
      </c>
    </row>
    <row r="1145">
      <c r="A1145" s="35">
        <f>IF(M1145="","",HYPERLINK("https://www.youtube.com/watch?v="&amp;M1145,"▶"))</f>
        <v/>
      </c>
      <c r="B1145" s="36">
        <f>IF(C1145&lt;&gt;"",C1145,IF(P1145&lt;=IFERROR(INDEX(tblChannels[Watched Through],MATCH(N1145,tblChannels[Channel ID],0)),0),"Watched","Unwatched"))</f>
        <v/>
      </c>
      <c r="C1145" s="37" t="n"/>
      <c r="D1145" s="38" t="n"/>
      <c r="E1145" s="39" t="n">
        <v>44693.66597222222</v>
      </c>
      <c r="F1145" s="47" t="inlineStr">
        <is>
          <t>Super Carlin Brothers</t>
        </is>
      </c>
      <c r="G1145" t="inlineStr">
        <is>
          <t>Top UNANSWERED Questions from Doctor Strange Multiverse of Madness | Marvel Film Theory</t>
        </is>
      </c>
      <c r="H1145" s="41" t="n">
        <v>0.01128472222222222</v>
      </c>
      <c r="I1145" s="42" t="n">
        <v>141268</v>
      </c>
      <c r="J1145" s="42" t="n">
        <v>6790</v>
      </c>
      <c r="K1145" s="42" t="n">
        <v>641</v>
      </c>
      <c r="L1145" s="43" t="n"/>
      <c r="M1145" s="44" t="n"/>
      <c r="N1145" s="44" t="inlineStr">
        <is>
          <t>UCKZo4N0lVPccBkSiuyVh4yg</t>
        </is>
      </c>
      <c r="O1145" s="45" t="n">
        <v>44693.83263888889</v>
      </c>
      <c r="P1145" s="46" t="n">
        <v>44693</v>
      </c>
      <c r="Q1145" s="44" t="n">
        <v>2127</v>
      </c>
      <c r="R1145" s="44" t="inlineStr">
        <is>
          <t>No Video ID yet</t>
        </is>
      </c>
      <c r="S1145" s="46" t="n"/>
      <c r="T1145" s="46" t="n"/>
      <c r="U1145" s="44" t="n"/>
      <c r="V1145" s="44">
        <f>IF(AND(P1145&gt;=Calendar!$K$2,P1145&lt;EDATE(Calendar!$K$2,1),OR(Calendar!$K$4="*",N1145=Calendar!$K$4)),P1145*100+COUNTIFS($P$6:$P$3271,P1145,$Q$6:$Q$3271,"&lt;="&amp;Q1145,$N$6:$N$3271,Calendar!$K$4),"")</f>
        <v/>
      </c>
      <c r="W1145" s="44">
        <f>IF(AND(B1145=Queue!$C$4,OR(Queue!$K$4="*",N1145=Queue!$K$4)),Q1145,"")</f>
        <v/>
      </c>
    </row>
    <row r="1146">
      <c r="A1146" s="35">
        <f>IF(M1146="","",HYPERLINK("https://www.youtube.com/watch?v="&amp;M1146,"▶"))</f>
        <v/>
      </c>
      <c r="B1146" s="36">
        <f>IF(C1146&lt;&gt;"",C1146,IF(P1146&lt;=IFERROR(INDEX(tblChannels[Watched Through],MATCH(N1146,tblChannels[Channel ID],0)),0),"Watched","Unwatched"))</f>
        <v/>
      </c>
      <c r="C1146" s="37" t="n"/>
      <c r="D1146" s="38" t="n"/>
      <c r="E1146" s="39" t="n">
        <v>44692.625</v>
      </c>
      <c r="F1146" s="49" t="inlineStr">
        <is>
          <t>Super Carlin Gaming</t>
        </is>
      </c>
      <c r="G1146" t="inlineStr">
        <is>
          <t>VENGEANCE On Aipom Hill |  Pokémon Legends: Arceus Nuzlocke #11</t>
        </is>
      </c>
      <c r="H1146" s="41" t="n">
        <v>0.02590277777777778</v>
      </c>
      <c r="I1146" s="42" t="n">
        <v>7470</v>
      </c>
      <c r="J1146" s="42" t="n">
        <v>464</v>
      </c>
      <c r="K1146" s="42" t="n">
        <v>123</v>
      </c>
      <c r="L1146" s="43" t="n"/>
      <c r="M1146" s="44" t="n"/>
      <c r="N1146" s="44" t="inlineStr">
        <is>
          <t>UCor_9jRnNNZVzTuQ92PKsaQ</t>
        </is>
      </c>
      <c r="O1146" s="45" t="n">
        <v>44692.79166666666</v>
      </c>
      <c r="P1146" s="46" t="n">
        <v>44692</v>
      </c>
      <c r="Q1146" s="44" t="n">
        <v>2126</v>
      </c>
      <c r="R1146" s="44" t="inlineStr">
        <is>
          <t>No Video ID yet</t>
        </is>
      </c>
      <c r="S1146" s="46" t="n"/>
      <c r="T1146" s="46" t="n"/>
      <c r="U1146" s="44" t="n"/>
      <c r="V1146" s="44">
        <f>IF(AND(P1146&gt;=Calendar!$K$2,P1146&lt;EDATE(Calendar!$K$2,1),OR(Calendar!$K$4="*",N1146=Calendar!$K$4)),P1146*100+COUNTIFS($P$6:$P$3271,P1146,$Q$6:$Q$3271,"&lt;="&amp;Q1146,$N$6:$N$3271,Calendar!$K$4),"")</f>
        <v/>
      </c>
      <c r="W1146" s="44">
        <f>IF(AND(B1146=Queue!$C$4,OR(Queue!$K$4="*",N1146=Queue!$K$4)),Q1146,"")</f>
        <v/>
      </c>
    </row>
    <row r="1147">
      <c r="A1147" s="35">
        <f>IF(M1147="","",HYPERLINK("https://www.youtube.com/watch?v="&amp;M1147,"▶"))</f>
        <v/>
      </c>
      <c r="B1147" s="36">
        <f>IF(C1147&lt;&gt;"",C1147,IF(P1147&lt;=IFERROR(INDEX(tblChannels[Watched Through],MATCH(N1147,tblChannels[Channel ID],0)),0),"Watched","Unwatched"))</f>
        <v/>
      </c>
      <c r="C1147" s="37" t="n"/>
      <c r="D1147" s="38" t="n"/>
      <c r="E1147" s="39" t="n">
        <v>44691.67708333334</v>
      </c>
      <c r="F1147" s="47" t="inlineStr">
        <is>
          <t>Super Carlin Brothers</t>
        </is>
      </c>
      <c r="G1147" t="inlineStr">
        <is>
          <t>Doctor Strange in the Multiverse of Madness Spoiler REVIEW</t>
        </is>
      </c>
      <c r="H1147" s="41" t="n">
        <v>0.03887731481481482</v>
      </c>
      <c r="I1147" s="42" t="n">
        <v>178361</v>
      </c>
      <c r="J1147" s="42" t="n">
        <v>6788</v>
      </c>
      <c r="K1147" s="42" t="n">
        <v>1176</v>
      </c>
      <c r="L1147" s="43" t="n"/>
      <c r="M1147" s="44" t="n"/>
      <c r="N1147" s="44" t="inlineStr">
        <is>
          <t>UCKZo4N0lVPccBkSiuyVh4yg</t>
        </is>
      </c>
      <c r="O1147" s="45" t="n">
        <v>44691.84375</v>
      </c>
      <c r="P1147" s="46" t="n">
        <v>44691</v>
      </c>
      <c r="Q1147" s="44" t="n">
        <v>2125</v>
      </c>
      <c r="R1147" s="44" t="inlineStr">
        <is>
          <t>No Video ID yet</t>
        </is>
      </c>
      <c r="S1147" s="46" t="n"/>
      <c r="T1147" s="46" t="n"/>
      <c r="U1147" s="44" t="n"/>
      <c r="V1147" s="44">
        <f>IF(AND(P1147&gt;=Calendar!$K$2,P1147&lt;EDATE(Calendar!$K$2,1),OR(Calendar!$K$4="*",N1147=Calendar!$K$4)),P1147*100+COUNTIFS($P$6:$P$3271,P1147,$Q$6:$Q$3271,"&lt;="&amp;Q1147,$N$6:$N$3271,Calendar!$K$4),"")</f>
        <v/>
      </c>
      <c r="W1147" s="44">
        <f>IF(AND(B1147=Queue!$C$4,OR(Queue!$K$4="*",N1147=Queue!$K$4)),Q1147,"")</f>
        <v/>
      </c>
    </row>
    <row r="1148">
      <c r="A1148" s="35">
        <f>IF(M1148="","",HYPERLINK("https://www.youtube.com/watch?v="&amp;M1148,"▶"))</f>
        <v/>
      </c>
      <c r="B1148" s="36">
        <f>IF(C1148&lt;&gt;"",C1148,IF(P1148&lt;=IFERROR(INDEX(tblChannels[Watched Through],MATCH(N1148,tblChannels[Channel ID],0)),0),"Watched","Unwatched"))</f>
        <v/>
      </c>
      <c r="C1148" s="37" t="n"/>
      <c r="D1148" s="38" t="n"/>
      <c r="E1148" s="39" t="n">
        <v>44690.625</v>
      </c>
      <c r="F1148" s="50" t="inlineStr">
        <is>
          <t>Jonathan Carlin</t>
        </is>
      </c>
      <c r="G1148" t="inlineStr">
        <is>
          <t>I Rode My Peloton Bike for 30 Day in a Row - Here's What Happened</t>
        </is>
      </c>
      <c r="H1148" s="41" t="n">
        <v>0.01515046296296296</v>
      </c>
      <c r="I1148" s="42" t="n">
        <v>52822</v>
      </c>
      <c r="J1148" s="42" t="n">
        <v>1333</v>
      </c>
      <c r="K1148" s="42" t="n">
        <v>84</v>
      </c>
      <c r="L1148" s="43" t="n"/>
      <c r="M1148" s="44" t="n"/>
      <c r="N1148" s="44" t="inlineStr">
        <is>
          <t>UCYPKFe86e6nm4TVUYKLsFUQ</t>
        </is>
      </c>
      <c r="O1148" s="45" t="n">
        <v>44690.79166666666</v>
      </c>
      <c r="P1148" s="46" t="n">
        <v>44690</v>
      </c>
      <c r="Q1148" s="44" t="n">
        <v>2124</v>
      </c>
      <c r="R1148" s="44" t="inlineStr">
        <is>
          <t>No Video ID yet</t>
        </is>
      </c>
      <c r="S1148" s="46" t="n"/>
      <c r="T1148" s="46" t="n"/>
      <c r="U1148" s="44" t="n"/>
      <c r="V1148" s="44">
        <f>IF(AND(P1148&gt;=Calendar!$K$2,P1148&lt;EDATE(Calendar!$K$2,1),OR(Calendar!$K$4="*",N1148=Calendar!$K$4)),P1148*100+COUNTIFS($P$6:$P$3271,P1148,$Q$6:$Q$3271,"&lt;="&amp;Q1148,$N$6:$N$3271,Calendar!$K$4),"")</f>
        <v/>
      </c>
      <c r="W1148" s="44">
        <f>IF(AND(B1148=Queue!$C$4,OR(Queue!$K$4="*",N1148=Queue!$K$4)),Q1148,"")</f>
        <v/>
      </c>
    </row>
    <row r="1149">
      <c r="A1149" s="35">
        <f>IF(M1149="","",HYPERLINK("https://www.youtube.com/watch?v="&amp;M1149,"▶"))</f>
        <v/>
      </c>
      <c r="B1149" s="36">
        <f>IF(C1149&lt;&gt;"",C1149,IF(P1149&lt;=IFERROR(INDEX(tblChannels[Watched Through],MATCH(N1149,tblChannels[Channel ID],0)),0),"Watched","Unwatched"))</f>
        <v/>
      </c>
      <c r="C1149" s="37" t="n"/>
      <c r="D1149" s="38" t="n"/>
      <c r="E1149" s="39" t="n">
        <v>44687.5</v>
      </c>
      <c r="F1149" s="51" t="inlineStr">
        <is>
          <t>With the Carlins</t>
        </is>
      </c>
      <c r="G1149" t="inlineStr">
        <is>
          <t>Coolest Airbnb In The World</t>
        </is>
      </c>
      <c r="H1149" s="41" t="n">
        <v>0.01489583333333333</v>
      </c>
      <c r="I1149" s="42" t="n">
        <v>14368</v>
      </c>
      <c r="J1149" s="42" t="n">
        <v>890</v>
      </c>
      <c r="K1149" s="42" t="n">
        <v>71</v>
      </c>
      <c r="L1149" s="43" t="n"/>
      <c r="M1149" s="44" t="n"/>
      <c r="N1149" s="44" t="inlineStr">
        <is>
          <t>UCVBTjN9WJU5Ac8yU7b2K-5g</t>
        </is>
      </c>
      <c r="O1149" s="45" t="n">
        <v>44687.66666666666</v>
      </c>
      <c r="P1149" s="46" t="n">
        <v>44687</v>
      </c>
      <c r="Q1149" s="44" t="n">
        <v>2123</v>
      </c>
      <c r="R1149" s="44" t="inlineStr">
        <is>
          <t>No Video ID yet</t>
        </is>
      </c>
      <c r="S1149" s="46" t="n"/>
      <c r="T1149" s="46" t="n"/>
      <c r="U1149" s="44" t="n"/>
      <c r="V1149" s="44">
        <f>IF(AND(P1149&gt;=Calendar!$K$2,P1149&lt;EDATE(Calendar!$K$2,1),OR(Calendar!$K$4="*",N1149=Calendar!$K$4)),P1149*100+COUNTIFS($P$6:$P$3271,P1149,$Q$6:$Q$3271,"&lt;="&amp;Q1149,$N$6:$N$3271,Calendar!$K$4),"")</f>
        <v/>
      </c>
      <c r="W1149" s="44">
        <f>IF(AND(B1149=Queue!$C$4,OR(Queue!$K$4="*",N1149=Queue!$K$4)),Q1149,"")</f>
        <v/>
      </c>
    </row>
    <row r="1150">
      <c r="A1150" s="35">
        <f>IF(M1150="","",HYPERLINK("https://www.youtube.com/watch?v="&amp;M1150,"▶"))</f>
        <v/>
      </c>
      <c r="B1150" s="36">
        <f>IF(C1150&lt;&gt;"",C1150,IF(P1150&lt;=IFERROR(INDEX(tblChannels[Watched Through],MATCH(N1150,tblChannels[Channel ID],0)),0),"Watched","Unwatched"))</f>
        <v/>
      </c>
      <c r="C1150" s="37" t="n"/>
      <c r="D1150" s="38" t="n"/>
      <c r="E1150" s="39" t="n">
        <v>44687.41666666666</v>
      </c>
      <c r="F1150" s="40" t="inlineStr">
        <is>
          <t>Popcorn Culture</t>
        </is>
      </c>
      <c r="G1150" t="inlineStr">
        <is>
          <t>WE WON THE ROANOKER | Popcorn Culture</t>
        </is>
      </c>
      <c r="H1150" s="41" t="n">
        <v>0.04704861111111111</v>
      </c>
      <c r="I1150" s="42" t="n">
        <v>7612</v>
      </c>
      <c r="J1150" s="42" t="n">
        <v>454</v>
      </c>
      <c r="K1150" s="42" t="n">
        <v>55</v>
      </c>
      <c r="L1150" s="43" t="n"/>
      <c r="M1150" s="44" t="n"/>
      <c r="N1150" s="44" t="inlineStr">
        <is>
          <t>UCHfIbq9thHPC8yrKjAdJgDA</t>
        </is>
      </c>
      <c r="O1150" s="45" t="n">
        <v>44687.58333333334</v>
      </c>
      <c r="P1150" s="46" t="n">
        <v>44687</v>
      </c>
      <c r="Q1150" s="44" t="n">
        <v>2122</v>
      </c>
      <c r="R1150" s="44" t="inlineStr">
        <is>
          <t>No Video ID yet</t>
        </is>
      </c>
      <c r="S1150" s="46" t="n"/>
      <c r="T1150" s="46" t="n"/>
      <c r="U1150" s="44" t="n"/>
      <c r="V1150" s="44">
        <f>IF(AND(P1150&gt;=Calendar!$K$2,P1150&lt;EDATE(Calendar!$K$2,1),OR(Calendar!$K$4="*",N1150=Calendar!$K$4)),P1150*100+COUNTIFS($P$6:$P$3271,P1150,$Q$6:$Q$3271,"&lt;="&amp;Q1150,$N$6:$N$3271,Calendar!$K$4),"")</f>
        <v/>
      </c>
      <c r="W1150" s="44">
        <f>IF(AND(B1150=Queue!$C$4,OR(Queue!$K$4="*",N1150=Queue!$K$4)),Q1150,"")</f>
        <v/>
      </c>
    </row>
    <row r="1151">
      <c r="A1151" s="35">
        <f>IF(M1151="","",HYPERLINK("https://www.youtube.com/watch?v="&amp;M1151,"▶"))</f>
        <v/>
      </c>
      <c r="B1151" s="36">
        <f>IF(C1151&lt;&gt;"",C1151,IF(P1151&lt;=IFERROR(INDEX(tblChannels[Watched Through],MATCH(N1151,tblChannels[Channel ID],0)),0),"Watched","Unwatched"))</f>
        <v/>
      </c>
      <c r="C1151" s="37" t="n"/>
      <c r="D1151" s="38" t="n"/>
      <c r="E1151" s="39" t="n">
        <v>44686.625</v>
      </c>
      <c r="F1151" s="47" t="inlineStr">
        <is>
          <t>Super Carlin Brothers</t>
        </is>
      </c>
      <c r="G1151" t="inlineStr">
        <is>
          <t>The Lightyear Timeline Makes NO Sense | Pixar Film Theory</t>
        </is>
      </c>
      <c r="H1151" s="41" t="n">
        <v>0.01152777777777778</v>
      </c>
      <c r="I1151" s="42" t="n">
        <v>255942</v>
      </c>
      <c r="J1151" s="42" t="n">
        <v>11354</v>
      </c>
      <c r="K1151" s="42" t="n">
        <v>1926</v>
      </c>
      <c r="L1151" s="43" t="n"/>
      <c r="M1151" s="44" t="n"/>
      <c r="N1151" s="44" t="inlineStr">
        <is>
          <t>UCKZo4N0lVPccBkSiuyVh4yg</t>
        </is>
      </c>
      <c r="O1151" s="45" t="n">
        <v>44686.79166666666</v>
      </c>
      <c r="P1151" s="46" t="n">
        <v>44686</v>
      </c>
      <c r="Q1151" s="44" t="n">
        <v>2121</v>
      </c>
      <c r="R1151" s="44" t="inlineStr">
        <is>
          <t>No Video ID yet</t>
        </is>
      </c>
      <c r="S1151" s="46" t="n"/>
      <c r="T1151" s="46" t="n"/>
      <c r="U1151" s="44" t="n"/>
      <c r="V1151" s="44">
        <f>IF(AND(P1151&gt;=Calendar!$K$2,P1151&lt;EDATE(Calendar!$K$2,1),OR(Calendar!$K$4="*",N1151=Calendar!$K$4)),P1151*100+COUNTIFS($P$6:$P$3271,P1151,$Q$6:$Q$3271,"&lt;="&amp;Q1151,$N$6:$N$3271,Calendar!$K$4),"")</f>
        <v/>
      </c>
      <c r="W1151" s="44">
        <f>IF(AND(B1151=Queue!$C$4,OR(Queue!$K$4="*",N1151=Queue!$K$4)),Q1151,"")</f>
        <v/>
      </c>
    </row>
    <row r="1152">
      <c r="A1152" s="35">
        <f>IF(M1152="","",HYPERLINK("https://www.youtube.com/watch?v="&amp;M1152,"▶"))</f>
        <v/>
      </c>
      <c r="B1152" s="36">
        <f>IF(C1152&lt;&gt;"",C1152,IF(P1152&lt;=IFERROR(INDEX(tblChannels[Watched Through],MATCH(N1152,tblChannels[Channel ID],0)),0),"Watched","Unwatched"))</f>
        <v/>
      </c>
      <c r="C1152" s="37" t="n"/>
      <c r="D1152" s="38" t="n"/>
      <c r="E1152" s="39" t="n">
        <v>44685.625</v>
      </c>
      <c r="F1152" s="49" t="inlineStr">
        <is>
          <t>Super Carlin Gaming</t>
        </is>
      </c>
      <c r="G1152" t="inlineStr">
        <is>
          <t>Prepare For Trouble... And Make It Double |  Pokémon Legends: Arceus Nuzlocke #10</t>
        </is>
      </c>
      <c r="H1152" s="41" t="n">
        <v>0.02855324074074074</v>
      </c>
      <c r="I1152" s="42" t="n">
        <v>8441</v>
      </c>
      <c r="J1152" s="42" t="n">
        <v>472</v>
      </c>
      <c r="K1152" s="42" t="n">
        <v>184</v>
      </c>
      <c r="L1152" s="43" t="n"/>
      <c r="M1152" s="44" t="n"/>
      <c r="N1152" s="44" t="inlineStr">
        <is>
          <t>UCor_9jRnNNZVzTuQ92PKsaQ</t>
        </is>
      </c>
      <c r="O1152" s="45" t="n">
        <v>44685.79166666666</v>
      </c>
      <c r="P1152" s="46" t="n">
        <v>44685</v>
      </c>
      <c r="Q1152" s="44" t="n">
        <v>2120</v>
      </c>
      <c r="R1152" s="44" t="inlineStr">
        <is>
          <t>No Video ID yet</t>
        </is>
      </c>
      <c r="S1152" s="46" t="n"/>
      <c r="T1152" s="46" t="n"/>
      <c r="U1152" s="44" t="n"/>
      <c r="V1152" s="44">
        <f>IF(AND(P1152&gt;=Calendar!$K$2,P1152&lt;EDATE(Calendar!$K$2,1),OR(Calendar!$K$4="*",N1152=Calendar!$K$4)),P1152*100+COUNTIFS($P$6:$P$3271,P1152,$Q$6:$Q$3271,"&lt;="&amp;Q1152,$N$6:$N$3271,Calendar!$K$4),"")</f>
        <v/>
      </c>
      <c r="W1152" s="44">
        <f>IF(AND(B1152=Queue!$C$4,OR(Queue!$K$4="*",N1152=Queue!$K$4)),Q1152,"")</f>
        <v/>
      </c>
    </row>
    <row r="1153">
      <c r="A1153" s="35">
        <f>IF(M1153="","",HYPERLINK("https://www.youtube.com/watch?v="&amp;M1153,"▶"))</f>
        <v/>
      </c>
      <c r="B1153" s="36">
        <f>IF(C1153&lt;&gt;"",C1153,IF(P1153&lt;=IFERROR(INDEX(tblChannels[Watched Through],MATCH(N1153,tblChannels[Channel ID],0)),0),"Watched","Unwatched"))</f>
        <v/>
      </c>
      <c r="C1153" s="37" t="n"/>
      <c r="D1153" s="38" t="n"/>
      <c r="E1153" s="39" t="n">
        <v>44684.66388888889</v>
      </c>
      <c r="F1153" s="47" t="inlineStr">
        <is>
          <t>Super Carlin Brothers</t>
        </is>
      </c>
      <c r="G1153" t="inlineStr">
        <is>
          <t>Who Is Credence’s Mother? | Harry Potter Film Theory</t>
        </is>
      </c>
      <c r="H1153" s="41" t="n">
        <v>0.01210648148148148</v>
      </c>
      <c r="I1153" s="42" t="n">
        <v>297592</v>
      </c>
      <c r="J1153" s="42" t="n">
        <v>11334</v>
      </c>
      <c r="K1153" s="42" t="n">
        <v>916</v>
      </c>
      <c r="L1153" s="43" t="n"/>
      <c r="M1153" s="44" t="n"/>
      <c r="N1153" s="44" t="inlineStr">
        <is>
          <t>UCKZo4N0lVPccBkSiuyVh4yg</t>
        </is>
      </c>
      <c r="O1153" s="45" t="n">
        <v>44684.83055555556</v>
      </c>
      <c r="P1153" s="46" t="n">
        <v>44684</v>
      </c>
      <c r="Q1153" s="44" t="n">
        <v>2119</v>
      </c>
      <c r="R1153" s="44" t="inlineStr">
        <is>
          <t>No Video ID yet</t>
        </is>
      </c>
      <c r="S1153" s="46" t="n"/>
      <c r="T1153" s="46" t="n"/>
      <c r="U1153" s="44" t="n"/>
      <c r="V1153" s="44">
        <f>IF(AND(P1153&gt;=Calendar!$K$2,P1153&lt;EDATE(Calendar!$K$2,1),OR(Calendar!$K$4="*",N1153=Calendar!$K$4)),P1153*100+COUNTIFS($P$6:$P$3271,P1153,$Q$6:$Q$3271,"&lt;="&amp;Q1153,$N$6:$N$3271,Calendar!$K$4),"")</f>
        <v/>
      </c>
      <c r="W1153" s="44">
        <f>IF(AND(B1153=Queue!$C$4,OR(Queue!$K$4="*",N1153=Queue!$K$4)),Q1153,"")</f>
        <v/>
      </c>
    </row>
    <row r="1154">
      <c r="A1154" s="35">
        <f>IF(M1154="","",HYPERLINK("https://www.youtube.com/watch?v="&amp;M1154,"▶"))</f>
        <v/>
      </c>
      <c r="B1154" s="36">
        <f>IF(C1154&lt;&gt;"",C1154,IF(P1154&lt;=IFERROR(INDEX(tblChannels[Watched Through],MATCH(N1154,tblChannels[Channel ID],0)),0),"Watched","Unwatched"))</f>
        <v/>
      </c>
      <c r="C1154" s="37" t="n"/>
      <c r="D1154" s="38" t="n"/>
      <c r="E1154" s="39" t="n">
        <v>44680.5</v>
      </c>
      <c r="F1154" s="51" t="inlineStr">
        <is>
          <t>With the Carlins</t>
        </is>
      </c>
      <c r="G1154" t="inlineStr">
        <is>
          <t>Navigating Life's Daily Obstacles</t>
        </is>
      </c>
      <c r="H1154" s="41" t="n">
        <v>0.01804398148148148</v>
      </c>
      <c r="I1154" s="42" t="n">
        <v>14543</v>
      </c>
      <c r="J1154" s="42" t="n">
        <v>1105</v>
      </c>
      <c r="K1154" s="42" t="n">
        <v>117</v>
      </c>
      <c r="L1154" s="43" t="n"/>
      <c r="M1154" s="44" t="n"/>
      <c r="N1154" s="44" t="inlineStr">
        <is>
          <t>UCVBTjN9WJU5Ac8yU7b2K-5g</t>
        </is>
      </c>
      <c r="O1154" s="45" t="n">
        <v>44680.66666666666</v>
      </c>
      <c r="P1154" s="46" t="n">
        <v>44680</v>
      </c>
      <c r="Q1154" s="44" t="n">
        <v>2118</v>
      </c>
      <c r="R1154" s="44" t="inlineStr">
        <is>
          <t>No Video ID yet</t>
        </is>
      </c>
      <c r="S1154" s="46" t="n"/>
      <c r="T1154" s="46" t="n"/>
      <c r="U1154" s="44" t="n"/>
      <c r="V1154" s="44">
        <f>IF(AND(P1154&gt;=Calendar!$K$2,P1154&lt;EDATE(Calendar!$K$2,1),OR(Calendar!$K$4="*",N1154=Calendar!$K$4)),P1154*100+COUNTIFS($P$6:$P$3271,P1154,$Q$6:$Q$3271,"&lt;="&amp;Q1154,$N$6:$N$3271,Calendar!$K$4),"")</f>
        <v/>
      </c>
      <c r="W1154" s="44">
        <f>IF(AND(B1154=Queue!$C$4,OR(Queue!$K$4="*",N1154=Queue!$K$4)),Q1154,"")</f>
        <v/>
      </c>
    </row>
    <row r="1155">
      <c r="A1155" s="35">
        <f>IF(M1155="","",HYPERLINK("https://www.youtube.com/watch?v="&amp;M1155,"▶"))</f>
        <v/>
      </c>
      <c r="B1155" s="36">
        <f>IF(C1155&lt;&gt;"",C1155,IF(P1155&lt;=IFERROR(INDEX(tblChannels[Watched Through],MATCH(N1155,tblChannels[Channel ID],0)),0),"Watched","Unwatched"))</f>
        <v/>
      </c>
      <c r="C1155" s="37" t="n"/>
      <c r="D1155" s="38" t="n"/>
      <c r="E1155" s="39" t="n">
        <v>44680.41666666666</v>
      </c>
      <c r="F1155" s="40" t="inlineStr">
        <is>
          <t>Popcorn Culture</t>
        </is>
      </c>
      <c r="G1155" t="inlineStr">
        <is>
          <t>Bubbles For Adults | Popcorn Culture</t>
        </is>
      </c>
      <c r="H1155" s="41" t="n">
        <v>0.04422453703703703</v>
      </c>
      <c r="I1155" s="42" t="n">
        <v>8014</v>
      </c>
      <c r="J1155" s="42" t="n">
        <v>392</v>
      </c>
      <c r="K1155" s="42" t="n">
        <v>42</v>
      </c>
      <c r="L1155" s="43" t="n"/>
      <c r="M1155" s="44" t="n"/>
      <c r="N1155" s="44" t="inlineStr">
        <is>
          <t>UCHfIbq9thHPC8yrKjAdJgDA</t>
        </is>
      </c>
      <c r="O1155" s="45" t="n">
        <v>44680.58333333334</v>
      </c>
      <c r="P1155" s="46" t="n">
        <v>44680</v>
      </c>
      <c r="Q1155" s="44" t="n">
        <v>2117</v>
      </c>
      <c r="R1155" s="44" t="inlineStr">
        <is>
          <t>No Video ID yet</t>
        </is>
      </c>
      <c r="S1155" s="46" t="n"/>
      <c r="T1155" s="46" t="n"/>
      <c r="U1155" s="44" t="n"/>
      <c r="V1155" s="44">
        <f>IF(AND(P1155&gt;=Calendar!$K$2,P1155&lt;EDATE(Calendar!$K$2,1),OR(Calendar!$K$4="*",N1155=Calendar!$K$4)),P1155*100+COUNTIFS($P$6:$P$3271,P1155,$Q$6:$Q$3271,"&lt;="&amp;Q1155,$N$6:$N$3271,Calendar!$K$4),"")</f>
        <v/>
      </c>
      <c r="W1155" s="44">
        <f>IF(AND(B1155=Queue!$C$4,OR(Queue!$K$4="*",N1155=Queue!$K$4)),Q1155,"")</f>
        <v/>
      </c>
    </row>
    <row r="1156">
      <c r="A1156" s="35">
        <f>IF(M1156="","",HYPERLINK("https://www.youtube.com/watch?v="&amp;M1156,"▶"))</f>
        <v/>
      </c>
      <c r="B1156" s="36">
        <f>IF(C1156&lt;&gt;"",C1156,IF(P1156&lt;=IFERROR(INDEX(tblChannels[Watched Through],MATCH(N1156,tblChannels[Channel ID],0)),0),"Watched","Unwatched"))</f>
        <v/>
      </c>
      <c r="C1156" s="37" t="n"/>
      <c r="D1156" s="38" t="n"/>
      <c r="E1156" s="39" t="n">
        <v>44679.79305555556</v>
      </c>
      <c r="F1156" s="47" t="inlineStr">
        <is>
          <t>Super Carlin Brothers</t>
        </is>
      </c>
      <c r="G1156" t="inlineStr">
        <is>
          <t>We Rank EVERY Pixar Movie | J vs Ben: Tier List</t>
        </is>
      </c>
      <c r="H1156" s="41" t="n">
        <v>0.05034722222222222</v>
      </c>
      <c r="I1156" s="42" t="n">
        <v>372131</v>
      </c>
      <c r="J1156" s="42" t="n">
        <v>8153</v>
      </c>
      <c r="K1156" s="42" t="n">
        <v>925</v>
      </c>
      <c r="L1156" s="43" t="n"/>
      <c r="M1156" s="44" t="n"/>
      <c r="N1156" s="44" t="inlineStr">
        <is>
          <t>UCKZo4N0lVPccBkSiuyVh4yg</t>
        </is>
      </c>
      <c r="O1156" s="45" t="n">
        <v>44679.95972222222</v>
      </c>
      <c r="P1156" s="46" t="n">
        <v>44679</v>
      </c>
      <c r="Q1156" s="44" t="n">
        <v>2116</v>
      </c>
      <c r="R1156" s="44" t="inlineStr">
        <is>
          <t>No Video ID yet</t>
        </is>
      </c>
      <c r="S1156" s="46" t="n"/>
      <c r="T1156" s="46" t="n"/>
      <c r="U1156" s="44" t="n"/>
      <c r="V1156" s="44">
        <f>IF(AND(P1156&gt;=Calendar!$K$2,P1156&lt;EDATE(Calendar!$K$2,1),OR(Calendar!$K$4="*",N1156=Calendar!$K$4)),P1156*100+COUNTIFS($P$6:$P$3271,P1156,$Q$6:$Q$3271,"&lt;="&amp;Q1156,$N$6:$N$3271,Calendar!$K$4),"")</f>
        <v/>
      </c>
      <c r="W1156" s="44">
        <f>IF(AND(B1156=Queue!$C$4,OR(Queue!$K$4="*",N1156=Queue!$K$4)),Q1156,"")</f>
        <v/>
      </c>
    </row>
    <row r="1157">
      <c r="A1157" s="35">
        <f>IF(M1157="","",HYPERLINK("https://www.youtube.com/watch?v="&amp;M1157,"▶"))</f>
        <v/>
      </c>
      <c r="B1157" s="36">
        <f>IF(C1157&lt;&gt;"",C1157,IF(P1157&lt;=IFERROR(INDEX(tblChannels[Watched Through],MATCH(N1157,tblChannels[Channel ID],0)),0),"Watched","Unwatched"))</f>
        <v/>
      </c>
      <c r="C1157" s="37" t="n"/>
      <c r="D1157" s="38" t="n"/>
      <c r="E1157" s="39" t="n">
        <v>44678.625</v>
      </c>
      <c r="F1157" s="49" t="inlineStr">
        <is>
          <t>Super Carlin Gaming</t>
        </is>
      </c>
      <c r="G1157" t="inlineStr">
        <is>
          <t>THE GREAT SCORPION HUNT |  Pokémon Legends: Arceus Nuzlocke #9</t>
        </is>
      </c>
      <c r="H1157" s="41" t="n">
        <v>0.02314814814814815</v>
      </c>
      <c r="I1157" s="42" t="n">
        <v>8251</v>
      </c>
      <c r="J1157" s="42" t="n">
        <v>501</v>
      </c>
      <c r="K1157" s="42" t="n">
        <v>185</v>
      </c>
      <c r="L1157" s="43" t="n"/>
      <c r="M1157" s="44" t="n"/>
      <c r="N1157" s="44" t="inlineStr">
        <is>
          <t>UCor_9jRnNNZVzTuQ92PKsaQ</t>
        </is>
      </c>
      <c r="O1157" s="45" t="n">
        <v>44678.79166666666</v>
      </c>
      <c r="P1157" s="46" t="n">
        <v>44678</v>
      </c>
      <c r="Q1157" s="44" t="n">
        <v>2115</v>
      </c>
      <c r="R1157" s="44" t="inlineStr">
        <is>
          <t>No Video ID yet</t>
        </is>
      </c>
      <c r="S1157" s="46" t="n"/>
      <c r="T1157" s="46" t="n"/>
      <c r="U1157" s="44" t="n"/>
      <c r="V1157" s="44">
        <f>IF(AND(P1157&gt;=Calendar!$K$2,P1157&lt;EDATE(Calendar!$K$2,1),OR(Calendar!$K$4="*",N1157=Calendar!$K$4)),P1157*100+COUNTIFS($P$6:$P$3271,P1157,$Q$6:$Q$3271,"&lt;="&amp;Q1157,$N$6:$N$3271,Calendar!$K$4),"")</f>
        <v/>
      </c>
      <c r="W1157" s="44">
        <f>IF(AND(B1157=Queue!$C$4,OR(Queue!$K$4="*",N1157=Queue!$K$4)),Q1157,"")</f>
        <v/>
      </c>
    </row>
    <row r="1158">
      <c r="A1158" s="35">
        <f>IF(M1158="","",HYPERLINK("https://www.youtube.com/watch?v="&amp;M1158,"▶"))</f>
        <v/>
      </c>
      <c r="B1158" s="36">
        <f>IF(C1158&lt;&gt;"",C1158,IF(P1158&lt;=IFERROR(INDEX(tblChannels[Watched Through],MATCH(N1158,tblChannels[Channel ID],0)),0),"Watched","Unwatched"))</f>
        <v/>
      </c>
      <c r="C1158" s="37" t="n"/>
      <c r="D1158" s="38" t="n"/>
      <c r="E1158" s="39" t="n">
        <v>44677.75</v>
      </c>
      <c r="F1158" s="50" t="inlineStr">
        <is>
          <t>Jonathan Carlin</t>
        </is>
      </c>
      <c r="G1158" t="inlineStr">
        <is>
          <t>The One In The Room Where It Happens!</t>
        </is>
      </c>
      <c r="H1158" s="41" t="n">
        <v>0.01204861111111111</v>
      </c>
      <c r="I1158" s="42" t="n">
        <v>13402</v>
      </c>
      <c r="J1158" s="42" t="n">
        <v>873</v>
      </c>
      <c r="K1158" s="42" t="n">
        <v>59</v>
      </c>
      <c r="L1158" s="43" t="n"/>
      <c r="M1158" s="44" t="n"/>
      <c r="N1158" s="44" t="inlineStr">
        <is>
          <t>UCYPKFe86e6nm4TVUYKLsFUQ</t>
        </is>
      </c>
      <c r="O1158" s="45" t="n">
        <v>44677.91666666666</v>
      </c>
      <c r="P1158" s="46" t="n">
        <v>44677</v>
      </c>
      <c r="Q1158" s="44" t="n">
        <v>2114</v>
      </c>
      <c r="R1158" s="44" t="inlineStr">
        <is>
          <t>No Video ID yet</t>
        </is>
      </c>
      <c r="S1158" s="46" t="n"/>
      <c r="T1158" s="46" t="n"/>
      <c r="U1158" s="44" t="n"/>
      <c r="V1158" s="44">
        <f>IF(AND(P1158&gt;=Calendar!$K$2,P1158&lt;EDATE(Calendar!$K$2,1),OR(Calendar!$K$4="*",N1158=Calendar!$K$4)),P1158*100+COUNTIFS($P$6:$P$3271,P1158,$Q$6:$Q$3271,"&lt;="&amp;Q1158,$N$6:$N$3271,Calendar!$K$4),"")</f>
        <v/>
      </c>
      <c r="W1158" s="44">
        <f>IF(AND(B1158=Queue!$C$4,OR(Queue!$K$4="*",N1158=Queue!$K$4)),Q1158,"")</f>
        <v/>
      </c>
    </row>
    <row r="1159">
      <c r="A1159" s="35">
        <f>IF(M1159="","",HYPERLINK("https://www.youtube.com/watch?v="&amp;M1159,"▶"))</f>
        <v/>
      </c>
      <c r="B1159" s="36">
        <f>IF(C1159&lt;&gt;"",C1159,IF(P1159&lt;=IFERROR(INDEX(tblChannels[Watched Through],MATCH(N1159,tblChannels[Channel ID],0)),0),"Watched","Unwatched"))</f>
        <v/>
      </c>
      <c r="C1159" s="37" t="n"/>
      <c r="D1159" s="38" t="n"/>
      <c r="E1159" s="39" t="n">
        <v>44677.69652777778</v>
      </c>
      <c r="F1159" s="47" t="inlineStr">
        <is>
          <t>Super Carlin Brothers</t>
        </is>
      </c>
      <c r="G1159" t="inlineStr">
        <is>
          <t>The Elder Wand Has A BROTHER | Harry Potter Film Theory</t>
        </is>
      </c>
      <c r="H1159" s="41" t="n">
        <v>0.01050925925925926</v>
      </c>
      <c r="I1159" s="42" t="n">
        <v>680607</v>
      </c>
      <c r="J1159" s="42" t="n">
        <v>20875</v>
      </c>
      <c r="K1159" s="42" t="n">
        <v>1694</v>
      </c>
      <c r="L1159" s="43" t="n"/>
      <c r="M1159" s="44" t="n"/>
      <c r="N1159" s="44" t="inlineStr">
        <is>
          <t>UCKZo4N0lVPccBkSiuyVh4yg</t>
        </is>
      </c>
      <c r="O1159" s="45" t="n">
        <v>44677.86319444444</v>
      </c>
      <c r="P1159" s="46" t="n">
        <v>44677</v>
      </c>
      <c r="Q1159" s="44" t="n">
        <v>2113</v>
      </c>
      <c r="R1159" s="44" t="inlineStr">
        <is>
          <t>No Video ID yet</t>
        </is>
      </c>
      <c r="S1159" s="46" t="n"/>
      <c r="T1159" s="46" t="n"/>
      <c r="U1159" s="44" t="n"/>
      <c r="V1159" s="44">
        <f>IF(AND(P1159&gt;=Calendar!$K$2,P1159&lt;EDATE(Calendar!$K$2,1),OR(Calendar!$K$4="*",N1159=Calendar!$K$4)),P1159*100+COUNTIFS($P$6:$P$3271,P1159,$Q$6:$Q$3271,"&lt;="&amp;Q1159,$N$6:$N$3271,Calendar!$K$4),"")</f>
        <v/>
      </c>
      <c r="W1159" s="44">
        <f>IF(AND(B1159=Queue!$C$4,OR(Queue!$K$4="*",N1159=Queue!$K$4)),Q1159,"")</f>
        <v/>
      </c>
    </row>
    <row r="1160">
      <c r="A1160" s="35">
        <f>IF(M1160="","",HYPERLINK("https://www.youtube.com/watch?v="&amp;M1160,"▶"))</f>
        <v/>
      </c>
      <c r="B1160" s="36">
        <f>IF(C1160&lt;&gt;"",C1160,IF(P1160&lt;=IFERROR(INDEX(tblChannels[Watched Through],MATCH(N1160,tblChannels[Channel ID],0)),0),"Watched","Unwatched"))</f>
        <v/>
      </c>
      <c r="C1160" s="37" t="n"/>
      <c r="D1160" s="38" t="n"/>
      <c r="E1160" s="39" t="n">
        <v>44673.41666666666</v>
      </c>
      <c r="F1160" s="40" t="inlineStr">
        <is>
          <t>Popcorn Culture</t>
        </is>
      </c>
      <c r="G1160" t="inlineStr">
        <is>
          <t>Ninjas vs. Aliens | Popcorn Culture</t>
        </is>
      </c>
      <c r="H1160" s="41" t="n">
        <v>0.0461574074074074</v>
      </c>
      <c r="I1160" s="42" t="n">
        <v>7058</v>
      </c>
      <c r="J1160" s="42" t="n">
        <v>349</v>
      </c>
      <c r="K1160" s="42" t="n">
        <v>26</v>
      </c>
      <c r="L1160" s="43" t="n"/>
      <c r="M1160" s="44" t="n"/>
      <c r="N1160" s="44" t="inlineStr">
        <is>
          <t>UCHfIbq9thHPC8yrKjAdJgDA</t>
        </is>
      </c>
      <c r="O1160" s="45" t="n">
        <v>44673.58333333334</v>
      </c>
      <c r="P1160" s="46" t="n">
        <v>44673</v>
      </c>
      <c r="Q1160" s="44" t="n">
        <v>2112</v>
      </c>
      <c r="R1160" s="44" t="inlineStr">
        <is>
          <t>No Video ID yet</t>
        </is>
      </c>
      <c r="S1160" s="46" t="n"/>
      <c r="T1160" s="46" t="n"/>
      <c r="U1160" s="44" t="n"/>
      <c r="V1160" s="44">
        <f>IF(AND(P1160&gt;=Calendar!$K$2,P1160&lt;EDATE(Calendar!$K$2,1),OR(Calendar!$K$4="*",N1160=Calendar!$K$4)),P1160*100+COUNTIFS($P$6:$P$3271,P1160,$Q$6:$Q$3271,"&lt;="&amp;Q1160,$N$6:$N$3271,Calendar!$K$4),"")</f>
        <v/>
      </c>
      <c r="W1160" s="44">
        <f>IF(AND(B1160=Queue!$C$4,OR(Queue!$K$4="*",N1160=Queue!$K$4)),Q1160,"")</f>
        <v/>
      </c>
    </row>
    <row r="1161">
      <c r="A1161" s="35">
        <f>IF(M1161="","",HYPERLINK("https://www.youtube.com/watch?v="&amp;M1161,"▶"))</f>
        <v/>
      </c>
      <c r="B1161" s="36">
        <f>IF(C1161&lt;&gt;"",C1161,IF(P1161&lt;=IFERROR(INDEX(tblChannels[Watched Through],MATCH(N1161,tblChannels[Channel ID],0)),0),"Watched","Unwatched"))</f>
        <v/>
      </c>
      <c r="C1161" s="37" t="n"/>
      <c r="D1161" s="38" t="n"/>
      <c r="E1161" s="39" t="n">
        <v>44672.70347222222</v>
      </c>
      <c r="F1161" s="47" t="inlineStr">
        <is>
          <t>Super Carlin Brothers</t>
        </is>
      </c>
      <c r="G1161" t="inlineStr">
        <is>
          <t>The TRUTH About Thor's New Eyes | Marvel Love &amp; Thunder Film Theory</t>
        </is>
      </c>
      <c r="H1161" s="41" t="n">
        <v>0.0137037037037037</v>
      </c>
      <c r="I1161" s="42" t="n">
        <v>193355</v>
      </c>
      <c r="J1161" s="42" t="n">
        <v>7718</v>
      </c>
      <c r="K1161" s="42" t="n">
        <v>477</v>
      </c>
      <c r="L1161" s="43" t="n"/>
      <c r="M1161" s="44" t="n"/>
      <c r="N1161" s="44" t="inlineStr">
        <is>
          <t>UCKZo4N0lVPccBkSiuyVh4yg</t>
        </is>
      </c>
      <c r="O1161" s="45" t="n">
        <v>44672.87013888889</v>
      </c>
      <c r="P1161" s="46" t="n">
        <v>44672</v>
      </c>
      <c r="Q1161" s="44" t="n">
        <v>2111</v>
      </c>
      <c r="R1161" s="44" t="inlineStr">
        <is>
          <t>No Video ID yet</t>
        </is>
      </c>
      <c r="S1161" s="46" t="n"/>
      <c r="T1161" s="46" t="n"/>
      <c r="U1161" s="44" t="n"/>
      <c r="V1161" s="44">
        <f>IF(AND(P1161&gt;=Calendar!$K$2,P1161&lt;EDATE(Calendar!$K$2,1),OR(Calendar!$K$4="*",N1161=Calendar!$K$4)),P1161*100+COUNTIFS($P$6:$P$3271,P1161,$Q$6:$Q$3271,"&lt;="&amp;Q1161,$N$6:$N$3271,Calendar!$K$4),"")</f>
        <v/>
      </c>
      <c r="W1161" s="44">
        <f>IF(AND(B1161=Queue!$C$4,OR(Queue!$K$4="*",N1161=Queue!$K$4)),Q1161,"")</f>
        <v/>
      </c>
    </row>
    <row r="1162">
      <c r="A1162" s="35">
        <f>IF(M1162="","",HYPERLINK("https://www.youtube.com/watch?v="&amp;M1162,"▶"))</f>
        <v/>
      </c>
      <c r="B1162" s="36">
        <f>IF(C1162&lt;&gt;"",C1162,IF(P1162&lt;=IFERROR(INDEX(tblChannels[Watched Through],MATCH(N1162,tblChannels[Channel ID],0)),0),"Watched","Unwatched"))</f>
        <v/>
      </c>
      <c r="C1162" s="37" t="n"/>
      <c r="D1162" s="38" t="n"/>
      <c r="E1162" s="39" t="n">
        <v>44671.625</v>
      </c>
      <c r="F1162" s="49" t="inlineStr">
        <is>
          <t>Super Carlin Gaming</t>
        </is>
      </c>
      <c r="G1162" t="inlineStr">
        <is>
          <t>WE GET A MAKEOVER  |  Pokémon Legends: Arceus Nuzlocke #8</t>
        </is>
      </c>
      <c r="H1162" s="41" t="n">
        <v>0.02675925925925926</v>
      </c>
      <c r="I1162" s="42" t="n">
        <v>10426</v>
      </c>
      <c r="J1162" s="42" t="n">
        <v>692</v>
      </c>
      <c r="K1162" s="42" t="n">
        <v>184</v>
      </c>
      <c r="L1162" s="43" t="n"/>
      <c r="M1162" s="44" t="n"/>
      <c r="N1162" s="44" t="inlineStr">
        <is>
          <t>UCor_9jRnNNZVzTuQ92PKsaQ</t>
        </is>
      </c>
      <c r="O1162" s="45" t="n">
        <v>44671.79166666666</v>
      </c>
      <c r="P1162" s="46" t="n">
        <v>44671</v>
      </c>
      <c r="Q1162" s="44" t="n">
        <v>2110</v>
      </c>
      <c r="R1162" s="44" t="inlineStr">
        <is>
          <t>No Video ID yet</t>
        </is>
      </c>
      <c r="S1162" s="46" t="n"/>
      <c r="T1162" s="46" t="n"/>
      <c r="U1162" s="44" t="n"/>
      <c r="V1162" s="44">
        <f>IF(AND(P1162&gt;=Calendar!$K$2,P1162&lt;EDATE(Calendar!$K$2,1),OR(Calendar!$K$4="*",N1162=Calendar!$K$4)),P1162*100+COUNTIFS($P$6:$P$3271,P1162,$Q$6:$Q$3271,"&lt;="&amp;Q1162,$N$6:$N$3271,Calendar!$K$4),"")</f>
        <v/>
      </c>
      <c r="W1162" s="44">
        <f>IF(AND(B1162=Queue!$C$4,OR(Queue!$K$4="*",N1162=Queue!$K$4)),Q1162,"")</f>
        <v/>
      </c>
    </row>
    <row r="1163">
      <c r="A1163" s="35">
        <f>IF(M1163="","",HYPERLINK("https://www.youtube.com/watch?v="&amp;M1163,"▶"))</f>
        <v/>
      </c>
      <c r="B1163" s="36">
        <f>IF(C1163&lt;&gt;"",C1163,IF(P1163&lt;=IFERROR(INDEX(tblChannels[Watched Through],MATCH(N1163,tblChannels[Channel ID],0)),0),"Watched","Unwatched"))</f>
        <v/>
      </c>
      <c r="C1163" s="37" t="n"/>
      <c r="D1163" s="38" t="n"/>
      <c r="E1163" s="39" t="n">
        <v>44670.65833333333</v>
      </c>
      <c r="F1163" s="47" t="inlineStr">
        <is>
          <t>Super Carlin Brothers</t>
        </is>
      </c>
      <c r="G1163" t="inlineStr">
        <is>
          <t>Top UNANSWERED Questions From Secrets of Dumbledore | Harry Potter Film Theory</t>
        </is>
      </c>
      <c r="H1163" s="41" t="n">
        <v>0.01046296296296296</v>
      </c>
      <c r="I1163" s="42" t="n">
        <v>626832</v>
      </c>
      <c r="J1163" s="42" t="n">
        <v>18125</v>
      </c>
      <c r="K1163" s="42" t="n">
        <v>1535</v>
      </c>
      <c r="L1163" s="43" t="n"/>
      <c r="M1163" s="44" t="n"/>
      <c r="N1163" s="44" t="inlineStr">
        <is>
          <t>UCKZo4N0lVPccBkSiuyVh4yg</t>
        </is>
      </c>
      <c r="O1163" s="45" t="n">
        <v>44670.825</v>
      </c>
      <c r="P1163" s="46" t="n">
        <v>44670</v>
      </c>
      <c r="Q1163" s="44" t="n">
        <v>2109</v>
      </c>
      <c r="R1163" s="44" t="inlineStr">
        <is>
          <t>No Video ID yet</t>
        </is>
      </c>
      <c r="S1163" s="46" t="n"/>
      <c r="T1163" s="46" t="n"/>
      <c r="U1163" s="44" t="n"/>
      <c r="V1163" s="44">
        <f>IF(AND(P1163&gt;=Calendar!$K$2,P1163&lt;EDATE(Calendar!$K$2,1),OR(Calendar!$K$4="*",N1163=Calendar!$K$4)),P1163*100+COUNTIFS($P$6:$P$3271,P1163,$Q$6:$Q$3271,"&lt;="&amp;Q1163,$N$6:$N$3271,Calendar!$K$4),"")</f>
        <v/>
      </c>
      <c r="W1163" s="44">
        <f>IF(AND(B1163=Queue!$C$4,OR(Queue!$K$4="*",N1163=Queue!$K$4)),Q1163,"")</f>
        <v/>
      </c>
    </row>
    <row r="1164">
      <c r="A1164" s="35">
        <f>IF(M1164="","",HYPERLINK("https://www.youtube.com/watch?v="&amp;M1164,"▶"))</f>
        <v/>
      </c>
      <c r="B1164" s="36">
        <f>IF(C1164&lt;&gt;"",C1164,IF(P1164&lt;=IFERROR(INDEX(tblChannels[Watched Through],MATCH(N1164,tblChannels[Channel ID],0)),0),"Watched","Unwatched"))</f>
        <v/>
      </c>
      <c r="C1164" s="37" t="n"/>
      <c r="D1164" s="38" t="n"/>
      <c r="E1164" s="39" t="n">
        <v>44670.625</v>
      </c>
      <c r="F1164" s="50" t="inlineStr">
        <is>
          <t>Jonathan Carlin</t>
        </is>
      </c>
      <c r="G1164" t="inlineStr">
        <is>
          <t>The COOLEST Shoes I've Ever Owned</t>
        </is>
      </c>
      <c r="H1164" s="41" t="n">
        <v>0.01070601851851852</v>
      </c>
      <c r="I1164" s="42" t="n">
        <v>12090</v>
      </c>
      <c r="J1164" s="42" t="n">
        <v>830</v>
      </c>
      <c r="K1164" s="42" t="n">
        <v>49</v>
      </c>
      <c r="L1164" s="43" t="n"/>
      <c r="M1164" s="44" t="n"/>
      <c r="N1164" s="44" t="inlineStr">
        <is>
          <t>UCYPKFe86e6nm4TVUYKLsFUQ</t>
        </is>
      </c>
      <c r="O1164" s="45" t="n">
        <v>44670.79166666666</v>
      </c>
      <c r="P1164" s="46" t="n">
        <v>44670</v>
      </c>
      <c r="Q1164" s="44" t="n">
        <v>2108</v>
      </c>
      <c r="R1164" s="44" t="inlineStr">
        <is>
          <t>No Video ID yet</t>
        </is>
      </c>
      <c r="S1164" s="46" t="n"/>
      <c r="T1164" s="46" t="n"/>
      <c r="U1164" s="44" t="n"/>
      <c r="V1164" s="44">
        <f>IF(AND(P1164&gt;=Calendar!$K$2,P1164&lt;EDATE(Calendar!$K$2,1),OR(Calendar!$K$4="*",N1164=Calendar!$K$4)),P1164*100+COUNTIFS($P$6:$P$3271,P1164,$Q$6:$Q$3271,"&lt;="&amp;Q1164,$N$6:$N$3271,Calendar!$K$4),"")</f>
        <v/>
      </c>
      <c r="W1164" s="44">
        <f>IF(AND(B1164=Queue!$C$4,OR(Queue!$K$4="*",N1164=Queue!$K$4)),Q1164,"")</f>
        <v/>
      </c>
    </row>
    <row r="1165">
      <c r="A1165" s="35">
        <f>IF(M1165="","",HYPERLINK("https://www.youtube.com/watch?v="&amp;M1165,"▶"))</f>
        <v/>
      </c>
      <c r="B1165" s="36">
        <f>IF(C1165&lt;&gt;"",C1165,IF(P1165&lt;=IFERROR(INDEX(tblChannels[Watched Through],MATCH(N1165,tblChannels[Channel ID],0)),0),"Watched","Unwatched"))</f>
        <v/>
      </c>
      <c r="C1165" s="37" t="n"/>
      <c r="D1165" s="38" t="n"/>
      <c r="E1165" s="39" t="n">
        <v>44667.68472222222</v>
      </c>
      <c r="F1165" s="49" t="inlineStr">
        <is>
          <t>Super Carlin Gaming</t>
        </is>
      </c>
      <c r="G1165" t="inlineStr">
        <is>
          <t>LIVE! - Let's Play some JOLTEON!</t>
        </is>
      </c>
      <c r="H1165" s="41" t="n">
        <v>0.03678240740740741</v>
      </c>
      <c r="I1165" s="42" t="n">
        <v>3692</v>
      </c>
      <c r="J1165" s="42" t="n">
        <v>173</v>
      </c>
      <c r="K1165" s="42" t="n">
        <v>12</v>
      </c>
      <c r="L1165" s="43" t="n"/>
      <c r="M1165" s="44" t="n"/>
      <c r="N1165" s="44" t="inlineStr">
        <is>
          <t>UCor_9jRnNNZVzTuQ92PKsaQ</t>
        </is>
      </c>
      <c r="O1165" s="45" t="n">
        <v>44667.85138888889</v>
      </c>
      <c r="P1165" s="46" t="n">
        <v>44667</v>
      </c>
      <c r="Q1165" s="44" t="n">
        <v>2107</v>
      </c>
      <c r="R1165" s="44" t="inlineStr">
        <is>
          <t>No Video ID yet</t>
        </is>
      </c>
      <c r="S1165" s="46" t="n"/>
      <c r="T1165" s="46" t="n"/>
      <c r="U1165" s="44" t="n"/>
      <c r="V1165" s="44">
        <f>IF(AND(P1165&gt;=Calendar!$K$2,P1165&lt;EDATE(Calendar!$K$2,1),OR(Calendar!$K$4="*",N1165=Calendar!$K$4)),P1165*100+COUNTIFS($P$6:$P$3271,P1165,$Q$6:$Q$3271,"&lt;="&amp;Q1165,$N$6:$N$3271,Calendar!$K$4),"")</f>
        <v/>
      </c>
      <c r="W1165" s="44">
        <f>IF(AND(B1165=Queue!$C$4,OR(Queue!$K$4="*",N1165=Queue!$K$4)),Q1165,"")</f>
        <v/>
      </c>
    </row>
    <row r="1166">
      <c r="A1166" s="35">
        <f>IF(M1166="","",HYPERLINK("https://www.youtube.com/watch?v="&amp;M1166,"▶"))</f>
        <v/>
      </c>
      <c r="B1166" s="36">
        <f>IF(C1166&lt;&gt;"",C1166,IF(P1166&lt;=IFERROR(INDEX(tblChannels[Watched Through],MATCH(N1166,tblChannels[Channel ID],0)),0),"Watched","Unwatched"))</f>
        <v/>
      </c>
      <c r="C1166" s="37" t="n"/>
      <c r="D1166" s="38" t="n"/>
      <c r="E1166" s="39" t="n">
        <v>44666.59305555555</v>
      </c>
      <c r="F1166" s="47" t="inlineStr">
        <is>
          <t>Super Carlin Brothers</t>
        </is>
      </c>
      <c r="G1166" t="inlineStr">
        <is>
          <t>Fantastic Beasts: Secrets of Dumbledore Spoiler REVIEW</t>
        </is>
      </c>
      <c r="H1166" s="41" t="n">
        <v>0.04950231481481481</v>
      </c>
      <c r="I1166" s="42" t="n">
        <v>585479</v>
      </c>
      <c r="J1166" s="42" t="n">
        <v>15682</v>
      </c>
      <c r="K1166" s="42" t="n">
        <v>5830</v>
      </c>
      <c r="L1166" s="43" t="n"/>
      <c r="M1166" s="44" t="n"/>
      <c r="N1166" s="44" t="inlineStr">
        <is>
          <t>UCKZo4N0lVPccBkSiuyVh4yg</t>
        </is>
      </c>
      <c r="O1166" s="45" t="n">
        <v>44666.75972222222</v>
      </c>
      <c r="P1166" s="46" t="n">
        <v>44666</v>
      </c>
      <c r="Q1166" s="44" t="n">
        <v>2106</v>
      </c>
      <c r="R1166" s="44" t="inlineStr">
        <is>
          <t>No Video ID yet</t>
        </is>
      </c>
      <c r="S1166" s="46" t="n"/>
      <c r="T1166" s="46" t="n"/>
      <c r="U1166" s="44" t="n"/>
      <c r="V1166" s="44">
        <f>IF(AND(P1166&gt;=Calendar!$K$2,P1166&lt;EDATE(Calendar!$K$2,1),OR(Calendar!$K$4="*",N1166=Calendar!$K$4)),P1166*100+COUNTIFS($P$6:$P$3271,P1166,$Q$6:$Q$3271,"&lt;="&amp;Q1166,$N$6:$N$3271,Calendar!$K$4),"")</f>
        <v/>
      </c>
      <c r="W1166" s="44">
        <f>IF(AND(B1166=Queue!$C$4,OR(Queue!$K$4="*",N1166=Queue!$K$4)),Q1166,"")</f>
        <v/>
      </c>
    </row>
    <row r="1167">
      <c r="A1167" s="35">
        <f>IF(M1167="","",HYPERLINK("https://www.youtube.com/watch?v="&amp;M1167,"▶"))</f>
        <v/>
      </c>
      <c r="B1167" s="36">
        <f>IF(C1167&lt;&gt;"",C1167,IF(P1167&lt;=IFERROR(INDEX(tblChannels[Watched Through],MATCH(N1167,tblChannels[Channel ID],0)),0),"Watched","Unwatched"))</f>
        <v/>
      </c>
      <c r="C1167" s="37" t="n"/>
      <c r="D1167" s="38" t="n"/>
      <c r="E1167" s="39" t="n">
        <v>44666.41666666666</v>
      </c>
      <c r="F1167" s="40" t="inlineStr">
        <is>
          <t>Popcorn Culture</t>
        </is>
      </c>
      <c r="G1167" t="inlineStr">
        <is>
          <t>SPACE WINE! | Popcorn Culture</t>
        </is>
      </c>
      <c r="H1167" s="41" t="n">
        <v>0.04494212962962963</v>
      </c>
      <c r="I1167" s="42" t="n">
        <v>7007</v>
      </c>
      <c r="J1167" s="42" t="n">
        <v>363</v>
      </c>
      <c r="K1167" s="42" t="n">
        <v>63</v>
      </c>
      <c r="L1167" s="43" t="n"/>
      <c r="M1167" s="44" t="n"/>
      <c r="N1167" s="44" t="inlineStr">
        <is>
          <t>UCHfIbq9thHPC8yrKjAdJgDA</t>
        </is>
      </c>
      <c r="O1167" s="45" t="n">
        <v>44666.58333333334</v>
      </c>
      <c r="P1167" s="46" t="n">
        <v>44666</v>
      </c>
      <c r="Q1167" s="44" t="n">
        <v>2105</v>
      </c>
      <c r="R1167" s="44" t="inlineStr">
        <is>
          <t>No Video ID yet</t>
        </is>
      </c>
      <c r="S1167" s="46" t="n"/>
      <c r="T1167" s="46" t="n"/>
      <c r="U1167" s="44" t="n"/>
      <c r="V1167" s="44">
        <f>IF(AND(P1167&gt;=Calendar!$K$2,P1167&lt;EDATE(Calendar!$K$2,1),OR(Calendar!$K$4="*",N1167=Calendar!$K$4)),P1167*100+COUNTIFS($P$6:$P$3271,P1167,$Q$6:$Q$3271,"&lt;="&amp;Q1167,$N$6:$N$3271,Calendar!$K$4),"")</f>
        <v/>
      </c>
      <c r="W1167" s="44">
        <f>IF(AND(B1167=Queue!$C$4,OR(Queue!$K$4="*",N1167=Queue!$K$4)),Q1167,"")</f>
        <v/>
      </c>
    </row>
    <row r="1168">
      <c r="A1168" s="35">
        <f>IF(M1168="","",HYPERLINK("https://www.youtube.com/watch?v="&amp;M1168,"▶"))</f>
        <v/>
      </c>
      <c r="B1168" s="36">
        <f>IF(C1168&lt;&gt;"",C1168,IF(P1168&lt;=IFERROR(INDEX(tblChannels[Watched Through],MATCH(N1168,tblChannels[Channel ID],0)),0),"Watched","Unwatched"))</f>
        <v/>
      </c>
      <c r="C1168" s="37" t="n"/>
      <c r="D1168" s="38" t="n"/>
      <c r="E1168" s="39" t="n">
        <v>44664.625</v>
      </c>
      <c r="F1168" s="49" t="inlineStr">
        <is>
          <t>Super Carlin Gaming</t>
        </is>
      </c>
      <c r="G1168" t="inlineStr">
        <is>
          <t>Lilligant is Graceful but DEADLY | Pokémon Legends: Arceus Nuzlocke #7</t>
        </is>
      </c>
      <c r="H1168" s="41" t="n">
        <v>0.04152777777777777</v>
      </c>
      <c r="I1168" s="42" t="n">
        <v>10736</v>
      </c>
      <c r="J1168" s="42" t="n">
        <v>606</v>
      </c>
      <c r="K1168" s="42" t="n">
        <v>243</v>
      </c>
      <c r="L1168" s="43" t="n"/>
      <c r="M1168" s="44" t="n"/>
      <c r="N1168" s="44" t="inlineStr">
        <is>
          <t>UCor_9jRnNNZVzTuQ92PKsaQ</t>
        </is>
      </c>
      <c r="O1168" s="45" t="n">
        <v>44664.79166666666</v>
      </c>
      <c r="P1168" s="46" t="n">
        <v>44664</v>
      </c>
      <c r="Q1168" s="44" t="n">
        <v>2104</v>
      </c>
      <c r="R1168" s="44" t="inlineStr">
        <is>
          <t>No Video ID yet</t>
        </is>
      </c>
      <c r="S1168" s="46" t="n"/>
      <c r="T1168" s="46" t="n"/>
      <c r="U1168" s="44" t="n"/>
      <c r="V1168" s="44">
        <f>IF(AND(P1168&gt;=Calendar!$K$2,P1168&lt;EDATE(Calendar!$K$2,1),OR(Calendar!$K$4="*",N1168=Calendar!$K$4)),P1168*100+COUNTIFS($P$6:$P$3271,P1168,$Q$6:$Q$3271,"&lt;="&amp;Q1168,$N$6:$N$3271,Calendar!$K$4),"")</f>
        <v/>
      </c>
      <c r="W1168" s="44">
        <f>IF(AND(B1168=Queue!$C$4,OR(Queue!$K$4="*",N1168=Queue!$K$4)),Q1168,"")</f>
        <v/>
      </c>
    </row>
    <row r="1169">
      <c r="A1169" s="35">
        <f>IF(M1169="","",HYPERLINK("https://www.youtube.com/watch?v="&amp;M1169,"▶"))</f>
        <v/>
      </c>
      <c r="B1169" s="36">
        <f>IF(C1169&lt;&gt;"",C1169,IF(P1169&lt;=IFERROR(INDEX(tblChannels[Watched Through],MATCH(N1169,tblChannels[Channel ID],0)),0),"Watched","Unwatched"))</f>
        <v/>
      </c>
      <c r="C1169" s="37" t="n"/>
      <c r="D1169" s="38" t="n"/>
      <c r="E1169" s="39" t="n">
        <v>44663.7125</v>
      </c>
      <c r="F1169" s="47" t="inlineStr">
        <is>
          <t>Super Carlin Brothers</t>
        </is>
      </c>
      <c r="G1169" t="inlineStr">
        <is>
          <t>What’s Behind Each Character’s Door? | Encanto Film Theory</t>
        </is>
      </c>
      <c r="H1169" s="41" t="n">
        <v>0.01050925925925926</v>
      </c>
      <c r="I1169" s="42" t="n">
        <v>2430431</v>
      </c>
      <c r="J1169" s="42" t="n">
        <v>33740</v>
      </c>
      <c r="K1169" s="42" t="n">
        <v>1424</v>
      </c>
      <c r="L1169" s="43" t="n"/>
      <c r="M1169" s="44" t="n"/>
      <c r="N1169" s="44" t="inlineStr">
        <is>
          <t>UCKZo4N0lVPccBkSiuyVh4yg</t>
        </is>
      </c>
      <c r="O1169" s="45" t="n">
        <v>44663.87916666667</v>
      </c>
      <c r="P1169" s="46" t="n">
        <v>44663</v>
      </c>
      <c r="Q1169" s="44" t="n">
        <v>2103</v>
      </c>
      <c r="R1169" s="44" t="inlineStr">
        <is>
          <t>No Video ID yet</t>
        </is>
      </c>
      <c r="S1169" s="46" t="n"/>
      <c r="T1169" s="46" t="n"/>
      <c r="U1169" s="44" t="n"/>
      <c r="V1169" s="44">
        <f>IF(AND(P1169&gt;=Calendar!$K$2,P1169&lt;EDATE(Calendar!$K$2,1),OR(Calendar!$K$4="*",N1169=Calendar!$K$4)),P1169*100+COUNTIFS($P$6:$P$3271,P1169,$Q$6:$Q$3271,"&lt;="&amp;Q1169,$N$6:$N$3271,Calendar!$K$4),"")</f>
        <v/>
      </c>
      <c r="W1169" s="44">
        <f>IF(AND(B1169=Queue!$C$4,OR(Queue!$K$4="*",N1169=Queue!$K$4)),Q1169,"")</f>
        <v/>
      </c>
    </row>
    <row r="1170">
      <c r="A1170" s="35">
        <f>IF(M1170="","",HYPERLINK("https://www.youtube.com/watch?v="&amp;M1170,"▶"))</f>
        <v/>
      </c>
      <c r="B1170" s="36">
        <f>IF(C1170&lt;&gt;"",C1170,IF(P1170&lt;=IFERROR(INDEX(tblChannels[Watched Through],MATCH(N1170,tblChannels[Channel ID],0)),0),"Watched","Unwatched"))</f>
        <v/>
      </c>
      <c r="C1170" s="37" t="n"/>
      <c r="D1170" s="38" t="n"/>
      <c r="E1170" s="39" t="n">
        <v>44662.41666666666</v>
      </c>
      <c r="F1170" s="50" t="inlineStr">
        <is>
          <t>Jonathan Carlin</t>
        </is>
      </c>
      <c r="G1170" t="inlineStr">
        <is>
          <t>The One Where J Gets Into Plants</t>
        </is>
      </c>
      <c r="H1170" s="41" t="n">
        <v>0.01674768518518518</v>
      </c>
      <c r="I1170" s="42" t="n">
        <v>15385</v>
      </c>
      <c r="J1170" s="42" t="n">
        <v>938</v>
      </c>
      <c r="K1170" s="42" t="n">
        <v>108</v>
      </c>
      <c r="L1170" s="43" t="n"/>
      <c r="M1170" s="44" t="n"/>
      <c r="N1170" s="44" t="inlineStr">
        <is>
          <t>UCYPKFe86e6nm4TVUYKLsFUQ</t>
        </is>
      </c>
      <c r="O1170" s="45" t="n">
        <v>44662.58333333334</v>
      </c>
      <c r="P1170" s="46" t="n">
        <v>44662</v>
      </c>
      <c r="Q1170" s="44" t="n">
        <v>2102</v>
      </c>
      <c r="R1170" s="44" t="inlineStr">
        <is>
          <t>No Video ID yet</t>
        </is>
      </c>
      <c r="S1170" s="46" t="n"/>
      <c r="T1170" s="46" t="n"/>
      <c r="U1170" s="44" t="n"/>
      <c r="V1170" s="44">
        <f>IF(AND(P1170&gt;=Calendar!$K$2,P1170&lt;EDATE(Calendar!$K$2,1),OR(Calendar!$K$4="*",N1170=Calendar!$K$4)),P1170*100+COUNTIFS($P$6:$P$3271,P1170,$Q$6:$Q$3271,"&lt;="&amp;Q1170,$N$6:$N$3271,Calendar!$K$4),"")</f>
        <v/>
      </c>
      <c r="W1170" s="44">
        <f>IF(AND(B1170=Queue!$C$4,OR(Queue!$K$4="*",N1170=Queue!$K$4)),Q1170,"")</f>
        <v/>
      </c>
    </row>
    <row r="1171">
      <c r="A1171" s="35">
        <f>IF(M1171="","",HYPERLINK("https://www.youtube.com/watch?v="&amp;M1171,"▶"))</f>
        <v/>
      </c>
      <c r="B1171" s="36">
        <f>IF(C1171&lt;&gt;"",C1171,IF(P1171&lt;=IFERROR(INDEX(tblChannels[Watched Through],MATCH(N1171,tblChannels[Channel ID],0)),0),"Watched","Unwatched"))</f>
        <v/>
      </c>
      <c r="C1171" s="37" t="n"/>
      <c r="D1171" s="38" t="n"/>
      <c r="E1171" s="39" t="n">
        <v>44659.5</v>
      </c>
      <c r="F1171" s="51" t="inlineStr">
        <is>
          <t>With the Carlins</t>
        </is>
      </c>
      <c r="G1171" t="inlineStr">
        <is>
          <t>My Secret Chocolate Chip Cookie Recipe</t>
        </is>
      </c>
      <c r="H1171" s="41" t="n">
        <v>0.0194212962962963</v>
      </c>
      <c r="I1171" s="42" t="n">
        <v>14012</v>
      </c>
      <c r="J1171" s="42" t="n">
        <v>1038</v>
      </c>
      <c r="K1171" s="42" t="n">
        <v>130</v>
      </c>
      <c r="L1171" s="43" t="n"/>
      <c r="M1171" s="44" t="n"/>
      <c r="N1171" s="44" t="inlineStr">
        <is>
          <t>UCVBTjN9WJU5Ac8yU7b2K-5g</t>
        </is>
      </c>
      <c r="O1171" s="45" t="n">
        <v>44659.66666666666</v>
      </c>
      <c r="P1171" s="46" t="n">
        <v>44659</v>
      </c>
      <c r="Q1171" s="44" t="n">
        <v>2101</v>
      </c>
      <c r="R1171" s="44" t="inlineStr">
        <is>
          <t>No Video ID yet</t>
        </is>
      </c>
      <c r="S1171" s="46" t="n"/>
      <c r="T1171" s="46" t="n"/>
      <c r="U1171" s="44" t="n"/>
      <c r="V1171" s="44">
        <f>IF(AND(P1171&gt;=Calendar!$K$2,P1171&lt;EDATE(Calendar!$K$2,1),OR(Calendar!$K$4="*",N1171=Calendar!$K$4)),P1171*100+COUNTIFS($P$6:$P$3271,P1171,$Q$6:$Q$3271,"&lt;="&amp;Q1171,$N$6:$N$3271,Calendar!$K$4),"")</f>
        <v/>
      </c>
      <c r="W1171" s="44">
        <f>IF(AND(B1171=Queue!$C$4,OR(Queue!$K$4="*",N1171=Queue!$K$4)),Q1171,"")</f>
        <v/>
      </c>
    </row>
    <row r="1172">
      <c r="A1172" s="35">
        <f>IF(M1172="","",HYPERLINK("https://www.youtube.com/watch?v="&amp;M1172,"▶"))</f>
        <v/>
      </c>
      <c r="B1172" s="36">
        <f>IF(C1172&lt;&gt;"",C1172,IF(P1172&lt;=IFERROR(INDEX(tblChannels[Watched Through],MATCH(N1172,tblChannels[Channel ID],0)),0),"Watched","Unwatched"))</f>
        <v/>
      </c>
      <c r="C1172" s="37" t="n"/>
      <c r="D1172" s="38" t="n"/>
      <c r="E1172" s="39" t="n">
        <v>44659.41666666666</v>
      </c>
      <c r="F1172" s="40" t="inlineStr">
        <is>
          <t>Popcorn Culture</t>
        </is>
      </c>
      <c r="G1172" t="inlineStr">
        <is>
          <t>Black Flame Glasses | Popcorn Culture</t>
        </is>
      </c>
      <c r="H1172" s="41" t="n">
        <v>0.04895833333333333</v>
      </c>
      <c r="I1172" s="42" t="n">
        <v>9066</v>
      </c>
      <c r="J1172" s="42" t="n">
        <v>437</v>
      </c>
      <c r="K1172" s="42" t="n">
        <v>59</v>
      </c>
      <c r="L1172" s="43" t="n"/>
      <c r="M1172" s="44" t="n"/>
      <c r="N1172" s="44" t="inlineStr">
        <is>
          <t>UCHfIbq9thHPC8yrKjAdJgDA</t>
        </is>
      </c>
      <c r="O1172" s="45" t="n">
        <v>44659.58333333334</v>
      </c>
      <c r="P1172" s="46" t="n">
        <v>44659</v>
      </c>
      <c r="Q1172" s="44" t="n">
        <v>2100</v>
      </c>
      <c r="R1172" s="44" t="inlineStr">
        <is>
          <t>No Video ID yet</t>
        </is>
      </c>
      <c r="S1172" s="46" t="n"/>
      <c r="T1172" s="46" t="n"/>
      <c r="U1172" s="44" t="n"/>
      <c r="V1172" s="44">
        <f>IF(AND(P1172&gt;=Calendar!$K$2,P1172&lt;EDATE(Calendar!$K$2,1),OR(Calendar!$K$4="*",N1172=Calendar!$K$4)),P1172*100+COUNTIFS($P$6:$P$3271,P1172,$Q$6:$Q$3271,"&lt;="&amp;Q1172,$N$6:$N$3271,Calendar!$K$4),"")</f>
        <v/>
      </c>
      <c r="W1172" s="44">
        <f>IF(AND(B1172=Queue!$C$4,OR(Queue!$K$4="*",N1172=Queue!$K$4)),Q1172,"")</f>
        <v/>
      </c>
    </row>
    <row r="1173">
      <c r="A1173" s="35">
        <f>IF(M1173="","",HYPERLINK("https://www.youtube.com/watch?v="&amp;M1173,"▶"))</f>
        <v/>
      </c>
      <c r="B1173" s="36">
        <f>IF(C1173&lt;&gt;"",C1173,IF(P1173&lt;=IFERROR(INDEX(tblChannels[Watched Through],MATCH(N1173,tblChannels[Channel ID],0)),0),"Watched","Unwatched"))</f>
        <v/>
      </c>
      <c r="C1173" s="37" t="n"/>
      <c r="D1173" s="38" t="n"/>
      <c r="E1173" s="39" t="n">
        <v>44658.70069444444</v>
      </c>
      <c r="F1173" s="47" t="inlineStr">
        <is>
          <t>Super Carlin Brothers</t>
        </is>
      </c>
      <c r="G1173" t="inlineStr">
        <is>
          <t>Ridiculously Cool Things You Haven’t Noticed In Encanto Yet | Disney Film Theory</t>
        </is>
      </c>
      <c r="H1173" s="41" t="n">
        <v>0.01282407407407407</v>
      </c>
      <c r="I1173" s="42" t="n">
        <v>279471</v>
      </c>
      <c r="J1173" s="42" t="n">
        <v>11301</v>
      </c>
      <c r="K1173" s="42" t="n">
        <v>878</v>
      </c>
      <c r="L1173" s="43" t="n"/>
      <c r="M1173" s="44" t="n"/>
      <c r="N1173" s="44" t="inlineStr">
        <is>
          <t>UCKZo4N0lVPccBkSiuyVh4yg</t>
        </is>
      </c>
      <c r="O1173" s="45" t="n">
        <v>44658.86736111111</v>
      </c>
      <c r="P1173" s="46" t="n">
        <v>44658</v>
      </c>
      <c r="Q1173" s="44" t="n">
        <v>2099</v>
      </c>
      <c r="R1173" s="44" t="inlineStr">
        <is>
          <t>No Video ID yet</t>
        </is>
      </c>
      <c r="S1173" s="46" t="n"/>
      <c r="T1173" s="46" t="n"/>
      <c r="U1173" s="44" t="n"/>
      <c r="V1173" s="44">
        <f>IF(AND(P1173&gt;=Calendar!$K$2,P1173&lt;EDATE(Calendar!$K$2,1),OR(Calendar!$K$4="*",N1173=Calendar!$K$4)),P1173*100+COUNTIFS($P$6:$P$3271,P1173,$Q$6:$Q$3271,"&lt;="&amp;Q1173,$N$6:$N$3271,Calendar!$K$4),"")</f>
        <v/>
      </c>
      <c r="W1173" s="44">
        <f>IF(AND(B1173=Queue!$C$4,OR(Queue!$K$4="*",N1173=Queue!$K$4)),Q1173,"")</f>
        <v/>
      </c>
    </row>
    <row r="1174">
      <c r="A1174" s="35">
        <f>IF(M1174="","",HYPERLINK("https://www.youtube.com/watch?v="&amp;M1174,"▶"))</f>
        <v/>
      </c>
      <c r="B1174" s="36">
        <f>IF(C1174&lt;&gt;"",C1174,IF(P1174&lt;=IFERROR(INDEX(tblChannels[Watched Through],MATCH(N1174,tblChannels[Channel ID],0)),0),"Watched","Unwatched"))</f>
        <v/>
      </c>
      <c r="C1174" s="37" t="n"/>
      <c r="D1174" s="38" t="n"/>
      <c r="E1174" s="39" t="n">
        <v>44657.625</v>
      </c>
      <c r="F1174" s="49" t="inlineStr">
        <is>
          <t>Super Carlin Gaming</t>
        </is>
      </c>
      <c r="G1174" t="inlineStr">
        <is>
          <t>THE MOON BEAR STRIKES |  Pokémon Legends: Arceus Nuzlocke #6</t>
        </is>
      </c>
      <c r="H1174" s="41" t="n">
        <v>0.02877314814814815</v>
      </c>
      <c r="I1174" s="42" t="n">
        <v>12940</v>
      </c>
      <c r="J1174" s="42" t="n">
        <v>1001</v>
      </c>
      <c r="K1174" s="42" t="n">
        <v>192</v>
      </c>
      <c r="L1174" s="43" t="n"/>
      <c r="M1174" s="44" t="n"/>
      <c r="N1174" s="44" t="inlineStr">
        <is>
          <t>UCor_9jRnNNZVzTuQ92PKsaQ</t>
        </is>
      </c>
      <c r="O1174" s="45" t="n">
        <v>44657.79166666666</v>
      </c>
      <c r="P1174" s="46" t="n">
        <v>44657</v>
      </c>
      <c r="Q1174" s="44" t="n">
        <v>2098</v>
      </c>
      <c r="R1174" s="44" t="inlineStr">
        <is>
          <t>No Video ID yet</t>
        </is>
      </c>
      <c r="S1174" s="46" t="n"/>
      <c r="T1174" s="46" t="n"/>
      <c r="U1174" s="44" t="n"/>
      <c r="V1174" s="44">
        <f>IF(AND(P1174&gt;=Calendar!$K$2,P1174&lt;EDATE(Calendar!$K$2,1),OR(Calendar!$K$4="*",N1174=Calendar!$K$4)),P1174*100+COUNTIFS($P$6:$P$3271,P1174,$Q$6:$Q$3271,"&lt;="&amp;Q1174,$N$6:$N$3271,Calendar!$K$4),"")</f>
        <v/>
      </c>
      <c r="W1174" s="44">
        <f>IF(AND(B1174=Queue!$C$4,OR(Queue!$K$4="*",N1174=Queue!$K$4)),Q1174,"")</f>
        <v/>
      </c>
    </row>
    <row r="1175">
      <c r="A1175" s="35">
        <f>IF(M1175="","",HYPERLINK("https://www.youtube.com/watch?v="&amp;M1175,"▶"))</f>
        <v/>
      </c>
      <c r="B1175" s="36">
        <f>IF(C1175&lt;&gt;"",C1175,IF(P1175&lt;=IFERROR(INDEX(tblChannels[Watched Through],MATCH(N1175,tblChannels[Channel ID],0)),0),"Watched","Unwatched"))</f>
        <v/>
      </c>
      <c r="C1175" s="37" t="n"/>
      <c r="D1175" s="38" t="n"/>
      <c r="E1175" s="39" t="n">
        <v>44656.69583333333</v>
      </c>
      <c r="F1175" s="47" t="inlineStr">
        <is>
          <t>Super Carlin Brothers</t>
        </is>
      </c>
      <c r="G1175" t="inlineStr">
        <is>
          <t>Why Doesn't Harry Have Any Relatives? | Harry Potter Film Theory</t>
        </is>
      </c>
      <c r="H1175" s="41" t="n">
        <v>0.01059027777777778</v>
      </c>
      <c r="I1175" s="42" t="n">
        <v>464589</v>
      </c>
      <c r="J1175" s="42" t="n">
        <v>16870</v>
      </c>
      <c r="K1175" s="42" t="n">
        <v>1300</v>
      </c>
      <c r="L1175" s="43" t="n"/>
      <c r="M1175" s="44" t="n"/>
      <c r="N1175" s="44" t="inlineStr">
        <is>
          <t>UCKZo4N0lVPccBkSiuyVh4yg</t>
        </is>
      </c>
      <c r="O1175" s="45" t="n">
        <v>44656.8625</v>
      </c>
      <c r="P1175" s="46" t="n">
        <v>44656</v>
      </c>
      <c r="Q1175" s="44" t="n">
        <v>2097</v>
      </c>
      <c r="R1175" s="44" t="inlineStr">
        <is>
          <t>No Video ID yet</t>
        </is>
      </c>
      <c r="S1175" s="46" t="n"/>
      <c r="T1175" s="46" t="n"/>
      <c r="U1175" s="44" t="n"/>
      <c r="V1175" s="44">
        <f>IF(AND(P1175&gt;=Calendar!$K$2,P1175&lt;EDATE(Calendar!$K$2,1),OR(Calendar!$K$4="*",N1175=Calendar!$K$4)),P1175*100+COUNTIFS($P$6:$P$3271,P1175,$Q$6:$Q$3271,"&lt;="&amp;Q1175,$N$6:$N$3271,Calendar!$K$4),"")</f>
        <v/>
      </c>
      <c r="W1175" s="44">
        <f>IF(AND(B1175=Queue!$C$4,OR(Queue!$K$4="*",N1175=Queue!$K$4)),Q1175,"")</f>
        <v/>
      </c>
    </row>
    <row r="1176">
      <c r="A1176" s="35">
        <f>IF(M1176="","",HYPERLINK("https://www.youtube.com/watch?v="&amp;M1176,"▶"))</f>
        <v/>
      </c>
      <c r="B1176" s="36">
        <f>IF(C1176&lt;&gt;"",C1176,IF(P1176&lt;=IFERROR(INDEX(tblChannels[Watched Through],MATCH(N1176,tblChannels[Channel ID],0)),0),"Watched","Unwatched"))</f>
        <v/>
      </c>
      <c r="C1176" s="37" t="n"/>
      <c r="D1176" s="38" t="n"/>
      <c r="E1176" s="39" t="n">
        <v>44655.625</v>
      </c>
      <c r="F1176" s="50" t="inlineStr">
        <is>
          <t>Jonathan Carlin</t>
        </is>
      </c>
      <c r="G1176" t="inlineStr">
        <is>
          <t>Luke Becomes a SUPER SPY!</t>
        </is>
      </c>
      <c r="H1176" s="41" t="n">
        <v>0.00738425925925926</v>
      </c>
      <c r="I1176" s="42" t="n">
        <v>11125</v>
      </c>
      <c r="J1176" s="42" t="n">
        <v>836</v>
      </c>
      <c r="K1176" s="42" t="n">
        <v>0</v>
      </c>
      <c r="L1176" s="43" t="n"/>
      <c r="M1176" s="44" t="n"/>
      <c r="N1176" s="44" t="inlineStr">
        <is>
          <t>UCYPKFe86e6nm4TVUYKLsFUQ</t>
        </is>
      </c>
      <c r="O1176" s="45" t="n">
        <v>44655.79166666666</v>
      </c>
      <c r="P1176" s="46" t="n">
        <v>44655</v>
      </c>
      <c r="Q1176" s="44" t="n">
        <v>2096</v>
      </c>
      <c r="R1176" s="44" t="inlineStr">
        <is>
          <t>No Video ID yet</t>
        </is>
      </c>
      <c r="S1176" s="46" t="n"/>
      <c r="T1176" s="46" t="n"/>
      <c r="U1176" s="44" t="n"/>
      <c r="V1176" s="44">
        <f>IF(AND(P1176&gt;=Calendar!$K$2,P1176&lt;EDATE(Calendar!$K$2,1),OR(Calendar!$K$4="*",N1176=Calendar!$K$4)),P1176*100+COUNTIFS($P$6:$P$3271,P1176,$Q$6:$Q$3271,"&lt;="&amp;Q1176,$N$6:$N$3271,Calendar!$K$4),"")</f>
        <v/>
      </c>
      <c r="W1176" s="44">
        <f>IF(AND(B1176=Queue!$C$4,OR(Queue!$K$4="*",N1176=Queue!$K$4)),Q1176,"")</f>
        <v/>
      </c>
    </row>
    <row r="1177">
      <c r="A1177" s="35">
        <f>IF(M1177="","",HYPERLINK("https://www.youtube.com/watch?v="&amp;M1177,"▶"))</f>
        <v/>
      </c>
      <c r="B1177" s="36">
        <f>IF(C1177&lt;&gt;"",C1177,IF(P1177&lt;=IFERROR(INDEX(tblChannels[Watched Through],MATCH(N1177,tblChannels[Channel ID],0)),0),"Watched","Unwatched"))</f>
        <v/>
      </c>
      <c r="C1177" s="37" t="n"/>
      <c r="D1177" s="38" t="n"/>
      <c r="E1177" s="39" t="n">
        <v>44652.5</v>
      </c>
      <c r="F1177" s="51" t="inlineStr">
        <is>
          <t>With the Carlins</t>
        </is>
      </c>
      <c r="G1177" t="inlineStr">
        <is>
          <t>I Got A Full Sleeve Tattoo</t>
        </is>
      </c>
      <c r="H1177" s="41" t="n">
        <v>0.01939814814814815</v>
      </c>
      <c r="I1177" s="42" t="n">
        <v>21382</v>
      </c>
      <c r="J1177" s="42" t="n">
        <v>1227</v>
      </c>
      <c r="K1177" s="42" t="n">
        <v>151</v>
      </c>
      <c r="L1177" s="43" t="n"/>
      <c r="M1177" s="44" t="n"/>
      <c r="N1177" s="44" t="inlineStr">
        <is>
          <t>UCVBTjN9WJU5Ac8yU7b2K-5g</t>
        </is>
      </c>
      <c r="O1177" s="45" t="n">
        <v>44652.66666666666</v>
      </c>
      <c r="P1177" s="46" t="n">
        <v>44652</v>
      </c>
      <c r="Q1177" s="44" t="n">
        <v>2095</v>
      </c>
      <c r="R1177" s="44" t="inlineStr">
        <is>
          <t>No Video ID yet</t>
        </is>
      </c>
      <c r="S1177" s="46" t="n"/>
      <c r="T1177" s="46" t="n"/>
      <c r="U1177" s="44" t="n"/>
      <c r="V1177" s="44">
        <f>IF(AND(P1177&gt;=Calendar!$K$2,P1177&lt;EDATE(Calendar!$K$2,1),OR(Calendar!$K$4="*",N1177=Calendar!$K$4)),P1177*100+COUNTIFS($P$6:$P$3271,P1177,$Q$6:$Q$3271,"&lt;="&amp;Q1177,$N$6:$N$3271,Calendar!$K$4),"")</f>
        <v/>
      </c>
      <c r="W1177" s="44">
        <f>IF(AND(B1177=Queue!$C$4,OR(Queue!$K$4="*",N1177=Queue!$K$4)),Q1177,"")</f>
        <v/>
      </c>
    </row>
    <row r="1178">
      <c r="A1178" s="35">
        <f>IF(M1178="","",HYPERLINK("https://www.youtube.com/watch?v="&amp;M1178,"▶"))</f>
        <v/>
      </c>
      <c r="B1178" s="36">
        <f>IF(C1178&lt;&gt;"",C1178,IF(P1178&lt;=IFERROR(INDEX(tblChannels[Watched Through],MATCH(N1178,tblChannels[Channel ID],0)),0),"Watched","Unwatched"))</f>
        <v/>
      </c>
      <c r="C1178" s="37" t="n"/>
      <c r="D1178" s="38" t="n"/>
      <c r="E1178" s="39" t="n">
        <v>44652.41666666666</v>
      </c>
      <c r="F1178" s="40" t="inlineStr">
        <is>
          <t>Popcorn Culture</t>
        </is>
      </c>
      <c r="G1178" t="inlineStr">
        <is>
          <t>The One Where J Hosts | Popcorn Culture</t>
        </is>
      </c>
      <c r="H1178" s="41" t="n">
        <v>0.05025462962962963</v>
      </c>
      <c r="I1178" s="42" t="n">
        <v>10574</v>
      </c>
      <c r="J1178" s="42" t="n">
        <v>526</v>
      </c>
      <c r="K1178" s="42" t="n">
        <v>85</v>
      </c>
      <c r="L1178" s="43" t="n"/>
      <c r="M1178" s="44" t="n"/>
      <c r="N1178" s="44" t="inlineStr">
        <is>
          <t>UCHfIbq9thHPC8yrKjAdJgDA</t>
        </is>
      </c>
      <c r="O1178" s="45" t="n">
        <v>44652.58333333334</v>
      </c>
      <c r="P1178" s="46" t="n">
        <v>44652</v>
      </c>
      <c r="Q1178" s="44" t="n">
        <v>2094</v>
      </c>
      <c r="R1178" s="44" t="inlineStr">
        <is>
          <t>No Video ID yet</t>
        </is>
      </c>
      <c r="S1178" s="46" t="n"/>
      <c r="T1178" s="46" t="n"/>
      <c r="U1178" s="44" t="n"/>
      <c r="V1178" s="44">
        <f>IF(AND(P1178&gt;=Calendar!$K$2,P1178&lt;EDATE(Calendar!$K$2,1),OR(Calendar!$K$4="*",N1178=Calendar!$K$4)),P1178*100+COUNTIFS($P$6:$P$3271,P1178,$Q$6:$Q$3271,"&lt;="&amp;Q1178,$N$6:$N$3271,Calendar!$K$4),"")</f>
        <v/>
      </c>
      <c r="W1178" s="44">
        <f>IF(AND(B1178=Queue!$C$4,OR(Queue!$K$4="*",N1178=Queue!$K$4)),Q1178,"")</f>
        <v/>
      </c>
    </row>
    <row r="1179">
      <c r="A1179" s="35">
        <f>IF(M1179="","",HYPERLINK("https://www.youtube.com/watch?v="&amp;M1179,"▶"))</f>
        <v/>
      </c>
      <c r="B1179" s="36">
        <f>IF(C1179&lt;&gt;"",C1179,IF(P1179&lt;=IFERROR(INDEX(tblChannels[Watched Through],MATCH(N1179,tblChannels[Channel ID],0)),0),"Watched","Unwatched"))</f>
        <v/>
      </c>
      <c r="C1179" s="37" t="n"/>
      <c r="D1179" s="38" t="n"/>
      <c r="E1179" s="39" t="n">
        <v>44651.67013888889</v>
      </c>
      <c r="F1179" s="47" t="inlineStr">
        <is>
          <t>Super Carlin Brothers</t>
        </is>
      </c>
      <c r="G1179" t="inlineStr">
        <is>
          <t>The Madrigal’s Powers are From FEAR! | Encanto Disney Film Theory</t>
        </is>
      </c>
      <c r="H1179" s="41" t="n">
        <v>0.01097222222222222</v>
      </c>
      <c r="I1179" s="42" t="n">
        <v>203965</v>
      </c>
      <c r="J1179" s="42" t="n">
        <v>9604</v>
      </c>
      <c r="K1179" s="42" t="n">
        <v>762</v>
      </c>
      <c r="L1179" s="43" t="n"/>
      <c r="M1179" s="44" t="n"/>
      <c r="N1179" s="44" t="inlineStr">
        <is>
          <t>UCKZo4N0lVPccBkSiuyVh4yg</t>
        </is>
      </c>
      <c r="O1179" s="45" t="n">
        <v>44651.83680555555</v>
      </c>
      <c r="P1179" s="46" t="n">
        <v>44651</v>
      </c>
      <c r="Q1179" s="44" t="n">
        <v>2093</v>
      </c>
      <c r="R1179" s="44" t="inlineStr">
        <is>
          <t>No Video ID yet</t>
        </is>
      </c>
      <c r="S1179" s="46" t="n"/>
      <c r="T1179" s="46" t="n"/>
      <c r="U1179" s="44" t="n"/>
      <c r="V1179" s="44">
        <f>IF(AND(P1179&gt;=Calendar!$K$2,P1179&lt;EDATE(Calendar!$K$2,1),OR(Calendar!$K$4="*",N1179=Calendar!$K$4)),P1179*100+COUNTIFS($P$6:$P$3271,P1179,$Q$6:$Q$3271,"&lt;="&amp;Q1179,$N$6:$N$3271,Calendar!$K$4),"")</f>
        <v/>
      </c>
      <c r="W1179" s="44">
        <f>IF(AND(B1179=Queue!$C$4,OR(Queue!$K$4="*",N1179=Queue!$K$4)),Q1179,"")</f>
        <v/>
      </c>
    </row>
    <row r="1180">
      <c r="A1180" s="35">
        <f>IF(M1180="","",HYPERLINK("https://www.youtube.com/watch?v="&amp;M1180,"▶"))</f>
        <v/>
      </c>
      <c r="B1180" s="36">
        <f>IF(C1180&lt;&gt;"",C1180,IF(P1180&lt;=IFERROR(INDEX(tblChannels[Watched Through],MATCH(N1180,tblChannels[Channel ID],0)),0),"Watched","Unwatched"))</f>
        <v/>
      </c>
      <c r="C1180" s="37" t="n"/>
      <c r="D1180" s="38" t="n"/>
      <c r="E1180" s="39" t="n">
        <v>44650.625</v>
      </c>
      <c r="F1180" s="49" t="inlineStr">
        <is>
          <t>Super Carlin Gaming</t>
        </is>
      </c>
      <c r="G1180" t="inlineStr">
        <is>
          <t>BULLDOZED  |  Pokémon Legends: Arceus Nuzlocke #5</t>
        </is>
      </c>
      <c r="H1180" s="41" t="n">
        <v>0.02479166666666667</v>
      </c>
      <c r="I1180" s="42" t="n">
        <v>14345</v>
      </c>
      <c r="J1180" s="42" t="n">
        <v>712</v>
      </c>
      <c r="K1180" s="42" t="n">
        <v>218</v>
      </c>
      <c r="L1180" s="43" t="n"/>
      <c r="M1180" s="44" t="n"/>
      <c r="N1180" s="44" t="inlineStr">
        <is>
          <t>UCor_9jRnNNZVzTuQ92PKsaQ</t>
        </is>
      </c>
      <c r="O1180" s="45" t="n">
        <v>44650.79166666666</v>
      </c>
      <c r="P1180" s="46" t="n">
        <v>44650</v>
      </c>
      <c r="Q1180" s="44" t="n">
        <v>2092</v>
      </c>
      <c r="R1180" s="44" t="inlineStr">
        <is>
          <t>No Video ID yet</t>
        </is>
      </c>
      <c r="S1180" s="46" t="n"/>
      <c r="T1180" s="46" t="n"/>
      <c r="U1180" s="44" t="n"/>
      <c r="V1180" s="44">
        <f>IF(AND(P1180&gt;=Calendar!$K$2,P1180&lt;EDATE(Calendar!$K$2,1),OR(Calendar!$K$4="*",N1180=Calendar!$K$4)),P1180*100+COUNTIFS($P$6:$P$3271,P1180,$Q$6:$Q$3271,"&lt;="&amp;Q1180,$N$6:$N$3271,Calendar!$K$4),"")</f>
        <v/>
      </c>
      <c r="W1180" s="44">
        <f>IF(AND(B1180=Queue!$C$4,OR(Queue!$K$4="*",N1180=Queue!$K$4)),Q1180,"")</f>
        <v/>
      </c>
    </row>
    <row r="1181">
      <c r="A1181" s="35">
        <f>IF(M1181="","",HYPERLINK("https://www.youtube.com/watch?v="&amp;M1181,"▶"))</f>
        <v/>
      </c>
      <c r="B1181" s="36">
        <f>IF(C1181&lt;&gt;"",C1181,IF(P1181&lt;=IFERROR(INDEX(tblChannels[Watched Through],MATCH(N1181,tblChannels[Channel ID],0)),0),"Watched","Unwatched"))</f>
        <v/>
      </c>
      <c r="C1181" s="37" t="n"/>
      <c r="D1181" s="38" t="n"/>
      <c r="E1181" s="39" t="n">
        <v>44649.67291666667</v>
      </c>
      <c r="F1181" s="47" t="inlineStr">
        <is>
          <t>Super Carlin Brothers</t>
        </is>
      </c>
      <c r="G1181" t="inlineStr">
        <is>
          <t>J vs Ben: ULTIMATE Newt Scamander Quiz | Harry Potter Trivia</t>
        </is>
      </c>
      <c r="H1181" s="41" t="n">
        <v>0.01908564814814815</v>
      </c>
      <c r="I1181" s="42" t="n">
        <v>174459</v>
      </c>
      <c r="J1181" s="42" t="n">
        <v>7276</v>
      </c>
      <c r="K1181" s="42" t="n">
        <v>559</v>
      </c>
      <c r="L1181" s="43" t="n"/>
      <c r="M1181" s="44" t="n"/>
      <c r="N1181" s="44" t="inlineStr">
        <is>
          <t>UCKZo4N0lVPccBkSiuyVh4yg</t>
        </is>
      </c>
      <c r="O1181" s="45" t="n">
        <v>44649.83958333333</v>
      </c>
      <c r="P1181" s="46" t="n">
        <v>44649</v>
      </c>
      <c r="Q1181" s="44" t="n">
        <v>2091</v>
      </c>
      <c r="R1181" s="44" t="inlineStr">
        <is>
          <t>No Video ID yet</t>
        </is>
      </c>
      <c r="S1181" s="46" t="n"/>
      <c r="T1181" s="46" t="n"/>
      <c r="U1181" s="44" t="n"/>
      <c r="V1181" s="44">
        <f>IF(AND(P1181&gt;=Calendar!$K$2,P1181&lt;EDATE(Calendar!$K$2,1),OR(Calendar!$K$4="*",N1181=Calendar!$K$4)),P1181*100+COUNTIFS($P$6:$P$3271,P1181,$Q$6:$Q$3271,"&lt;="&amp;Q1181,$N$6:$N$3271,Calendar!$K$4),"")</f>
        <v/>
      </c>
      <c r="W1181" s="44">
        <f>IF(AND(B1181=Queue!$C$4,OR(Queue!$K$4="*",N1181=Queue!$K$4)),Q1181,"")</f>
        <v/>
      </c>
    </row>
    <row r="1182">
      <c r="A1182" s="35">
        <f>IF(M1182="","",HYPERLINK("https://www.youtube.com/watch?v="&amp;M1182,"▶"))</f>
        <v/>
      </c>
      <c r="B1182" s="36">
        <f>IF(C1182&lt;&gt;"",C1182,IF(P1182&lt;=IFERROR(INDEX(tblChannels[Watched Through],MATCH(N1182,tblChannels[Channel ID],0)),0),"Watched","Unwatched"))</f>
        <v/>
      </c>
      <c r="C1182" s="37" t="n"/>
      <c r="D1182" s="38" t="n"/>
      <c r="E1182" s="39" t="n">
        <v>44648.41666666666</v>
      </c>
      <c r="F1182" s="50" t="inlineStr">
        <is>
          <t>Jonathan Carlin</t>
        </is>
      </c>
      <c r="G1182" t="inlineStr">
        <is>
          <t>BETH LEFT ME ALONE WITH THE KIDS AGAIN</t>
        </is>
      </c>
      <c r="H1182" s="41" t="n">
        <v>0.01521990740740741</v>
      </c>
      <c r="I1182" s="42" t="n">
        <v>17886</v>
      </c>
      <c r="J1182" s="42" t="n">
        <v>1116</v>
      </c>
      <c r="K1182" s="42" t="n">
        <v>82</v>
      </c>
      <c r="L1182" s="43" t="n"/>
      <c r="M1182" s="44" t="n"/>
      <c r="N1182" s="44" t="inlineStr">
        <is>
          <t>UCYPKFe86e6nm4TVUYKLsFUQ</t>
        </is>
      </c>
      <c r="O1182" s="45" t="n">
        <v>44648.58333333334</v>
      </c>
      <c r="P1182" s="46" t="n">
        <v>44648</v>
      </c>
      <c r="Q1182" s="44" t="n">
        <v>2090</v>
      </c>
      <c r="R1182" s="44" t="inlineStr">
        <is>
          <t>No Video ID yet</t>
        </is>
      </c>
      <c r="S1182" s="46" t="n"/>
      <c r="T1182" s="46" t="n"/>
      <c r="U1182" s="44" t="n"/>
      <c r="V1182" s="44">
        <f>IF(AND(P1182&gt;=Calendar!$K$2,P1182&lt;EDATE(Calendar!$K$2,1),OR(Calendar!$K$4="*",N1182=Calendar!$K$4)),P1182*100+COUNTIFS($P$6:$P$3271,P1182,$Q$6:$Q$3271,"&lt;="&amp;Q1182,$N$6:$N$3271,Calendar!$K$4),"")</f>
        <v/>
      </c>
      <c r="W1182" s="44">
        <f>IF(AND(B1182=Queue!$C$4,OR(Queue!$K$4="*",N1182=Queue!$K$4)),Q1182,"")</f>
        <v/>
      </c>
    </row>
    <row r="1183">
      <c r="A1183" s="35">
        <f>IF(M1183="","",HYPERLINK("https://www.youtube.com/watch?v="&amp;M1183,"▶"))</f>
        <v/>
      </c>
      <c r="B1183" s="36">
        <f>IF(C1183&lt;&gt;"",C1183,IF(P1183&lt;=IFERROR(INDEX(tblChannels[Watched Through],MATCH(N1183,tblChannels[Channel ID],0)),0),"Watched","Unwatched"))</f>
        <v/>
      </c>
      <c r="C1183" s="37" t="n"/>
      <c r="D1183" s="38" t="n"/>
      <c r="E1183" s="39" t="n">
        <v>44645.5</v>
      </c>
      <c r="F1183" s="51" t="inlineStr">
        <is>
          <t>With the Carlins</t>
        </is>
      </c>
      <c r="G1183" t="inlineStr">
        <is>
          <t>We Started 75 Hard!</t>
        </is>
      </c>
      <c r="H1183" s="41" t="n">
        <v>0.01336805555555555</v>
      </c>
      <c r="I1183" s="42" t="n">
        <v>15538</v>
      </c>
      <c r="J1183" s="42" t="n">
        <v>1200</v>
      </c>
      <c r="K1183" s="42" t="n">
        <v>91</v>
      </c>
      <c r="L1183" s="43" t="n"/>
      <c r="M1183" s="44" t="n"/>
      <c r="N1183" s="44" t="inlineStr">
        <is>
          <t>UCVBTjN9WJU5Ac8yU7b2K-5g</t>
        </is>
      </c>
      <c r="O1183" s="45" t="n">
        <v>44645.66666666666</v>
      </c>
      <c r="P1183" s="46" t="n">
        <v>44645</v>
      </c>
      <c r="Q1183" s="44" t="n">
        <v>2089</v>
      </c>
      <c r="R1183" s="44" t="inlineStr">
        <is>
          <t>No Video ID yet</t>
        </is>
      </c>
      <c r="S1183" s="46" t="n"/>
      <c r="T1183" s="46" t="n"/>
      <c r="U1183" s="44" t="n"/>
      <c r="V1183" s="44">
        <f>IF(AND(P1183&gt;=Calendar!$K$2,P1183&lt;EDATE(Calendar!$K$2,1),OR(Calendar!$K$4="*",N1183=Calendar!$K$4)),P1183*100+COUNTIFS($P$6:$P$3271,P1183,$Q$6:$Q$3271,"&lt;="&amp;Q1183,$N$6:$N$3271,Calendar!$K$4),"")</f>
        <v/>
      </c>
      <c r="W1183" s="44">
        <f>IF(AND(B1183=Queue!$C$4,OR(Queue!$K$4="*",N1183=Queue!$K$4)),Q1183,"")</f>
        <v/>
      </c>
    </row>
    <row r="1184">
      <c r="A1184" s="35">
        <f>IF(M1184="","",HYPERLINK("https://www.youtube.com/watch?v="&amp;M1184,"▶"))</f>
        <v/>
      </c>
      <c r="B1184" s="36">
        <f>IF(C1184&lt;&gt;"",C1184,IF(P1184&lt;=IFERROR(INDEX(tblChannels[Watched Through],MATCH(N1184,tblChannels[Channel ID],0)),0),"Watched","Unwatched"))</f>
        <v/>
      </c>
      <c r="C1184" s="37" t="n"/>
      <c r="D1184" s="38" t="n"/>
      <c r="E1184" s="39" t="n">
        <v>44645.41666666666</v>
      </c>
      <c r="F1184" s="40" t="inlineStr">
        <is>
          <t>Popcorn Culture</t>
        </is>
      </c>
      <c r="G1184" t="inlineStr">
        <is>
          <t>Hiding Money From Ourselves | Popcorn Culture</t>
        </is>
      </c>
      <c r="H1184" s="41" t="n">
        <v>0.04684027777777778</v>
      </c>
      <c r="I1184" s="42" t="n">
        <v>8147</v>
      </c>
      <c r="J1184" s="42" t="n">
        <v>413</v>
      </c>
      <c r="K1184" s="42" t="n">
        <v>47</v>
      </c>
      <c r="L1184" s="43" t="n"/>
      <c r="M1184" s="44" t="n"/>
      <c r="N1184" s="44" t="inlineStr">
        <is>
          <t>UCHfIbq9thHPC8yrKjAdJgDA</t>
        </is>
      </c>
      <c r="O1184" s="45" t="n">
        <v>44645.58333333334</v>
      </c>
      <c r="P1184" s="46" t="n">
        <v>44645</v>
      </c>
      <c r="Q1184" s="44" t="n">
        <v>2088</v>
      </c>
      <c r="R1184" s="44" t="inlineStr">
        <is>
          <t>No Video ID yet</t>
        </is>
      </c>
      <c r="S1184" s="46" t="n"/>
      <c r="T1184" s="46" t="n"/>
      <c r="U1184" s="44" t="n"/>
      <c r="V1184" s="44">
        <f>IF(AND(P1184&gt;=Calendar!$K$2,P1184&lt;EDATE(Calendar!$K$2,1),OR(Calendar!$K$4="*",N1184=Calendar!$K$4)),P1184*100+COUNTIFS($P$6:$P$3271,P1184,$Q$6:$Q$3271,"&lt;="&amp;Q1184,$N$6:$N$3271,Calendar!$K$4),"")</f>
        <v/>
      </c>
      <c r="W1184" s="44">
        <f>IF(AND(B1184=Queue!$C$4,OR(Queue!$K$4="*",N1184=Queue!$K$4)),Q1184,"")</f>
        <v/>
      </c>
    </row>
    <row r="1185">
      <c r="A1185" s="35">
        <f>IF(M1185="","",HYPERLINK("https://www.youtube.com/watch?v="&amp;M1185,"▶"))</f>
        <v/>
      </c>
      <c r="B1185" s="36">
        <f>IF(C1185&lt;&gt;"",C1185,IF(P1185&lt;=IFERROR(INDEX(tblChannels[Watched Through],MATCH(N1185,tblChannels[Channel ID],0)),0),"Watched","Unwatched"))</f>
        <v/>
      </c>
      <c r="C1185" s="37" t="n"/>
      <c r="D1185" s="38" t="n"/>
      <c r="E1185" s="39" t="n">
        <v>44644.81458333333</v>
      </c>
      <c r="F1185" s="47" t="inlineStr">
        <is>
          <t>Super Carlin Brothers</t>
        </is>
      </c>
      <c r="G1185" t="inlineStr">
        <is>
          <t>How do Time-Turners Work? | Harry Potter Film Theory</t>
        </is>
      </c>
      <c r="H1185" s="41" t="n">
        <v>0.01265046296296296</v>
      </c>
      <c r="I1185" s="42" t="n">
        <v>463514</v>
      </c>
      <c r="J1185" s="42" t="n">
        <v>16390</v>
      </c>
      <c r="K1185" s="42" t="n">
        <v>1380</v>
      </c>
      <c r="L1185" s="43" t="n"/>
      <c r="M1185" s="44" t="n"/>
      <c r="N1185" s="44" t="inlineStr">
        <is>
          <t>UCKZo4N0lVPccBkSiuyVh4yg</t>
        </is>
      </c>
      <c r="O1185" s="45" t="n">
        <v>44644.98125</v>
      </c>
      <c r="P1185" s="46" t="n">
        <v>44644</v>
      </c>
      <c r="Q1185" s="44" t="n">
        <v>2087</v>
      </c>
      <c r="R1185" s="44" t="inlineStr">
        <is>
          <t>No Video ID yet</t>
        </is>
      </c>
      <c r="S1185" s="46" t="n"/>
      <c r="T1185" s="46" t="n"/>
      <c r="U1185" s="44" t="n"/>
      <c r="V1185" s="44">
        <f>IF(AND(P1185&gt;=Calendar!$K$2,P1185&lt;EDATE(Calendar!$K$2,1),OR(Calendar!$K$4="*",N1185=Calendar!$K$4)),P1185*100+COUNTIFS($P$6:$P$3271,P1185,$Q$6:$Q$3271,"&lt;="&amp;Q1185,$N$6:$N$3271,Calendar!$K$4),"")</f>
        <v/>
      </c>
      <c r="W1185" s="44">
        <f>IF(AND(B1185=Queue!$C$4,OR(Queue!$K$4="*",N1185=Queue!$K$4)),Q1185,"")</f>
        <v/>
      </c>
    </row>
    <row r="1186">
      <c r="A1186" s="35">
        <f>IF(M1186="","",HYPERLINK("https://www.youtube.com/watch?v="&amp;M1186,"▶"))</f>
        <v/>
      </c>
      <c r="B1186" s="36">
        <f>IF(C1186&lt;&gt;"",C1186,IF(P1186&lt;=IFERROR(INDEX(tblChannels[Watched Through],MATCH(N1186,tblChannels[Channel ID],0)),0),"Watched","Unwatched"))</f>
        <v/>
      </c>
      <c r="C1186" s="37" t="n"/>
      <c r="D1186" s="38" t="n"/>
      <c r="E1186" s="39" t="n">
        <v>44643.41666666666</v>
      </c>
      <c r="F1186" s="49" t="inlineStr">
        <is>
          <t>Super Carlin Gaming</t>
        </is>
      </c>
      <c r="G1186" t="inlineStr">
        <is>
          <t>THE LORD OF THE WOODS | Pokémon Legends: Arceus Nuzlocke #4</t>
        </is>
      </c>
      <c r="H1186" s="41" t="n">
        <v>0.02211805555555555</v>
      </c>
      <c r="I1186" s="42" t="n">
        <v>13514</v>
      </c>
      <c r="J1186" s="42" t="n">
        <v>805</v>
      </c>
      <c r="K1186" s="42" t="n">
        <v>174</v>
      </c>
      <c r="L1186" s="43" t="n"/>
      <c r="M1186" s="44" t="n"/>
      <c r="N1186" s="44" t="inlineStr">
        <is>
          <t>UCor_9jRnNNZVzTuQ92PKsaQ</t>
        </is>
      </c>
      <c r="O1186" s="45" t="n">
        <v>44643.58333333334</v>
      </c>
      <c r="P1186" s="46" t="n">
        <v>44643</v>
      </c>
      <c r="Q1186" s="44" t="n">
        <v>2086</v>
      </c>
      <c r="R1186" s="44" t="inlineStr">
        <is>
          <t>No Video ID yet</t>
        </is>
      </c>
      <c r="S1186" s="46" t="n"/>
      <c r="T1186" s="46" t="n"/>
      <c r="U1186" s="44" t="n"/>
      <c r="V1186" s="44">
        <f>IF(AND(P1186&gt;=Calendar!$K$2,P1186&lt;EDATE(Calendar!$K$2,1),OR(Calendar!$K$4="*",N1186=Calendar!$K$4)),P1186*100+COUNTIFS($P$6:$P$3271,P1186,$Q$6:$Q$3271,"&lt;="&amp;Q1186,$N$6:$N$3271,Calendar!$K$4),"")</f>
        <v/>
      </c>
      <c r="W1186" s="44">
        <f>IF(AND(B1186=Queue!$C$4,OR(Queue!$K$4="*",N1186=Queue!$K$4)),Q1186,"")</f>
        <v/>
      </c>
    </row>
    <row r="1187">
      <c r="A1187" s="35">
        <f>IF(M1187="","",HYPERLINK("https://www.youtube.com/watch?v="&amp;M1187,"▶"))</f>
        <v/>
      </c>
      <c r="B1187" s="36">
        <f>IF(C1187&lt;&gt;"",C1187,IF(P1187&lt;=IFERROR(INDEX(tblChannels[Watched Through],MATCH(N1187,tblChannels[Channel ID],0)),0),"Watched","Unwatched"))</f>
        <v/>
      </c>
      <c r="C1187" s="37" t="n"/>
      <c r="D1187" s="38" t="n"/>
      <c r="E1187" s="39" t="n">
        <v>44642.68263888889</v>
      </c>
      <c r="F1187" s="47" t="inlineStr">
        <is>
          <t>Super Carlin Brothers</t>
        </is>
      </c>
      <c r="G1187" t="inlineStr">
        <is>
          <t>Dumbledore’s Secret Weapon | Harry Potter Film Theory</t>
        </is>
      </c>
      <c r="H1187" s="41" t="n">
        <v>0.01055555555555556</v>
      </c>
      <c r="I1187" s="42" t="n">
        <v>212505</v>
      </c>
      <c r="J1187" s="42" t="n">
        <v>9733</v>
      </c>
      <c r="K1187" s="42" t="n">
        <v>840</v>
      </c>
      <c r="L1187" s="43" t="n"/>
      <c r="M1187" s="44" t="n"/>
      <c r="N1187" s="44" t="inlineStr">
        <is>
          <t>UCKZo4N0lVPccBkSiuyVh4yg</t>
        </is>
      </c>
      <c r="O1187" s="45" t="n">
        <v>44642.84930555556</v>
      </c>
      <c r="P1187" s="46" t="n">
        <v>44642</v>
      </c>
      <c r="Q1187" s="44" t="n">
        <v>2085</v>
      </c>
      <c r="R1187" s="44" t="inlineStr">
        <is>
          <t>No Video ID yet</t>
        </is>
      </c>
      <c r="S1187" s="46" t="n"/>
      <c r="T1187" s="46" t="n"/>
      <c r="U1187" s="44" t="n"/>
      <c r="V1187" s="44">
        <f>IF(AND(P1187&gt;=Calendar!$K$2,P1187&lt;EDATE(Calendar!$K$2,1),OR(Calendar!$K$4="*",N1187=Calendar!$K$4)),P1187*100+COUNTIFS($P$6:$P$3271,P1187,$Q$6:$Q$3271,"&lt;="&amp;Q1187,$N$6:$N$3271,Calendar!$K$4),"")</f>
        <v/>
      </c>
      <c r="W1187" s="44">
        <f>IF(AND(B1187=Queue!$C$4,OR(Queue!$K$4="*",N1187=Queue!$K$4)),Q1187,"")</f>
        <v/>
      </c>
    </row>
    <row r="1188">
      <c r="A1188" s="35">
        <f>IF(M1188="","",HYPERLINK("https://www.youtube.com/watch?v="&amp;M1188,"▶"))</f>
        <v/>
      </c>
      <c r="B1188" s="36">
        <f>IF(C1188&lt;&gt;"",C1188,IF(P1188&lt;=IFERROR(INDEX(tblChannels[Watched Through],MATCH(N1188,tblChannels[Channel ID],0)),0),"Watched","Unwatched"))</f>
        <v/>
      </c>
      <c r="C1188" s="37" t="n"/>
      <c r="D1188" s="38" t="n"/>
      <c r="E1188" s="39" t="n">
        <v>44641.41666666666</v>
      </c>
      <c r="F1188" s="50" t="inlineStr">
        <is>
          <t>Jonathan Carlin</t>
        </is>
      </c>
      <c r="G1188" t="inlineStr">
        <is>
          <t>Celebrating Our Houseiversary!</t>
        </is>
      </c>
      <c r="H1188" s="41" t="n">
        <v>0.01012731481481481</v>
      </c>
      <c r="I1188" s="42" t="n">
        <v>14497</v>
      </c>
      <c r="J1188" s="42" t="n">
        <v>927</v>
      </c>
      <c r="K1188" s="42" t="n">
        <v>54</v>
      </c>
      <c r="L1188" s="43" t="n"/>
      <c r="M1188" s="44" t="n"/>
      <c r="N1188" s="44" t="inlineStr">
        <is>
          <t>UCYPKFe86e6nm4TVUYKLsFUQ</t>
        </is>
      </c>
      <c r="O1188" s="45" t="n">
        <v>44641.58333333334</v>
      </c>
      <c r="P1188" s="46" t="n">
        <v>44641</v>
      </c>
      <c r="Q1188" s="44" t="n">
        <v>2084</v>
      </c>
      <c r="R1188" s="44" t="inlineStr">
        <is>
          <t>No Video ID yet</t>
        </is>
      </c>
      <c r="S1188" s="46" t="n"/>
      <c r="T1188" s="46" t="n"/>
      <c r="U1188" s="44" t="n"/>
      <c r="V1188" s="44">
        <f>IF(AND(P1188&gt;=Calendar!$K$2,P1188&lt;EDATE(Calendar!$K$2,1),OR(Calendar!$K$4="*",N1188=Calendar!$K$4)),P1188*100+COUNTIFS($P$6:$P$3271,P1188,$Q$6:$Q$3271,"&lt;="&amp;Q1188,$N$6:$N$3271,Calendar!$K$4),"")</f>
        <v/>
      </c>
      <c r="W1188" s="44">
        <f>IF(AND(B1188=Queue!$C$4,OR(Queue!$K$4="*",N1188=Queue!$K$4)),Q1188,"")</f>
        <v/>
      </c>
    </row>
    <row r="1189">
      <c r="A1189" s="35">
        <f>IF(M1189="","",HYPERLINK("https://www.youtube.com/watch?v="&amp;M1189,"▶"))</f>
        <v/>
      </c>
      <c r="B1189" s="36">
        <f>IF(C1189&lt;&gt;"",C1189,IF(P1189&lt;=IFERROR(INDEX(tblChannels[Watched Through],MATCH(N1189,tblChannels[Channel ID],0)),0),"Watched","Unwatched"))</f>
        <v/>
      </c>
      <c r="C1189" s="37" t="n"/>
      <c r="D1189" s="38" t="n"/>
      <c r="E1189" s="39" t="n">
        <v>44638.5</v>
      </c>
      <c r="F1189" s="51" t="inlineStr">
        <is>
          <t>With the Carlins</t>
        </is>
      </c>
      <c r="G1189" t="inlineStr">
        <is>
          <t>Addison Receives A Family Heirloom</t>
        </is>
      </c>
      <c r="H1189" s="41" t="n">
        <v>0.01520833333333333</v>
      </c>
      <c r="I1189" s="42" t="n">
        <v>12394</v>
      </c>
      <c r="J1189" s="42" t="n">
        <v>970</v>
      </c>
      <c r="K1189" s="42" t="n">
        <v>52</v>
      </c>
      <c r="L1189" s="43" t="n"/>
      <c r="M1189" s="44" t="n"/>
      <c r="N1189" s="44" t="inlineStr">
        <is>
          <t>UCVBTjN9WJU5Ac8yU7b2K-5g</t>
        </is>
      </c>
      <c r="O1189" s="45" t="n">
        <v>44638.66666666666</v>
      </c>
      <c r="P1189" s="46" t="n">
        <v>44638</v>
      </c>
      <c r="Q1189" s="44" t="n">
        <v>2083</v>
      </c>
      <c r="R1189" s="44" t="inlineStr">
        <is>
          <t>No Video ID yet</t>
        </is>
      </c>
      <c r="S1189" s="46" t="n"/>
      <c r="T1189" s="46" t="n"/>
      <c r="U1189" s="44" t="n"/>
      <c r="V1189" s="44">
        <f>IF(AND(P1189&gt;=Calendar!$K$2,P1189&lt;EDATE(Calendar!$K$2,1),OR(Calendar!$K$4="*",N1189=Calendar!$K$4)),P1189*100+COUNTIFS($P$6:$P$3271,P1189,$Q$6:$Q$3271,"&lt;="&amp;Q1189,$N$6:$N$3271,Calendar!$K$4),"")</f>
        <v/>
      </c>
      <c r="W1189" s="44">
        <f>IF(AND(B1189=Queue!$C$4,OR(Queue!$K$4="*",N1189=Queue!$K$4)),Q1189,"")</f>
        <v/>
      </c>
    </row>
    <row r="1190">
      <c r="A1190" s="35">
        <f>IF(M1190="","",HYPERLINK("https://www.youtube.com/watch?v="&amp;M1190,"▶"))</f>
        <v/>
      </c>
      <c r="B1190" s="36">
        <f>IF(C1190&lt;&gt;"",C1190,IF(P1190&lt;=IFERROR(INDEX(tblChannels[Watched Through],MATCH(N1190,tblChannels[Channel ID],0)),0),"Watched","Unwatched"))</f>
        <v/>
      </c>
      <c r="C1190" s="37" t="n"/>
      <c r="D1190" s="38" t="n"/>
      <c r="E1190" s="39" t="n">
        <v>44638.41666666666</v>
      </c>
      <c r="F1190" s="40" t="inlineStr">
        <is>
          <t>Popcorn Culture</t>
        </is>
      </c>
      <c r="G1190" t="inlineStr">
        <is>
          <t>WHEELS OR DOORS?? | Popcorn Culture</t>
        </is>
      </c>
      <c r="H1190" s="41" t="n">
        <v>0.0475</v>
      </c>
      <c r="I1190" s="42" t="n">
        <v>7535</v>
      </c>
      <c r="J1190" s="42" t="n">
        <v>382</v>
      </c>
      <c r="K1190" s="42" t="n">
        <v>34</v>
      </c>
      <c r="L1190" s="43" t="n"/>
      <c r="M1190" s="44" t="n"/>
      <c r="N1190" s="44" t="inlineStr">
        <is>
          <t>UCHfIbq9thHPC8yrKjAdJgDA</t>
        </is>
      </c>
      <c r="O1190" s="45" t="n">
        <v>44638.58333333334</v>
      </c>
      <c r="P1190" s="46" t="n">
        <v>44638</v>
      </c>
      <c r="Q1190" s="44" t="n">
        <v>2082</v>
      </c>
      <c r="R1190" s="44" t="inlineStr">
        <is>
          <t>No Video ID yet</t>
        </is>
      </c>
      <c r="S1190" s="46" t="n"/>
      <c r="T1190" s="46" t="n"/>
      <c r="U1190" s="44" t="n"/>
      <c r="V1190" s="44">
        <f>IF(AND(P1190&gt;=Calendar!$K$2,P1190&lt;EDATE(Calendar!$K$2,1),OR(Calendar!$K$4="*",N1190=Calendar!$K$4)),P1190*100+COUNTIFS($P$6:$P$3271,P1190,$Q$6:$Q$3271,"&lt;="&amp;Q1190,$N$6:$N$3271,Calendar!$K$4),"")</f>
        <v/>
      </c>
      <c r="W1190" s="44">
        <f>IF(AND(B1190=Queue!$C$4,OR(Queue!$K$4="*",N1190=Queue!$K$4)),Q1190,"")</f>
        <v/>
      </c>
    </row>
    <row r="1191">
      <c r="A1191" s="35">
        <f>IF(M1191="","",HYPERLINK("https://www.youtube.com/watch?v="&amp;M1191,"▶"))</f>
        <v/>
      </c>
      <c r="B1191" s="36">
        <f>IF(C1191&lt;&gt;"",C1191,IF(P1191&lt;=IFERROR(INDEX(tblChannels[Watched Through],MATCH(N1191,tblChannels[Channel ID],0)),0),"Watched","Unwatched"))</f>
        <v/>
      </c>
      <c r="C1191" s="37" t="n"/>
      <c r="D1191" s="38" t="n"/>
      <c r="E1191" s="39" t="n">
        <v>44637.68819444445</v>
      </c>
      <c r="F1191" s="47" t="inlineStr">
        <is>
          <t>Super Carlin Brothers</t>
        </is>
      </c>
      <c r="G1191" t="inlineStr">
        <is>
          <t>How Turning Red Fits Into The Pixar Theory</t>
        </is>
      </c>
      <c r="H1191" s="41" t="n">
        <v>0.01234953703703704</v>
      </c>
      <c r="I1191" s="42" t="n">
        <v>381951</v>
      </c>
      <c r="J1191" s="42" t="n">
        <v>16297</v>
      </c>
      <c r="K1191" s="42" t="n">
        <v>1350</v>
      </c>
      <c r="L1191" s="43" t="n"/>
      <c r="M1191" s="44" t="n"/>
      <c r="N1191" s="44" t="inlineStr">
        <is>
          <t>UCKZo4N0lVPccBkSiuyVh4yg</t>
        </is>
      </c>
      <c r="O1191" s="45" t="n">
        <v>44637.85486111111</v>
      </c>
      <c r="P1191" s="46" t="n">
        <v>44637</v>
      </c>
      <c r="Q1191" s="44" t="n">
        <v>2081</v>
      </c>
      <c r="R1191" s="44" t="inlineStr">
        <is>
          <t>No Video ID yet</t>
        </is>
      </c>
      <c r="S1191" s="46" t="n"/>
      <c r="T1191" s="46" t="n"/>
      <c r="U1191" s="44" t="n"/>
      <c r="V1191" s="44">
        <f>IF(AND(P1191&gt;=Calendar!$K$2,P1191&lt;EDATE(Calendar!$K$2,1),OR(Calendar!$K$4="*",N1191=Calendar!$K$4)),P1191*100+COUNTIFS($P$6:$P$3271,P1191,$Q$6:$Q$3271,"&lt;="&amp;Q1191,$N$6:$N$3271,Calendar!$K$4),"")</f>
        <v/>
      </c>
      <c r="W1191" s="44">
        <f>IF(AND(B1191=Queue!$C$4,OR(Queue!$K$4="*",N1191=Queue!$K$4)),Q1191,"")</f>
        <v/>
      </c>
    </row>
    <row r="1192">
      <c r="A1192" s="35">
        <f>IF(M1192="","",HYPERLINK("https://www.youtube.com/watch?v="&amp;M1192,"▶"))</f>
        <v/>
      </c>
      <c r="B1192" s="36">
        <f>IF(C1192&lt;&gt;"",C1192,IF(P1192&lt;=IFERROR(INDEX(tblChannels[Watched Through],MATCH(N1192,tblChannels[Channel ID],0)),0),"Watched","Unwatched"))</f>
        <v/>
      </c>
      <c r="C1192" s="37" t="n"/>
      <c r="D1192" s="38" t="n"/>
      <c r="E1192" s="39" t="n">
        <v>44636.41666666666</v>
      </c>
      <c r="F1192" s="49" t="inlineStr">
        <is>
          <t>Super Carlin Gaming</t>
        </is>
      </c>
      <c r="G1192" t="inlineStr">
        <is>
          <t>THE SWORD AND THE FPOON |  Pokémon Legends: Arceus Nuzlocke #3</t>
        </is>
      </c>
      <c r="H1192" s="41" t="n">
        <v>0.03280092592592593</v>
      </c>
      <c r="I1192" s="42" t="n">
        <v>18766</v>
      </c>
      <c r="J1192" s="42" t="n">
        <v>887</v>
      </c>
      <c r="K1192" s="42" t="n">
        <v>224</v>
      </c>
      <c r="L1192" s="43" t="n"/>
      <c r="M1192" s="44" t="n"/>
      <c r="N1192" s="44" t="inlineStr">
        <is>
          <t>UCor_9jRnNNZVzTuQ92PKsaQ</t>
        </is>
      </c>
      <c r="O1192" s="45" t="n">
        <v>44636.58333333334</v>
      </c>
      <c r="P1192" s="46" t="n">
        <v>44636</v>
      </c>
      <c r="Q1192" s="44" t="n">
        <v>2080</v>
      </c>
      <c r="R1192" s="44" t="inlineStr">
        <is>
          <t>No Video ID yet</t>
        </is>
      </c>
      <c r="S1192" s="46" t="n"/>
      <c r="T1192" s="46" t="n"/>
      <c r="U1192" s="44" t="n"/>
      <c r="V1192" s="44">
        <f>IF(AND(P1192&gt;=Calendar!$K$2,P1192&lt;EDATE(Calendar!$K$2,1),OR(Calendar!$K$4="*",N1192=Calendar!$K$4)),P1192*100+COUNTIFS($P$6:$P$3271,P1192,$Q$6:$Q$3271,"&lt;="&amp;Q1192,$N$6:$N$3271,Calendar!$K$4),"")</f>
        <v/>
      </c>
      <c r="W1192" s="44">
        <f>IF(AND(B1192=Queue!$C$4,OR(Queue!$K$4="*",N1192=Queue!$K$4)),Q1192,"")</f>
        <v/>
      </c>
    </row>
    <row r="1193">
      <c r="A1193" s="35">
        <f>IF(M1193="","",HYPERLINK("https://www.youtube.com/watch?v="&amp;M1193,"▶"))</f>
        <v/>
      </c>
      <c r="B1193" s="36">
        <f>IF(C1193&lt;&gt;"",C1193,IF(P1193&lt;=IFERROR(INDEX(tblChannels[Watched Through],MATCH(N1193,tblChannels[Channel ID],0)),0),"Watched","Unwatched"))</f>
        <v/>
      </c>
      <c r="C1193" s="37" t="n"/>
      <c r="D1193" s="38" t="n"/>
      <c r="E1193" s="39" t="n">
        <v>44635.77569444444</v>
      </c>
      <c r="F1193" s="47" t="inlineStr">
        <is>
          <t>Super Carlin Brothers</t>
        </is>
      </c>
      <c r="G1193" t="inlineStr">
        <is>
          <t>Why You NEED To Watch Pixar's Turning Red! | J vs Ben: REVIEW</t>
        </is>
      </c>
      <c r="H1193" s="41" t="n">
        <v>0.03431712962962963</v>
      </c>
      <c r="I1193" s="42" t="n">
        <v>139024</v>
      </c>
      <c r="J1193" s="42" t="n">
        <v>5992</v>
      </c>
      <c r="K1193" s="42" t="n">
        <v>1055</v>
      </c>
      <c r="L1193" s="43" t="n"/>
      <c r="M1193" s="44" t="n"/>
      <c r="N1193" s="44" t="inlineStr">
        <is>
          <t>UCKZo4N0lVPccBkSiuyVh4yg</t>
        </is>
      </c>
      <c r="O1193" s="45" t="n">
        <v>44635.94236111111</v>
      </c>
      <c r="P1193" s="46" t="n">
        <v>44635</v>
      </c>
      <c r="Q1193" s="44" t="n">
        <v>2079</v>
      </c>
      <c r="R1193" s="44" t="inlineStr">
        <is>
          <t>No Video ID yet</t>
        </is>
      </c>
      <c r="S1193" s="46" t="n"/>
      <c r="T1193" s="46" t="n"/>
      <c r="U1193" s="44" t="n"/>
      <c r="V1193" s="44">
        <f>IF(AND(P1193&gt;=Calendar!$K$2,P1193&lt;EDATE(Calendar!$K$2,1),OR(Calendar!$K$4="*",N1193=Calendar!$K$4)),P1193*100+COUNTIFS($P$6:$P$3271,P1193,$Q$6:$Q$3271,"&lt;="&amp;Q1193,$N$6:$N$3271,Calendar!$K$4),"")</f>
        <v/>
      </c>
      <c r="W1193" s="44">
        <f>IF(AND(B1193=Queue!$C$4,OR(Queue!$K$4="*",N1193=Queue!$K$4)),Q1193,"")</f>
        <v/>
      </c>
    </row>
    <row r="1194">
      <c r="A1194" s="35">
        <f>IF(M1194="","",HYPERLINK("https://www.youtube.com/watch?v="&amp;M1194,"▶"))</f>
        <v/>
      </c>
      <c r="B1194" s="36">
        <f>IF(C1194&lt;&gt;"",C1194,IF(P1194&lt;=IFERROR(INDEX(tblChannels[Watched Through],MATCH(N1194,tblChannels[Channel ID],0)),0),"Watched","Unwatched"))</f>
        <v/>
      </c>
      <c r="C1194" s="37" t="n"/>
      <c r="D1194" s="38" t="n"/>
      <c r="E1194" s="39" t="n">
        <v>44634.42708333334</v>
      </c>
      <c r="F1194" s="50" t="inlineStr">
        <is>
          <t>Jonathan Carlin</t>
        </is>
      </c>
      <c r="G1194" t="inlineStr">
        <is>
          <t>TRAMPOLINE PARK!</t>
        </is>
      </c>
      <c r="H1194" s="41" t="n">
        <v>0.01381944444444444</v>
      </c>
      <c r="I1194" s="42" t="n">
        <v>14600</v>
      </c>
      <c r="J1194" s="42" t="n">
        <v>984</v>
      </c>
      <c r="K1194" s="42" t="n">
        <v>0</v>
      </c>
      <c r="L1194" s="43" t="n"/>
      <c r="M1194" s="44" t="n"/>
      <c r="N1194" s="44" t="inlineStr">
        <is>
          <t>UCYPKFe86e6nm4TVUYKLsFUQ</t>
        </is>
      </c>
      <c r="O1194" s="45" t="n">
        <v>44634.59375</v>
      </c>
      <c r="P1194" s="46" t="n">
        <v>44634</v>
      </c>
      <c r="Q1194" s="44" t="n">
        <v>2078</v>
      </c>
      <c r="R1194" s="44" t="inlineStr">
        <is>
          <t>No Video ID yet</t>
        </is>
      </c>
      <c r="S1194" s="46" t="n"/>
      <c r="T1194" s="46" t="n"/>
      <c r="U1194" s="44" t="n"/>
      <c r="V1194" s="44">
        <f>IF(AND(P1194&gt;=Calendar!$K$2,P1194&lt;EDATE(Calendar!$K$2,1),OR(Calendar!$K$4="*",N1194=Calendar!$K$4)),P1194*100+COUNTIFS($P$6:$P$3271,P1194,$Q$6:$Q$3271,"&lt;="&amp;Q1194,$N$6:$N$3271,Calendar!$K$4),"")</f>
        <v/>
      </c>
      <c r="W1194" s="44">
        <f>IF(AND(B1194=Queue!$C$4,OR(Queue!$K$4="*",N1194=Queue!$K$4)),Q1194,"")</f>
        <v/>
      </c>
    </row>
    <row r="1195">
      <c r="A1195" s="35">
        <f>IF(M1195="","",HYPERLINK("https://www.youtube.com/watch?v="&amp;M1195,"▶"))</f>
        <v/>
      </c>
      <c r="B1195" s="36">
        <f>IF(C1195&lt;&gt;"",C1195,IF(P1195&lt;=IFERROR(INDEX(tblChannels[Watched Through],MATCH(N1195,tblChannels[Channel ID],0)),0),"Watched","Unwatched"))</f>
        <v/>
      </c>
      <c r="C1195" s="37" t="n"/>
      <c r="D1195" s="38" t="n"/>
      <c r="E1195" s="39" t="n">
        <v>44631.67291666667</v>
      </c>
      <c r="F1195" s="51" t="inlineStr">
        <is>
          <t>With the Carlins</t>
        </is>
      </c>
      <c r="G1195" t="inlineStr">
        <is>
          <t>Addison's First Trip To Disney World!</t>
        </is>
      </c>
      <c r="H1195" s="41" t="n">
        <v>0.02001157407407407</v>
      </c>
      <c r="I1195" s="42" t="n">
        <v>16865</v>
      </c>
      <c r="J1195" s="42" t="n">
        <v>1116</v>
      </c>
      <c r="K1195" s="42" t="n">
        <v>70</v>
      </c>
      <c r="L1195" s="43" t="n"/>
      <c r="M1195" s="44" t="n"/>
      <c r="N1195" s="44" t="inlineStr">
        <is>
          <t>UCVBTjN9WJU5Ac8yU7b2K-5g</t>
        </is>
      </c>
      <c r="O1195" s="45" t="n">
        <v>44631.88125</v>
      </c>
      <c r="P1195" s="46" t="n">
        <v>44631</v>
      </c>
      <c r="Q1195" s="44" t="n">
        <v>2077</v>
      </c>
      <c r="R1195" s="44" t="inlineStr">
        <is>
          <t>No Video ID yet</t>
        </is>
      </c>
      <c r="S1195" s="46" t="n"/>
      <c r="T1195" s="46" t="n"/>
      <c r="U1195" s="44" t="n"/>
      <c r="V1195" s="44">
        <f>IF(AND(P1195&gt;=Calendar!$K$2,P1195&lt;EDATE(Calendar!$K$2,1),OR(Calendar!$K$4="*",N1195=Calendar!$K$4)),P1195*100+COUNTIFS($P$6:$P$3271,P1195,$Q$6:$Q$3271,"&lt;="&amp;Q1195,$N$6:$N$3271,Calendar!$K$4),"")</f>
        <v/>
      </c>
      <c r="W1195" s="44">
        <f>IF(AND(B1195=Queue!$C$4,OR(Queue!$K$4="*",N1195=Queue!$K$4)),Q1195,"")</f>
        <v/>
      </c>
    </row>
    <row r="1196">
      <c r="A1196" s="35">
        <f>IF(M1196="","",HYPERLINK("https://www.youtube.com/watch?v="&amp;M1196,"▶"))</f>
        <v/>
      </c>
      <c r="B1196" s="36">
        <f>IF(C1196&lt;&gt;"",C1196,IF(P1196&lt;=IFERROR(INDEX(tblChannels[Watched Through],MATCH(N1196,tblChannels[Channel ID],0)),0),"Watched","Unwatched"))</f>
        <v/>
      </c>
      <c r="C1196" s="37" t="n"/>
      <c r="D1196" s="38" t="n"/>
      <c r="E1196" s="39" t="n">
        <v>44631.41666666666</v>
      </c>
      <c r="F1196" s="40" t="inlineStr">
        <is>
          <t>Popcorn Culture</t>
        </is>
      </c>
      <c r="G1196" t="inlineStr">
        <is>
          <t>A Straw to Space | Popcorn Culture</t>
        </is>
      </c>
      <c r="H1196" s="41" t="n">
        <v>0.04513888888888889</v>
      </c>
      <c r="I1196" s="42" t="n">
        <v>7831</v>
      </c>
      <c r="J1196" s="42" t="n">
        <v>407</v>
      </c>
      <c r="K1196" s="42" t="n">
        <v>67</v>
      </c>
      <c r="L1196" s="43" t="n"/>
      <c r="M1196" s="44" t="n"/>
      <c r="N1196" s="44" t="inlineStr">
        <is>
          <t>UCHfIbq9thHPC8yrKjAdJgDA</t>
        </is>
      </c>
      <c r="O1196" s="45" t="n">
        <v>44631.625</v>
      </c>
      <c r="P1196" s="46" t="n">
        <v>44631</v>
      </c>
      <c r="Q1196" s="44" t="n">
        <v>2076</v>
      </c>
      <c r="R1196" s="44" t="inlineStr">
        <is>
          <t>No Video ID yet</t>
        </is>
      </c>
      <c r="S1196" s="46" t="n"/>
      <c r="T1196" s="46" t="n"/>
      <c r="U1196" s="44" t="n"/>
      <c r="V1196" s="44">
        <f>IF(AND(P1196&gt;=Calendar!$K$2,P1196&lt;EDATE(Calendar!$K$2,1),OR(Calendar!$K$4="*",N1196=Calendar!$K$4)),P1196*100+COUNTIFS($P$6:$P$3271,P1196,$Q$6:$Q$3271,"&lt;="&amp;Q1196,$N$6:$N$3271,Calendar!$K$4),"")</f>
        <v/>
      </c>
      <c r="W1196" s="44">
        <f>IF(AND(B1196=Queue!$C$4,OR(Queue!$K$4="*",N1196=Queue!$K$4)),Q1196,"")</f>
        <v/>
      </c>
    </row>
    <row r="1197">
      <c r="A1197" s="35">
        <f>IF(M1197="","",HYPERLINK("https://www.youtube.com/watch?v="&amp;M1197,"▶"))</f>
        <v/>
      </c>
      <c r="B1197" s="36">
        <f>IF(C1197&lt;&gt;"",C1197,IF(P1197&lt;=IFERROR(INDEX(tblChannels[Watched Through],MATCH(N1197,tblChannels[Channel ID],0)),0),"Watched","Unwatched"))</f>
        <v/>
      </c>
      <c r="C1197" s="37" t="n"/>
      <c r="D1197" s="38" t="n"/>
      <c r="E1197" s="39" t="n">
        <v>44630.68680555555</v>
      </c>
      <c r="F1197" s="47" t="inlineStr">
        <is>
          <t>Super Carlin Brothers</t>
        </is>
      </c>
      <c r="G1197" t="inlineStr">
        <is>
          <t>How Did Dumbledore Put The Stone In The Mirror? | Harry Potter Film Theory</t>
        </is>
      </c>
      <c r="H1197" s="41" t="n">
        <v>0.01145833333333333</v>
      </c>
      <c r="I1197" s="42" t="n">
        <v>392413</v>
      </c>
      <c r="J1197" s="42" t="n">
        <v>15658</v>
      </c>
      <c r="K1197" s="42" t="n">
        <v>1342</v>
      </c>
      <c r="L1197" s="43" t="n"/>
      <c r="M1197" s="44" t="n"/>
      <c r="N1197" s="44" t="inlineStr">
        <is>
          <t>UCKZo4N0lVPccBkSiuyVh4yg</t>
        </is>
      </c>
      <c r="O1197" s="45" t="n">
        <v>44630.89513888889</v>
      </c>
      <c r="P1197" s="46" t="n">
        <v>44630</v>
      </c>
      <c r="Q1197" s="44" t="n">
        <v>2075</v>
      </c>
      <c r="R1197" s="44" t="inlineStr">
        <is>
          <t>No Video ID yet</t>
        </is>
      </c>
      <c r="S1197" s="46" t="n"/>
      <c r="T1197" s="46" t="n"/>
      <c r="U1197" s="44" t="n"/>
      <c r="V1197" s="44">
        <f>IF(AND(P1197&gt;=Calendar!$K$2,P1197&lt;EDATE(Calendar!$K$2,1),OR(Calendar!$K$4="*",N1197=Calendar!$K$4)),P1197*100+COUNTIFS($P$6:$P$3271,P1197,$Q$6:$Q$3271,"&lt;="&amp;Q1197,$N$6:$N$3271,Calendar!$K$4),"")</f>
        <v/>
      </c>
      <c r="W1197" s="44">
        <f>IF(AND(B1197=Queue!$C$4,OR(Queue!$K$4="*",N1197=Queue!$K$4)),Q1197,"")</f>
        <v/>
      </c>
    </row>
    <row r="1198">
      <c r="A1198" s="35">
        <f>IF(M1198="","",HYPERLINK("https://www.youtube.com/watch?v="&amp;M1198,"▶"))</f>
        <v/>
      </c>
      <c r="B1198" s="36">
        <f>IF(C1198&lt;&gt;"",C1198,IF(P1198&lt;=IFERROR(INDEX(tblChannels[Watched Through],MATCH(N1198,tblChannels[Channel ID],0)),0),"Watched","Unwatched"))</f>
        <v/>
      </c>
      <c r="C1198" s="37" t="n"/>
      <c r="D1198" s="38" t="n"/>
      <c r="E1198" s="39" t="n">
        <v>44629.41666666666</v>
      </c>
      <c r="F1198" s="49" t="inlineStr">
        <is>
          <t>Super Carlin Gaming</t>
        </is>
      </c>
      <c r="G1198" t="inlineStr">
        <is>
          <t>THE TUNE OF HORROR |  Pokémon Legends: Arceus Nuzlocke #2</t>
        </is>
      </c>
      <c r="H1198" s="41" t="n">
        <v>0.03953703703703704</v>
      </c>
      <c r="I1198" s="42" t="n">
        <v>26801</v>
      </c>
      <c r="J1198" s="42" t="n">
        <v>1242</v>
      </c>
      <c r="K1198" s="42" t="n">
        <v>393</v>
      </c>
      <c r="L1198" s="43" t="n"/>
      <c r="M1198" s="44" t="n"/>
      <c r="N1198" s="44" t="inlineStr">
        <is>
          <t>UCor_9jRnNNZVzTuQ92PKsaQ</t>
        </is>
      </c>
      <c r="O1198" s="45" t="n">
        <v>44629.625</v>
      </c>
      <c r="P1198" s="46" t="n">
        <v>44629</v>
      </c>
      <c r="Q1198" s="44" t="n">
        <v>2074</v>
      </c>
      <c r="R1198" s="44" t="inlineStr">
        <is>
          <t>No Video ID yet</t>
        </is>
      </c>
      <c r="S1198" s="46" t="n"/>
      <c r="T1198" s="46" t="n"/>
      <c r="U1198" s="44" t="n"/>
      <c r="V1198" s="44">
        <f>IF(AND(P1198&gt;=Calendar!$K$2,P1198&lt;EDATE(Calendar!$K$2,1),OR(Calendar!$K$4="*",N1198=Calendar!$K$4)),P1198*100+COUNTIFS($P$6:$P$3271,P1198,$Q$6:$Q$3271,"&lt;="&amp;Q1198,$N$6:$N$3271,Calendar!$K$4),"")</f>
        <v/>
      </c>
      <c r="W1198" s="44">
        <f>IF(AND(B1198=Queue!$C$4,OR(Queue!$K$4="*",N1198=Queue!$K$4)),Q1198,"")</f>
        <v/>
      </c>
    </row>
    <row r="1199">
      <c r="A1199" s="35">
        <f>IF(M1199="","",HYPERLINK("https://www.youtube.com/watch?v="&amp;M1199,"▶"))</f>
        <v/>
      </c>
      <c r="B1199" s="36">
        <f>IF(C1199&lt;&gt;"",C1199,IF(P1199&lt;=IFERROR(INDEX(tblChannels[Watched Through],MATCH(N1199,tblChannels[Channel ID],0)),0),"Watched","Unwatched"))</f>
        <v/>
      </c>
      <c r="C1199" s="37" t="n"/>
      <c r="D1199" s="38" t="n"/>
      <c r="E1199" s="39" t="n">
        <v>44628.66875</v>
      </c>
      <c r="F1199" s="47" t="inlineStr">
        <is>
          <t>Super Carlin Brothers</t>
        </is>
      </c>
      <c r="G1199" t="inlineStr">
        <is>
          <t>Pokémon’s LEAST Favorite Legendary Pokémon</t>
        </is>
      </c>
      <c r="H1199" s="41" t="n">
        <v>0.01422453703703704</v>
      </c>
      <c r="I1199" s="42" t="n">
        <v>90743</v>
      </c>
      <c r="J1199" s="42" t="n">
        <v>5230</v>
      </c>
      <c r="K1199" s="42" t="n">
        <v>693</v>
      </c>
      <c r="L1199" s="43" t="n"/>
      <c r="M1199" s="44" t="n"/>
      <c r="N1199" s="44" t="inlineStr">
        <is>
          <t>UCKZo4N0lVPccBkSiuyVh4yg</t>
        </is>
      </c>
      <c r="O1199" s="45" t="n">
        <v>44628.87708333333</v>
      </c>
      <c r="P1199" s="46" t="n">
        <v>44628</v>
      </c>
      <c r="Q1199" s="44" t="n">
        <v>2073</v>
      </c>
      <c r="R1199" s="44" t="inlineStr">
        <is>
          <t>No Video ID yet</t>
        </is>
      </c>
      <c r="S1199" s="46" t="n"/>
      <c r="T1199" s="46" t="n"/>
      <c r="U1199" s="44" t="n"/>
      <c r="V1199" s="44">
        <f>IF(AND(P1199&gt;=Calendar!$K$2,P1199&lt;EDATE(Calendar!$K$2,1),OR(Calendar!$K$4="*",N1199=Calendar!$K$4)),P1199*100+COUNTIFS($P$6:$P$3271,P1199,$Q$6:$Q$3271,"&lt;="&amp;Q1199,$N$6:$N$3271,Calendar!$K$4),"")</f>
        <v/>
      </c>
      <c r="W1199" s="44">
        <f>IF(AND(B1199=Queue!$C$4,OR(Queue!$K$4="*",N1199=Queue!$K$4)),Q1199,"")</f>
        <v/>
      </c>
    </row>
    <row r="1200">
      <c r="A1200" s="35">
        <f>IF(M1200="","",HYPERLINK("https://www.youtube.com/watch?v="&amp;M1200,"▶"))</f>
        <v/>
      </c>
      <c r="B1200" s="36">
        <f>IF(C1200&lt;&gt;"",C1200,IF(P1200&lt;=IFERROR(INDEX(tblChannels[Watched Through],MATCH(N1200,tblChannels[Channel ID],0)),0),"Watched","Unwatched"))</f>
        <v/>
      </c>
      <c r="C1200" s="37" t="n"/>
      <c r="D1200" s="38" t="n"/>
      <c r="E1200" s="39" t="n">
        <v>44627.41666666666</v>
      </c>
      <c r="F1200" s="50" t="inlineStr">
        <is>
          <t>Jonathan Carlin</t>
        </is>
      </c>
      <c r="G1200" t="inlineStr">
        <is>
          <t>Our Trip on Star Wars: Galactic Starcruiser!</t>
        </is>
      </c>
      <c r="H1200" s="41" t="n">
        <v>0.02077546296296296</v>
      </c>
      <c r="I1200" s="42" t="n">
        <v>24617</v>
      </c>
      <c r="J1200" s="42" t="n">
        <v>1315</v>
      </c>
      <c r="K1200" s="42" t="n">
        <v>103</v>
      </c>
      <c r="L1200" s="43" t="n"/>
      <c r="M1200" s="44" t="n"/>
      <c r="N1200" s="44" t="inlineStr">
        <is>
          <t>UCYPKFe86e6nm4TVUYKLsFUQ</t>
        </is>
      </c>
      <c r="O1200" s="45" t="n">
        <v>44627.625</v>
      </c>
      <c r="P1200" s="46" t="n">
        <v>44627</v>
      </c>
      <c r="Q1200" s="44" t="n">
        <v>2072</v>
      </c>
      <c r="R1200" s="44" t="inlineStr">
        <is>
          <t>No Video ID yet</t>
        </is>
      </c>
      <c r="S1200" s="46" t="n"/>
      <c r="T1200" s="46" t="n"/>
      <c r="U1200" s="44" t="n"/>
      <c r="V1200" s="44">
        <f>IF(AND(P1200&gt;=Calendar!$K$2,P1200&lt;EDATE(Calendar!$K$2,1),OR(Calendar!$K$4="*",N1200=Calendar!$K$4)),P1200*100+COUNTIFS($P$6:$P$3271,P1200,$Q$6:$Q$3271,"&lt;="&amp;Q1200,$N$6:$N$3271,Calendar!$K$4),"")</f>
        <v/>
      </c>
      <c r="W1200" s="44">
        <f>IF(AND(B1200=Queue!$C$4,OR(Queue!$K$4="*",N1200=Queue!$K$4)),Q1200,"")</f>
        <v/>
      </c>
    </row>
    <row r="1201">
      <c r="A1201" s="35">
        <f>IF(M1201="","",HYPERLINK("https://www.youtube.com/watch?v="&amp;M1201,"▶"))</f>
        <v/>
      </c>
      <c r="B1201" s="36">
        <f>IF(C1201&lt;&gt;"",C1201,IF(P1201&lt;=IFERROR(INDEX(tblChannels[Watched Through],MATCH(N1201,tblChannels[Channel ID],0)),0),"Watched","Unwatched"))</f>
        <v/>
      </c>
      <c r="C1201" s="37" t="n"/>
      <c r="D1201" s="38" t="n"/>
      <c r="E1201" s="39" t="n">
        <v>44624.5</v>
      </c>
      <c r="F1201" s="50" t="inlineStr">
        <is>
          <t>Jonathan Carlin</t>
        </is>
      </c>
      <c r="G1201" t="inlineStr">
        <is>
          <t>The Twins' Second Birthday!</t>
        </is>
      </c>
      <c r="H1201" s="41" t="n">
        <v>0.008287037037037037</v>
      </c>
      <c r="I1201" s="42" t="n">
        <v>13190</v>
      </c>
      <c r="J1201" s="42" t="n">
        <v>969</v>
      </c>
      <c r="K1201" s="42" t="n">
        <v>71</v>
      </c>
      <c r="L1201" s="43" t="n"/>
      <c r="M1201" s="44" t="n"/>
      <c r="N1201" s="44" t="inlineStr">
        <is>
          <t>UCYPKFe86e6nm4TVUYKLsFUQ</t>
        </is>
      </c>
      <c r="O1201" s="45" t="n">
        <v>44624.70833333334</v>
      </c>
      <c r="P1201" s="46" t="n">
        <v>44624</v>
      </c>
      <c r="Q1201" s="44" t="n">
        <v>2071</v>
      </c>
      <c r="R1201" s="44" t="inlineStr">
        <is>
          <t>No Video ID yet</t>
        </is>
      </c>
      <c r="S1201" s="46" t="n"/>
      <c r="T1201" s="46" t="n"/>
      <c r="U1201" s="44" t="n"/>
      <c r="V1201" s="44">
        <f>IF(AND(P1201&gt;=Calendar!$K$2,P1201&lt;EDATE(Calendar!$K$2,1),OR(Calendar!$K$4="*",N1201=Calendar!$K$4)),P1201*100+COUNTIFS($P$6:$P$3271,P1201,$Q$6:$Q$3271,"&lt;="&amp;Q1201,$N$6:$N$3271,Calendar!$K$4),"")</f>
        <v/>
      </c>
      <c r="W1201" s="44">
        <f>IF(AND(B1201=Queue!$C$4,OR(Queue!$K$4="*",N1201=Queue!$K$4)),Q1201,"")</f>
        <v/>
      </c>
    </row>
    <row r="1202">
      <c r="A1202" s="35">
        <f>IF(M1202="","",HYPERLINK("https://www.youtube.com/watch?v="&amp;M1202,"▶"))</f>
        <v/>
      </c>
      <c r="B1202" s="36">
        <f>IF(C1202&lt;&gt;"",C1202,IF(P1202&lt;=IFERROR(INDEX(tblChannels[Watched Through],MATCH(N1202,tblChannels[Channel ID],0)),0),"Watched","Unwatched"))</f>
        <v/>
      </c>
      <c r="C1202" s="37" t="n"/>
      <c r="D1202" s="38" t="n"/>
      <c r="E1202" s="39" t="n">
        <v>44624.41666666666</v>
      </c>
      <c r="F1202" s="40" t="inlineStr">
        <is>
          <t>Popcorn Culture</t>
        </is>
      </c>
      <c r="G1202" t="inlineStr">
        <is>
          <t>Theater, Space and The Galactic Starcruiser | Popcorn Culture</t>
        </is>
      </c>
      <c r="H1202" s="41" t="n">
        <v>0.04625</v>
      </c>
      <c r="I1202" s="42" t="n">
        <v>8015</v>
      </c>
      <c r="J1202" s="42" t="n">
        <v>423</v>
      </c>
      <c r="K1202" s="42" t="n">
        <v>40</v>
      </c>
      <c r="L1202" s="43" t="n"/>
      <c r="M1202" s="44" t="n"/>
      <c r="N1202" s="44" t="inlineStr">
        <is>
          <t>UCHfIbq9thHPC8yrKjAdJgDA</t>
        </is>
      </c>
      <c r="O1202" s="45" t="n">
        <v>44624.625</v>
      </c>
      <c r="P1202" s="46" t="n">
        <v>44624</v>
      </c>
      <c r="Q1202" s="44" t="n">
        <v>2070</v>
      </c>
      <c r="R1202" s="44" t="inlineStr">
        <is>
          <t>No Video ID yet</t>
        </is>
      </c>
      <c r="S1202" s="46" t="n"/>
      <c r="T1202" s="46" t="n"/>
      <c r="U1202" s="44" t="n"/>
      <c r="V1202" s="44">
        <f>IF(AND(P1202&gt;=Calendar!$K$2,P1202&lt;EDATE(Calendar!$K$2,1),OR(Calendar!$K$4="*",N1202=Calendar!$K$4)),P1202*100+COUNTIFS($P$6:$P$3271,P1202,$Q$6:$Q$3271,"&lt;="&amp;Q1202,$N$6:$N$3271,Calendar!$K$4),"")</f>
        <v/>
      </c>
      <c r="W1202" s="44">
        <f>IF(AND(B1202=Queue!$C$4,OR(Queue!$K$4="*",N1202=Queue!$K$4)),Q1202,"")</f>
        <v/>
      </c>
    </row>
    <row r="1203">
      <c r="A1203" s="35">
        <f>IF(M1203="","",HYPERLINK("https://www.youtube.com/watch?v="&amp;M1203,"▶"))</f>
        <v/>
      </c>
      <c r="B1203" s="36">
        <f>IF(C1203&lt;&gt;"",C1203,IF(P1203&lt;=IFERROR(INDEX(tblChannels[Watched Through],MATCH(N1203,tblChannels[Channel ID],0)),0),"Watched","Unwatched"))</f>
        <v/>
      </c>
      <c r="C1203" s="37" t="n"/>
      <c r="D1203" s="38" t="n"/>
      <c r="E1203" s="39" t="n">
        <v>44623.66597222222</v>
      </c>
      <c r="F1203" s="47" t="inlineStr">
        <is>
          <t>Super Carlin Brothers</t>
        </is>
      </c>
      <c r="G1203" t="inlineStr">
        <is>
          <t>J vs Ben: ULTIMATE Ron &amp; Hermione TRIVIA Quiz</t>
        </is>
      </c>
      <c r="H1203" s="41" t="n">
        <v>0.01744212962962963</v>
      </c>
      <c r="I1203" s="42" t="n">
        <v>220577</v>
      </c>
      <c r="J1203" s="42" t="n">
        <v>8026</v>
      </c>
      <c r="K1203" s="42" t="n">
        <v>560</v>
      </c>
      <c r="L1203" s="43" t="n"/>
      <c r="M1203" s="44" t="n"/>
      <c r="N1203" s="44" t="inlineStr">
        <is>
          <t>UCKZo4N0lVPccBkSiuyVh4yg</t>
        </is>
      </c>
      <c r="O1203" s="45" t="n">
        <v>44623.87430555555</v>
      </c>
      <c r="P1203" s="46" t="n">
        <v>44623</v>
      </c>
      <c r="Q1203" s="44" t="n">
        <v>2069</v>
      </c>
      <c r="R1203" s="44" t="inlineStr">
        <is>
          <t>No Video ID yet</t>
        </is>
      </c>
      <c r="S1203" s="46" t="n"/>
      <c r="T1203" s="46" t="n"/>
      <c r="U1203" s="44" t="n"/>
      <c r="V1203" s="44">
        <f>IF(AND(P1203&gt;=Calendar!$K$2,P1203&lt;EDATE(Calendar!$K$2,1),OR(Calendar!$K$4="*",N1203=Calendar!$K$4)),P1203*100+COUNTIFS($P$6:$P$3271,P1203,$Q$6:$Q$3271,"&lt;="&amp;Q1203,$N$6:$N$3271,Calendar!$K$4),"")</f>
        <v/>
      </c>
      <c r="W1203" s="44">
        <f>IF(AND(B1203=Queue!$C$4,OR(Queue!$K$4="*",N1203=Queue!$K$4)),Q1203,"")</f>
        <v/>
      </c>
    </row>
    <row r="1204">
      <c r="A1204" s="35">
        <f>IF(M1204="","",HYPERLINK("https://www.youtube.com/watch?v="&amp;M1204,"▶"))</f>
        <v/>
      </c>
      <c r="B1204" s="36">
        <f>IF(C1204&lt;&gt;"",C1204,IF(P1204&lt;=IFERROR(INDEX(tblChannels[Watched Through],MATCH(N1204,tblChannels[Channel ID],0)),0),"Watched","Unwatched"))</f>
        <v/>
      </c>
      <c r="C1204" s="37" t="n"/>
      <c r="D1204" s="38" t="n"/>
      <c r="E1204" s="39" t="n">
        <v>44622.41666666666</v>
      </c>
      <c r="F1204" s="49" t="inlineStr">
        <is>
          <t>Super Carlin Gaming</t>
        </is>
      </c>
      <c r="G1204" t="inlineStr">
        <is>
          <t>So It Begins... |  Pokémon Legends: Arceus Nuzlocke #1</t>
        </is>
      </c>
      <c r="H1204" s="41" t="n">
        <v>0.03252314814814815</v>
      </c>
      <c r="I1204" s="42" t="n">
        <v>46004</v>
      </c>
      <c r="J1204" s="42" t="n">
        <v>2103</v>
      </c>
      <c r="K1204" s="42" t="n">
        <v>897</v>
      </c>
      <c r="L1204" s="43" t="n"/>
      <c r="M1204" s="44" t="n"/>
      <c r="N1204" s="44" t="inlineStr">
        <is>
          <t>UCor_9jRnNNZVzTuQ92PKsaQ</t>
        </is>
      </c>
      <c r="O1204" s="45" t="n">
        <v>44622.625</v>
      </c>
      <c r="P1204" s="46" t="n">
        <v>44622</v>
      </c>
      <c r="Q1204" s="44" t="n">
        <v>2068</v>
      </c>
      <c r="R1204" s="44" t="inlineStr">
        <is>
          <t>No Video ID yet</t>
        </is>
      </c>
      <c r="S1204" s="46" t="n"/>
      <c r="T1204" s="46" t="n"/>
      <c r="U1204" s="44" t="n"/>
      <c r="V1204" s="44">
        <f>IF(AND(P1204&gt;=Calendar!$K$2,P1204&lt;EDATE(Calendar!$K$2,1),OR(Calendar!$K$4="*",N1204=Calendar!$K$4)),P1204*100+COUNTIFS($P$6:$P$3271,P1204,$Q$6:$Q$3271,"&lt;="&amp;Q1204,$N$6:$N$3271,Calendar!$K$4),"")</f>
        <v/>
      </c>
      <c r="W1204" s="44">
        <f>IF(AND(B1204=Queue!$C$4,OR(Queue!$K$4="*",N1204=Queue!$K$4)),Q1204,"")</f>
        <v/>
      </c>
    </row>
    <row r="1205">
      <c r="A1205" s="35">
        <f>IF(M1205="","",HYPERLINK("https://www.youtube.com/watch?v="&amp;M1205,"▶"))</f>
        <v/>
      </c>
      <c r="B1205" s="36">
        <f>IF(C1205&lt;&gt;"",C1205,IF(P1205&lt;=IFERROR(INDEX(tblChannels[Watched Through],MATCH(N1205,tblChannels[Channel ID],0)),0),"Watched","Unwatched"))</f>
        <v/>
      </c>
      <c r="C1205" s="37" t="n"/>
      <c r="D1205" s="38" t="n"/>
      <c r="E1205" s="39" t="n">
        <v>44621.69930555556</v>
      </c>
      <c r="F1205" s="47" t="inlineStr">
        <is>
          <t>Super Carlin Brothers</t>
        </is>
      </c>
      <c r="G1205" t="inlineStr">
        <is>
          <t>Secrets of Dumbledore Trailer 2 Breakdown | Harry Potter Film Theory</t>
        </is>
      </c>
      <c r="H1205" s="41" t="n">
        <v>0.01530092592592593</v>
      </c>
      <c r="I1205" s="42" t="n">
        <v>270791</v>
      </c>
      <c r="J1205" s="42" t="n">
        <v>11021</v>
      </c>
      <c r="K1205" s="42" t="n">
        <v>1054</v>
      </c>
      <c r="L1205" s="43" t="n"/>
      <c r="M1205" s="44" t="n"/>
      <c r="N1205" s="44" t="inlineStr">
        <is>
          <t>UCKZo4N0lVPccBkSiuyVh4yg</t>
        </is>
      </c>
      <c r="O1205" s="45" t="n">
        <v>44621.90763888889</v>
      </c>
      <c r="P1205" s="46" t="n">
        <v>44621</v>
      </c>
      <c r="Q1205" s="44" t="n">
        <v>2067</v>
      </c>
      <c r="R1205" s="44" t="inlineStr">
        <is>
          <t>No Video ID yet</t>
        </is>
      </c>
      <c r="S1205" s="46" t="n"/>
      <c r="T1205" s="46" t="n"/>
      <c r="U1205" s="44" t="n"/>
      <c r="V1205" s="44">
        <f>IF(AND(P1205&gt;=Calendar!$K$2,P1205&lt;EDATE(Calendar!$K$2,1),OR(Calendar!$K$4="*",N1205=Calendar!$K$4)),P1205*100+COUNTIFS($P$6:$P$3271,P1205,$Q$6:$Q$3271,"&lt;="&amp;Q1205,$N$6:$N$3271,Calendar!$K$4),"")</f>
        <v/>
      </c>
      <c r="W1205" s="44">
        <f>IF(AND(B1205=Queue!$C$4,OR(Queue!$K$4="*",N1205=Queue!$K$4)),Q1205,"")</f>
        <v/>
      </c>
    </row>
    <row r="1206">
      <c r="A1206" s="35">
        <f>IF(M1206="","",HYPERLINK("https://www.youtube.com/watch?v="&amp;M1206,"▶"))</f>
        <v/>
      </c>
      <c r="B1206" s="36">
        <f>IF(C1206&lt;&gt;"",C1206,IF(P1206&lt;=IFERROR(INDEX(tblChannels[Watched Through],MATCH(N1206,tblChannels[Channel ID],0)),0),"Watched","Unwatched"))</f>
        <v/>
      </c>
      <c r="C1206" s="37" t="n"/>
      <c r="D1206" s="38" t="n"/>
      <c r="E1206" s="39" t="n">
        <v>44620.62152777778</v>
      </c>
      <c r="F1206" s="49" t="inlineStr">
        <is>
          <t>Super Carlin Gaming</t>
        </is>
      </c>
      <c r="G1206" t="inlineStr">
        <is>
          <t>LEGENDS ARCEUS NUZLOCKE | TEASER TRAILER</t>
        </is>
      </c>
      <c r="H1206" s="41" t="n">
        <v>0.0004976851851851852</v>
      </c>
      <c r="I1206" s="42" t="n">
        <v>15432</v>
      </c>
      <c r="J1206" s="42" t="n">
        <v>775</v>
      </c>
      <c r="K1206" s="42" t="n">
        <v>130</v>
      </c>
      <c r="L1206" s="43" t="n"/>
      <c r="M1206" s="44" t="n"/>
      <c r="N1206" s="44" t="inlineStr">
        <is>
          <t>UCor_9jRnNNZVzTuQ92PKsaQ</t>
        </is>
      </c>
      <c r="O1206" s="45" t="n">
        <v>44620.82986111111</v>
      </c>
      <c r="P1206" s="46" t="n">
        <v>44620</v>
      </c>
      <c r="Q1206" s="44" t="n">
        <v>2066</v>
      </c>
      <c r="R1206" s="44" t="inlineStr">
        <is>
          <t>No Video ID yet</t>
        </is>
      </c>
      <c r="S1206" s="46" t="n"/>
      <c r="T1206" s="46" t="n"/>
      <c r="U1206" s="44" t="n"/>
      <c r="V1206" s="44">
        <f>IF(AND(P1206&gt;=Calendar!$K$2,P1206&lt;EDATE(Calendar!$K$2,1),OR(Calendar!$K$4="*",N1206=Calendar!$K$4)),P1206*100+COUNTIFS($P$6:$P$3271,P1206,$Q$6:$Q$3271,"&lt;="&amp;Q1206,$N$6:$N$3271,Calendar!$K$4),"")</f>
        <v/>
      </c>
      <c r="W1206" s="44">
        <f>IF(AND(B1206=Queue!$C$4,OR(Queue!$K$4="*",N1206=Queue!$K$4)),Q1206,"")</f>
        <v/>
      </c>
    </row>
    <row r="1207">
      <c r="A1207" s="35">
        <f>IF(M1207="","",HYPERLINK("https://www.youtube.com/watch?v="&amp;M1207,"▶"))</f>
        <v/>
      </c>
      <c r="B1207" s="36">
        <f>IF(C1207&lt;&gt;"",C1207,IF(P1207&lt;=IFERROR(INDEX(tblChannels[Watched Through],MATCH(N1207,tblChannels[Channel ID],0)),0),"Watched","Unwatched"))</f>
        <v/>
      </c>
      <c r="C1207" s="37" t="n"/>
      <c r="D1207" s="38" t="n"/>
      <c r="E1207" s="39" t="n">
        <v>44620.41666666666</v>
      </c>
      <c r="F1207" s="50" t="inlineStr">
        <is>
          <t>Jonathan Carlin</t>
        </is>
      </c>
      <c r="G1207" t="inlineStr">
        <is>
          <t>Luke's First Booster Pack!</t>
        </is>
      </c>
      <c r="H1207" s="41" t="n">
        <v>0.01315972222222222</v>
      </c>
      <c r="I1207" s="42" t="n">
        <v>13139</v>
      </c>
      <c r="J1207" s="42" t="n">
        <v>928</v>
      </c>
      <c r="K1207" s="42" t="n">
        <v>0</v>
      </c>
      <c r="L1207" s="43" t="n"/>
      <c r="M1207" s="44" t="n"/>
      <c r="N1207" s="44" t="inlineStr">
        <is>
          <t>UCYPKFe86e6nm4TVUYKLsFUQ</t>
        </is>
      </c>
      <c r="O1207" s="45" t="n">
        <v>44620.625</v>
      </c>
      <c r="P1207" s="46" t="n">
        <v>44620</v>
      </c>
      <c r="Q1207" s="44" t="n">
        <v>2065</v>
      </c>
      <c r="R1207" s="44" t="inlineStr">
        <is>
          <t>No Video ID yet</t>
        </is>
      </c>
      <c r="S1207" s="46" t="n"/>
      <c r="T1207" s="46" t="n"/>
      <c r="U1207" s="44" t="n"/>
      <c r="V1207" s="44">
        <f>IF(AND(P1207&gt;=Calendar!$K$2,P1207&lt;EDATE(Calendar!$K$2,1),OR(Calendar!$K$4="*",N1207=Calendar!$K$4)),P1207*100+COUNTIFS($P$6:$P$3271,P1207,$Q$6:$Q$3271,"&lt;="&amp;Q1207,$N$6:$N$3271,Calendar!$K$4),"")</f>
        <v/>
      </c>
      <c r="W1207" s="44">
        <f>IF(AND(B1207=Queue!$C$4,OR(Queue!$K$4="*",N1207=Queue!$K$4)),Q1207,"")</f>
        <v/>
      </c>
    </row>
    <row r="1208">
      <c r="A1208" s="35">
        <f>IF(M1208="","",HYPERLINK("https://www.youtube.com/watch?v="&amp;M1208,"▶"))</f>
        <v/>
      </c>
      <c r="B1208" s="36">
        <f>IF(C1208&lt;&gt;"",C1208,IF(P1208&lt;=IFERROR(INDEX(tblChannels[Watched Through],MATCH(N1208,tblChannels[Channel ID],0)),0),"Watched","Unwatched"))</f>
        <v/>
      </c>
      <c r="C1208" s="37" t="n"/>
      <c r="D1208" s="38" t="n"/>
      <c r="E1208" s="39" t="n">
        <v>44617.68194444444</v>
      </c>
      <c r="F1208" s="47" t="inlineStr">
        <is>
          <t>Super Carlin Brothers</t>
        </is>
      </c>
      <c r="G1208" t="inlineStr">
        <is>
          <t>Our UNBELIEVABLE Weekend at Star Wars: Galactic Starcruiser | REVIEW</t>
        </is>
      </c>
      <c r="H1208" s="41" t="n">
        <v>0.03657407407407407</v>
      </c>
      <c r="I1208" s="42" t="n">
        <v>114186</v>
      </c>
      <c r="J1208" s="42" t="n">
        <v>4730</v>
      </c>
      <c r="K1208" s="42" t="n">
        <v>893</v>
      </c>
      <c r="L1208" s="43" t="n"/>
      <c r="M1208" s="44" t="n"/>
      <c r="N1208" s="44" t="inlineStr">
        <is>
          <t>UCKZo4N0lVPccBkSiuyVh4yg</t>
        </is>
      </c>
      <c r="O1208" s="45" t="n">
        <v>44617.89027777778</v>
      </c>
      <c r="P1208" s="46" t="n">
        <v>44617</v>
      </c>
      <c r="Q1208" s="44" t="n">
        <v>2064</v>
      </c>
      <c r="R1208" s="44" t="inlineStr">
        <is>
          <t>No Video ID yet</t>
        </is>
      </c>
      <c r="S1208" s="46" t="n"/>
      <c r="T1208" s="46" t="n"/>
      <c r="U1208" s="44" t="n"/>
      <c r="V1208" s="44">
        <f>IF(AND(P1208&gt;=Calendar!$K$2,P1208&lt;EDATE(Calendar!$K$2,1),OR(Calendar!$K$4="*",N1208=Calendar!$K$4)),P1208*100+COUNTIFS($P$6:$P$3271,P1208,$Q$6:$Q$3271,"&lt;="&amp;Q1208,$N$6:$N$3271,Calendar!$K$4),"")</f>
        <v/>
      </c>
      <c r="W1208" s="44">
        <f>IF(AND(B1208=Queue!$C$4,OR(Queue!$K$4="*",N1208=Queue!$K$4)),Q1208,"")</f>
        <v/>
      </c>
    </row>
    <row r="1209">
      <c r="A1209" s="35">
        <f>IF(M1209="","",HYPERLINK("https://www.youtube.com/watch?v="&amp;M1209,"▶"))</f>
        <v/>
      </c>
      <c r="B1209" s="36">
        <f>IF(C1209&lt;&gt;"",C1209,IF(P1209&lt;=IFERROR(INDEX(tblChannels[Watched Through],MATCH(N1209,tblChannels[Channel ID],0)),0),"Watched","Unwatched"))</f>
        <v/>
      </c>
      <c r="C1209" s="37" t="n"/>
      <c r="D1209" s="38" t="n"/>
      <c r="E1209" s="39" t="n">
        <v>44617.41736111111</v>
      </c>
      <c r="F1209" s="40" t="inlineStr">
        <is>
          <t>Popcorn Culture</t>
        </is>
      </c>
      <c r="G1209" t="inlineStr">
        <is>
          <t>You’re the Secret Sauce | Popcorn Culture</t>
        </is>
      </c>
      <c r="H1209" s="41" t="n">
        <v>0.048125</v>
      </c>
      <c r="I1209" s="42" t="n">
        <v>10848</v>
      </c>
      <c r="J1209" s="42" t="n">
        <v>704</v>
      </c>
      <c r="K1209" s="42" t="n">
        <v>121</v>
      </c>
      <c r="L1209" s="43" t="n"/>
      <c r="M1209" s="44" t="n"/>
      <c r="N1209" s="44" t="inlineStr">
        <is>
          <t>UCHfIbq9thHPC8yrKjAdJgDA</t>
        </is>
      </c>
      <c r="O1209" s="45" t="n">
        <v>44617.62569444445</v>
      </c>
      <c r="P1209" s="46" t="n">
        <v>44617</v>
      </c>
      <c r="Q1209" s="44" t="n">
        <v>2063</v>
      </c>
      <c r="R1209" s="44" t="inlineStr">
        <is>
          <t>No Video ID yet</t>
        </is>
      </c>
      <c r="S1209" s="46" t="n"/>
      <c r="T1209" s="46" t="n"/>
      <c r="U1209" s="44" t="n"/>
      <c r="V1209" s="44">
        <f>IF(AND(P1209&gt;=Calendar!$K$2,P1209&lt;EDATE(Calendar!$K$2,1),OR(Calendar!$K$4="*",N1209=Calendar!$K$4)),P1209*100+COUNTIFS($P$6:$P$3271,P1209,$Q$6:$Q$3271,"&lt;="&amp;Q1209,$N$6:$N$3271,Calendar!$K$4),"")</f>
        <v/>
      </c>
      <c r="W1209" s="44">
        <f>IF(AND(B1209=Queue!$C$4,OR(Queue!$K$4="*",N1209=Queue!$K$4)),Q1209,"")</f>
        <v/>
      </c>
    </row>
    <row r="1210">
      <c r="A1210" s="35">
        <f>IF(M1210="","",HYPERLINK("https://www.youtube.com/watch?v="&amp;M1210,"▶"))</f>
        <v/>
      </c>
      <c r="B1210" s="36">
        <f>IF(C1210&lt;&gt;"",C1210,IF(P1210&lt;=IFERROR(INDEX(tblChannels[Watched Through],MATCH(N1210,tblChannels[Channel ID],0)),0),"Watched","Unwatched"))</f>
        <v/>
      </c>
      <c r="C1210" s="37" t="n"/>
      <c r="D1210" s="38" t="n"/>
      <c r="E1210" s="39" t="n">
        <v>44615.66666666666</v>
      </c>
      <c r="F1210" s="47" t="inlineStr">
        <is>
          <t>Super Carlin Brothers</t>
        </is>
      </c>
      <c r="G1210" t="inlineStr">
        <is>
          <t>TOP 5 Secrets of Dumbledore Questions | Harry Potter Film Theory</t>
        </is>
      </c>
      <c r="H1210" s="41" t="n">
        <v>0.01487268518518518</v>
      </c>
      <c r="I1210" s="42" t="n">
        <v>193470</v>
      </c>
      <c r="J1210" s="42" t="n">
        <v>7876</v>
      </c>
      <c r="K1210" s="42" t="n">
        <v>954</v>
      </c>
      <c r="L1210" s="43" t="n"/>
      <c r="M1210" s="44" t="n"/>
      <c r="N1210" s="44" t="inlineStr">
        <is>
          <t>UCKZo4N0lVPccBkSiuyVh4yg</t>
        </is>
      </c>
      <c r="O1210" s="45" t="n">
        <v>44615.875</v>
      </c>
      <c r="P1210" s="46" t="n">
        <v>44615</v>
      </c>
      <c r="Q1210" s="44" t="n">
        <v>2062</v>
      </c>
      <c r="R1210" s="44" t="inlineStr">
        <is>
          <t>No Video ID yet</t>
        </is>
      </c>
      <c r="S1210" s="46" t="n"/>
      <c r="T1210" s="46" t="n"/>
      <c r="U1210" s="44" t="n"/>
      <c r="V1210" s="44">
        <f>IF(AND(P1210&gt;=Calendar!$K$2,P1210&lt;EDATE(Calendar!$K$2,1),OR(Calendar!$K$4="*",N1210=Calendar!$K$4)),P1210*100+COUNTIFS($P$6:$P$3271,P1210,$Q$6:$Q$3271,"&lt;="&amp;Q1210,$N$6:$N$3271,Calendar!$K$4),"")</f>
        <v/>
      </c>
      <c r="W1210" s="44">
        <f>IF(AND(B1210=Queue!$C$4,OR(Queue!$K$4="*",N1210=Queue!$K$4)),Q1210,"")</f>
        <v/>
      </c>
    </row>
    <row r="1211">
      <c r="A1211" s="35">
        <f>IF(M1211="","",HYPERLINK("https://www.youtube.com/watch?v="&amp;M1211,"▶"))</f>
        <v/>
      </c>
      <c r="B1211" s="36">
        <f>IF(C1211&lt;&gt;"",C1211,IF(P1211&lt;=IFERROR(INDEX(tblChannels[Watched Through],MATCH(N1211,tblChannels[Channel ID],0)),0),"Watched","Unwatched"))</f>
        <v/>
      </c>
      <c r="C1211" s="37" t="n"/>
      <c r="D1211" s="38" t="n"/>
      <c r="E1211" s="39" t="n">
        <v>44614.66666666666</v>
      </c>
      <c r="F1211" s="47" t="inlineStr">
        <is>
          <t>Super Carlin Brothers</t>
        </is>
      </c>
      <c r="G1211" t="inlineStr">
        <is>
          <t>Answering Google's TOP 25 Encanto Questions | Encanto Explained</t>
        </is>
      </c>
      <c r="H1211" s="41" t="n">
        <v>0.01141203703703704</v>
      </c>
      <c r="I1211" s="42" t="n">
        <v>142529</v>
      </c>
      <c r="J1211" s="42" t="n">
        <v>6822</v>
      </c>
      <c r="K1211" s="42" t="n">
        <v>627</v>
      </c>
      <c r="L1211" s="43" t="n"/>
      <c r="M1211" s="44" t="n"/>
      <c r="N1211" s="44" t="inlineStr">
        <is>
          <t>UCKZo4N0lVPccBkSiuyVh4yg</t>
        </is>
      </c>
      <c r="O1211" s="45" t="n">
        <v>44614.875</v>
      </c>
      <c r="P1211" s="46" t="n">
        <v>44614</v>
      </c>
      <c r="Q1211" s="44" t="n">
        <v>2061</v>
      </c>
      <c r="R1211" s="44" t="inlineStr">
        <is>
          <t>No Video ID yet</t>
        </is>
      </c>
      <c r="S1211" s="46" t="n"/>
      <c r="T1211" s="46" t="n"/>
      <c r="U1211" s="44" t="n"/>
      <c r="V1211" s="44">
        <f>IF(AND(P1211&gt;=Calendar!$K$2,P1211&lt;EDATE(Calendar!$K$2,1),OR(Calendar!$K$4="*",N1211=Calendar!$K$4)),P1211*100+COUNTIFS($P$6:$P$3271,P1211,$Q$6:$Q$3271,"&lt;="&amp;Q1211,$N$6:$N$3271,Calendar!$K$4),"")</f>
        <v/>
      </c>
      <c r="W1211" s="44">
        <f>IF(AND(B1211=Queue!$C$4,OR(Queue!$K$4="*",N1211=Queue!$K$4)),Q1211,"")</f>
        <v/>
      </c>
    </row>
    <row r="1212">
      <c r="A1212" s="35">
        <f>IF(M1212="","",HYPERLINK("https://www.youtube.com/watch?v="&amp;M1212,"▶"))</f>
        <v/>
      </c>
      <c r="B1212" s="36">
        <f>IF(C1212&lt;&gt;"",C1212,IF(P1212&lt;=IFERROR(INDEX(tblChannels[Watched Through],MATCH(N1212,tblChannels[Channel ID],0)),0),"Watched","Unwatched"))</f>
        <v/>
      </c>
      <c r="C1212" s="37" t="n"/>
      <c r="D1212" s="38" t="n"/>
      <c r="E1212" s="39" t="n">
        <v>44613.44652777778</v>
      </c>
      <c r="F1212" s="50" t="inlineStr">
        <is>
          <t>Jonathan Carlin</t>
        </is>
      </c>
      <c r="G1212" t="inlineStr">
        <is>
          <t>J TURNS 34!</t>
        </is>
      </c>
      <c r="H1212" s="41" t="n">
        <v>0.01383101851851852</v>
      </c>
      <c r="I1212" s="42" t="n">
        <v>16856</v>
      </c>
      <c r="J1212" s="42" t="n">
        <v>1140</v>
      </c>
      <c r="K1212" s="42" t="n">
        <v>109</v>
      </c>
      <c r="L1212" s="43" t="n"/>
      <c r="M1212" s="44" t="n"/>
      <c r="N1212" s="44" t="inlineStr">
        <is>
          <t>UCYPKFe86e6nm4TVUYKLsFUQ</t>
        </is>
      </c>
      <c r="O1212" s="45" t="n">
        <v>44613.65486111111</v>
      </c>
      <c r="P1212" s="46" t="n">
        <v>44613</v>
      </c>
      <c r="Q1212" s="44" t="n">
        <v>2060</v>
      </c>
      <c r="R1212" s="44" t="inlineStr">
        <is>
          <t>No Video ID yet</t>
        </is>
      </c>
      <c r="S1212" s="46" t="n"/>
      <c r="T1212" s="46" t="n"/>
      <c r="U1212" s="44" t="n"/>
      <c r="V1212" s="44">
        <f>IF(AND(P1212&gt;=Calendar!$K$2,P1212&lt;EDATE(Calendar!$K$2,1),OR(Calendar!$K$4="*",N1212=Calendar!$K$4)),P1212*100+COUNTIFS($P$6:$P$3271,P1212,$Q$6:$Q$3271,"&lt;="&amp;Q1212,$N$6:$N$3271,Calendar!$K$4),"")</f>
        <v/>
      </c>
      <c r="W1212" s="44">
        <f>IF(AND(B1212=Queue!$C$4,OR(Queue!$K$4="*",N1212=Queue!$K$4)),Q1212,"")</f>
        <v/>
      </c>
    </row>
    <row r="1213">
      <c r="A1213" s="35">
        <f>IF(M1213="","",HYPERLINK("https://www.youtube.com/watch?v="&amp;M1213,"▶"))</f>
        <v/>
      </c>
      <c r="B1213" s="36">
        <f>IF(C1213&lt;&gt;"",C1213,IF(P1213&lt;=IFERROR(INDEX(tblChannels[Watched Through],MATCH(N1213,tblChannels[Channel ID],0)),0),"Watched","Unwatched"))</f>
        <v/>
      </c>
      <c r="C1213" s="37" t="n"/>
      <c r="D1213" s="38" t="n"/>
      <c r="E1213" s="39" t="n">
        <v>44610.52083333334</v>
      </c>
      <c r="F1213" s="51" t="inlineStr">
        <is>
          <t>With the Carlins</t>
        </is>
      </c>
      <c r="G1213" t="inlineStr">
        <is>
          <t>Ben Roasts His Own Coffee</t>
        </is>
      </c>
      <c r="H1213" s="41" t="n">
        <v>0.01508101851851852</v>
      </c>
      <c r="I1213" s="42" t="n">
        <v>14208</v>
      </c>
      <c r="J1213" s="42" t="n">
        <v>1180</v>
      </c>
      <c r="K1213" s="42" t="n">
        <v>147</v>
      </c>
      <c r="L1213" s="43" t="n"/>
      <c r="M1213" s="44" t="n"/>
      <c r="N1213" s="44" t="inlineStr">
        <is>
          <t>UCVBTjN9WJU5Ac8yU7b2K-5g</t>
        </is>
      </c>
      <c r="O1213" s="45" t="n">
        <v>44610.72916666666</v>
      </c>
      <c r="P1213" s="46" t="n">
        <v>44610</v>
      </c>
      <c r="Q1213" s="44" t="n">
        <v>2059</v>
      </c>
      <c r="R1213" s="44" t="inlineStr">
        <is>
          <t>No Video ID yet</t>
        </is>
      </c>
      <c r="S1213" s="46" t="n"/>
      <c r="T1213" s="46" t="n"/>
      <c r="U1213" s="44" t="n"/>
      <c r="V1213" s="44">
        <f>IF(AND(P1213&gt;=Calendar!$K$2,P1213&lt;EDATE(Calendar!$K$2,1),OR(Calendar!$K$4="*",N1213=Calendar!$K$4)),P1213*100+COUNTIFS($P$6:$P$3271,P1213,$Q$6:$Q$3271,"&lt;="&amp;Q1213,$N$6:$N$3271,Calendar!$K$4),"")</f>
        <v/>
      </c>
      <c r="W1213" s="44">
        <f>IF(AND(B1213=Queue!$C$4,OR(Queue!$K$4="*",N1213=Queue!$K$4)),Q1213,"")</f>
        <v/>
      </c>
    </row>
    <row r="1214">
      <c r="A1214" s="35">
        <f>IF(M1214="","",HYPERLINK("https://www.youtube.com/watch?v="&amp;M1214,"▶"))</f>
        <v/>
      </c>
      <c r="B1214" s="36">
        <f>IF(C1214&lt;&gt;"",C1214,IF(P1214&lt;=IFERROR(INDEX(tblChannels[Watched Through],MATCH(N1214,tblChannels[Channel ID],0)),0),"Watched","Unwatched"))</f>
        <v/>
      </c>
      <c r="C1214" s="37" t="n"/>
      <c r="D1214" s="38" t="n"/>
      <c r="E1214" s="39" t="n">
        <v>44610.41666666666</v>
      </c>
      <c r="F1214" s="40" t="inlineStr">
        <is>
          <t>Popcorn Culture</t>
        </is>
      </c>
      <c r="G1214" t="inlineStr">
        <is>
          <t>The Game that Shall Not Be Named | Popcorn Culture</t>
        </is>
      </c>
      <c r="H1214" s="41" t="n">
        <v>0.04978009259259259</v>
      </c>
      <c r="I1214" s="42" t="n">
        <v>8220</v>
      </c>
      <c r="J1214" s="42" t="n">
        <v>399</v>
      </c>
      <c r="K1214" s="42" t="n">
        <v>54</v>
      </c>
      <c r="L1214" s="43" t="n"/>
      <c r="M1214" s="44" t="n"/>
      <c r="N1214" s="44" t="inlineStr">
        <is>
          <t>UCHfIbq9thHPC8yrKjAdJgDA</t>
        </is>
      </c>
      <c r="O1214" s="45" t="n">
        <v>44610.625</v>
      </c>
      <c r="P1214" s="46" t="n">
        <v>44610</v>
      </c>
      <c r="Q1214" s="44" t="n">
        <v>2058</v>
      </c>
      <c r="R1214" s="44" t="inlineStr">
        <is>
          <t>No Video ID yet</t>
        </is>
      </c>
      <c r="S1214" s="46" t="n"/>
      <c r="T1214" s="46" t="n"/>
      <c r="U1214" s="44" t="n"/>
      <c r="V1214" s="44">
        <f>IF(AND(P1214&gt;=Calendar!$K$2,P1214&lt;EDATE(Calendar!$K$2,1),OR(Calendar!$K$4="*",N1214=Calendar!$K$4)),P1214*100+COUNTIFS($P$6:$P$3271,P1214,$Q$6:$Q$3271,"&lt;="&amp;Q1214,$N$6:$N$3271,Calendar!$K$4),"")</f>
        <v/>
      </c>
      <c r="W1214" s="44">
        <f>IF(AND(B1214=Queue!$C$4,OR(Queue!$K$4="*",N1214=Queue!$K$4)),Q1214,"")</f>
        <v/>
      </c>
    </row>
    <row r="1215">
      <c r="A1215" s="35">
        <f>IF(M1215="","",HYPERLINK("https://www.youtube.com/watch?v="&amp;M1215,"▶"))</f>
        <v/>
      </c>
      <c r="B1215" s="36">
        <f>IF(C1215&lt;&gt;"",C1215,IF(P1215&lt;=IFERROR(INDEX(tblChannels[Watched Through],MATCH(N1215,tblChannels[Channel ID],0)),0),"Watched","Unwatched"))</f>
        <v/>
      </c>
      <c r="C1215" s="37" t="n"/>
      <c r="D1215" s="38" t="n"/>
      <c r="E1215" s="39" t="n">
        <v>44609.675</v>
      </c>
      <c r="F1215" s="47" t="inlineStr">
        <is>
          <t>Super Carlin Brothers</t>
        </is>
      </c>
      <c r="G1215" t="inlineStr">
        <is>
          <t>J vs Ben: ULTIMATE Crimes of Grindelwald Quiz | Harry Potter Trivia</t>
        </is>
      </c>
      <c r="H1215" s="41" t="n">
        <v>0.01987268518518518</v>
      </c>
      <c r="I1215" s="42" t="n">
        <v>148231</v>
      </c>
      <c r="J1215" s="42" t="n">
        <v>6194</v>
      </c>
      <c r="K1215" s="42" t="n">
        <v>543</v>
      </c>
      <c r="L1215" s="43" t="n"/>
      <c r="M1215" s="44" t="n"/>
      <c r="N1215" s="44" t="inlineStr">
        <is>
          <t>UCKZo4N0lVPccBkSiuyVh4yg</t>
        </is>
      </c>
      <c r="O1215" s="45" t="n">
        <v>44609.88333333333</v>
      </c>
      <c r="P1215" s="46" t="n">
        <v>44609</v>
      </c>
      <c r="Q1215" s="44" t="n">
        <v>2057</v>
      </c>
      <c r="R1215" s="44" t="inlineStr">
        <is>
          <t>No Video ID yet</t>
        </is>
      </c>
      <c r="S1215" s="46" t="n"/>
      <c r="T1215" s="46" t="n"/>
      <c r="U1215" s="44" t="n"/>
      <c r="V1215" s="44">
        <f>IF(AND(P1215&gt;=Calendar!$K$2,P1215&lt;EDATE(Calendar!$K$2,1),OR(Calendar!$K$4="*",N1215=Calendar!$K$4)),P1215*100+COUNTIFS($P$6:$P$3271,P1215,$Q$6:$Q$3271,"&lt;="&amp;Q1215,$N$6:$N$3271,Calendar!$K$4),"")</f>
        <v/>
      </c>
      <c r="W1215" s="44">
        <f>IF(AND(B1215=Queue!$C$4,OR(Queue!$K$4="*",N1215=Queue!$K$4)),Q1215,"")</f>
        <v/>
      </c>
    </row>
    <row r="1216">
      <c r="A1216" s="35">
        <f>IF(M1216="","",HYPERLINK("https://www.youtube.com/watch?v="&amp;M1216,"▶"))</f>
        <v/>
      </c>
      <c r="B1216" s="36">
        <f>IF(C1216&lt;&gt;"",C1216,IF(P1216&lt;=IFERROR(INDEX(tblChannels[Watched Through],MATCH(N1216,tblChannels[Channel ID],0)),0),"Watched","Unwatched"))</f>
        <v/>
      </c>
      <c r="C1216" s="37" t="n"/>
      <c r="D1216" s="38" t="n"/>
      <c r="E1216" s="39" t="n">
        <v>44607.7375</v>
      </c>
      <c r="F1216" s="47" t="inlineStr">
        <is>
          <t>Super Carlin Brothers</t>
        </is>
      </c>
      <c r="G1216" t="inlineStr">
        <is>
          <t>What Even IS The Multiverse of Madness? | Doctor Strange Film Theory</t>
        </is>
      </c>
      <c r="H1216" s="41" t="n">
        <v>0.01429398148148148</v>
      </c>
      <c r="I1216" s="42" t="n">
        <v>150704</v>
      </c>
      <c r="J1216" s="42" t="n">
        <v>8036</v>
      </c>
      <c r="K1216" s="42" t="n">
        <v>734</v>
      </c>
      <c r="L1216" s="43" t="n"/>
      <c r="M1216" s="44" t="n"/>
      <c r="N1216" s="44" t="inlineStr">
        <is>
          <t>UCKZo4N0lVPccBkSiuyVh4yg</t>
        </is>
      </c>
      <c r="O1216" s="45" t="n">
        <v>44607.94583333333</v>
      </c>
      <c r="P1216" s="46" t="n">
        <v>44607</v>
      </c>
      <c r="Q1216" s="44" t="n">
        <v>2056</v>
      </c>
      <c r="R1216" s="44" t="inlineStr">
        <is>
          <t>No Video ID yet</t>
        </is>
      </c>
      <c r="S1216" s="46" t="n"/>
      <c r="T1216" s="46" t="n"/>
      <c r="U1216" s="44" t="n"/>
      <c r="V1216" s="44">
        <f>IF(AND(P1216&gt;=Calendar!$K$2,P1216&lt;EDATE(Calendar!$K$2,1),OR(Calendar!$K$4="*",N1216=Calendar!$K$4)),P1216*100+COUNTIFS($P$6:$P$3271,P1216,$Q$6:$Q$3271,"&lt;="&amp;Q1216,$N$6:$N$3271,Calendar!$K$4),"")</f>
        <v/>
      </c>
      <c r="W1216" s="44">
        <f>IF(AND(B1216=Queue!$C$4,OR(Queue!$K$4="*",N1216=Queue!$K$4)),Q1216,"")</f>
        <v/>
      </c>
    </row>
    <row r="1217">
      <c r="A1217" s="35">
        <f>IF(M1217="","",HYPERLINK("https://www.youtube.com/watch?v="&amp;M1217,"▶"))</f>
        <v/>
      </c>
      <c r="B1217" s="36">
        <f>IF(C1217&lt;&gt;"",C1217,IF(P1217&lt;=IFERROR(INDEX(tblChannels[Watched Through],MATCH(N1217,tblChannels[Channel ID],0)),0),"Watched","Unwatched"))</f>
        <v/>
      </c>
      <c r="C1217" s="37" t="n"/>
      <c r="D1217" s="38" t="n"/>
      <c r="E1217" s="39" t="n">
        <v>44603.5</v>
      </c>
      <c r="F1217" s="51" t="inlineStr">
        <is>
          <t>With the Carlins</t>
        </is>
      </c>
      <c r="G1217" t="inlineStr">
        <is>
          <t>Alyce Picks Out A Dress For The Ball</t>
        </is>
      </c>
      <c r="H1217" s="41" t="n">
        <v>0.0155787037037037</v>
      </c>
      <c r="I1217" s="42" t="n">
        <v>14429</v>
      </c>
      <c r="J1217" s="42" t="n">
        <v>1174</v>
      </c>
      <c r="K1217" s="42" t="n">
        <v>705</v>
      </c>
      <c r="L1217" s="43" t="n"/>
      <c r="M1217" s="44" t="n"/>
      <c r="N1217" s="44" t="inlineStr">
        <is>
          <t>UCVBTjN9WJU5Ac8yU7b2K-5g</t>
        </is>
      </c>
      <c r="O1217" s="45" t="n">
        <v>44603.70833333334</v>
      </c>
      <c r="P1217" s="46" t="n">
        <v>44603</v>
      </c>
      <c r="Q1217" s="44" t="n">
        <v>2055</v>
      </c>
      <c r="R1217" s="44" t="inlineStr">
        <is>
          <t>No Video ID yet</t>
        </is>
      </c>
      <c r="S1217" s="46" t="n"/>
      <c r="T1217" s="46" t="n"/>
      <c r="U1217" s="44" t="n"/>
      <c r="V1217" s="44">
        <f>IF(AND(P1217&gt;=Calendar!$K$2,P1217&lt;EDATE(Calendar!$K$2,1),OR(Calendar!$K$4="*",N1217=Calendar!$K$4)),P1217*100+COUNTIFS($P$6:$P$3271,P1217,$Q$6:$Q$3271,"&lt;="&amp;Q1217,$N$6:$N$3271,Calendar!$K$4),"")</f>
        <v/>
      </c>
      <c r="W1217" s="44">
        <f>IF(AND(B1217=Queue!$C$4,OR(Queue!$K$4="*",N1217=Queue!$K$4)),Q1217,"")</f>
        <v/>
      </c>
    </row>
    <row r="1218">
      <c r="A1218" s="35">
        <f>IF(M1218="","",HYPERLINK("https://www.youtube.com/watch?v="&amp;M1218,"▶"))</f>
        <v/>
      </c>
      <c r="B1218" s="36">
        <f>IF(C1218&lt;&gt;"",C1218,IF(P1218&lt;=IFERROR(INDEX(tblChannels[Watched Through],MATCH(N1218,tblChannels[Channel ID],0)),0),"Watched","Unwatched"))</f>
        <v/>
      </c>
      <c r="C1218" s="37" t="n"/>
      <c r="D1218" s="38" t="n"/>
      <c r="E1218" s="39" t="n">
        <v>44603.41666666666</v>
      </c>
      <c r="F1218" s="40" t="inlineStr">
        <is>
          <t>Popcorn Culture</t>
        </is>
      </c>
      <c r="G1218" t="inlineStr">
        <is>
          <t>How to Win at Wordle | Popcorn Culture</t>
        </is>
      </c>
      <c r="H1218" s="41" t="n">
        <v>0.04594907407407407</v>
      </c>
      <c r="I1218" s="42" t="n">
        <v>8626</v>
      </c>
      <c r="J1218" s="42" t="n">
        <v>442</v>
      </c>
      <c r="K1218" s="42" t="n">
        <v>80</v>
      </c>
      <c r="L1218" s="43" t="n"/>
      <c r="M1218" s="44" t="n"/>
      <c r="N1218" s="44" t="inlineStr">
        <is>
          <t>UCHfIbq9thHPC8yrKjAdJgDA</t>
        </is>
      </c>
      <c r="O1218" s="45" t="n">
        <v>44603.625</v>
      </c>
      <c r="P1218" s="46" t="n">
        <v>44603</v>
      </c>
      <c r="Q1218" s="44" t="n">
        <v>2054</v>
      </c>
      <c r="R1218" s="44" t="inlineStr">
        <is>
          <t>No Video ID yet</t>
        </is>
      </c>
      <c r="S1218" s="46" t="n"/>
      <c r="T1218" s="46" t="n"/>
      <c r="U1218" s="44" t="n"/>
      <c r="V1218" s="44">
        <f>IF(AND(P1218&gt;=Calendar!$K$2,P1218&lt;EDATE(Calendar!$K$2,1),OR(Calendar!$K$4="*",N1218=Calendar!$K$4)),P1218*100+COUNTIFS($P$6:$P$3271,P1218,$Q$6:$Q$3271,"&lt;="&amp;Q1218,$N$6:$N$3271,Calendar!$K$4),"")</f>
        <v/>
      </c>
      <c r="W1218" s="44">
        <f>IF(AND(B1218=Queue!$C$4,OR(Queue!$K$4="*",N1218=Queue!$K$4)),Q1218,"")</f>
        <v/>
      </c>
    </row>
    <row r="1219">
      <c r="A1219" s="35">
        <f>IF(M1219="","",HYPERLINK("https://www.youtube.com/watch?v="&amp;M1219,"▶"))</f>
        <v/>
      </c>
      <c r="B1219" s="36">
        <f>IF(C1219&lt;&gt;"",C1219,IF(P1219&lt;=IFERROR(INDEX(tblChannels[Watched Through],MATCH(N1219,tblChannels[Channel ID],0)),0),"Watched","Unwatched"))</f>
        <v/>
      </c>
      <c r="C1219" s="37" t="n"/>
      <c r="D1219" s="38" t="n"/>
      <c r="E1219" s="39" t="n">
        <v>44602.69583333333</v>
      </c>
      <c r="F1219" s="47" t="inlineStr">
        <is>
          <t>Super Carlin Brothers</t>
        </is>
      </c>
      <c r="G1219" t="inlineStr">
        <is>
          <t>Did Elsa Actually Die In Frozen 2? | Frozen Film Theory</t>
        </is>
      </c>
      <c r="H1219" s="41" t="n">
        <v>0.01167824074074074</v>
      </c>
      <c r="I1219" s="42" t="n">
        <v>218490</v>
      </c>
      <c r="J1219" s="42" t="n">
        <v>9724</v>
      </c>
      <c r="K1219" s="42" t="n">
        <v>862</v>
      </c>
      <c r="L1219" s="43" t="n"/>
      <c r="M1219" s="44" t="n"/>
      <c r="N1219" s="44" t="inlineStr">
        <is>
          <t>UCKZo4N0lVPccBkSiuyVh4yg</t>
        </is>
      </c>
      <c r="O1219" s="45" t="n">
        <v>44602.90416666667</v>
      </c>
      <c r="P1219" s="46" t="n">
        <v>44602</v>
      </c>
      <c r="Q1219" s="44" t="n">
        <v>2053</v>
      </c>
      <c r="R1219" s="44" t="inlineStr">
        <is>
          <t>No Video ID yet</t>
        </is>
      </c>
      <c r="S1219" s="46" t="n"/>
      <c r="T1219" s="46" t="n"/>
      <c r="U1219" s="44" t="n"/>
      <c r="V1219" s="44">
        <f>IF(AND(P1219&gt;=Calendar!$K$2,P1219&lt;EDATE(Calendar!$K$2,1),OR(Calendar!$K$4="*",N1219=Calendar!$K$4)),P1219*100+COUNTIFS($P$6:$P$3271,P1219,$Q$6:$Q$3271,"&lt;="&amp;Q1219,$N$6:$N$3271,Calendar!$K$4),"")</f>
        <v/>
      </c>
      <c r="W1219" s="44">
        <f>IF(AND(B1219=Queue!$C$4,OR(Queue!$K$4="*",N1219=Queue!$K$4)),Q1219,"")</f>
        <v/>
      </c>
    </row>
    <row r="1220">
      <c r="A1220" s="35">
        <f>IF(M1220="","",HYPERLINK("https://www.youtube.com/watch?v="&amp;M1220,"▶"))</f>
        <v/>
      </c>
      <c r="B1220" s="36">
        <f>IF(C1220&lt;&gt;"",C1220,IF(P1220&lt;=IFERROR(INDEX(tblChannels[Watched Through],MATCH(N1220,tblChannels[Channel ID],0)),0),"Watched","Unwatched"))</f>
        <v/>
      </c>
      <c r="C1220" s="37" t="n"/>
      <c r="D1220" s="38" t="n"/>
      <c r="E1220" s="39" t="n">
        <v>44600.70972222222</v>
      </c>
      <c r="F1220" s="47" t="inlineStr">
        <is>
          <t>Super Carlin Brothers</t>
        </is>
      </c>
      <c r="G1220" t="inlineStr">
        <is>
          <t>Moana's Father Was The Chosen One Before Moana | Disney Film Theory</t>
        </is>
      </c>
      <c r="H1220" s="41" t="n">
        <v>0.00931712962962963</v>
      </c>
      <c r="I1220" s="42" t="n">
        <v>154998</v>
      </c>
      <c r="J1220" s="42" t="n">
        <v>8510</v>
      </c>
      <c r="K1220" s="42" t="n">
        <v>388</v>
      </c>
      <c r="L1220" s="43" t="n"/>
      <c r="M1220" s="44" t="n"/>
      <c r="N1220" s="44" t="inlineStr">
        <is>
          <t>UCKZo4N0lVPccBkSiuyVh4yg</t>
        </is>
      </c>
      <c r="O1220" s="45" t="n">
        <v>44600.91805555556</v>
      </c>
      <c r="P1220" s="46" t="n">
        <v>44600</v>
      </c>
      <c r="Q1220" s="44" t="n">
        <v>2052</v>
      </c>
      <c r="R1220" s="44" t="inlineStr">
        <is>
          <t>No Video ID yet</t>
        </is>
      </c>
      <c r="S1220" s="46" t="n"/>
      <c r="T1220" s="46" t="n"/>
      <c r="U1220" s="44" t="n"/>
      <c r="V1220" s="44">
        <f>IF(AND(P1220&gt;=Calendar!$K$2,P1220&lt;EDATE(Calendar!$K$2,1),OR(Calendar!$K$4="*",N1220=Calendar!$K$4)),P1220*100+COUNTIFS($P$6:$P$3271,P1220,$Q$6:$Q$3271,"&lt;="&amp;Q1220,$N$6:$N$3271,Calendar!$K$4),"")</f>
        <v/>
      </c>
      <c r="W1220" s="44">
        <f>IF(AND(B1220=Queue!$C$4,OR(Queue!$K$4="*",N1220=Queue!$K$4)),Q1220,"")</f>
        <v/>
      </c>
    </row>
    <row r="1221">
      <c r="A1221" s="35">
        <f>IF(M1221="","",HYPERLINK("https://www.youtube.com/watch?v="&amp;M1221,"▶"))</f>
        <v/>
      </c>
      <c r="B1221" s="36">
        <f>IF(C1221&lt;&gt;"",C1221,IF(P1221&lt;=IFERROR(INDEX(tblChannels[Watched Through],MATCH(N1221,tblChannels[Channel ID],0)),0),"Watched","Unwatched"))</f>
        <v/>
      </c>
      <c r="C1221" s="37" t="n"/>
      <c r="D1221" s="38" t="n"/>
      <c r="E1221" s="39" t="n">
        <v>44599.41666666666</v>
      </c>
      <c r="F1221" s="50" t="inlineStr">
        <is>
          <t>Jonathan Carlin</t>
        </is>
      </c>
      <c r="G1221" t="inlineStr">
        <is>
          <t>The Great Ski Adventure</t>
        </is>
      </c>
      <c r="H1221" s="41" t="n">
        <v>0.01394675925925926</v>
      </c>
      <c r="I1221" s="42" t="n">
        <v>13425</v>
      </c>
      <c r="J1221" s="42" t="n">
        <v>973</v>
      </c>
      <c r="K1221" s="42" t="n">
        <v>73</v>
      </c>
      <c r="L1221" s="43" t="n"/>
      <c r="M1221" s="44" t="n"/>
      <c r="N1221" s="44" t="inlineStr">
        <is>
          <t>UCYPKFe86e6nm4TVUYKLsFUQ</t>
        </is>
      </c>
      <c r="O1221" s="45" t="n">
        <v>44599.625</v>
      </c>
      <c r="P1221" s="46" t="n">
        <v>44599</v>
      </c>
      <c r="Q1221" s="44" t="n">
        <v>2051</v>
      </c>
      <c r="R1221" s="44" t="inlineStr">
        <is>
          <t>No Video ID yet</t>
        </is>
      </c>
      <c r="S1221" s="46" t="n"/>
      <c r="T1221" s="46" t="n"/>
      <c r="U1221" s="44" t="n"/>
      <c r="V1221" s="44">
        <f>IF(AND(P1221&gt;=Calendar!$K$2,P1221&lt;EDATE(Calendar!$K$2,1),OR(Calendar!$K$4="*",N1221=Calendar!$K$4)),P1221*100+COUNTIFS($P$6:$P$3271,P1221,$Q$6:$Q$3271,"&lt;="&amp;Q1221,$N$6:$N$3271,Calendar!$K$4),"")</f>
        <v/>
      </c>
      <c r="W1221" s="44">
        <f>IF(AND(B1221=Queue!$C$4,OR(Queue!$K$4="*",N1221=Queue!$K$4)),Q1221,"")</f>
        <v/>
      </c>
    </row>
    <row r="1222">
      <c r="A1222" s="35">
        <f>IF(M1222="","",HYPERLINK("https://www.youtube.com/watch?v="&amp;M1222,"▶"))</f>
        <v/>
      </c>
      <c r="B1222" s="36">
        <f>IF(C1222&lt;&gt;"",C1222,IF(P1222&lt;=IFERROR(INDEX(tblChannels[Watched Through],MATCH(N1222,tblChannels[Channel ID],0)),0),"Watched","Unwatched"))</f>
        <v/>
      </c>
      <c r="C1222" s="37" t="n"/>
      <c r="D1222" s="38" t="n"/>
      <c r="E1222" s="39" t="n">
        <v>44596.5</v>
      </c>
      <c r="F1222" s="51" t="inlineStr">
        <is>
          <t>With the Carlins</t>
        </is>
      </c>
      <c r="G1222" t="inlineStr">
        <is>
          <t>I Build A Backyard Ice Bath</t>
        </is>
      </c>
      <c r="H1222" s="41" t="n">
        <v>0.01478009259259259</v>
      </c>
      <c r="I1222" s="42" t="n">
        <v>15957</v>
      </c>
      <c r="J1222" s="42" t="n">
        <v>1236</v>
      </c>
      <c r="K1222" s="42" t="n">
        <v>109</v>
      </c>
      <c r="L1222" s="43" t="n"/>
      <c r="M1222" s="44" t="n"/>
      <c r="N1222" s="44" t="inlineStr">
        <is>
          <t>UCVBTjN9WJU5Ac8yU7b2K-5g</t>
        </is>
      </c>
      <c r="O1222" s="45" t="n">
        <v>44596.70833333334</v>
      </c>
      <c r="P1222" s="46" t="n">
        <v>44596</v>
      </c>
      <c r="Q1222" s="44" t="n">
        <v>2050</v>
      </c>
      <c r="R1222" s="44" t="inlineStr">
        <is>
          <t>No Video ID yet</t>
        </is>
      </c>
      <c r="S1222" s="46" t="n"/>
      <c r="T1222" s="46" t="n"/>
      <c r="U1222" s="44" t="n"/>
      <c r="V1222" s="44">
        <f>IF(AND(P1222&gt;=Calendar!$K$2,P1222&lt;EDATE(Calendar!$K$2,1),OR(Calendar!$K$4="*",N1222=Calendar!$K$4)),P1222*100+COUNTIFS($P$6:$P$3271,P1222,$Q$6:$Q$3271,"&lt;="&amp;Q1222,$N$6:$N$3271,Calendar!$K$4),"")</f>
        <v/>
      </c>
      <c r="W1222" s="44">
        <f>IF(AND(B1222=Queue!$C$4,OR(Queue!$K$4="*",N1222=Queue!$K$4)),Q1222,"")</f>
        <v/>
      </c>
    </row>
    <row r="1223">
      <c r="A1223" s="35">
        <f>IF(M1223="","",HYPERLINK("https://www.youtube.com/watch?v="&amp;M1223,"▶"))</f>
        <v/>
      </c>
      <c r="B1223" s="36">
        <f>IF(C1223&lt;&gt;"",C1223,IF(P1223&lt;=IFERROR(INDEX(tblChannels[Watched Through],MATCH(N1223,tblChannels[Channel ID],0)),0),"Watched","Unwatched"))</f>
        <v/>
      </c>
      <c r="C1223" s="37" t="n"/>
      <c r="D1223" s="38" t="n"/>
      <c r="E1223" s="39" t="n">
        <v>44596.41666666666</v>
      </c>
      <c r="F1223" s="40" t="inlineStr">
        <is>
          <t>Popcorn Culture</t>
        </is>
      </c>
      <c r="G1223" t="inlineStr">
        <is>
          <t>The Future Of Star Wars | Popcorn Culture</t>
        </is>
      </c>
      <c r="H1223" s="41" t="n">
        <v>0.04806712962962963</v>
      </c>
      <c r="I1223" s="42" t="n">
        <v>8369</v>
      </c>
      <c r="J1223" s="42" t="n">
        <v>461</v>
      </c>
      <c r="K1223" s="42" t="n">
        <v>49</v>
      </c>
      <c r="L1223" s="43" t="n"/>
      <c r="M1223" s="44" t="n"/>
      <c r="N1223" s="44" t="inlineStr">
        <is>
          <t>UCHfIbq9thHPC8yrKjAdJgDA</t>
        </is>
      </c>
      <c r="O1223" s="45" t="n">
        <v>44596.625</v>
      </c>
      <c r="P1223" s="46" t="n">
        <v>44596</v>
      </c>
      <c r="Q1223" s="44" t="n">
        <v>2049</v>
      </c>
      <c r="R1223" s="44" t="inlineStr">
        <is>
          <t>No Video ID yet</t>
        </is>
      </c>
      <c r="S1223" s="46" t="n"/>
      <c r="T1223" s="46" t="n"/>
      <c r="U1223" s="44" t="n"/>
      <c r="V1223" s="44">
        <f>IF(AND(P1223&gt;=Calendar!$K$2,P1223&lt;EDATE(Calendar!$K$2,1),OR(Calendar!$K$4="*",N1223=Calendar!$K$4)),P1223*100+COUNTIFS($P$6:$P$3271,P1223,$Q$6:$Q$3271,"&lt;="&amp;Q1223,$N$6:$N$3271,Calendar!$K$4),"")</f>
        <v/>
      </c>
      <c r="W1223" s="44">
        <f>IF(AND(B1223=Queue!$C$4,OR(Queue!$K$4="*",N1223=Queue!$K$4)),Q1223,"")</f>
        <v/>
      </c>
    </row>
    <row r="1224">
      <c r="A1224" s="35">
        <f>IF(M1224="","",HYPERLINK("https://www.youtube.com/watch?v="&amp;M1224,"▶"))</f>
        <v/>
      </c>
      <c r="B1224" s="36">
        <f>IF(C1224&lt;&gt;"",C1224,IF(P1224&lt;=IFERROR(INDEX(tblChannels[Watched Through],MATCH(N1224,tblChannels[Channel ID],0)),0),"Watched","Unwatched"))</f>
        <v/>
      </c>
      <c r="C1224" s="37" t="n"/>
      <c r="D1224" s="38" t="n"/>
      <c r="E1224" s="39" t="n">
        <v>44595.67708333334</v>
      </c>
      <c r="F1224" s="47" t="inlineStr">
        <is>
          <t>Super Carlin Brothers</t>
        </is>
      </c>
      <c r="G1224" t="inlineStr">
        <is>
          <t>J vs Ben: The PRETTY OBVIOUS Gilderoy Lockhart Harry Potter TRIVIA Quiz</t>
        </is>
      </c>
      <c r="H1224" s="41" t="n">
        <v>0.02068287037037037</v>
      </c>
      <c r="I1224" s="42" t="n">
        <v>291629</v>
      </c>
      <c r="J1224" s="42" t="n">
        <v>9969</v>
      </c>
      <c r="K1224" s="42" t="n">
        <v>591</v>
      </c>
      <c r="L1224" s="43" t="n"/>
      <c r="M1224" s="44" t="n"/>
      <c r="N1224" s="44" t="inlineStr">
        <is>
          <t>UCKZo4N0lVPccBkSiuyVh4yg</t>
        </is>
      </c>
      <c r="O1224" s="45" t="n">
        <v>44595.88541666666</v>
      </c>
      <c r="P1224" s="46" t="n">
        <v>44595</v>
      </c>
      <c r="Q1224" s="44" t="n">
        <v>2048</v>
      </c>
      <c r="R1224" s="44" t="inlineStr">
        <is>
          <t>No Video ID yet</t>
        </is>
      </c>
      <c r="S1224" s="46" t="n"/>
      <c r="T1224" s="46" t="n"/>
      <c r="U1224" s="44" t="n"/>
      <c r="V1224" s="44">
        <f>IF(AND(P1224&gt;=Calendar!$K$2,P1224&lt;EDATE(Calendar!$K$2,1),OR(Calendar!$K$4="*",N1224=Calendar!$K$4)),P1224*100+COUNTIFS($P$6:$P$3271,P1224,$Q$6:$Q$3271,"&lt;="&amp;Q1224,$N$6:$N$3271,Calendar!$K$4),"")</f>
        <v/>
      </c>
      <c r="W1224" s="44">
        <f>IF(AND(B1224=Queue!$C$4,OR(Queue!$K$4="*",N1224=Queue!$K$4)),Q1224,"")</f>
        <v/>
      </c>
    </row>
    <row r="1225">
      <c r="A1225" s="35">
        <f>IF(M1225="","",HYPERLINK("https://www.youtube.com/watch?v="&amp;M1225,"▶"))</f>
        <v/>
      </c>
      <c r="B1225" s="36">
        <f>IF(C1225&lt;&gt;"",C1225,IF(P1225&lt;=IFERROR(INDEX(tblChannels[Watched Through],MATCH(N1225,tblChannels[Channel ID],0)),0),"Watched","Unwatched"))</f>
        <v/>
      </c>
      <c r="C1225" s="37" t="n"/>
      <c r="D1225" s="38" t="n"/>
      <c r="E1225" s="39" t="n">
        <v>44593.56527777778</v>
      </c>
      <c r="F1225" s="47" t="inlineStr">
        <is>
          <t>Super Carlin Brothers</t>
        </is>
      </c>
      <c r="G1225" t="inlineStr">
        <is>
          <t>Did Maui Create the Druun?! | Disney Film Theory</t>
        </is>
      </c>
      <c r="H1225" s="41" t="n">
        <v>0.007731481481481482</v>
      </c>
      <c r="I1225" s="42" t="n">
        <v>190166</v>
      </c>
      <c r="J1225" s="42" t="n">
        <v>8800</v>
      </c>
      <c r="K1225" s="42" t="n">
        <v>476</v>
      </c>
      <c r="L1225" s="43" t="n"/>
      <c r="M1225" s="44" t="n"/>
      <c r="N1225" s="44" t="inlineStr">
        <is>
          <t>UCKZo4N0lVPccBkSiuyVh4yg</t>
        </is>
      </c>
      <c r="O1225" s="45" t="n">
        <v>44593.77361111111</v>
      </c>
      <c r="P1225" s="46" t="n">
        <v>44593</v>
      </c>
      <c r="Q1225" s="44" t="n">
        <v>2047</v>
      </c>
      <c r="R1225" s="44" t="inlineStr">
        <is>
          <t>No Video ID yet</t>
        </is>
      </c>
      <c r="S1225" s="46" t="n"/>
      <c r="T1225" s="46" t="n"/>
      <c r="U1225" s="44" t="n"/>
      <c r="V1225" s="44">
        <f>IF(AND(P1225&gt;=Calendar!$K$2,P1225&lt;EDATE(Calendar!$K$2,1),OR(Calendar!$K$4="*",N1225=Calendar!$K$4)),P1225*100+COUNTIFS($P$6:$P$3271,P1225,$Q$6:$Q$3271,"&lt;="&amp;Q1225,$N$6:$N$3271,Calendar!$K$4),"")</f>
        <v/>
      </c>
      <c r="W1225" s="44">
        <f>IF(AND(B1225=Queue!$C$4,OR(Queue!$K$4="*",N1225=Queue!$K$4)),Q1225,"")</f>
        <v/>
      </c>
    </row>
    <row r="1226">
      <c r="A1226" s="35">
        <f>IF(M1226="","",HYPERLINK("https://www.youtube.com/watch?v="&amp;M1226,"▶"))</f>
        <v/>
      </c>
      <c r="B1226" s="36">
        <f>IF(C1226&lt;&gt;"",C1226,IF(P1226&lt;=IFERROR(INDEX(tblChannels[Watched Through],MATCH(N1226,tblChannels[Channel ID],0)),0),"Watched","Unwatched"))</f>
        <v/>
      </c>
      <c r="C1226" s="37" t="n"/>
      <c r="D1226" s="38" t="n"/>
      <c r="E1226" s="39" t="n">
        <v>44592.41666666666</v>
      </c>
      <c r="F1226" s="50" t="inlineStr">
        <is>
          <t>Jonathan Carlin</t>
        </is>
      </c>
      <c r="G1226" t="inlineStr">
        <is>
          <t>SNOW DAY!</t>
        </is>
      </c>
      <c r="H1226" s="41" t="n">
        <v>0.009606481481481481</v>
      </c>
      <c r="I1226" s="42" t="n">
        <v>12222</v>
      </c>
      <c r="J1226" s="42" t="n">
        <v>941</v>
      </c>
      <c r="K1226" s="42" t="n">
        <v>67</v>
      </c>
      <c r="L1226" s="43" t="n"/>
      <c r="M1226" s="44" t="n"/>
      <c r="N1226" s="44" t="inlineStr">
        <is>
          <t>UCYPKFe86e6nm4TVUYKLsFUQ</t>
        </is>
      </c>
      <c r="O1226" s="45" t="n">
        <v>44592.625</v>
      </c>
      <c r="P1226" s="46" t="n">
        <v>44592</v>
      </c>
      <c r="Q1226" s="44" t="n">
        <v>2046</v>
      </c>
      <c r="R1226" s="44" t="inlineStr">
        <is>
          <t>No Video ID yet</t>
        </is>
      </c>
      <c r="S1226" s="46" t="n"/>
      <c r="T1226" s="46" t="n"/>
      <c r="U1226" s="44" t="n"/>
      <c r="V1226" s="44">
        <f>IF(AND(P1226&gt;=Calendar!$K$2,P1226&lt;EDATE(Calendar!$K$2,1),OR(Calendar!$K$4="*",N1226=Calendar!$K$4)),P1226*100+COUNTIFS($P$6:$P$3271,P1226,$Q$6:$Q$3271,"&lt;="&amp;Q1226,$N$6:$N$3271,Calendar!$K$4),"")</f>
        <v/>
      </c>
      <c r="W1226" s="44">
        <f>IF(AND(B1226=Queue!$C$4,OR(Queue!$K$4="*",N1226=Queue!$K$4)),Q1226,"")</f>
        <v/>
      </c>
    </row>
    <row r="1227">
      <c r="A1227" s="35">
        <f>IF(M1227="","",HYPERLINK("https://www.youtube.com/watch?v="&amp;M1227,"▶"))</f>
        <v/>
      </c>
      <c r="B1227" s="36">
        <f>IF(C1227&lt;&gt;"",C1227,IF(P1227&lt;=IFERROR(INDEX(tblChannels[Watched Through],MATCH(N1227,tblChannels[Channel ID],0)),0),"Watched","Unwatched"))</f>
        <v/>
      </c>
      <c r="C1227" s="37" t="n"/>
      <c r="D1227" s="38" t="n"/>
      <c r="E1227" s="39" t="n">
        <v>44589.41666666666</v>
      </c>
      <c r="F1227" s="40" t="inlineStr">
        <is>
          <t>Popcorn Culture</t>
        </is>
      </c>
      <c r="G1227" t="inlineStr">
        <is>
          <t>Should We Become Plungers?</t>
        </is>
      </c>
      <c r="H1227" s="41" t="n">
        <v>0.04723379629629629</v>
      </c>
      <c r="I1227" s="42" t="n">
        <v>7982</v>
      </c>
      <c r="J1227" s="42" t="n">
        <v>417</v>
      </c>
      <c r="K1227" s="42" t="n">
        <v>53</v>
      </c>
      <c r="L1227" s="43" t="n"/>
      <c r="M1227" s="44" t="n"/>
      <c r="N1227" s="44" t="inlineStr">
        <is>
          <t>UCHfIbq9thHPC8yrKjAdJgDA</t>
        </is>
      </c>
      <c r="O1227" s="45" t="n">
        <v>44589.625</v>
      </c>
      <c r="P1227" s="46" t="n">
        <v>44589</v>
      </c>
      <c r="Q1227" s="44" t="n">
        <v>2045</v>
      </c>
      <c r="R1227" s="44" t="inlineStr">
        <is>
          <t>No Video ID yet</t>
        </is>
      </c>
      <c r="S1227" s="46" t="n"/>
      <c r="T1227" s="46" t="n"/>
      <c r="U1227" s="44" t="n"/>
      <c r="V1227" s="44">
        <f>IF(AND(P1227&gt;=Calendar!$K$2,P1227&lt;EDATE(Calendar!$K$2,1),OR(Calendar!$K$4="*",N1227=Calendar!$K$4)),P1227*100+COUNTIFS($P$6:$P$3271,P1227,$Q$6:$Q$3271,"&lt;="&amp;Q1227,$N$6:$N$3271,Calendar!$K$4),"")</f>
        <v/>
      </c>
      <c r="W1227" s="44">
        <f>IF(AND(B1227=Queue!$C$4,OR(Queue!$K$4="*",N1227=Queue!$K$4)),Q1227,"")</f>
        <v/>
      </c>
    </row>
    <row r="1228">
      <c r="A1228" s="35">
        <f>IF(M1228="","",HYPERLINK("https://www.youtube.com/watch?v="&amp;M1228,"▶"))</f>
        <v/>
      </c>
      <c r="B1228" s="36">
        <f>IF(C1228&lt;&gt;"",C1228,IF(P1228&lt;=IFERROR(INDEX(tblChannels[Watched Through],MATCH(N1228,tblChannels[Channel ID],0)),0),"Watched","Unwatched"))</f>
        <v/>
      </c>
      <c r="C1228" s="37" t="n"/>
      <c r="D1228" s="38" t="n"/>
      <c r="E1228" s="39" t="n">
        <v>44588.625</v>
      </c>
      <c r="F1228" s="47" t="inlineStr">
        <is>
          <t>Super Carlin Brothers</t>
        </is>
      </c>
      <c r="G1228" t="inlineStr">
        <is>
          <t>Does Pedro Become Casita? | Encanto Film Theory</t>
        </is>
      </c>
      <c r="H1228" s="41" t="n">
        <v>0.00982638888888889</v>
      </c>
      <c r="I1228" s="42" t="n">
        <v>219562</v>
      </c>
      <c r="J1228" s="42" t="n">
        <v>11340</v>
      </c>
      <c r="K1228" s="42" t="n">
        <v>1048</v>
      </c>
      <c r="L1228" s="43" t="n"/>
      <c r="M1228" s="44" t="n"/>
      <c r="N1228" s="44" t="inlineStr">
        <is>
          <t>UCKZo4N0lVPccBkSiuyVh4yg</t>
        </is>
      </c>
      <c r="O1228" s="45" t="n">
        <v>44588.83333333334</v>
      </c>
      <c r="P1228" s="46" t="n">
        <v>44588</v>
      </c>
      <c r="Q1228" s="44" t="n">
        <v>2044</v>
      </c>
      <c r="R1228" s="44" t="inlineStr">
        <is>
          <t>No Video ID yet</t>
        </is>
      </c>
      <c r="S1228" s="46" t="n"/>
      <c r="T1228" s="46" t="n"/>
      <c r="U1228" s="44" t="n"/>
      <c r="V1228" s="44">
        <f>IF(AND(P1228&gt;=Calendar!$K$2,P1228&lt;EDATE(Calendar!$K$2,1),OR(Calendar!$K$4="*",N1228=Calendar!$K$4)),P1228*100+COUNTIFS($P$6:$P$3271,P1228,$Q$6:$Q$3271,"&lt;="&amp;Q1228,$N$6:$N$3271,Calendar!$K$4),"")</f>
        <v/>
      </c>
      <c r="W1228" s="44">
        <f>IF(AND(B1228=Queue!$C$4,OR(Queue!$K$4="*",N1228=Queue!$K$4)),Q1228,"")</f>
        <v/>
      </c>
    </row>
    <row r="1229">
      <c r="A1229" s="35">
        <f>IF(M1229="","",HYPERLINK("https://www.youtube.com/watch?v="&amp;M1229,"▶"))</f>
        <v/>
      </c>
      <c r="B1229" s="36">
        <f>IF(C1229&lt;&gt;"",C1229,IF(P1229&lt;=IFERROR(INDEX(tblChannels[Watched Through],MATCH(N1229,tblChannels[Channel ID],0)),0),"Watched","Unwatched"))</f>
        <v/>
      </c>
      <c r="C1229" s="37" t="n"/>
      <c r="D1229" s="38" t="n"/>
      <c r="E1229" s="39" t="n">
        <v>44586.71041666667</v>
      </c>
      <c r="F1229" s="47" t="inlineStr">
        <is>
          <t>Super Carlin Brothers</t>
        </is>
      </c>
      <c r="G1229" t="inlineStr">
        <is>
          <t>What Is Abuela’s Gift? | Encanto Film Theory</t>
        </is>
      </c>
      <c r="H1229" s="41" t="n">
        <v>0.008506944444444444</v>
      </c>
      <c r="I1229" s="42" t="n">
        <v>324950</v>
      </c>
      <c r="J1229" s="42" t="n">
        <v>15444</v>
      </c>
      <c r="K1229" s="42" t="n">
        <v>1036</v>
      </c>
      <c r="L1229" s="43" t="n"/>
      <c r="M1229" s="44" t="n"/>
      <c r="N1229" s="44" t="inlineStr">
        <is>
          <t>UCKZo4N0lVPccBkSiuyVh4yg</t>
        </is>
      </c>
      <c r="O1229" s="45" t="n">
        <v>44586.91875</v>
      </c>
      <c r="P1229" s="46" t="n">
        <v>44586</v>
      </c>
      <c r="Q1229" s="44" t="n">
        <v>2043</v>
      </c>
      <c r="R1229" s="44" t="inlineStr">
        <is>
          <t>No Video ID yet</t>
        </is>
      </c>
      <c r="S1229" s="46" t="n"/>
      <c r="T1229" s="46" t="n"/>
      <c r="U1229" s="44" t="n"/>
      <c r="V1229" s="44">
        <f>IF(AND(P1229&gt;=Calendar!$K$2,P1229&lt;EDATE(Calendar!$K$2,1),OR(Calendar!$K$4="*",N1229=Calendar!$K$4)),P1229*100+COUNTIFS($P$6:$P$3271,P1229,$Q$6:$Q$3271,"&lt;="&amp;Q1229,$N$6:$N$3271,Calendar!$K$4),"")</f>
        <v/>
      </c>
      <c r="W1229" s="44">
        <f>IF(AND(B1229=Queue!$C$4,OR(Queue!$K$4="*",N1229=Queue!$K$4)),Q1229,"")</f>
        <v/>
      </c>
    </row>
    <row r="1230">
      <c r="A1230" s="35">
        <f>IF(M1230="","",HYPERLINK("https://www.youtube.com/watch?v="&amp;M1230,"▶"))</f>
        <v/>
      </c>
      <c r="B1230" s="36">
        <f>IF(C1230&lt;&gt;"",C1230,IF(P1230&lt;=IFERROR(INDEX(tblChannels[Watched Through],MATCH(N1230,tblChannels[Channel ID],0)),0),"Watched","Unwatched"))</f>
        <v/>
      </c>
      <c r="C1230" s="37" t="n"/>
      <c r="D1230" s="38" t="n"/>
      <c r="E1230" s="39" t="n">
        <v>44585.41666666666</v>
      </c>
      <c r="F1230" s="50" t="inlineStr">
        <is>
          <t>Jonathan Carlin</t>
        </is>
      </c>
      <c r="G1230" t="inlineStr">
        <is>
          <t>Our Goals For 2022</t>
        </is>
      </c>
      <c r="H1230" s="41" t="n">
        <v>0.01216435185185185</v>
      </c>
      <c r="I1230" s="42" t="n">
        <v>14060</v>
      </c>
      <c r="J1230" s="42" t="n">
        <v>1045</v>
      </c>
      <c r="K1230" s="42" t="n">
        <v>104</v>
      </c>
      <c r="L1230" s="43" t="n"/>
      <c r="M1230" s="44" t="n"/>
      <c r="N1230" s="44" t="inlineStr">
        <is>
          <t>UCYPKFe86e6nm4TVUYKLsFUQ</t>
        </is>
      </c>
      <c r="O1230" s="45" t="n">
        <v>44585.625</v>
      </c>
      <c r="P1230" s="46" t="n">
        <v>44585</v>
      </c>
      <c r="Q1230" s="44" t="n">
        <v>2042</v>
      </c>
      <c r="R1230" s="44" t="inlineStr">
        <is>
          <t>No Video ID yet</t>
        </is>
      </c>
      <c r="S1230" s="46" t="n"/>
      <c r="T1230" s="46" t="n"/>
      <c r="U1230" s="44" t="n"/>
      <c r="V1230" s="44">
        <f>IF(AND(P1230&gt;=Calendar!$K$2,P1230&lt;EDATE(Calendar!$K$2,1),OR(Calendar!$K$4="*",N1230=Calendar!$K$4)),P1230*100+COUNTIFS($P$6:$P$3271,P1230,$Q$6:$Q$3271,"&lt;="&amp;Q1230,$N$6:$N$3271,Calendar!$K$4),"")</f>
        <v/>
      </c>
      <c r="W1230" s="44">
        <f>IF(AND(B1230=Queue!$C$4,OR(Queue!$K$4="*",N1230=Queue!$K$4)),Q1230,"")</f>
        <v/>
      </c>
    </row>
    <row r="1231">
      <c r="A1231" s="35">
        <f>IF(M1231="","",HYPERLINK("https://www.youtube.com/watch?v="&amp;M1231,"▶"))</f>
        <v/>
      </c>
      <c r="B1231" s="36">
        <f>IF(C1231&lt;&gt;"",C1231,IF(P1231&lt;=IFERROR(INDEX(tblChannels[Watched Through],MATCH(N1231,tblChannels[Channel ID],0)),0),"Watched","Unwatched"))</f>
        <v/>
      </c>
      <c r="C1231" s="37" t="n"/>
      <c r="D1231" s="38" t="n"/>
      <c r="E1231" s="39" t="n">
        <v>44582.5</v>
      </c>
      <c r="F1231" s="51" t="inlineStr">
        <is>
          <t>With the Carlins</t>
        </is>
      </c>
      <c r="G1231" t="inlineStr">
        <is>
          <t>Addison's First Snow Day!</t>
        </is>
      </c>
      <c r="H1231" s="41" t="n">
        <v>0.01800925925925926</v>
      </c>
      <c r="I1231" s="42" t="n">
        <v>16135</v>
      </c>
      <c r="J1231" s="42" t="n">
        <v>1269</v>
      </c>
      <c r="K1231" s="42" t="n">
        <v>139</v>
      </c>
      <c r="L1231" s="43" t="n"/>
      <c r="M1231" s="44" t="n"/>
      <c r="N1231" s="44" t="inlineStr">
        <is>
          <t>UCVBTjN9WJU5Ac8yU7b2K-5g</t>
        </is>
      </c>
      <c r="O1231" s="45" t="n">
        <v>44582.70833333334</v>
      </c>
      <c r="P1231" s="46" t="n">
        <v>44582</v>
      </c>
      <c r="Q1231" s="44" t="n">
        <v>2041</v>
      </c>
      <c r="R1231" s="44" t="inlineStr">
        <is>
          <t>No Video ID yet</t>
        </is>
      </c>
      <c r="S1231" s="46" t="n"/>
      <c r="T1231" s="46" t="n"/>
      <c r="U1231" s="44" t="n"/>
      <c r="V1231" s="44">
        <f>IF(AND(P1231&gt;=Calendar!$K$2,P1231&lt;EDATE(Calendar!$K$2,1),OR(Calendar!$K$4="*",N1231=Calendar!$K$4)),P1231*100+COUNTIFS($P$6:$P$3271,P1231,$Q$6:$Q$3271,"&lt;="&amp;Q1231,$N$6:$N$3271,Calendar!$K$4),"")</f>
        <v/>
      </c>
      <c r="W1231" s="44">
        <f>IF(AND(B1231=Queue!$C$4,OR(Queue!$K$4="*",N1231=Queue!$K$4)),Q1231,"")</f>
        <v/>
      </c>
    </row>
    <row r="1232">
      <c r="A1232" s="35">
        <f>IF(M1232="","",HYPERLINK("https://www.youtube.com/watch?v="&amp;M1232,"▶"))</f>
        <v/>
      </c>
      <c r="B1232" s="36">
        <f>IF(C1232&lt;&gt;"",C1232,IF(P1232&lt;=IFERROR(INDEX(tblChannels[Watched Through],MATCH(N1232,tblChannels[Channel ID],0)),0),"Watched","Unwatched"))</f>
        <v/>
      </c>
      <c r="C1232" s="37" t="n"/>
      <c r="D1232" s="38" t="n"/>
      <c r="E1232" s="39" t="n">
        <v>44582.41666666666</v>
      </c>
      <c r="F1232" s="40" t="inlineStr">
        <is>
          <t>Popcorn Culture</t>
        </is>
      </c>
      <c r="G1232" t="inlineStr">
        <is>
          <t>Full Contact Sledding | Popcorn Culture</t>
        </is>
      </c>
      <c r="H1232" s="41" t="n">
        <v>0.04648148148148148</v>
      </c>
      <c r="I1232" s="42" t="n">
        <v>8213</v>
      </c>
      <c r="J1232" s="42" t="n">
        <v>420</v>
      </c>
      <c r="K1232" s="42" t="n">
        <v>72</v>
      </c>
      <c r="L1232" s="43" t="n"/>
      <c r="M1232" s="44" t="n"/>
      <c r="N1232" s="44" t="inlineStr">
        <is>
          <t>UCHfIbq9thHPC8yrKjAdJgDA</t>
        </is>
      </c>
      <c r="O1232" s="45" t="n">
        <v>44582.625</v>
      </c>
      <c r="P1232" s="46" t="n">
        <v>44582</v>
      </c>
      <c r="Q1232" s="44" t="n">
        <v>2040</v>
      </c>
      <c r="R1232" s="44" t="inlineStr">
        <is>
          <t>No Video ID yet</t>
        </is>
      </c>
      <c r="S1232" s="46" t="n"/>
      <c r="T1232" s="46" t="n"/>
      <c r="U1232" s="44" t="n"/>
      <c r="V1232" s="44">
        <f>IF(AND(P1232&gt;=Calendar!$K$2,P1232&lt;EDATE(Calendar!$K$2,1),OR(Calendar!$K$4="*",N1232=Calendar!$K$4)),P1232*100+COUNTIFS($P$6:$P$3271,P1232,$Q$6:$Q$3271,"&lt;="&amp;Q1232,$N$6:$N$3271,Calendar!$K$4),"")</f>
        <v/>
      </c>
      <c r="W1232" s="44">
        <f>IF(AND(B1232=Queue!$C$4,OR(Queue!$K$4="*",N1232=Queue!$K$4)),Q1232,"")</f>
        <v/>
      </c>
    </row>
    <row r="1233">
      <c r="A1233" s="35">
        <f>IF(M1233="","",HYPERLINK("https://www.youtube.com/watch?v="&amp;M1233,"▶"))</f>
        <v/>
      </c>
      <c r="B1233" s="36">
        <f>IF(C1233&lt;&gt;"",C1233,IF(P1233&lt;=IFERROR(INDEX(tblChannels[Watched Through],MATCH(N1233,tblChannels[Channel ID],0)),0),"Watched","Unwatched"))</f>
        <v/>
      </c>
      <c r="C1233" s="37" t="n"/>
      <c r="D1233" s="38" t="n"/>
      <c r="E1233" s="39" t="n">
        <v>44581.71944444445</v>
      </c>
      <c r="F1233" s="47" t="inlineStr">
        <is>
          <t>Super Carlin Brothers</t>
        </is>
      </c>
      <c r="G1233" t="inlineStr">
        <is>
          <t>Bruno’s SECRET Gift | Disney Encanto Film Theory</t>
        </is>
      </c>
      <c r="H1233" s="41" t="n">
        <v>0.007060185185185185</v>
      </c>
      <c r="I1233" s="42" t="n">
        <v>291372</v>
      </c>
      <c r="J1233" s="42" t="n">
        <v>14451</v>
      </c>
      <c r="K1233" s="42" t="n">
        <v>3351</v>
      </c>
      <c r="L1233" s="43" t="n"/>
      <c r="M1233" s="44" t="n"/>
      <c r="N1233" s="44" t="inlineStr">
        <is>
          <t>UCKZo4N0lVPccBkSiuyVh4yg</t>
        </is>
      </c>
      <c r="O1233" s="45" t="n">
        <v>44581.92777777778</v>
      </c>
      <c r="P1233" s="46" t="n">
        <v>44581</v>
      </c>
      <c r="Q1233" s="44" t="n">
        <v>2039</v>
      </c>
      <c r="R1233" s="44" t="inlineStr">
        <is>
          <t>No Video ID yet</t>
        </is>
      </c>
      <c r="S1233" s="46" t="n"/>
      <c r="T1233" s="46" t="n"/>
      <c r="U1233" s="44" t="n"/>
      <c r="V1233" s="44">
        <f>IF(AND(P1233&gt;=Calendar!$K$2,P1233&lt;EDATE(Calendar!$K$2,1),OR(Calendar!$K$4="*",N1233=Calendar!$K$4)),P1233*100+COUNTIFS($P$6:$P$3271,P1233,$Q$6:$Q$3271,"&lt;="&amp;Q1233,$N$6:$N$3271,Calendar!$K$4),"")</f>
        <v/>
      </c>
      <c r="W1233" s="44">
        <f>IF(AND(B1233=Queue!$C$4,OR(Queue!$K$4="*",N1233=Queue!$K$4)),Q1233,"")</f>
        <v/>
      </c>
    </row>
    <row r="1234">
      <c r="A1234" s="35">
        <f>IF(M1234="","",HYPERLINK("https://www.youtube.com/watch?v="&amp;M1234,"▶"))</f>
        <v/>
      </c>
      <c r="B1234" s="36">
        <f>IF(C1234&lt;&gt;"",C1234,IF(P1234&lt;=IFERROR(INDEX(tblChannels[Watched Through],MATCH(N1234,tblChannels[Channel ID],0)),0),"Watched","Unwatched"))</f>
        <v/>
      </c>
      <c r="C1234" s="37" t="n"/>
      <c r="D1234" s="38" t="n"/>
      <c r="E1234" s="39" t="n">
        <v>44579.7625</v>
      </c>
      <c r="F1234" s="47" t="inlineStr">
        <is>
          <t>Super Carlin Brothers</t>
        </is>
      </c>
      <c r="G1234" t="inlineStr">
        <is>
          <t>J vs Ben: ENCANTO Finish the Lyric Quiz!</t>
        </is>
      </c>
      <c r="H1234" s="41" t="n">
        <v>0.0165625</v>
      </c>
      <c r="I1234" s="42" t="n">
        <v>264057</v>
      </c>
      <c r="J1234" s="42" t="n">
        <v>9724</v>
      </c>
      <c r="K1234" s="42" t="n">
        <v>1316</v>
      </c>
      <c r="L1234" s="43" t="n"/>
      <c r="M1234" s="44" t="n"/>
      <c r="N1234" s="44" t="inlineStr">
        <is>
          <t>UCKZo4N0lVPccBkSiuyVh4yg</t>
        </is>
      </c>
      <c r="O1234" s="45" t="n">
        <v>44579.97083333333</v>
      </c>
      <c r="P1234" s="46" t="n">
        <v>44579</v>
      </c>
      <c r="Q1234" s="44" t="n">
        <v>2038</v>
      </c>
      <c r="R1234" s="44" t="inlineStr">
        <is>
          <t>No Video ID yet</t>
        </is>
      </c>
      <c r="S1234" s="46" t="n"/>
      <c r="T1234" s="46" t="n"/>
      <c r="U1234" s="44" t="n"/>
      <c r="V1234" s="44">
        <f>IF(AND(P1234&gt;=Calendar!$K$2,P1234&lt;EDATE(Calendar!$K$2,1),OR(Calendar!$K$4="*",N1234=Calendar!$K$4)),P1234*100+COUNTIFS($P$6:$P$3271,P1234,$Q$6:$Q$3271,"&lt;="&amp;Q1234,$N$6:$N$3271,Calendar!$K$4),"")</f>
        <v/>
      </c>
      <c r="W1234" s="44">
        <f>IF(AND(B1234=Queue!$C$4,OR(Queue!$K$4="*",N1234=Queue!$K$4)),Q1234,"")</f>
        <v/>
      </c>
    </row>
    <row r="1235">
      <c r="A1235" s="35">
        <f>IF(M1235="","",HYPERLINK("https://www.youtube.com/watch?v="&amp;M1235,"▶"))</f>
        <v/>
      </c>
      <c r="B1235" s="36">
        <f>IF(C1235&lt;&gt;"",C1235,IF(P1235&lt;=IFERROR(INDEX(tblChannels[Watched Through],MATCH(N1235,tblChannels[Channel ID],0)),0),"Watched","Unwatched"))</f>
        <v/>
      </c>
      <c r="C1235" s="37" t="n"/>
      <c r="D1235" s="38" t="n"/>
      <c r="E1235" s="39" t="n">
        <v>44578.88958333333</v>
      </c>
      <c r="F1235" s="50" t="inlineStr">
        <is>
          <t>Jonathan Carlin</t>
        </is>
      </c>
      <c r="G1235" t="inlineStr">
        <is>
          <t>NAAAAAAAAAATE!</t>
        </is>
      </c>
      <c r="H1235" s="41" t="n">
        <v>0.0007060185185185185</v>
      </c>
      <c r="I1235" s="42" t="n">
        <v>12427</v>
      </c>
      <c r="J1235" s="42" t="n">
        <v>1202</v>
      </c>
      <c r="K1235" s="42" t="n">
        <v>74</v>
      </c>
      <c r="L1235" s="43" t="n"/>
      <c r="M1235" s="44" t="n"/>
      <c r="N1235" s="44" t="inlineStr">
        <is>
          <t>UCYPKFe86e6nm4TVUYKLsFUQ</t>
        </is>
      </c>
      <c r="O1235" s="45" t="n">
        <v>44579.09791666667</v>
      </c>
      <c r="P1235" s="46" t="n">
        <v>44578</v>
      </c>
      <c r="Q1235" s="44" t="n">
        <v>2037</v>
      </c>
      <c r="R1235" s="44" t="inlineStr">
        <is>
          <t>No Video ID yet</t>
        </is>
      </c>
      <c r="S1235" s="46" t="n"/>
      <c r="T1235" s="46" t="n"/>
      <c r="U1235" s="44" t="n"/>
      <c r="V1235" s="44">
        <f>IF(AND(P1235&gt;=Calendar!$K$2,P1235&lt;EDATE(Calendar!$K$2,1),OR(Calendar!$K$4="*",N1235=Calendar!$K$4)),P1235*100+COUNTIFS($P$6:$P$3271,P1235,$Q$6:$Q$3271,"&lt;="&amp;Q1235,$N$6:$N$3271,Calendar!$K$4),"")</f>
        <v/>
      </c>
      <c r="W1235" s="44">
        <f>IF(AND(B1235=Queue!$C$4,OR(Queue!$K$4="*",N1235=Queue!$K$4)),Q1235,"")</f>
        <v/>
      </c>
    </row>
    <row r="1236">
      <c r="A1236" s="35">
        <f>IF(M1236="","",HYPERLINK("https://www.youtube.com/watch?v="&amp;M1236,"▶"))</f>
        <v/>
      </c>
      <c r="B1236" s="36">
        <f>IF(C1236&lt;&gt;"",C1236,IF(P1236&lt;=IFERROR(INDEX(tblChannels[Watched Through],MATCH(N1236,tblChannels[Channel ID],0)),0),"Watched","Unwatched"))</f>
        <v/>
      </c>
      <c r="C1236" s="37" t="n"/>
      <c r="D1236" s="38" t="n"/>
      <c r="E1236" s="39" t="n">
        <v>44578.41666666666</v>
      </c>
      <c r="F1236" s="50" t="inlineStr">
        <is>
          <t>Jonathan Carlin</t>
        </is>
      </c>
      <c r="G1236" t="inlineStr">
        <is>
          <t>Luke Tries His New Bike!</t>
        </is>
      </c>
      <c r="H1236" s="41" t="n">
        <v>0.01150462962962963</v>
      </c>
      <c r="I1236" s="42" t="n">
        <v>16847</v>
      </c>
      <c r="J1236" s="42" t="n">
        <v>1147</v>
      </c>
      <c r="K1236" s="42" t="n">
        <v>0</v>
      </c>
      <c r="L1236" s="43" t="n"/>
      <c r="M1236" s="44" t="n"/>
      <c r="N1236" s="44" t="inlineStr">
        <is>
          <t>UCYPKFe86e6nm4TVUYKLsFUQ</t>
        </is>
      </c>
      <c r="O1236" s="45" t="n">
        <v>44578.625</v>
      </c>
      <c r="P1236" s="46" t="n">
        <v>44578</v>
      </c>
      <c r="Q1236" s="44" t="n">
        <v>2036</v>
      </c>
      <c r="R1236" s="44" t="inlineStr">
        <is>
          <t>No Video ID yet</t>
        </is>
      </c>
      <c r="S1236" s="46" t="n"/>
      <c r="T1236" s="46" t="n"/>
      <c r="U1236" s="44" t="n"/>
      <c r="V1236" s="44">
        <f>IF(AND(P1236&gt;=Calendar!$K$2,P1236&lt;EDATE(Calendar!$K$2,1),OR(Calendar!$K$4="*",N1236=Calendar!$K$4)),P1236*100+COUNTIFS($P$6:$P$3271,P1236,$Q$6:$Q$3271,"&lt;="&amp;Q1236,$N$6:$N$3271,Calendar!$K$4),"")</f>
        <v/>
      </c>
      <c r="W1236" s="44">
        <f>IF(AND(B1236=Queue!$C$4,OR(Queue!$K$4="*",N1236=Queue!$K$4)),Q1236,"")</f>
        <v/>
      </c>
    </row>
    <row r="1237">
      <c r="A1237" s="35">
        <f>IF(M1237="","",HYPERLINK("https://www.youtube.com/watch?v="&amp;M1237,"▶"))</f>
        <v/>
      </c>
      <c r="B1237" s="36">
        <f>IF(C1237&lt;&gt;"",C1237,IF(P1237&lt;=IFERROR(INDEX(tblChannels[Watched Through],MATCH(N1237,tblChannels[Channel ID],0)),0),"Watched","Unwatched"))</f>
        <v/>
      </c>
      <c r="C1237" s="37" t="n"/>
      <c r="D1237" s="38" t="n"/>
      <c r="E1237" s="39" t="n">
        <v>44575.5</v>
      </c>
      <c r="F1237" s="51" t="inlineStr">
        <is>
          <t>With the Carlins</t>
        </is>
      </c>
      <c r="G1237" t="inlineStr">
        <is>
          <t>How To Make Clear Ice</t>
        </is>
      </c>
      <c r="H1237" s="41" t="n">
        <v>0.0153125</v>
      </c>
      <c r="I1237" s="42" t="n">
        <v>17670</v>
      </c>
      <c r="J1237" s="42" t="n">
        <v>1406</v>
      </c>
      <c r="K1237" s="42" t="n">
        <v>124</v>
      </c>
      <c r="L1237" s="43" t="n"/>
      <c r="M1237" s="44" t="n"/>
      <c r="N1237" s="44" t="inlineStr">
        <is>
          <t>UCVBTjN9WJU5Ac8yU7b2K-5g</t>
        </is>
      </c>
      <c r="O1237" s="45" t="n">
        <v>44575.70833333334</v>
      </c>
      <c r="P1237" s="46" t="n">
        <v>44575</v>
      </c>
      <c r="Q1237" s="44" t="n">
        <v>2035</v>
      </c>
      <c r="R1237" s="44" t="inlineStr">
        <is>
          <t>No Video ID yet</t>
        </is>
      </c>
      <c r="S1237" s="46" t="n"/>
      <c r="T1237" s="46" t="n"/>
      <c r="U1237" s="44" t="n"/>
      <c r="V1237" s="44">
        <f>IF(AND(P1237&gt;=Calendar!$K$2,P1237&lt;EDATE(Calendar!$K$2,1),OR(Calendar!$K$4="*",N1237=Calendar!$K$4)),P1237*100+COUNTIFS($P$6:$P$3271,P1237,$Q$6:$Q$3271,"&lt;="&amp;Q1237,$N$6:$N$3271,Calendar!$K$4),"")</f>
        <v/>
      </c>
      <c r="W1237" s="44">
        <f>IF(AND(B1237=Queue!$C$4,OR(Queue!$K$4="*",N1237=Queue!$K$4)),Q1237,"")</f>
        <v/>
      </c>
    </row>
    <row r="1238">
      <c r="A1238" s="35">
        <f>IF(M1238="","",HYPERLINK("https://www.youtube.com/watch?v="&amp;M1238,"▶"))</f>
        <v/>
      </c>
      <c r="B1238" s="36">
        <f>IF(C1238&lt;&gt;"",C1238,IF(P1238&lt;=IFERROR(INDEX(tblChannels[Watched Through],MATCH(N1238,tblChannels[Channel ID],0)),0),"Watched","Unwatched"))</f>
        <v/>
      </c>
      <c r="C1238" s="37" t="n"/>
      <c r="D1238" s="38" t="n"/>
      <c r="E1238" s="39" t="n">
        <v>44575.41666666666</v>
      </c>
      <c r="F1238" s="40" t="inlineStr">
        <is>
          <t>Popcorn Culture</t>
        </is>
      </c>
      <c r="G1238" t="inlineStr">
        <is>
          <t>Hah Hah! Batman Wins</t>
        </is>
      </c>
      <c r="H1238" s="41" t="n">
        <v>0.05391203703703704</v>
      </c>
      <c r="I1238" s="42" t="n">
        <v>10277</v>
      </c>
      <c r="J1238" s="42" t="n">
        <v>460</v>
      </c>
      <c r="K1238" s="42" t="n">
        <v>52</v>
      </c>
      <c r="L1238" s="43" t="n"/>
      <c r="M1238" s="44" t="n"/>
      <c r="N1238" s="44" t="inlineStr">
        <is>
          <t>UCHfIbq9thHPC8yrKjAdJgDA</t>
        </is>
      </c>
      <c r="O1238" s="45" t="n">
        <v>44575.625</v>
      </c>
      <c r="P1238" s="46" t="n">
        <v>44575</v>
      </c>
      <c r="Q1238" s="44" t="n">
        <v>2034</v>
      </c>
      <c r="R1238" s="44" t="inlineStr">
        <is>
          <t>No Video ID yet</t>
        </is>
      </c>
      <c r="S1238" s="46" t="n"/>
      <c r="T1238" s="46" t="n"/>
      <c r="U1238" s="44" t="n"/>
      <c r="V1238" s="44">
        <f>IF(AND(P1238&gt;=Calendar!$K$2,P1238&lt;EDATE(Calendar!$K$2,1),OR(Calendar!$K$4="*",N1238=Calendar!$K$4)),P1238*100+COUNTIFS($P$6:$P$3271,P1238,$Q$6:$Q$3271,"&lt;="&amp;Q1238,$N$6:$N$3271,Calendar!$K$4),"")</f>
        <v/>
      </c>
      <c r="W1238" s="44">
        <f>IF(AND(B1238=Queue!$C$4,OR(Queue!$K$4="*",N1238=Queue!$K$4)),Q1238,"")</f>
        <v/>
      </c>
    </row>
    <row r="1239">
      <c r="A1239" s="35">
        <f>IF(M1239="","",HYPERLINK("https://www.youtube.com/watch?v="&amp;M1239,"▶"))</f>
        <v/>
      </c>
      <c r="B1239" s="36">
        <f>IF(C1239&lt;&gt;"",C1239,IF(P1239&lt;=IFERROR(INDEX(tblChannels[Watched Through],MATCH(N1239,tblChannels[Channel ID],0)),0),"Watched","Unwatched"))</f>
        <v/>
      </c>
      <c r="C1239" s="37" t="n"/>
      <c r="D1239" s="38" t="n"/>
      <c r="E1239" s="39" t="n">
        <v>44574.67638888889</v>
      </c>
      <c r="F1239" s="47" t="inlineStr">
        <is>
          <t>Super Carlin Brothers</t>
        </is>
      </c>
      <c r="G1239" t="inlineStr">
        <is>
          <t>Why Didn’t Mirabel Get A Gift? | Disney Encanto Film Theory</t>
        </is>
      </c>
      <c r="H1239" s="41" t="n">
        <v>0.01130787037037037</v>
      </c>
      <c r="I1239" s="42" t="n">
        <v>430833</v>
      </c>
      <c r="J1239" s="42" t="n">
        <v>18537</v>
      </c>
      <c r="K1239" s="42" t="n">
        <v>2212</v>
      </c>
      <c r="L1239" s="43" t="n"/>
      <c r="M1239" s="44" t="n"/>
      <c r="N1239" s="44" t="inlineStr">
        <is>
          <t>UCKZo4N0lVPccBkSiuyVh4yg</t>
        </is>
      </c>
      <c r="O1239" s="45" t="n">
        <v>44574.88472222222</v>
      </c>
      <c r="P1239" s="46" t="n">
        <v>44574</v>
      </c>
      <c r="Q1239" s="44" t="n">
        <v>2033</v>
      </c>
      <c r="R1239" s="44" t="inlineStr">
        <is>
          <t>No Video ID yet</t>
        </is>
      </c>
      <c r="S1239" s="46" t="n"/>
      <c r="T1239" s="46" t="n"/>
      <c r="U1239" s="44" t="n"/>
      <c r="V1239" s="44">
        <f>IF(AND(P1239&gt;=Calendar!$K$2,P1239&lt;EDATE(Calendar!$K$2,1),OR(Calendar!$K$4="*",N1239=Calendar!$K$4)),P1239*100+COUNTIFS($P$6:$P$3271,P1239,$Q$6:$Q$3271,"&lt;="&amp;Q1239,$N$6:$N$3271,Calendar!$K$4),"")</f>
        <v/>
      </c>
      <c r="W1239" s="44">
        <f>IF(AND(B1239=Queue!$C$4,OR(Queue!$K$4="*",N1239=Queue!$K$4)),Q1239,"")</f>
        <v/>
      </c>
    </row>
    <row r="1240">
      <c r="A1240" s="35">
        <f>IF(M1240="","",HYPERLINK("https://www.youtube.com/watch?v="&amp;M1240,"▶"))</f>
        <v/>
      </c>
      <c r="B1240" s="36">
        <f>IF(C1240&lt;&gt;"",C1240,IF(P1240&lt;=IFERROR(INDEX(tblChannels[Watched Through],MATCH(N1240,tblChannels[Channel ID],0)),0),"Watched","Unwatched"))</f>
        <v/>
      </c>
      <c r="C1240" s="37" t="n"/>
      <c r="D1240" s="38" t="n"/>
      <c r="E1240" s="39" t="n">
        <v>44572.70138888889</v>
      </c>
      <c r="F1240" s="47" t="inlineStr">
        <is>
          <t>Super Carlin Brothers</t>
        </is>
      </c>
      <c r="G1240" t="inlineStr">
        <is>
          <t>Are Boggarts Baby Dementors?? | Harry Potter Film Theory</t>
        </is>
      </c>
      <c r="H1240" s="41" t="n">
        <v>0.00986111111111111</v>
      </c>
      <c r="I1240" s="42" t="n">
        <v>379282</v>
      </c>
      <c r="J1240" s="42" t="n">
        <v>16977</v>
      </c>
      <c r="K1240" s="42" t="n">
        <v>1485</v>
      </c>
      <c r="L1240" s="43" t="n"/>
      <c r="M1240" s="44" t="n"/>
      <c r="N1240" s="44" t="inlineStr">
        <is>
          <t>UCKZo4N0lVPccBkSiuyVh4yg</t>
        </is>
      </c>
      <c r="O1240" s="45" t="n">
        <v>44572.90972222222</v>
      </c>
      <c r="P1240" s="46" t="n">
        <v>44572</v>
      </c>
      <c r="Q1240" s="44" t="n">
        <v>2032</v>
      </c>
      <c r="R1240" s="44" t="inlineStr">
        <is>
          <t>No Video ID yet</t>
        </is>
      </c>
      <c r="S1240" s="46" t="n"/>
      <c r="T1240" s="46" t="n"/>
      <c r="U1240" s="44" t="n"/>
      <c r="V1240" s="44">
        <f>IF(AND(P1240&gt;=Calendar!$K$2,P1240&lt;EDATE(Calendar!$K$2,1),OR(Calendar!$K$4="*",N1240=Calendar!$K$4)),P1240*100+COUNTIFS($P$6:$P$3271,P1240,$Q$6:$Q$3271,"&lt;="&amp;Q1240,$N$6:$N$3271,Calendar!$K$4),"")</f>
        <v/>
      </c>
      <c r="W1240" s="44">
        <f>IF(AND(B1240=Queue!$C$4,OR(Queue!$K$4="*",N1240=Queue!$K$4)),Q1240,"")</f>
        <v/>
      </c>
    </row>
    <row r="1241">
      <c r="A1241" s="35">
        <f>IF(M1241="","",HYPERLINK("https://www.youtube.com/watch?v="&amp;M1241,"▶"))</f>
        <v/>
      </c>
      <c r="B1241" s="36">
        <f>IF(C1241&lt;&gt;"",C1241,IF(P1241&lt;=IFERROR(INDEX(tblChannels[Watched Through],MATCH(N1241,tblChannels[Channel ID],0)),0),"Watched","Unwatched"))</f>
        <v/>
      </c>
      <c r="C1241" s="37" t="n"/>
      <c r="D1241" s="38" t="n"/>
      <c r="E1241" s="39" t="n">
        <v>44571.41666666666</v>
      </c>
      <c r="F1241" s="50" t="inlineStr">
        <is>
          <t>Jonathan Carlin</t>
        </is>
      </c>
      <c r="G1241" t="inlineStr">
        <is>
          <t>Christmas With The Carlins</t>
        </is>
      </c>
      <c r="H1241" s="41" t="n">
        <v>0.01295138888888889</v>
      </c>
      <c r="I1241" s="42" t="n">
        <v>17503</v>
      </c>
      <c r="J1241" s="42" t="n">
        <v>1270</v>
      </c>
      <c r="K1241" s="42" t="n">
        <v>0</v>
      </c>
      <c r="L1241" s="43" t="n"/>
      <c r="M1241" s="44" t="n"/>
      <c r="N1241" s="44" t="inlineStr">
        <is>
          <t>UCYPKFe86e6nm4TVUYKLsFUQ</t>
        </is>
      </c>
      <c r="O1241" s="45" t="n">
        <v>44571.625</v>
      </c>
      <c r="P1241" s="46" t="n">
        <v>44571</v>
      </c>
      <c r="Q1241" s="44" t="n">
        <v>2031</v>
      </c>
      <c r="R1241" s="44" t="inlineStr">
        <is>
          <t>No Video ID yet</t>
        </is>
      </c>
      <c r="S1241" s="46" t="n"/>
      <c r="T1241" s="46" t="n"/>
      <c r="U1241" s="44" t="n"/>
      <c r="V1241" s="44">
        <f>IF(AND(P1241&gt;=Calendar!$K$2,P1241&lt;EDATE(Calendar!$K$2,1),OR(Calendar!$K$4="*",N1241=Calendar!$K$4)),P1241*100+COUNTIFS($P$6:$P$3271,P1241,$Q$6:$Q$3271,"&lt;="&amp;Q1241,$N$6:$N$3271,Calendar!$K$4),"")</f>
        <v/>
      </c>
      <c r="W1241" s="44">
        <f>IF(AND(B1241=Queue!$C$4,OR(Queue!$K$4="*",N1241=Queue!$K$4)),Q1241,"")</f>
        <v/>
      </c>
    </row>
    <row r="1242">
      <c r="A1242" s="35">
        <f>IF(M1242="","",HYPERLINK("https://www.youtube.com/watch?v="&amp;M1242,"▶"))</f>
        <v/>
      </c>
      <c r="B1242" s="36">
        <f>IF(C1242&lt;&gt;"",C1242,IF(P1242&lt;=IFERROR(INDEX(tblChannels[Watched Through],MATCH(N1242,tblChannels[Channel ID],0)),0),"Watched","Unwatched"))</f>
        <v/>
      </c>
      <c r="C1242" s="37" t="n"/>
      <c r="D1242" s="38" t="n"/>
      <c r="E1242" s="39" t="n">
        <v>44569.41666666666</v>
      </c>
      <c r="F1242" s="47" t="inlineStr">
        <is>
          <t>Super Carlin Brothers</t>
        </is>
      </c>
      <c r="G1242" t="inlineStr">
        <is>
          <t>Encanto is Disney's BEST Movie in Years! | REVIEW</t>
        </is>
      </c>
      <c r="H1242" s="41" t="n">
        <v>0.03111111111111111</v>
      </c>
      <c r="I1242" s="42" t="n">
        <v>564460</v>
      </c>
      <c r="J1242" s="42" t="n">
        <v>12012</v>
      </c>
      <c r="K1242" s="42" t="n">
        <v>1812</v>
      </c>
      <c r="L1242" s="43" t="n"/>
      <c r="M1242" s="44" t="n"/>
      <c r="N1242" s="44" t="inlineStr">
        <is>
          <t>UCKZo4N0lVPccBkSiuyVh4yg</t>
        </is>
      </c>
      <c r="O1242" s="45" t="n">
        <v>44569.625</v>
      </c>
      <c r="P1242" s="46" t="n">
        <v>44569</v>
      </c>
      <c r="Q1242" s="44" t="n">
        <v>2030</v>
      </c>
      <c r="R1242" s="44" t="inlineStr">
        <is>
          <t>No Video ID yet</t>
        </is>
      </c>
      <c r="S1242" s="46" t="n"/>
      <c r="T1242" s="46" t="n"/>
      <c r="U1242" s="44" t="n"/>
      <c r="V1242" s="44">
        <f>IF(AND(P1242&gt;=Calendar!$K$2,P1242&lt;EDATE(Calendar!$K$2,1),OR(Calendar!$K$4="*",N1242=Calendar!$K$4)),P1242*100+COUNTIFS($P$6:$P$3271,P1242,$Q$6:$Q$3271,"&lt;="&amp;Q1242,$N$6:$N$3271,Calendar!$K$4),"")</f>
        <v/>
      </c>
      <c r="W1242" s="44">
        <f>IF(AND(B1242=Queue!$C$4,OR(Queue!$K$4="*",N1242=Queue!$K$4)),Q1242,"")</f>
        <v/>
      </c>
    </row>
    <row r="1243">
      <c r="A1243" s="35">
        <f>IF(M1243="","",HYPERLINK("https://www.youtube.com/watch?v="&amp;M1243,"▶"))</f>
        <v/>
      </c>
      <c r="B1243" s="36">
        <f>IF(C1243&lt;&gt;"",C1243,IF(P1243&lt;=IFERROR(INDEX(tblChannels[Watched Through],MATCH(N1243,tblChannels[Channel ID],0)),0),"Watched","Unwatched"))</f>
        <v/>
      </c>
      <c r="C1243" s="37" t="n"/>
      <c r="D1243" s="38" t="n"/>
      <c r="E1243" s="39" t="n">
        <v>44568.5</v>
      </c>
      <c r="F1243" s="51" t="inlineStr">
        <is>
          <t>With the Carlins</t>
        </is>
      </c>
      <c r="G1243" t="inlineStr">
        <is>
          <t>Addison's First Christmas!</t>
        </is>
      </c>
      <c r="H1243" s="41" t="n">
        <v>0.02072916666666667</v>
      </c>
      <c r="I1243" s="42" t="n">
        <v>18836</v>
      </c>
      <c r="J1243" s="42" t="n">
        <v>1359</v>
      </c>
      <c r="K1243" s="42" t="n">
        <v>123</v>
      </c>
      <c r="L1243" s="43" t="n"/>
      <c r="M1243" s="44" t="n"/>
      <c r="N1243" s="44" t="inlineStr">
        <is>
          <t>UCVBTjN9WJU5Ac8yU7b2K-5g</t>
        </is>
      </c>
      <c r="O1243" s="45" t="n">
        <v>44568.70833333334</v>
      </c>
      <c r="P1243" s="46" t="n">
        <v>44568</v>
      </c>
      <c r="Q1243" s="44" t="n">
        <v>2029</v>
      </c>
      <c r="R1243" s="44" t="inlineStr">
        <is>
          <t>No Video ID yet</t>
        </is>
      </c>
      <c r="S1243" s="46" t="n"/>
      <c r="T1243" s="46" t="n"/>
      <c r="U1243" s="44" t="n"/>
      <c r="V1243" s="44">
        <f>IF(AND(P1243&gt;=Calendar!$K$2,P1243&lt;EDATE(Calendar!$K$2,1),OR(Calendar!$K$4="*",N1243=Calendar!$K$4)),P1243*100+COUNTIFS($P$6:$P$3271,P1243,$Q$6:$Q$3271,"&lt;="&amp;Q1243,$N$6:$N$3271,Calendar!$K$4),"")</f>
        <v/>
      </c>
      <c r="W1243" s="44">
        <f>IF(AND(B1243=Queue!$C$4,OR(Queue!$K$4="*",N1243=Queue!$K$4)),Q1243,"")</f>
        <v/>
      </c>
    </row>
    <row r="1244">
      <c r="A1244" s="35">
        <f>IF(M1244="","",HYPERLINK("https://www.youtube.com/watch?v="&amp;M1244,"▶"))</f>
        <v/>
      </c>
      <c r="B1244" s="36">
        <f>IF(C1244&lt;&gt;"",C1244,IF(P1244&lt;=IFERROR(INDEX(tblChannels[Watched Through],MATCH(N1244,tblChannels[Channel ID],0)),0),"Watched","Unwatched"))</f>
        <v/>
      </c>
      <c r="C1244" s="37" t="n"/>
      <c r="D1244" s="38" t="n"/>
      <c r="E1244" s="39" t="n">
        <v>44568.41666666666</v>
      </c>
      <c r="F1244" s="40" t="inlineStr">
        <is>
          <t>Popcorn Culture</t>
        </is>
      </c>
      <c r="G1244" t="inlineStr">
        <is>
          <t>J Is Really Good At Winning Raffles | Popcorn Culture</t>
        </is>
      </c>
      <c r="H1244" s="41" t="n">
        <v>0.04841435185185185</v>
      </c>
      <c r="I1244" s="42" t="n">
        <v>10149</v>
      </c>
      <c r="J1244" s="42" t="n">
        <v>486</v>
      </c>
      <c r="K1244" s="42" t="n">
        <v>66</v>
      </c>
      <c r="L1244" s="43" t="n"/>
      <c r="M1244" s="44" t="n"/>
      <c r="N1244" s="44" t="inlineStr">
        <is>
          <t>UCHfIbq9thHPC8yrKjAdJgDA</t>
        </is>
      </c>
      <c r="O1244" s="45" t="n">
        <v>44568.625</v>
      </c>
      <c r="P1244" s="46" t="n">
        <v>44568</v>
      </c>
      <c r="Q1244" s="44" t="n">
        <v>2028</v>
      </c>
      <c r="R1244" s="44" t="inlineStr">
        <is>
          <t>No Video ID yet</t>
        </is>
      </c>
      <c r="S1244" s="46" t="n"/>
      <c r="T1244" s="46" t="n"/>
      <c r="U1244" s="44" t="n"/>
      <c r="V1244" s="44">
        <f>IF(AND(P1244&gt;=Calendar!$K$2,P1244&lt;EDATE(Calendar!$K$2,1),OR(Calendar!$K$4="*",N1244=Calendar!$K$4)),P1244*100+COUNTIFS($P$6:$P$3271,P1244,$Q$6:$Q$3271,"&lt;="&amp;Q1244,$N$6:$N$3271,Calendar!$K$4),"")</f>
        <v/>
      </c>
      <c r="W1244" s="44">
        <f>IF(AND(B1244=Queue!$C$4,OR(Queue!$K$4="*",N1244=Queue!$K$4)),Q1244,"")</f>
        <v/>
      </c>
    </row>
    <row r="1245">
      <c r="A1245" s="35">
        <f>IF(M1245="","",HYPERLINK("https://www.youtube.com/watch?v="&amp;M1245,"▶"))</f>
        <v/>
      </c>
      <c r="B1245" s="36">
        <f>IF(C1245&lt;&gt;"",C1245,IF(P1245&lt;=IFERROR(INDEX(tblChannels[Watched Through],MATCH(N1245,tblChannels[Channel ID],0)),0),"Watched","Unwatched"))</f>
        <v/>
      </c>
      <c r="C1245" s="37" t="n"/>
      <c r="D1245" s="38" t="n"/>
      <c r="E1245" s="39" t="n">
        <v>44567.67569444444</v>
      </c>
      <c r="F1245" s="47" t="inlineStr">
        <is>
          <t>Super Carlin Brothers</t>
        </is>
      </c>
      <c r="G1245" t="inlineStr">
        <is>
          <t>Bruno is Alberto’s Father?! | Pixar Theory</t>
        </is>
      </c>
      <c r="H1245" s="41" t="n">
        <v>0.009016203703703703</v>
      </c>
      <c r="I1245" s="42" t="n">
        <v>743525</v>
      </c>
      <c r="J1245" s="42" t="n">
        <v>23024</v>
      </c>
      <c r="K1245" s="42" t="n">
        <v>3260</v>
      </c>
      <c r="L1245" s="43" t="n"/>
      <c r="M1245" s="44" t="n"/>
      <c r="N1245" s="44" t="inlineStr">
        <is>
          <t>UCKZo4N0lVPccBkSiuyVh4yg</t>
        </is>
      </c>
      <c r="O1245" s="45" t="n">
        <v>44567.88402777778</v>
      </c>
      <c r="P1245" s="46" t="n">
        <v>44567</v>
      </c>
      <c r="Q1245" s="44" t="n">
        <v>2027</v>
      </c>
      <c r="R1245" s="44" t="inlineStr">
        <is>
          <t>No Video ID yet</t>
        </is>
      </c>
      <c r="S1245" s="46" t="n"/>
      <c r="T1245" s="46" t="n"/>
      <c r="U1245" s="44" t="n"/>
      <c r="V1245" s="44">
        <f>IF(AND(P1245&gt;=Calendar!$K$2,P1245&lt;EDATE(Calendar!$K$2,1),OR(Calendar!$K$4="*",N1245=Calendar!$K$4)),P1245*100+COUNTIFS($P$6:$P$3271,P1245,$Q$6:$Q$3271,"&lt;="&amp;Q1245,$N$6:$N$3271,Calendar!$K$4),"")</f>
        <v/>
      </c>
      <c r="W1245" s="44">
        <f>IF(AND(B1245=Queue!$C$4,OR(Queue!$K$4="*",N1245=Queue!$K$4)),Q1245,"")</f>
        <v/>
      </c>
    </row>
    <row r="1246">
      <c r="A1246" s="35">
        <f>IF(M1246="","",HYPERLINK("https://www.youtube.com/watch?v="&amp;M1246,"▶"))</f>
        <v/>
      </c>
      <c r="B1246" s="36">
        <f>IF(C1246&lt;&gt;"",C1246,IF(P1246&lt;=IFERROR(INDEX(tblChannels[Watched Through],MATCH(N1246,tblChannels[Channel ID],0)),0),"Watched","Unwatched"))</f>
        <v/>
      </c>
      <c r="C1246" s="37" t="n"/>
      <c r="D1246" s="38" t="n"/>
      <c r="E1246" s="39" t="n">
        <v>44565.72430555556</v>
      </c>
      <c r="F1246" s="47" t="inlineStr">
        <is>
          <t>Super Carlin Brothers</t>
        </is>
      </c>
      <c r="G1246" t="inlineStr">
        <is>
          <t>WE SORT EACH OTHER INTO HOGWARTS HOUSES! [J vs Ben]</t>
        </is>
      </c>
      <c r="H1246" s="41" t="n">
        <v>0.02407407407407407</v>
      </c>
      <c r="I1246" s="42" t="n">
        <v>321853</v>
      </c>
      <c r="J1246" s="42" t="n">
        <v>11475</v>
      </c>
      <c r="K1246" s="42" t="n">
        <v>1347</v>
      </c>
      <c r="L1246" s="43" t="n"/>
      <c r="M1246" s="44" t="n"/>
      <c r="N1246" s="44" t="inlineStr">
        <is>
          <t>UCKZo4N0lVPccBkSiuyVh4yg</t>
        </is>
      </c>
      <c r="O1246" s="45" t="n">
        <v>44565.93263888889</v>
      </c>
      <c r="P1246" s="46" t="n">
        <v>44565</v>
      </c>
      <c r="Q1246" s="44" t="n">
        <v>2026</v>
      </c>
      <c r="R1246" s="44" t="inlineStr">
        <is>
          <t>No Video ID yet</t>
        </is>
      </c>
      <c r="S1246" s="46" t="n"/>
      <c r="T1246" s="46" t="n"/>
      <c r="U1246" s="44" t="n"/>
      <c r="V1246" s="44">
        <f>IF(AND(P1246&gt;=Calendar!$K$2,P1246&lt;EDATE(Calendar!$K$2,1),OR(Calendar!$K$4="*",N1246=Calendar!$K$4)),P1246*100+COUNTIFS($P$6:$P$3271,P1246,$Q$6:$Q$3271,"&lt;="&amp;Q1246,$N$6:$N$3271,Calendar!$K$4),"")</f>
        <v/>
      </c>
      <c r="W1246" s="44">
        <f>IF(AND(B1246=Queue!$C$4,OR(Queue!$K$4="*",N1246=Queue!$K$4)),Q1246,"")</f>
        <v/>
      </c>
    </row>
    <row r="1247">
      <c r="A1247" s="35">
        <f>IF(M1247="","",HYPERLINK("https://www.youtube.com/watch?v="&amp;M1247,"▶"))</f>
        <v/>
      </c>
      <c r="B1247" s="36">
        <f>IF(C1247&lt;&gt;"",C1247,IF(P1247&lt;=IFERROR(INDEX(tblChannels[Watched Through],MATCH(N1247,tblChannels[Channel ID],0)),0),"Watched","Unwatched"))</f>
        <v/>
      </c>
      <c r="C1247" s="37" t="n"/>
      <c r="D1247" s="38" t="n"/>
      <c r="E1247" s="39" t="n">
        <v>44564.69375</v>
      </c>
      <c r="F1247" s="50" t="inlineStr">
        <is>
          <t>Jonathan Carlin</t>
        </is>
      </c>
      <c r="G1247" t="inlineStr">
        <is>
          <t>Baking With Luke</t>
        </is>
      </c>
      <c r="H1247" s="41" t="n">
        <v>0.01243055555555556</v>
      </c>
      <c r="I1247" s="42" t="n">
        <v>15853</v>
      </c>
      <c r="J1247" s="42" t="n">
        <v>1202</v>
      </c>
      <c r="K1247" s="42" t="n">
        <v>137</v>
      </c>
      <c r="L1247" s="43" t="n"/>
      <c r="M1247" s="44" t="n"/>
      <c r="N1247" s="44" t="inlineStr">
        <is>
          <t>UCYPKFe86e6nm4TVUYKLsFUQ</t>
        </is>
      </c>
      <c r="O1247" s="45" t="n">
        <v>44564.90208333333</v>
      </c>
      <c r="P1247" s="46" t="n">
        <v>44564</v>
      </c>
      <c r="Q1247" s="44" t="n">
        <v>2025</v>
      </c>
      <c r="R1247" s="44" t="inlineStr">
        <is>
          <t>No Video ID yet</t>
        </is>
      </c>
      <c r="S1247" s="46" t="n"/>
      <c r="T1247" s="46" t="n"/>
      <c r="U1247" s="44" t="n"/>
      <c r="V1247" s="44">
        <f>IF(AND(P1247&gt;=Calendar!$K$2,P1247&lt;EDATE(Calendar!$K$2,1),OR(Calendar!$K$4="*",N1247=Calendar!$K$4)),P1247*100+COUNTIFS($P$6:$P$3271,P1247,$Q$6:$Q$3271,"&lt;="&amp;Q1247,$N$6:$N$3271,Calendar!$K$4),"")</f>
        <v/>
      </c>
      <c r="W1247" s="44">
        <f>IF(AND(B1247=Queue!$C$4,OR(Queue!$K$4="*",N1247=Queue!$K$4)),Q1247,"")</f>
        <v/>
      </c>
    </row>
    <row r="1248">
      <c r="A1248" s="35">
        <f>IF(M1248="","",HYPERLINK("https://www.youtube.com/watch?v="&amp;M1248,"▶"))</f>
        <v/>
      </c>
      <c r="B1248" s="36">
        <f>IF(C1248&lt;&gt;"",C1248,IF(P1248&lt;=IFERROR(INDEX(tblChannels[Watched Through],MATCH(N1248,tblChannels[Channel ID],0)),0),"Watched","Unwatched"))</f>
        <v/>
      </c>
      <c r="C1248" s="37" t="n"/>
      <c r="D1248" s="38" t="n"/>
      <c r="E1248" s="39" t="n">
        <v>44561.55069444444</v>
      </c>
      <c r="F1248" s="51" t="inlineStr">
        <is>
          <t>With the Carlins</t>
        </is>
      </c>
      <c r="G1248" t="inlineStr">
        <is>
          <t>Live Q&amp;A with Ben and Alyce!</t>
        </is>
      </c>
      <c r="H1248" s="41" t="n">
        <v>0.0487962962962963</v>
      </c>
      <c r="I1248" s="42" t="n">
        <v>12880</v>
      </c>
      <c r="J1248" s="42" t="n">
        <v>642</v>
      </c>
      <c r="K1248" s="42" t="n">
        <v>37</v>
      </c>
      <c r="L1248" s="43" t="n"/>
      <c r="M1248" s="44" t="n"/>
      <c r="N1248" s="44" t="inlineStr">
        <is>
          <t>UCVBTjN9WJU5Ac8yU7b2K-5g</t>
        </is>
      </c>
      <c r="O1248" s="45" t="n">
        <v>44561.75902777778</v>
      </c>
      <c r="P1248" s="46" t="n">
        <v>44561</v>
      </c>
      <c r="Q1248" s="44" t="n">
        <v>2024</v>
      </c>
      <c r="R1248" s="44" t="inlineStr">
        <is>
          <t>No Video ID yet</t>
        </is>
      </c>
      <c r="S1248" s="46" t="n"/>
      <c r="T1248" s="46" t="n"/>
      <c r="U1248" s="44" t="n"/>
      <c r="V1248" s="44">
        <f>IF(AND(P1248&gt;=Calendar!$K$2,P1248&lt;EDATE(Calendar!$K$2,1),OR(Calendar!$K$4="*",N1248=Calendar!$K$4)),P1248*100+COUNTIFS($P$6:$P$3271,P1248,$Q$6:$Q$3271,"&lt;="&amp;Q1248,$N$6:$N$3271,Calendar!$K$4),"")</f>
        <v/>
      </c>
      <c r="W1248" s="44">
        <f>IF(AND(B1248=Queue!$C$4,OR(Queue!$K$4="*",N1248=Queue!$K$4)),Q1248,"")</f>
        <v/>
      </c>
    </row>
    <row r="1249">
      <c r="A1249" s="35">
        <f>IF(M1249="","",HYPERLINK("https://www.youtube.com/watch?v="&amp;M1249,"▶"))</f>
        <v/>
      </c>
      <c r="B1249" s="36">
        <f>IF(C1249&lt;&gt;"",C1249,IF(P1249&lt;=IFERROR(INDEX(tblChannels[Watched Through],MATCH(N1249,tblChannels[Channel ID],0)),0),"Watched","Unwatched"))</f>
        <v/>
      </c>
      <c r="C1249" s="37" t="n"/>
      <c r="D1249" s="38" t="n"/>
      <c r="E1249" s="39" t="n">
        <v>44561.41666666666</v>
      </c>
      <c r="F1249" s="40" t="inlineStr">
        <is>
          <t>Popcorn Culture</t>
        </is>
      </c>
      <c r="G1249" t="inlineStr">
        <is>
          <t>The Year In Popcorn</t>
        </is>
      </c>
      <c r="H1249" s="41" t="n">
        <v>0.04363425925925926</v>
      </c>
      <c r="I1249" s="42" t="n">
        <v>8859</v>
      </c>
      <c r="J1249" s="42" t="n">
        <v>519</v>
      </c>
      <c r="K1249" s="42" t="n">
        <v>45</v>
      </c>
      <c r="L1249" s="43" t="n"/>
      <c r="M1249" s="44" t="n"/>
      <c r="N1249" s="44" t="inlineStr">
        <is>
          <t>UCHfIbq9thHPC8yrKjAdJgDA</t>
        </is>
      </c>
      <c r="O1249" s="45" t="n">
        <v>44561.625</v>
      </c>
      <c r="P1249" s="46" t="n">
        <v>44561</v>
      </c>
      <c r="Q1249" s="44" t="n">
        <v>2023</v>
      </c>
      <c r="R1249" s="44" t="inlineStr">
        <is>
          <t>No Video ID yet</t>
        </is>
      </c>
      <c r="S1249" s="46" t="n"/>
      <c r="T1249" s="46" t="n"/>
      <c r="U1249" s="44" t="n"/>
      <c r="V1249" s="44">
        <f>IF(AND(P1249&gt;=Calendar!$K$2,P1249&lt;EDATE(Calendar!$K$2,1),OR(Calendar!$K$4="*",N1249=Calendar!$K$4)),P1249*100+COUNTIFS($P$6:$P$3271,P1249,$Q$6:$Q$3271,"&lt;="&amp;Q1249,$N$6:$N$3271,Calendar!$K$4),"")</f>
        <v/>
      </c>
      <c r="W1249" s="44">
        <f>IF(AND(B1249=Queue!$C$4,OR(Queue!$K$4="*",N1249=Queue!$K$4)),Q1249,"")</f>
        <v/>
      </c>
    </row>
    <row r="1250">
      <c r="A1250" s="35">
        <f>IF(M1250="","",HYPERLINK("https://www.youtube.com/watch?v="&amp;M1250,"▶"))</f>
        <v/>
      </c>
      <c r="B1250" s="36">
        <f>IF(C1250&lt;&gt;"",C1250,IF(P1250&lt;=IFERROR(INDEX(tblChannels[Watched Through],MATCH(N1250,tblChannels[Channel ID],0)),0),"Watched","Unwatched"))</f>
        <v/>
      </c>
      <c r="C1250" s="37" t="n"/>
      <c r="D1250" s="38" t="n"/>
      <c r="E1250" s="39" t="n">
        <v>44557.41666666666</v>
      </c>
      <c r="F1250" s="50" t="inlineStr">
        <is>
          <t>Jonathan Carlin</t>
        </is>
      </c>
      <c r="G1250" t="inlineStr">
        <is>
          <t>The Kids Decorate the Tree!</t>
        </is>
      </c>
      <c r="H1250" s="41" t="n">
        <v>0.01011574074074074</v>
      </c>
      <c r="I1250" s="42" t="n">
        <v>15554</v>
      </c>
      <c r="J1250" s="42" t="n">
        <v>1232</v>
      </c>
      <c r="K1250" s="42" t="n">
        <v>0</v>
      </c>
      <c r="L1250" s="43" t="n"/>
      <c r="M1250" s="44" t="n"/>
      <c r="N1250" s="44" t="inlineStr">
        <is>
          <t>UCYPKFe86e6nm4TVUYKLsFUQ</t>
        </is>
      </c>
      <c r="O1250" s="45" t="n">
        <v>44557.625</v>
      </c>
      <c r="P1250" s="46" t="n">
        <v>44557</v>
      </c>
      <c r="Q1250" s="44" t="n">
        <v>2022</v>
      </c>
      <c r="R1250" s="44" t="inlineStr">
        <is>
          <t>No Video ID yet</t>
        </is>
      </c>
      <c r="S1250" s="46" t="n"/>
      <c r="T1250" s="46" t="n"/>
      <c r="U1250" s="44" t="n"/>
      <c r="V1250" s="44">
        <f>IF(AND(P1250&gt;=Calendar!$K$2,P1250&lt;EDATE(Calendar!$K$2,1),OR(Calendar!$K$4="*",N1250=Calendar!$K$4)),P1250*100+COUNTIFS($P$6:$P$3271,P1250,$Q$6:$Q$3271,"&lt;="&amp;Q1250,$N$6:$N$3271,Calendar!$K$4),"")</f>
        <v/>
      </c>
      <c r="W1250" s="44">
        <f>IF(AND(B1250=Queue!$C$4,OR(Queue!$K$4="*",N1250=Queue!$K$4)),Q1250,"")</f>
        <v/>
      </c>
    </row>
    <row r="1251">
      <c r="A1251" s="35">
        <f>IF(M1251="","",HYPERLINK("https://www.youtube.com/watch?v="&amp;M1251,"▶"))</f>
        <v/>
      </c>
      <c r="B1251" s="36">
        <f>IF(C1251&lt;&gt;"",C1251,IF(P1251&lt;=IFERROR(INDEX(tblChannels[Watched Through],MATCH(N1251,tblChannels[Channel ID],0)),0),"Watched","Unwatched"))</f>
        <v/>
      </c>
      <c r="C1251" s="37" t="n"/>
      <c r="D1251" s="38" t="n"/>
      <c r="E1251" s="39" t="n">
        <v>44555.375</v>
      </c>
      <c r="F1251" s="47" t="inlineStr">
        <is>
          <t>Super Carlin Brothers</t>
        </is>
      </c>
      <c r="G1251" t="inlineStr">
        <is>
          <t>J vs Ben: ULTIMATE Harry Potter Christmas TRIVIA Quiz</t>
        </is>
      </c>
      <c r="H1251" s="41" t="n">
        <v>0.02256944444444444</v>
      </c>
      <c r="I1251" s="42" t="n">
        <v>310081</v>
      </c>
      <c r="J1251" s="42" t="n">
        <v>11842</v>
      </c>
      <c r="K1251" s="42" t="n">
        <v>1464</v>
      </c>
      <c r="L1251" s="43" t="n"/>
      <c r="M1251" s="44" t="n"/>
      <c r="N1251" s="44" t="inlineStr">
        <is>
          <t>UCKZo4N0lVPccBkSiuyVh4yg</t>
        </is>
      </c>
      <c r="O1251" s="45" t="n">
        <v>44555.58333333334</v>
      </c>
      <c r="P1251" s="46" t="n">
        <v>44555</v>
      </c>
      <c r="Q1251" s="44" t="n">
        <v>2021</v>
      </c>
      <c r="R1251" s="44" t="inlineStr">
        <is>
          <t>No Video ID yet</t>
        </is>
      </c>
      <c r="S1251" s="46" t="n"/>
      <c r="T1251" s="46" t="n"/>
      <c r="U1251" s="44" t="n"/>
      <c r="V1251" s="44">
        <f>IF(AND(P1251&gt;=Calendar!$K$2,P1251&lt;EDATE(Calendar!$K$2,1),OR(Calendar!$K$4="*",N1251=Calendar!$K$4)),P1251*100+COUNTIFS($P$6:$P$3271,P1251,$Q$6:$Q$3271,"&lt;="&amp;Q1251,$N$6:$N$3271,Calendar!$K$4),"")</f>
        <v/>
      </c>
      <c r="W1251" s="44">
        <f>IF(AND(B1251=Queue!$C$4,OR(Queue!$K$4="*",N1251=Queue!$K$4)),Q1251,"")</f>
        <v/>
      </c>
    </row>
    <row r="1252">
      <c r="A1252" s="35">
        <f>IF(M1252="","",HYPERLINK("https://www.youtube.com/watch?v="&amp;M1252,"▶"))</f>
        <v/>
      </c>
      <c r="B1252" s="36">
        <f>IF(C1252&lt;&gt;"",C1252,IF(P1252&lt;=IFERROR(INDEX(tblChannels[Watched Through],MATCH(N1252,tblChannels[Channel ID],0)),0),"Watched","Unwatched"))</f>
        <v/>
      </c>
      <c r="C1252" s="37" t="n"/>
      <c r="D1252" s="38" t="n"/>
      <c r="E1252" s="39" t="n">
        <v>44554.5</v>
      </c>
      <c r="F1252" s="51" t="inlineStr">
        <is>
          <t>With the Carlins</t>
        </is>
      </c>
      <c r="G1252" t="inlineStr">
        <is>
          <t>Death by Push-Ups (and other stuff too!)</t>
        </is>
      </c>
      <c r="H1252" s="41" t="n">
        <v>0.01461805555555556</v>
      </c>
      <c r="I1252" s="42" t="n">
        <v>15486</v>
      </c>
      <c r="J1252" s="42" t="n">
        <v>1208</v>
      </c>
      <c r="K1252" s="42" t="n">
        <v>70</v>
      </c>
      <c r="L1252" s="43" t="n"/>
      <c r="M1252" s="44" t="n"/>
      <c r="N1252" s="44" t="inlineStr">
        <is>
          <t>UCVBTjN9WJU5Ac8yU7b2K-5g</t>
        </is>
      </c>
      <c r="O1252" s="45" t="n">
        <v>44554.70833333334</v>
      </c>
      <c r="P1252" s="46" t="n">
        <v>44554</v>
      </c>
      <c r="Q1252" s="44" t="n">
        <v>2020</v>
      </c>
      <c r="R1252" s="44" t="inlineStr">
        <is>
          <t>No Video ID yet</t>
        </is>
      </c>
      <c r="S1252" s="46" t="n"/>
      <c r="T1252" s="46" t="n"/>
      <c r="U1252" s="44" t="n"/>
      <c r="V1252" s="44">
        <f>IF(AND(P1252&gt;=Calendar!$K$2,P1252&lt;EDATE(Calendar!$K$2,1),OR(Calendar!$K$4="*",N1252=Calendar!$K$4)),P1252*100+COUNTIFS($P$6:$P$3271,P1252,$Q$6:$Q$3271,"&lt;="&amp;Q1252,$N$6:$N$3271,Calendar!$K$4),"")</f>
        <v/>
      </c>
      <c r="W1252" s="44">
        <f>IF(AND(B1252=Queue!$C$4,OR(Queue!$K$4="*",N1252=Queue!$K$4)),Q1252,"")</f>
        <v/>
      </c>
    </row>
    <row r="1253">
      <c r="A1253" s="35">
        <f>IF(M1253="","",HYPERLINK("https://www.youtube.com/watch?v="&amp;M1253,"▶"))</f>
        <v/>
      </c>
      <c r="B1253" s="36">
        <f>IF(C1253&lt;&gt;"",C1253,IF(P1253&lt;=IFERROR(INDEX(tblChannels[Watched Through],MATCH(N1253,tblChannels[Channel ID],0)),0),"Watched","Unwatched"))</f>
        <v/>
      </c>
      <c r="C1253" s="37" t="n"/>
      <c r="D1253" s="38" t="n"/>
      <c r="E1253" s="39" t="n">
        <v>44554.41666666666</v>
      </c>
      <c r="F1253" s="40" t="inlineStr">
        <is>
          <t>Popcorn Culture</t>
        </is>
      </c>
      <c r="G1253" t="inlineStr">
        <is>
          <t>Can I Tell You What I Love About Cheetahs (A Christmas Special)</t>
        </is>
      </c>
      <c r="H1253" s="41" t="n">
        <v>0.05586805555555555</v>
      </c>
      <c r="I1253" s="42" t="n">
        <v>10704</v>
      </c>
      <c r="J1253" s="42" t="n">
        <v>506</v>
      </c>
      <c r="K1253" s="42" t="n">
        <v>204</v>
      </c>
      <c r="L1253" s="43" t="n"/>
      <c r="M1253" s="44" t="n"/>
      <c r="N1253" s="44" t="inlineStr">
        <is>
          <t>UCHfIbq9thHPC8yrKjAdJgDA</t>
        </is>
      </c>
      <c r="O1253" s="45" t="n">
        <v>44554.625</v>
      </c>
      <c r="P1253" s="46" t="n">
        <v>44554</v>
      </c>
      <c r="Q1253" s="44" t="n">
        <v>2019</v>
      </c>
      <c r="R1253" s="44" t="inlineStr">
        <is>
          <t>No Video ID yet</t>
        </is>
      </c>
      <c r="S1253" s="46" t="n"/>
      <c r="T1253" s="46" t="n"/>
      <c r="U1253" s="44" t="n"/>
      <c r="V1253" s="44">
        <f>IF(AND(P1253&gt;=Calendar!$K$2,P1253&lt;EDATE(Calendar!$K$2,1),OR(Calendar!$K$4="*",N1253=Calendar!$K$4)),P1253*100+COUNTIFS($P$6:$P$3271,P1253,$Q$6:$Q$3271,"&lt;="&amp;Q1253,$N$6:$N$3271,Calendar!$K$4),"")</f>
        <v/>
      </c>
      <c r="W1253" s="44">
        <f>IF(AND(B1253=Queue!$C$4,OR(Queue!$K$4="*",N1253=Queue!$K$4)),Q1253,"")</f>
        <v/>
      </c>
    </row>
    <row r="1254">
      <c r="A1254" s="35">
        <f>IF(M1254="","",HYPERLINK("https://www.youtube.com/watch?v="&amp;M1254,"▶"))</f>
        <v/>
      </c>
      <c r="B1254" s="36">
        <f>IF(C1254&lt;&gt;"",C1254,IF(P1254&lt;=IFERROR(INDEX(tblChannels[Watched Through],MATCH(N1254,tblChannels[Channel ID],0)),0),"Watched","Unwatched"))</f>
        <v/>
      </c>
      <c r="C1254" s="37" t="n"/>
      <c r="D1254" s="38" t="n"/>
      <c r="E1254" s="39" t="n">
        <v>44553.64861111111</v>
      </c>
      <c r="F1254" s="47" t="inlineStr">
        <is>
          <t>Super Carlin Brothers</t>
        </is>
      </c>
      <c r="G1254" t="inlineStr">
        <is>
          <t>Why They're Called Death Eaters | Harry Potter Theory</t>
        </is>
      </c>
      <c r="H1254" s="41" t="n">
        <v>0.008784722222222222</v>
      </c>
      <c r="I1254" s="42" t="n">
        <v>327795</v>
      </c>
      <c r="J1254" s="42" t="n">
        <v>13608</v>
      </c>
      <c r="K1254" s="42" t="n">
        <v>1439</v>
      </c>
      <c r="L1254" s="43" t="n"/>
      <c r="M1254" s="44" t="n"/>
      <c r="N1254" s="44" t="inlineStr">
        <is>
          <t>UCKZo4N0lVPccBkSiuyVh4yg</t>
        </is>
      </c>
      <c r="O1254" s="45" t="n">
        <v>44553.85694444444</v>
      </c>
      <c r="P1254" s="46" t="n">
        <v>44553</v>
      </c>
      <c r="Q1254" s="44" t="n">
        <v>2018</v>
      </c>
      <c r="R1254" s="44" t="inlineStr">
        <is>
          <t>No Video ID yet</t>
        </is>
      </c>
      <c r="S1254" s="46" t="n"/>
      <c r="T1254" s="46" t="n"/>
      <c r="U1254" s="44" t="n"/>
      <c r="V1254" s="44">
        <f>IF(AND(P1254&gt;=Calendar!$K$2,P1254&lt;EDATE(Calendar!$K$2,1),OR(Calendar!$K$4="*",N1254=Calendar!$K$4)),P1254*100+COUNTIFS($P$6:$P$3271,P1254,$Q$6:$Q$3271,"&lt;="&amp;Q1254,$N$6:$N$3271,Calendar!$K$4),"")</f>
        <v/>
      </c>
      <c r="W1254" s="44">
        <f>IF(AND(B1254=Queue!$C$4,OR(Queue!$K$4="*",N1254=Queue!$K$4)),Q1254,"")</f>
        <v/>
      </c>
    </row>
    <row r="1255">
      <c r="A1255" s="35">
        <f>IF(M1255="","",HYPERLINK("https://www.youtube.com/watch?v="&amp;M1255,"▶"))</f>
        <v/>
      </c>
      <c r="B1255" s="36">
        <f>IF(C1255&lt;&gt;"",C1255,IF(P1255&lt;=IFERROR(INDEX(tblChannels[Watched Through],MATCH(N1255,tblChannels[Channel ID],0)),0),"Watched","Unwatched"))</f>
        <v/>
      </c>
      <c r="C1255" s="37" t="n"/>
      <c r="D1255" s="38" t="n"/>
      <c r="E1255" s="39" t="n">
        <v>44551.68125</v>
      </c>
      <c r="F1255" s="47" t="inlineStr">
        <is>
          <t>Super Carlin Brothers</t>
        </is>
      </c>
      <c r="G1255" t="inlineStr">
        <is>
          <t>Why Spider-Man No Way Home is our New FAVORITE Marvel Movie | REVIEW [J vs Ben]</t>
        </is>
      </c>
      <c r="H1255" s="41" t="n">
        <v>0.03430555555555555</v>
      </c>
      <c r="I1255" s="42" t="n">
        <v>342256</v>
      </c>
      <c r="J1255" s="42" t="n">
        <v>11141</v>
      </c>
      <c r="K1255" s="42" t="n">
        <v>1825</v>
      </c>
      <c r="L1255" s="43" t="n"/>
      <c r="M1255" s="44" t="n"/>
      <c r="N1255" s="44" t="inlineStr">
        <is>
          <t>UCKZo4N0lVPccBkSiuyVh4yg</t>
        </is>
      </c>
      <c r="O1255" s="45" t="n">
        <v>44551.88958333333</v>
      </c>
      <c r="P1255" s="46" t="n">
        <v>44551</v>
      </c>
      <c r="Q1255" s="44" t="n">
        <v>2017</v>
      </c>
      <c r="R1255" s="44" t="inlineStr">
        <is>
          <t>No Video ID yet</t>
        </is>
      </c>
      <c r="S1255" s="46" t="n"/>
      <c r="T1255" s="46" t="n"/>
      <c r="U1255" s="44" t="n"/>
      <c r="V1255" s="44">
        <f>IF(AND(P1255&gt;=Calendar!$K$2,P1255&lt;EDATE(Calendar!$K$2,1),OR(Calendar!$K$4="*",N1255=Calendar!$K$4)),P1255*100+COUNTIFS($P$6:$P$3271,P1255,$Q$6:$Q$3271,"&lt;="&amp;Q1255,$N$6:$N$3271,Calendar!$K$4),"")</f>
        <v/>
      </c>
      <c r="W1255" s="44">
        <f>IF(AND(B1255=Queue!$C$4,OR(Queue!$K$4="*",N1255=Queue!$K$4)),Q1255,"")</f>
        <v/>
      </c>
    </row>
    <row r="1256">
      <c r="A1256" s="35">
        <f>IF(M1256="","",HYPERLINK("https://www.youtube.com/watch?v="&amp;M1256,"▶"))</f>
        <v/>
      </c>
      <c r="B1256" s="36">
        <f>IF(C1256&lt;&gt;"",C1256,IF(P1256&lt;=IFERROR(INDEX(tblChannels[Watched Through],MATCH(N1256,tblChannels[Channel ID],0)),0),"Watched","Unwatched"))</f>
        <v/>
      </c>
      <c r="C1256" s="37" t="n"/>
      <c r="D1256" s="38" t="n"/>
      <c r="E1256" s="39" t="n">
        <v>44550.41666666666</v>
      </c>
      <c r="F1256" s="50" t="inlineStr">
        <is>
          <t>Jonathan Carlin</t>
        </is>
      </c>
      <c r="G1256" t="inlineStr">
        <is>
          <t>Home Alone - Beths Lost in New York</t>
        </is>
      </c>
      <c r="H1256" s="41" t="n">
        <v>0.01605324074074074</v>
      </c>
      <c r="I1256" s="42" t="n">
        <v>22423</v>
      </c>
      <c r="J1256" s="42" t="n">
        <v>1524</v>
      </c>
      <c r="K1256" s="42" t="n">
        <v>145</v>
      </c>
      <c r="L1256" s="43" t="n"/>
      <c r="M1256" s="44" t="n"/>
      <c r="N1256" s="44" t="inlineStr">
        <is>
          <t>UCYPKFe86e6nm4TVUYKLsFUQ</t>
        </is>
      </c>
      <c r="O1256" s="45" t="n">
        <v>44550.625</v>
      </c>
      <c r="P1256" s="46" t="n">
        <v>44550</v>
      </c>
      <c r="Q1256" s="44" t="n">
        <v>2016</v>
      </c>
      <c r="R1256" s="44" t="inlineStr">
        <is>
          <t>No Video ID yet</t>
        </is>
      </c>
      <c r="S1256" s="46" t="n"/>
      <c r="T1256" s="46" t="n"/>
      <c r="U1256" s="44" t="n"/>
      <c r="V1256" s="44">
        <f>IF(AND(P1256&gt;=Calendar!$K$2,P1256&lt;EDATE(Calendar!$K$2,1),OR(Calendar!$K$4="*",N1256=Calendar!$K$4)),P1256*100+COUNTIFS($P$6:$P$3271,P1256,$Q$6:$Q$3271,"&lt;="&amp;Q1256,$N$6:$N$3271,Calendar!$K$4),"")</f>
        <v/>
      </c>
      <c r="W1256" s="44">
        <f>IF(AND(B1256=Queue!$C$4,OR(Queue!$K$4="*",N1256=Queue!$K$4)),Q1256,"")</f>
        <v/>
      </c>
    </row>
    <row r="1257">
      <c r="A1257" s="35">
        <f>IF(M1257="","",HYPERLINK("https://www.youtube.com/watch?v="&amp;M1257,"▶"))</f>
        <v/>
      </c>
      <c r="B1257" s="36">
        <f>IF(C1257&lt;&gt;"",C1257,IF(P1257&lt;=IFERROR(INDEX(tblChannels[Watched Through],MATCH(N1257,tblChannels[Channel ID],0)),0),"Watched","Unwatched"))</f>
        <v/>
      </c>
      <c r="C1257" s="37" t="n"/>
      <c r="D1257" s="38" t="n"/>
      <c r="E1257" s="39" t="n">
        <v>44547.5</v>
      </c>
      <c r="F1257" s="51" t="inlineStr">
        <is>
          <t>With the Carlins</t>
        </is>
      </c>
      <c r="G1257" t="inlineStr">
        <is>
          <t>The Great Office OVERHAUL(ish)</t>
        </is>
      </c>
      <c r="H1257" s="41" t="n">
        <v>0.01853009259259259</v>
      </c>
      <c r="I1257" s="42" t="n">
        <v>20343</v>
      </c>
      <c r="J1257" s="42" t="n">
        <v>1541</v>
      </c>
      <c r="K1257" s="42" t="n">
        <v>115</v>
      </c>
      <c r="L1257" s="43" t="n"/>
      <c r="M1257" s="44" t="n"/>
      <c r="N1257" s="44" t="inlineStr">
        <is>
          <t>UCVBTjN9WJU5Ac8yU7b2K-5g</t>
        </is>
      </c>
      <c r="O1257" s="45" t="n">
        <v>44547.70833333334</v>
      </c>
      <c r="P1257" s="46" t="n">
        <v>44547</v>
      </c>
      <c r="Q1257" s="44" t="n">
        <v>2015</v>
      </c>
      <c r="R1257" s="44" t="inlineStr">
        <is>
          <t>No Video ID yet</t>
        </is>
      </c>
      <c r="S1257" s="46" t="n"/>
      <c r="T1257" s="46" t="n"/>
      <c r="U1257" s="44" t="n"/>
      <c r="V1257" s="44">
        <f>IF(AND(P1257&gt;=Calendar!$K$2,P1257&lt;EDATE(Calendar!$K$2,1),OR(Calendar!$K$4="*",N1257=Calendar!$K$4)),P1257*100+COUNTIFS($P$6:$P$3271,P1257,$Q$6:$Q$3271,"&lt;="&amp;Q1257,$N$6:$N$3271,Calendar!$K$4),"")</f>
        <v/>
      </c>
      <c r="W1257" s="44">
        <f>IF(AND(B1257=Queue!$C$4,OR(Queue!$K$4="*",N1257=Queue!$K$4)),Q1257,"")</f>
        <v/>
      </c>
    </row>
    <row r="1258">
      <c r="A1258" s="35">
        <f>IF(M1258="","",HYPERLINK("https://www.youtube.com/watch?v="&amp;M1258,"▶"))</f>
        <v/>
      </c>
      <c r="B1258" s="36">
        <f>IF(C1258&lt;&gt;"",C1258,IF(P1258&lt;=IFERROR(INDEX(tblChannels[Watched Through],MATCH(N1258,tblChannels[Channel ID],0)),0),"Watched","Unwatched"))</f>
        <v/>
      </c>
      <c r="C1258" s="37" t="n"/>
      <c r="D1258" s="38" t="n"/>
      <c r="E1258" s="39" t="n">
        <v>44547.41666666666</v>
      </c>
      <c r="F1258" s="40" t="inlineStr">
        <is>
          <t>Popcorn Culture</t>
        </is>
      </c>
      <c r="G1258" t="inlineStr">
        <is>
          <t>15 Page Long Banner of a Hot Dog | Popcorn Culture</t>
        </is>
      </c>
      <c r="H1258" s="41" t="n">
        <v>0.04542824074074074</v>
      </c>
      <c r="I1258" s="42" t="n">
        <v>8434</v>
      </c>
      <c r="J1258" s="42" t="n">
        <v>515</v>
      </c>
      <c r="K1258" s="42" t="n">
        <v>50</v>
      </c>
      <c r="L1258" s="43" t="n"/>
      <c r="M1258" s="44" t="n"/>
      <c r="N1258" s="44" t="inlineStr">
        <is>
          <t>UCHfIbq9thHPC8yrKjAdJgDA</t>
        </is>
      </c>
      <c r="O1258" s="45" t="n">
        <v>44547.625</v>
      </c>
      <c r="P1258" s="46" t="n">
        <v>44547</v>
      </c>
      <c r="Q1258" s="44" t="n">
        <v>2014</v>
      </c>
      <c r="R1258" s="44" t="inlineStr">
        <is>
          <t>No Video ID yet</t>
        </is>
      </c>
      <c r="S1258" s="46" t="n"/>
      <c r="T1258" s="46" t="n"/>
      <c r="U1258" s="44" t="n"/>
      <c r="V1258" s="44">
        <f>IF(AND(P1258&gt;=Calendar!$K$2,P1258&lt;EDATE(Calendar!$K$2,1),OR(Calendar!$K$4="*",N1258=Calendar!$K$4)),P1258*100+COUNTIFS($P$6:$P$3271,P1258,$Q$6:$Q$3271,"&lt;="&amp;Q1258,$N$6:$N$3271,Calendar!$K$4),"")</f>
        <v/>
      </c>
      <c r="W1258" s="44">
        <f>IF(AND(B1258=Queue!$C$4,OR(Queue!$K$4="*",N1258=Queue!$K$4)),Q1258,"")</f>
        <v/>
      </c>
    </row>
    <row r="1259">
      <c r="A1259" s="35">
        <f>IF(M1259="","",HYPERLINK("https://www.youtube.com/watch?v="&amp;M1259,"▶"))</f>
        <v/>
      </c>
      <c r="B1259" s="36">
        <f>IF(C1259&lt;&gt;"",C1259,IF(P1259&lt;=IFERROR(INDEX(tblChannels[Watched Through],MATCH(N1259,tblChannels[Channel ID],0)),0),"Watched","Unwatched"))</f>
        <v/>
      </c>
      <c r="C1259" s="37" t="n"/>
      <c r="D1259" s="38" t="n"/>
      <c r="E1259" s="39" t="n">
        <v>44546.62638888889</v>
      </c>
      <c r="F1259" s="47" t="inlineStr">
        <is>
          <t>Super Carlin Brothers</t>
        </is>
      </c>
      <c r="G1259" t="inlineStr">
        <is>
          <t>Dumbledore's Big Plan: Fantastic Beasts [Harry Potter Theory]</t>
        </is>
      </c>
      <c r="H1259" s="41" t="n">
        <v>0.01207175925925926</v>
      </c>
      <c r="I1259" s="42" t="n">
        <v>359146</v>
      </c>
      <c r="J1259" s="42" t="n">
        <v>12970</v>
      </c>
      <c r="K1259" s="42" t="n">
        <v>1115</v>
      </c>
      <c r="L1259" s="43" t="n"/>
      <c r="M1259" s="44" t="n"/>
      <c r="N1259" s="44" t="inlineStr">
        <is>
          <t>UCKZo4N0lVPccBkSiuyVh4yg</t>
        </is>
      </c>
      <c r="O1259" s="45" t="n">
        <v>44546.83472222222</v>
      </c>
      <c r="P1259" s="46" t="n">
        <v>44546</v>
      </c>
      <c r="Q1259" s="44" t="n">
        <v>2013</v>
      </c>
      <c r="R1259" s="44" t="inlineStr">
        <is>
          <t>No Video ID yet</t>
        </is>
      </c>
      <c r="S1259" s="46" t="n"/>
      <c r="T1259" s="46" t="n"/>
      <c r="U1259" s="44" t="n"/>
      <c r="V1259" s="44">
        <f>IF(AND(P1259&gt;=Calendar!$K$2,P1259&lt;EDATE(Calendar!$K$2,1),OR(Calendar!$K$4="*",N1259=Calendar!$K$4)),P1259*100+COUNTIFS($P$6:$P$3271,P1259,$Q$6:$Q$3271,"&lt;="&amp;Q1259,$N$6:$N$3271,Calendar!$K$4),"")</f>
        <v/>
      </c>
      <c r="W1259" s="44">
        <f>IF(AND(B1259=Queue!$C$4,OR(Queue!$K$4="*",N1259=Queue!$K$4)),Q1259,"")</f>
        <v/>
      </c>
    </row>
    <row r="1260">
      <c r="A1260" s="35">
        <f>IF(M1260="","",HYPERLINK("https://www.youtube.com/watch?v="&amp;M1260,"▶"))</f>
        <v/>
      </c>
      <c r="B1260" s="36">
        <f>IF(C1260&lt;&gt;"",C1260,IF(P1260&lt;=IFERROR(INDEX(tblChannels[Watched Through],MATCH(N1260,tblChannels[Channel ID],0)),0),"Watched","Unwatched"))</f>
        <v/>
      </c>
      <c r="C1260" s="37" t="n"/>
      <c r="D1260" s="38" t="n"/>
      <c r="E1260" s="39" t="n">
        <v>44544.81805555556</v>
      </c>
      <c r="F1260" s="47" t="inlineStr">
        <is>
          <t>Super Carlin Brothers</t>
        </is>
      </c>
      <c r="G1260" t="inlineStr">
        <is>
          <t>Tobey WAS Uncle Ben in the MCU | Spider-Man Theory</t>
        </is>
      </c>
      <c r="H1260" s="41" t="n">
        <v>0.0007060185185185185</v>
      </c>
      <c r="I1260" s="42" t="n">
        <v>83250</v>
      </c>
      <c r="J1260" s="42" t="n">
        <v>4201</v>
      </c>
      <c r="K1260" s="42" t="n">
        <v>283</v>
      </c>
      <c r="L1260" s="43" t="n"/>
      <c r="M1260" s="44" t="n"/>
      <c r="N1260" s="44" t="inlineStr">
        <is>
          <t>UCKZo4N0lVPccBkSiuyVh4yg</t>
        </is>
      </c>
      <c r="O1260" s="45" t="n">
        <v>44545.02638888889</v>
      </c>
      <c r="P1260" s="46" t="n">
        <v>44544</v>
      </c>
      <c r="Q1260" s="44" t="n">
        <v>2012</v>
      </c>
      <c r="R1260" s="44" t="inlineStr">
        <is>
          <t>No Video ID yet</t>
        </is>
      </c>
      <c r="S1260" s="46" t="n"/>
      <c r="T1260" s="46" t="n"/>
      <c r="U1260" s="44" t="n"/>
      <c r="V1260" s="44">
        <f>IF(AND(P1260&gt;=Calendar!$K$2,P1260&lt;EDATE(Calendar!$K$2,1),OR(Calendar!$K$4="*",N1260=Calendar!$K$4)),P1260*100+COUNTIFS($P$6:$P$3271,P1260,$Q$6:$Q$3271,"&lt;="&amp;Q1260,$N$6:$N$3271,Calendar!$K$4),"")</f>
        <v/>
      </c>
      <c r="W1260" s="44">
        <f>IF(AND(B1260=Queue!$C$4,OR(Queue!$K$4="*",N1260=Queue!$K$4)),Q1260,"")</f>
        <v/>
      </c>
    </row>
    <row r="1261">
      <c r="A1261" s="35">
        <f>IF(M1261="","",HYPERLINK("https://www.youtube.com/watch?v="&amp;M1261,"▶"))</f>
        <v/>
      </c>
      <c r="B1261" s="36">
        <f>IF(C1261&lt;&gt;"",C1261,IF(P1261&lt;=IFERROR(INDEX(tblChannels[Watched Through],MATCH(N1261,tblChannels[Channel ID],0)),0),"Watched","Unwatched"))</f>
        <v/>
      </c>
      <c r="C1261" s="37" t="n"/>
      <c r="D1261" s="38" t="n"/>
      <c r="E1261" s="39" t="n">
        <v>44544.80555555555</v>
      </c>
      <c r="F1261" s="47" t="inlineStr">
        <is>
          <t>Super Carlin Brothers</t>
        </is>
      </c>
      <c r="G1261" t="inlineStr">
        <is>
          <t>Secrets of Dumbledore Trailer Breakdown | Harry Potter Theory</t>
        </is>
      </c>
      <c r="H1261" s="41" t="n">
        <v>0.01287037037037037</v>
      </c>
      <c r="I1261" s="42" t="n">
        <v>445596</v>
      </c>
      <c r="J1261" s="42" t="n">
        <v>17457</v>
      </c>
      <c r="K1261" s="42" t="n">
        <v>2194</v>
      </c>
      <c r="L1261" s="43" t="n"/>
      <c r="M1261" s="44" t="n"/>
      <c r="N1261" s="44" t="inlineStr">
        <is>
          <t>UCKZo4N0lVPccBkSiuyVh4yg</t>
        </is>
      </c>
      <c r="O1261" s="45" t="n">
        <v>44545.01388888889</v>
      </c>
      <c r="P1261" s="46" t="n">
        <v>44544</v>
      </c>
      <c r="Q1261" s="44" t="n">
        <v>2011</v>
      </c>
      <c r="R1261" s="44" t="inlineStr">
        <is>
          <t>No Video ID yet</t>
        </is>
      </c>
      <c r="S1261" s="46" t="n"/>
      <c r="T1261" s="46" t="n"/>
      <c r="U1261" s="44" t="n"/>
      <c r="V1261" s="44">
        <f>IF(AND(P1261&gt;=Calendar!$K$2,P1261&lt;EDATE(Calendar!$K$2,1),OR(Calendar!$K$4="*",N1261=Calendar!$K$4)),P1261*100+COUNTIFS($P$6:$P$3271,P1261,$Q$6:$Q$3271,"&lt;="&amp;Q1261,$N$6:$N$3271,Calendar!$K$4),"")</f>
        <v/>
      </c>
      <c r="W1261" s="44">
        <f>IF(AND(B1261=Queue!$C$4,OR(Queue!$K$4="*",N1261=Queue!$K$4)),Q1261,"")</f>
        <v/>
      </c>
    </row>
    <row r="1262">
      <c r="A1262" s="35">
        <f>IF(M1262="","",HYPERLINK("https://www.youtube.com/watch?v="&amp;M1262,"▶"))</f>
        <v/>
      </c>
      <c r="B1262" s="36">
        <f>IF(C1262&lt;&gt;"",C1262,IF(P1262&lt;=IFERROR(INDEX(tblChannels[Watched Through],MATCH(N1262,tblChannels[Channel ID],0)),0),"Watched","Unwatched"))</f>
        <v/>
      </c>
      <c r="C1262" s="37" t="n"/>
      <c r="D1262" s="38" t="n"/>
      <c r="E1262" s="39" t="n">
        <v>44543.41666666666</v>
      </c>
      <c r="F1262" s="50" t="inlineStr">
        <is>
          <t>Jonathan Carlin</t>
        </is>
      </c>
      <c r="G1262" t="inlineStr">
        <is>
          <t>LUKE TURNS FOUR!</t>
        </is>
      </c>
      <c r="H1262" s="41" t="n">
        <v>0.01633101851851852</v>
      </c>
      <c r="I1262" s="42" t="n">
        <v>21315</v>
      </c>
      <c r="J1262" s="42" t="n">
        <v>1593</v>
      </c>
      <c r="K1262" s="42" t="n">
        <v>177</v>
      </c>
      <c r="L1262" s="43" t="n"/>
      <c r="M1262" s="44" t="n"/>
      <c r="N1262" s="44" t="inlineStr">
        <is>
          <t>UCYPKFe86e6nm4TVUYKLsFUQ</t>
        </is>
      </c>
      <c r="O1262" s="45" t="n">
        <v>44543.625</v>
      </c>
      <c r="P1262" s="46" t="n">
        <v>44543</v>
      </c>
      <c r="Q1262" s="44" t="n">
        <v>2010</v>
      </c>
      <c r="R1262" s="44" t="inlineStr">
        <is>
          <t>No Video ID yet</t>
        </is>
      </c>
      <c r="S1262" s="46" t="n"/>
      <c r="T1262" s="46" t="n"/>
      <c r="U1262" s="44" t="n"/>
      <c r="V1262" s="44">
        <f>IF(AND(P1262&gt;=Calendar!$K$2,P1262&lt;EDATE(Calendar!$K$2,1),OR(Calendar!$K$4="*",N1262=Calendar!$K$4)),P1262*100+COUNTIFS($P$6:$P$3271,P1262,$Q$6:$Q$3271,"&lt;="&amp;Q1262,$N$6:$N$3271,Calendar!$K$4),"")</f>
        <v/>
      </c>
      <c r="W1262" s="44">
        <f>IF(AND(B1262=Queue!$C$4,OR(Queue!$K$4="*",N1262=Queue!$K$4)),Q1262,"")</f>
        <v/>
      </c>
    </row>
    <row r="1263">
      <c r="A1263" s="35">
        <f>IF(M1263="","",HYPERLINK("https://www.youtube.com/watch?v="&amp;M1263,"▶"))</f>
        <v/>
      </c>
      <c r="B1263" s="36">
        <f>IF(C1263&lt;&gt;"",C1263,IF(P1263&lt;=IFERROR(INDEX(tblChannels[Watched Through],MATCH(N1263,tblChannels[Channel ID],0)),0),"Watched","Unwatched"))</f>
        <v/>
      </c>
      <c r="C1263" s="37" t="n"/>
      <c r="D1263" s="38" t="n"/>
      <c r="E1263" s="39" t="n">
        <v>44540.71944444445</v>
      </c>
      <c r="F1263" s="47" t="inlineStr">
        <is>
          <t>Super Carlin Brothers</t>
        </is>
      </c>
      <c r="G1263" t="inlineStr">
        <is>
          <t>Ranking EVERY Harry Potter Movie</t>
        </is>
      </c>
      <c r="H1263" s="41" t="n">
        <v>0.04184027777777777</v>
      </c>
      <c r="I1263" s="42" t="n">
        <v>940524</v>
      </c>
      <c r="J1263" s="42" t="n">
        <v>18753</v>
      </c>
      <c r="K1263" s="42" t="n">
        <v>3054</v>
      </c>
      <c r="L1263" s="43" t="n"/>
      <c r="M1263" s="44" t="n"/>
      <c r="N1263" s="44" t="inlineStr">
        <is>
          <t>UCKZo4N0lVPccBkSiuyVh4yg</t>
        </is>
      </c>
      <c r="O1263" s="45" t="n">
        <v>44540.92777777778</v>
      </c>
      <c r="P1263" s="46" t="n">
        <v>44540</v>
      </c>
      <c r="Q1263" s="44" t="n">
        <v>2009</v>
      </c>
      <c r="R1263" s="44" t="inlineStr">
        <is>
          <t>No Video ID yet</t>
        </is>
      </c>
      <c r="S1263" s="46" t="n"/>
      <c r="T1263" s="46" t="n"/>
      <c r="U1263" s="44" t="n"/>
      <c r="V1263" s="44">
        <f>IF(AND(P1263&gt;=Calendar!$K$2,P1263&lt;EDATE(Calendar!$K$2,1),OR(Calendar!$K$4="*",N1263=Calendar!$K$4)),P1263*100+COUNTIFS($P$6:$P$3271,P1263,$Q$6:$Q$3271,"&lt;="&amp;Q1263,$N$6:$N$3271,Calendar!$K$4),"")</f>
        <v/>
      </c>
      <c r="W1263" s="44">
        <f>IF(AND(B1263=Queue!$C$4,OR(Queue!$K$4="*",N1263=Queue!$K$4)),Q1263,"")</f>
        <v/>
      </c>
    </row>
    <row r="1264">
      <c r="A1264" s="35">
        <f>IF(M1264="","",HYPERLINK("https://www.youtube.com/watch?v="&amp;M1264,"▶"))</f>
        <v/>
      </c>
      <c r="B1264" s="36">
        <f>IF(C1264&lt;&gt;"",C1264,IF(P1264&lt;=IFERROR(INDEX(tblChannels[Watched Through],MATCH(N1264,tblChannels[Channel ID],0)),0),"Watched","Unwatched"))</f>
        <v/>
      </c>
      <c r="C1264" s="37" t="n"/>
      <c r="D1264" s="38" t="n"/>
      <c r="E1264" s="39" t="n">
        <v>44540.5</v>
      </c>
      <c r="F1264" s="51" t="inlineStr">
        <is>
          <t>With the Carlins</t>
        </is>
      </c>
      <c r="G1264" t="inlineStr">
        <is>
          <t>Addison Meets Spider Man!</t>
        </is>
      </c>
      <c r="H1264" s="41" t="n">
        <v>0.01003472222222222</v>
      </c>
      <c r="I1264" s="42" t="n">
        <v>17218</v>
      </c>
      <c r="J1264" s="42" t="n">
        <v>1528</v>
      </c>
      <c r="K1264" s="42" t="n">
        <v>83</v>
      </c>
      <c r="L1264" s="43" t="n"/>
      <c r="M1264" s="44" t="n"/>
      <c r="N1264" s="44" t="inlineStr">
        <is>
          <t>UCVBTjN9WJU5Ac8yU7b2K-5g</t>
        </is>
      </c>
      <c r="O1264" s="45" t="n">
        <v>44540.70833333334</v>
      </c>
      <c r="P1264" s="46" t="n">
        <v>44540</v>
      </c>
      <c r="Q1264" s="44" t="n">
        <v>2008</v>
      </c>
      <c r="R1264" s="44" t="inlineStr">
        <is>
          <t>No Video ID yet</t>
        </is>
      </c>
      <c r="S1264" s="46" t="n"/>
      <c r="T1264" s="46" t="n"/>
      <c r="U1264" s="44" t="n"/>
      <c r="V1264" s="44">
        <f>IF(AND(P1264&gt;=Calendar!$K$2,P1264&lt;EDATE(Calendar!$K$2,1),OR(Calendar!$K$4="*",N1264=Calendar!$K$4)),P1264*100+COUNTIFS($P$6:$P$3271,P1264,$Q$6:$Q$3271,"&lt;="&amp;Q1264,$N$6:$N$3271,Calendar!$K$4),"")</f>
        <v/>
      </c>
      <c r="W1264" s="44">
        <f>IF(AND(B1264=Queue!$C$4,OR(Queue!$K$4="*",N1264=Queue!$K$4)),Q1264,"")</f>
        <v/>
      </c>
    </row>
    <row r="1265">
      <c r="A1265" s="35">
        <f>IF(M1265="","",HYPERLINK("https://www.youtube.com/watch?v="&amp;M1265,"▶"))</f>
        <v/>
      </c>
      <c r="B1265" s="36">
        <f>IF(C1265&lt;&gt;"",C1265,IF(P1265&lt;=IFERROR(INDEX(tblChannels[Watched Through],MATCH(N1265,tblChannels[Channel ID],0)),0),"Watched","Unwatched"))</f>
        <v/>
      </c>
      <c r="C1265" s="37" t="n"/>
      <c r="D1265" s="38" t="n"/>
      <c r="E1265" s="39" t="n">
        <v>44540.41666666666</v>
      </c>
      <c r="F1265" s="40" t="inlineStr">
        <is>
          <t>Popcorn Culture</t>
        </is>
      </c>
      <c r="G1265" t="inlineStr">
        <is>
          <t>Is Disney World A Little Kernel?! | Popcorn Culture</t>
        </is>
      </c>
      <c r="H1265" s="41" t="n">
        <v>0.0500462962962963</v>
      </c>
      <c r="I1265" s="42" t="n">
        <v>10324</v>
      </c>
      <c r="J1265" s="42" t="n">
        <v>460</v>
      </c>
      <c r="K1265" s="42" t="n">
        <v>57</v>
      </c>
      <c r="L1265" s="43" t="n"/>
      <c r="M1265" s="44" t="n"/>
      <c r="N1265" s="44" t="inlineStr">
        <is>
          <t>UCHfIbq9thHPC8yrKjAdJgDA</t>
        </is>
      </c>
      <c r="O1265" s="45" t="n">
        <v>44540.625</v>
      </c>
      <c r="P1265" s="46" t="n">
        <v>44540</v>
      </c>
      <c r="Q1265" s="44" t="n">
        <v>2007</v>
      </c>
      <c r="R1265" s="44" t="inlineStr">
        <is>
          <t>No Video ID yet</t>
        </is>
      </c>
      <c r="S1265" s="46" t="n"/>
      <c r="T1265" s="46" t="n"/>
      <c r="U1265" s="44" t="n"/>
      <c r="V1265" s="44">
        <f>IF(AND(P1265&gt;=Calendar!$K$2,P1265&lt;EDATE(Calendar!$K$2,1),OR(Calendar!$K$4="*",N1265=Calendar!$K$4)),P1265*100+COUNTIFS($P$6:$P$3271,P1265,$Q$6:$Q$3271,"&lt;="&amp;Q1265,$N$6:$N$3271,Calendar!$K$4),"")</f>
        <v/>
      </c>
      <c r="W1265" s="44">
        <f>IF(AND(B1265=Queue!$C$4,OR(Queue!$K$4="*",N1265=Queue!$K$4)),Q1265,"")</f>
        <v/>
      </c>
    </row>
    <row r="1266">
      <c r="A1266" s="35">
        <f>IF(M1266="","",HYPERLINK("https://www.youtube.com/watch?v="&amp;M1266,"▶"))</f>
        <v/>
      </c>
      <c r="B1266" s="36">
        <f>IF(C1266&lt;&gt;"",C1266,IF(P1266&lt;=IFERROR(INDEX(tblChannels[Watched Through],MATCH(N1266,tblChannels[Channel ID],0)),0),"Watched","Unwatched"))</f>
        <v/>
      </c>
      <c r="C1266" s="37" t="n"/>
      <c r="D1266" s="38" t="n"/>
      <c r="E1266" s="39" t="n">
        <v>44539.70902777778</v>
      </c>
      <c r="F1266" s="47" t="inlineStr">
        <is>
          <t>Super Carlin Brothers</t>
        </is>
      </c>
      <c r="G1266" t="inlineStr">
        <is>
          <t>Will Mirabel Be A Disney Princess? | Disney Theory</t>
        </is>
      </c>
      <c r="H1266" s="41" t="n">
        <v>0.009444444444444445</v>
      </c>
      <c r="I1266" s="42" t="n">
        <v>234585</v>
      </c>
      <c r="J1266" s="42" t="n">
        <v>10497</v>
      </c>
      <c r="K1266" s="42" t="n">
        <v>1477</v>
      </c>
      <c r="L1266" s="43" t="n"/>
      <c r="M1266" s="44" t="n"/>
      <c r="N1266" s="44" t="inlineStr">
        <is>
          <t>UCKZo4N0lVPccBkSiuyVh4yg</t>
        </is>
      </c>
      <c r="O1266" s="45" t="n">
        <v>44539.91736111111</v>
      </c>
      <c r="P1266" s="46" t="n">
        <v>44539</v>
      </c>
      <c r="Q1266" s="44" t="n">
        <v>2006</v>
      </c>
      <c r="R1266" s="44" t="inlineStr">
        <is>
          <t>No Video ID yet</t>
        </is>
      </c>
      <c r="S1266" s="46" t="n"/>
      <c r="T1266" s="46" t="n"/>
      <c r="U1266" s="44" t="n"/>
      <c r="V1266" s="44">
        <f>IF(AND(P1266&gt;=Calendar!$K$2,P1266&lt;EDATE(Calendar!$K$2,1),OR(Calendar!$K$4="*",N1266=Calendar!$K$4)),P1266*100+COUNTIFS($P$6:$P$3271,P1266,$Q$6:$Q$3271,"&lt;="&amp;Q1266,$N$6:$N$3271,Calendar!$K$4),"")</f>
        <v/>
      </c>
      <c r="W1266" s="44">
        <f>IF(AND(B1266=Queue!$C$4,OR(Queue!$K$4="*",N1266=Queue!$K$4)),Q1266,"")</f>
        <v/>
      </c>
    </row>
    <row r="1267">
      <c r="A1267" s="35">
        <f>IF(M1267="","",HYPERLINK("https://www.youtube.com/watch?v="&amp;M1267,"▶"))</f>
        <v/>
      </c>
      <c r="B1267" s="36">
        <f>IF(C1267&lt;&gt;"",C1267,IF(P1267&lt;=IFERROR(INDEX(tblChannels[Watched Through],MATCH(N1267,tblChannels[Channel ID],0)),0),"Watched","Unwatched"))</f>
        <v/>
      </c>
      <c r="C1267" s="37" t="n"/>
      <c r="D1267" s="38" t="n"/>
      <c r="E1267" s="39" t="n">
        <v>44537.76875</v>
      </c>
      <c r="F1267" s="47" t="inlineStr">
        <is>
          <t>Super Carlin Brothers</t>
        </is>
      </c>
      <c r="G1267" t="inlineStr">
        <is>
          <t>J vs Ben: ULTIMATE Golden Trio Harry Potter TRIVIA Quiz</t>
        </is>
      </c>
      <c r="H1267" s="41" t="n">
        <v>0.02199074074074074</v>
      </c>
      <c r="I1267" s="42" t="n">
        <v>396498</v>
      </c>
      <c r="J1267" s="42" t="n">
        <v>11496</v>
      </c>
      <c r="K1267" s="42" t="n">
        <v>997</v>
      </c>
      <c r="L1267" s="43" t="n"/>
      <c r="M1267" s="44" t="n"/>
      <c r="N1267" s="44" t="inlineStr">
        <is>
          <t>UCKZo4N0lVPccBkSiuyVh4yg</t>
        </is>
      </c>
      <c r="O1267" s="45" t="n">
        <v>44537.97708333333</v>
      </c>
      <c r="P1267" s="46" t="n">
        <v>44537</v>
      </c>
      <c r="Q1267" s="44" t="n">
        <v>2005</v>
      </c>
      <c r="R1267" s="44" t="inlineStr">
        <is>
          <t>No Video ID yet</t>
        </is>
      </c>
      <c r="S1267" s="46" t="n"/>
      <c r="T1267" s="46" t="n"/>
      <c r="U1267" s="44" t="n"/>
      <c r="V1267" s="44">
        <f>IF(AND(P1267&gt;=Calendar!$K$2,P1267&lt;EDATE(Calendar!$K$2,1),OR(Calendar!$K$4="*",N1267=Calendar!$K$4)),P1267*100+COUNTIFS($P$6:$P$3271,P1267,$Q$6:$Q$3271,"&lt;="&amp;Q1267,$N$6:$N$3271,Calendar!$K$4),"")</f>
        <v/>
      </c>
      <c r="W1267" s="44">
        <f>IF(AND(B1267=Queue!$C$4,OR(Queue!$K$4="*",N1267=Queue!$K$4)),Q1267,"")</f>
        <v/>
      </c>
    </row>
    <row r="1268">
      <c r="A1268" s="35">
        <f>IF(M1268="","",HYPERLINK("https://www.youtube.com/watch?v="&amp;M1268,"▶"))</f>
        <v/>
      </c>
      <c r="B1268" s="36">
        <f>IF(C1268&lt;&gt;"",C1268,IF(P1268&lt;=IFERROR(INDEX(tblChannels[Watched Through],MATCH(N1268,tblChannels[Channel ID],0)),0),"Watched","Unwatched"))</f>
        <v/>
      </c>
      <c r="C1268" s="37" t="n"/>
      <c r="D1268" s="38" t="n"/>
      <c r="E1268" s="39" t="n">
        <v>44536.41666666666</v>
      </c>
      <c r="F1268" s="50" t="inlineStr">
        <is>
          <t>Jonathan Carlin</t>
        </is>
      </c>
      <c r="G1268" t="inlineStr">
        <is>
          <t>Beth Runs A Half-Marathon!</t>
        </is>
      </c>
      <c r="H1268" s="41" t="n">
        <v>0.01336805555555555</v>
      </c>
      <c r="I1268" s="42" t="n">
        <v>19154</v>
      </c>
      <c r="J1268" s="42" t="n">
        <v>1416</v>
      </c>
      <c r="K1268" s="42" t="n">
        <v>0</v>
      </c>
      <c r="L1268" s="43" t="n"/>
      <c r="M1268" s="44" t="n"/>
      <c r="N1268" s="44" t="inlineStr">
        <is>
          <t>UCYPKFe86e6nm4TVUYKLsFUQ</t>
        </is>
      </c>
      <c r="O1268" s="45" t="n">
        <v>44536.625</v>
      </c>
      <c r="P1268" s="46" t="n">
        <v>44536</v>
      </c>
      <c r="Q1268" s="44" t="n">
        <v>2004</v>
      </c>
      <c r="R1268" s="44" t="inlineStr">
        <is>
          <t>No Video ID yet</t>
        </is>
      </c>
      <c r="S1268" s="46" t="n"/>
      <c r="T1268" s="46" t="n"/>
      <c r="U1268" s="44" t="n"/>
      <c r="V1268" s="44">
        <f>IF(AND(P1268&gt;=Calendar!$K$2,P1268&lt;EDATE(Calendar!$K$2,1),OR(Calendar!$K$4="*",N1268=Calendar!$K$4)),P1268*100+COUNTIFS($P$6:$P$3271,P1268,$Q$6:$Q$3271,"&lt;="&amp;Q1268,$N$6:$N$3271,Calendar!$K$4),"")</f>
        <v/>
      </c>
      <c r="W1268" s="44">
        <f>IF(AND(B1268=Queue!$C$4,OR(Queue!$K$4="*",N1268=Queue!$K$4)),Q1268,"")</f>
        <v/>
      </c>
    </row>
    <row r="1269">
      <c r="A1269" s="35">
        <f>IF(M1269="","",HYPERLINK("https://www.youtube.com/watch?v="&amp;M1269,"▶"))</f>
        <v/>
      </c>
      <c r="B1269" s="36">
        <f>IF(C1269&lt;&gt;"",C1269,IF(P1269&lt;=IFERROR(INDEX(tblChannels[Watched Through],MATCH(N1269,tblChannels[Channel ID],0)),0),"Watched","Unwatched"))</f>
        <v/>
      </c>
      <c r="C1269" s="37" t="n"/>
      <c r="D1269" s="38" t="n"/>
      <c r="E1269" s="39" t="n">
        <v>44533.5</v>
      </c>
      <c r="F1269" s="51" t="inlineStr">
        <is>
          <t>With the Carlins</t>
        </is>
      </c>
      <c r="G1269" t="inlineStr">
        <is>
          <t>Addison is One Month Old!</t>
        </is>
      </c>
      <c r="H1269" s="41" t="n">
        <v>0.01211805555555556</v>
      </c>
      <c r="I1269" s="42" t="n">
        <v>19441</v>
      </c>
      <c r="J1269" s="42" t="n">
        <v>1721</v>
      </c>
      <c r="K1269" s="42" t="n">
        <v>182</v>
      </c>
      <c r="L1269" s="43" t="n"/>
      <c r="M1269" s="44" t="n"/>
      <c r="N1269" s="44" t="inlineStr">
        <is>
          <t>UCVBTjN9WJU5Ac8yU7b2K-5g</t>
        </is>
      </c>
      <c r="O1269" s="45" t="n">
        <v>44533.70833333334</v>
      </c>
      <c r="P1269" s="46" t="n">
        <v>44533</v>
      </c>
      <c r="Q1269" s="44" t="n">
        <v>2003</v>
      </c>
      <c r="R1269" s="44" t="inlineStr">
        <is>
          <t>No Video ID yet</t>
        </is>
      </c>
      <c r="S1269" s="46" t="n"/>
      <c r="T1269" s="46" t="n"/>
      <c r="U1269" s="44" t="n"/>
      <c r="V1269" s="44">
        <f>IF(AND(P1269&gt;=Calendar!$K$2,P1269&lt;EDATE(Calendar!$K$2,1),OR(Calendar!$K$4="*",N1269=Calendar!$K$4)),P1269*100+COUNTIFS($P$6:$P$3271,P1269,$Q$6:$Q$3271,"&lt;="&amp;Q1269,$N$6:$N$3271,Calendar!$K$4),"")</f>
        <v/>
      </c>
      <c r="W1269" s="44">
        <f>IF(AND(B1269=Queue!$C$4,OR(Queue!$K$4="*",N1269=Queue!$K$4)),Q1269,"")</f>
        <v/>
      </c>
    </row>
    <row r="1270">
      <c r="A1270" s="35">
        <f>IF(M1270="","",HYPERLINK("https://www.youtube.com/watch?v="&amp;M1270,"▶"))</f>
        <v/>
      </c>
      <c r="B1270" s="36">
        <f>IF(C1270&lt;&gt;"",C1270,IF(P1270&lt;=IFERROR(INDEX(tblChannels[Watched Through],MATCH(N1270,tblChannels[Channel ID],0)),0),"Watched","Unwatched"))</f>
        <v/>
      </c>
      <c r="C1270" s="37" t="n"/>
      <c r="D1270" s="38" t="n"/>
      <c r="E1270" s="39" t="n">
        <v>44533.41666666666</v>
      </c>
      <c r="F1270" s="40" t="inlineStr">
        <is>
          <t>Popcorn Culture</t>
        </is>
      </c>
      <c r="G1270" t="inlineStr">
        <is>
          <t>It's... It's Not Dirt... | Popcorn Culture</t>
        </is>
      </c>
      <c r="H1270" s="41" t="n">
        <v>0.04637731481481482</v>
      </c>
      <c r="I1270" s="42" t="n">
        <v>9589</v>
      </c>
      <c r="J1270" s="42" t="n">
        <v>491</v>
      </c>
      <c r="K1270" s="42" t="n">
        <v>74</v>
      </c>
      <c r="L1270" s="43" t="n"/>
      <c r="M1270" s="44" t="n"/>
      <c r="N1270" s="44" t="inlineStr">
        <is>
          <t>UCHfIbq9thHPC8yrKjAdJgDA</t>
        </is>
      </c>
      <c r="O1270" s="45" t="n">
        <v>44533.625</v>
      </c>
      <c r="P1270" s="46" t="n">
        <v>44533</v>
      </c>
      <c r="Q1270" s="44" t="n">
        <v>2002</v>
      </c>
      <c r="R1270" s="44" t="inlineStr">
        <is>
          <t>No Video ID yet</t>
        </is>
      </c>
      <c r="S1270" s="46" t="n"/>
      <c r="T1270" s="46" t="n"/>
      <c r="U1270" s="44" t="n"/>
      <c r="V1270" s="44">
        <f>IF(AND(P1270&gt;=Calendar!$K$2,P1270&lt;EDATE(Calendar!$K$2,1),OR(Calendar!$K$4="*",N1270=Calendar!$K$4)),P1270*100+COUNTIFS($P$6:$P$3271,P1270,$Q$6:$Q$3271,"&lt;="&amp;Q1270,$N$6:$N$3271,Calendar!$K$4),"")</f>
        <v/>
      </c>
      <c r="W1270" s="44">
        <f>IF(AND(B1270=Queue!$C$4,OR(Queue!$K$4="*",N1270=Queue!$K$4)),Q1270,"")</f>
        <v/>
      </c>
    </row>
    <row r="1271">
      <c r="A1271" s="35">
        <f>IF(M1271="","",HYPERLINK("https://www.youtube.com/watch?v="&amp;M1271,"▶"))</f>
        <v/>
      </c>
      <c r="B1271" s="36">
        <f>IF(C1271&lt;&gt;"",C1271,IF(P1271&lt;=IFERROR(INDEX(tblChannels[Watched Through],MATCH(N1271,tblChannels[Channel ID],0)),0),"Watched","Unwatched"))</f>
        <v/>
      </c>
      <c r="C1271" s="37" t="n"/>
      <c r="D1271" s="38" t="n"/>
      <c r="E1271" s="39" t="n">
        <v>44532.73472222222</v>
      </c>
      <c r="F1271" s="47" t="inlineStr">
        <is>
          <t>Super Carlin Brothers</t>
        </is>
      </c>
      <c r="G1271" t="inlineStr">
        <is>
          <t>I Fixed the Star Wars Sequel Trilogy | Star Wars Theory</t>
        </is>
      </c>
      <c r="H1271" s="41" t="n">
        <v>0.01334490740740741</v>
      </c>
      <c r="I1271" s="42" t="n">
        <v>159370</v>
      </c>
      <c r="J1271" s="42" t="n">
        <v>8614</v>
      </c>
      <c r="K1271" s="42" t="n">
        <v>1222</v>
      </c>
      <c r="L1271" s="43" t="n"/>
      <c r="M1271" s="44" t="n"/>
      <c r="N1271" s="44" t="inlineStr">
        <is>
          <t>UCKZo4N0lVPccBkSiuyVh4yg</t>
        </is>
      </c>
      <c r="O1271" s="45" t="n">
        <v>44532.94305555556</v>
      </c>
      <c r="P1271" s="46" t="n">
        <v>44532</v>
      </c>
      <c r="Q1271" s="44" t="n">
        <v>2001</v>
      </c>
      <c r="R1271" s="44" t="inlineStr">
        <is>
          <t>No Video ID yet</t>
        </is>
      </c>
      <c r="S1271" s="46" t="n"/>
      <c r="T1271" s="46" t="n"/>
      <c r="U1271" s="44" t="n"/>
      <c r="V1271" s="44">
        <f>IF(AND(P1271&gt;=Calendar!$K$2,P1271&lt;EDATE(Calendar!$K$2,1),OR(Calendar!$K$4="*",N1271=Calendar!$K$4)),P1271*100+COUNTIFS($P$6:$P$3271,P1271,$Q$6:$Q$3271,"&lt;="&amp;Q1271,$N$6:$N$3271,Calendar!$K$4),"")</f>
        <v/>
      </c>
      <c r="W1271" s="44">
        <f>IF(AND(B1271=Queue!$C$4,OR(Queue!$K$4="*",N1271=Queue!$K$4)),Q1271,"")</f>
        <v/>
      </c>
    </row>
    <row r="1272">
      <c r="A1272" s="35">
        <f>IF(M1272="","",HYPERLINK("https://www.youtube.com/watch?v="&amp;M1272,"▶"))</f>
        <v/>
      </c>
      <c r="B1272" s="36">
        <f>IF(C1272&lt;&gt;"",C1272,IF(P1272&lt;=IFERROR(INDEX(tblChannels[Watched Through],MATCH(N1272,tblChannels[Channel ID],0)),0),"Watched","Unwatched"))</f>
        <v/>
      </c>
      <c r="C1272" s="37" t="n"/>
      <c r="D1272" s="38" t="n"/>
      <c r="E1272" s="39" t="n">
        <v>44530.61597222222</v>
      </c>
      <c r="F1272" s="47" t="inlineStr">
        <is>
          <t>Super Carlin Brothers</t>
        </is>
      </c>
      <c r="G1272" t="inlineStr">
        <is>
          <t>Dumbledore Was A Tri-Wizard Champion | Harry Potter Theory</t>
        </is>
      </c>
      <c r="H1272" s="41" t="n">
        <v>0.009097222222222222</v>
      </c>
      <c r="I1272" s="42" t="n">
        <v>556912</v>
      </c>
      <c r="J1272" s="42" t="n">
        <v>19430</v>
      </c>
      <c r="K1272" s="42" t="n">
        <v>1310</v>
      </c>
      <c r="L1272" s="43" t="n"/>
      <c r="M1272" s="44" t="n"/>
      <c r="N1272" s="44" t="inlineStr">
        <is>
          <t>UCKZo4N0lVPccBkSiuyVh4yg</t>
        </is>
      </c>
      <c r="O1272" s="45" t="n">
        <v>44530.82430555556</v>
      </c>
      <c r="P1272" s="46" t="n">
        <v>44530</v>
      </c>
      <c r="Q1272" s="44" t="n">
        <v>2000</v>
      </c>
      <c r="R1272" s="44" t="inlineStr">
        <is>
          <t>No Video ID yet</t>
        </is>
      </c>
      <c r="S1272" s="46" t="n"/>
      <c r="T1272" s="46" t="n"/>
      <c r="U1272" s="44" t="n"/>
      <c r="V1272" s="44">
        <f>IF(AND(P1272&gt;=Calendar!$K$2,P1272&lt;EDATE(Calendar!$K$2,1),OR(Calendar!$K$4="*",N1272=Calendar!$K$4)),P1272*100+COUNTIFS($P$6:$P$3271,P1272,$Q$6:$Q$3271,"&lt;="&amp;Q1272,$N$6:$N$3271,Calendar!$K$4),"")</f>
        <v/>
      </c>
      <c r="W1272" s="44">
        <f>IF(AND(B1272=Queue!$C$4,OR(Queue!$K$4="*",N1272=Queue!$K$4)),Q1272,"")</f>
        <v/>
      </c>
    </row>
    <row r="1273">
      <c r="A1273" s="35">
        <f>IF(M1273="","",HYPERLINK("https://www.youtube.com/watch?v="&amp;M1273,"▶"))</f>
        <v/>
      </c>
      <c r="B1273" s="36">
        <f>IF(C1273&lt;&gt;"",C1273,IF(P1273&lt;=IFERROR(INDEX(tblChannels[Watched Through],MATCH(N1273,tblChannels[Channel ID],0)),0),"Watched","Unwatched"))</f>
        <v/>
      </c>
      <c r="C1273" s="37" t="n"/>
      <c r="D1273" s="38" t="n"/>
      <c r="E1273" s="39" t="n">
        <v>44529.41666666666</v>
      </c>
      <c r="F1273" s="50" t="inlineStr">
        <is>
          <t>Jonathan Carlin</t>
        </is>
      </c>
      <c r="G1273" t="inlineStr">
        <is>
          <t>Pancakes. Pancakes. Pancakes.</t>
        </is>
      </c>
      <c r="H1273" s="41" t="n">
        <v>0.01361111111111111</v>
      </c>
      <c r="I1273" s="42" t="n">
        <v>20573</v>
      </c>
      <c r="J1273" s="42" t="n">
        <v>1457</v>
      </c>
      <c r="K1273" s="42" t="n">
        <v>101</v>
      </c>
      <c r="L1273" s="43" t="n"/>
      <c r="M1273" s="44" t="n"/>
      <c r="N1273" s="44" t="inlineStr">
        <is>
          <t>UCYPKFe86e6nm4TVUYKLsFUQ</t>
        </is>
      </c>
      <c r="O1273" s="45" t="n">
        <v>44529.625</v>
      </c>
      <c r="P1273" s="46" t="n">
        <v>44529</v>
      </c>
      <c r="Q1273" s="44" t="n">
        <v>1999</v>
      </c>
      <c r="R1273" s="44" t="inlineStr">
        <is>
          <t>No Video ID yet</t>
        </is>
      </c>
      <c r="S1273" s="46" t="n"/>
      <c r="T1273" s="46" t="n"/>
      <c r="U1273" s="44" t="n"/>
      <c r="V1273" s="44">
        <f>IF(AND(P1273&gt;=Calendar!$K$2,P1273&lt;EDATE(Calendar!$K$2,1),OR(Calendar!$K$4="*",N1273=Calendar!$K$4)),P1273*100+COUNTIFS($P$6:$P$3271,P1273,$Q$6:$Q$3271,"&lt;="&amp;Q1273,$N$6:$N$3271,Calendar!$K$4),"")</f>
        <v/>
      </c>
      <c r="W1273" s="44">
        <f>IF(AND(B1273=Queue!$C$4,OR(Queue!$K$4="*",N1273=Queue!$K$4)),Q1273,"")</f>
        <v/>
      </c>
    </row>
    <row r="1274">
      <c r="A1274" s="35">
        <f>IF(M1274="","",HYPERLINK("https://www.youtube.com/watch?v="&amp;M1274,"▶"))</f>
        <v/>
      </c>
      <c r="B1274" s="36">
        <f>IF(C1274&lt;&gt;"",C1274,IF(P1274&lt;=IFERROR(INDEX(tblChannels[Watched Through],MATCH(N1274,tblChannels[Channel ID],0)),0),"Watched","Unwatched"))</f>
        <v/>
      </c>
      <c r="C1274" s="37" t="n"/>
      <c r="D1274" s="38" t="n"/>
      <c r="E1274" s="39" t="n">
        <v>44526.5</v>
      </c>
      <c r="F1274" s="51" t="inlineStr">
        <is>
          <t>With the Carlins</t>
        </is>
      </c>
      <c r="G1274" t="inlineStr">
        <is>
          <t>Addison's First Bath and Baking with Ben!</t>
        </is>
      </c>
      <c r="H1274" s="41" t="n">
        <v>0.0153587962962963</v>
      </c>
      <c r="I1274" s="42" t="n">
        <v>23299</v>
      </c>
      <c r="J1274" s="42" t="n">
        <v>1997</v>
      </c>
      <c r="K1274" s="42" t="n">
        <v>219</v>
      </c>
      <c r="L1274" s="43" t="n"/>
      <c r="M1274" s="44" t="n"/>
      <c r="N1274" s="44" t="inlineStr">
        <is>
          <t>UCVBTjN9WJU5Ac8yU7b2K-5g</t>
        </is>
      </c>
      <c r="O1274" s="45" t="n">
        <v>44526.70833333334</v>
      </c>
      <c r="P1274" s="46" t="n">
        <v>44526</v>
      </c>
      <c r="Q1274" s="44" t="n">
        <v>1998</v>
      </c>
      <c r="R1274" s="44" t="inlineStr">
        <is>
          <t>No Video ID yet</t>
        </is>
      </c>
      <c r="S1274" s="46" t="n"/>
      <c r="T1274" s="46" t="n"/>
      <c r="U1274" s="44" t="n"/>
      <c r="V1274" s="44">
        <f>IF(AND(P1274&gt;=Calendar!$K$2,P1274&lt;EDATE(Calendar!$K$2,1),OR(Calendar!$K$4="*",N1274=Calendar!$K$4)),P1274*100+COUNTIFS($P$6:$P$3271,P1274,$Q$6:$Q$3271,"&lt;="&amp;Q1274,$N$6:$N$3271,Calendar!$K$4),"")</f>
        <v/>
      </c>
      <c r="W1274" s="44">
        <f>IF(AND(B1274=Queue!$C$4,OR(Queue!$K$4="*",N1274=Queue!$K$4)),Q1274,"")</f>
        <v/>
      </c>
    </row>
    <row r="1275">
      <c r="A1275" s="35">
        <f>IF(M1275="","",HYPERLINK("https://www.youtube.com/watch?v="&amp;M1275,"▶"))</f>
        <v/>
      </c>
      <c r="B1275" s="36">
        <f>IF(C1275&lt;&gt;"",C1275,IF(P1275&lt;=IFERROR(INDEX(tblChannels[Watched Through],MATCH(N1275,tblChannels[Channel ID],0)),0),"Watched","Unwatched"))</f>
        <v/>
      </c>
      <c r="C1275" s="37" t="n"/>
      <c r="D1275" s="38" t="n"/>
      <c r="E1275" s="39" t="n">
        <v>44526.41666666666</v>
      </c>
      <c r="F1275" s="40" t="inlineStr">
        <is>
          <t>Popcorn Culture</t>
        </is>
      </c>
      <c r="G1275" t="inlineStr">
        <is>
          <t>We’ve Got 16 Years to Make Anti-Gravity Brooms | Popcorn Culture</t>
        </is>
      </c>
      <c r="H1275" s="41" t="n">
        <v>0.05012731481481481</v>
      </c>
      <c r="I1275" s="42" t="n">
        <v>11036</v>
      </c>
      <c r="J1275" s="42" t="n">
        <v>507</v>
      </c>
      <c r="K1275" s="42" t="n">
        <v>73</v>
      </c>
      <c r="L1275" s="43" t="n"/>
      <c r="M1275" s="44" t="n"/>
      <c r="N1275" s="44" t="inlineStr">
        <is>
          <t>UCHfIbq9thHPC8yrKjAdJgDA</t>
        </is>
      </c>
      <c r="O1275" s="45" t="n">
        <v>44526.625</v>
      </c>
      <c r="P1275" s="46" t="n">
        <v>44526</v>
      </c>
      <c r="Q1275" s="44" t="n">
        <v>1997</v>
      </c>
      <c r="R1275" s="44" t="inlineStr">
        <is>
          <t>No Video ID yet</t>
        </is>
      </c>
      <c r="S1275" s="46" t="n"/>
      <c r="T1275" s="46" t="n"/>
      <c r="U1275" s="44" t="n"/>
      <c r="V1275" s="44">
        <f>IF(AND(P1275&gt;=Calendar!$K$2,P1275&lt;EDATE(Calendar!$K$2,1),OR(Calendar!$K$4="*",N1275=Calendar!$K$4)),P1275*100+COUNTIFS($P$6:$P$3271,P1275,$Q$6:$Q$3271,"&lt;="&amp;Q1275,$N$6:$N$3271,Calendar!$K$4),"")</f>
        <v/>
      </c>
      <c r="W1275" s="44">
        <f>IF(AND(B1275=Queue!$C$4,OR(Queue!$K$4="*",N1275=Queue!$K$4)),Q1275,"")</f>
        <v/>
      </c>
    </row>
    <row r="1276">
      <c r="A1276" s="35">
        <f>IF(M1276="","",HYPERLINK("https://www.youtube.com/watch?v="&amp;M1276,"▶"))</f>
        <v/>
      </c>
      <c r="B1276" s="36">
        <f>IF(C1276&lt;&gt;"",C1276,IF(P1276&lt;=IFERROR(INDEX(tblChannels[Watched Through],MATCH(N1276,tblChannels[Channel ID],0)),0),"Watched","Unwatched"))</f>
        <v/>
      </c>
      <c r="C1276" s="37" t="n"/>
      <c r="D1276" s="38" t="n"/>
      <c r="E1276" s="39" t="n">
        <v>44525.625</v>
      </c>
      <c r="F1276" s="47" t="inlineStr">
        <is>
          <t>Super Carlin Brothers</t>
        </is>
      </c>
      <c r="G1276" t="inlineStr">
        <is>
          <t>J vs Ben: ULTIMATE Goblet of Fire Harry Potter Trivia | HOT WINGS PUNISHMENT</t>
        </is>
      </c>
      <c r="H1276" s="41" t="n">
        <v>0.02332175925925926</v>
      </c>
      <c r="I1276" s="42" t="n">
        <v>361613</v>
      </c>
      <c r="J1276" s="42" t="n">
        <v>13565</v>
      </c>
      <c r="K1276" s="42" t="n">
        <v>1267</v>
      </c>
      <c r="L1276" s="43" t="n"/>
      <c r="M1276" s="44" t="n"/>
      <c r="N1276" s="44" t="inlineStr">
        <is>
          <t>UCKZo4N0lVPccBkSiuyVh4yg</t>
        </is>
      </c>
      <c r="O1276" s="45" t="n">
        <v>44525.83333333334</v>
      </c>
      <c r="P1276" s="46" t="n">
        <v>44525</v>
      </c>
      <c r="Q1276" s="44" t="n">
        <v>1996</v>
      </c>
      <c r="R1276" s="44" t="inlineStr">
        <is>
          <t>No Video ID yet</t>
        </is>
      </c>
      <c r="S1276" s="46" t="n"/>
      <c r="T1276" s="46" t="n"/>
      <c r="U1276" s="44" t="n"/>
      <c r="V1276" s="44">
        <f>IF(AND(P1276&gt;=Calendar!$K$2,P1276&lt;EDATE(Calendar!$K$2,1),OR(Calendar!$K$4="*",N1276=Calendar!$K$4)),P1276*100+COUNTIFS($P$6:$P$3271,P1276,$Q$6:$Q$3271,"&lt;="&amp;Q1276,$N$6:$N$3271,Calendar!$K$4),"")</f>
        <v/>
      </c>
      <c r="W1276" s="44">
        <f>IF(AND(B1276=Queue!$C$4,OR(Queue!$K$4="*",N1276=Queue!$K$4)),Q1276,"")</f>
        <v/>
      </c>
    </row>
    <row r="1277">
      <c r="A1277" s="35">
        <f>IF(M1277="","",HYPERLINK("https://www.youtube.com/watch?v="&amp;M1277,"▶"))</f>
        <v/>
      </c>
      <c r="B1277" s="36">
        <f>IF(C1277&lt;&gt;"",C1277,IF(P1277&lt;=IFERROR(INDEX(tblChannels[Watched Through],MATCH(N1277,tblChannels[Channel ID],0)),0),"Watched","Unwatched"))</f>
        <v/>
      </c>
      <c r="C1277" s="37" t="n"/>
      <c r="D1277" s="38" t="n"/>
      <c r="E1277" s="39" t="n">
        <v>44523.63194444445</v>
      </c>
      <c r="F1277" s="47" t="inlineStr">
        <is>
          <t>Super Carlin Brothers</t>
        </is>
      </c>
      <c r="G1277" t="inlineStr">
        <is>
          <t>What is Neville Longbottom’s Patronus? | Harry Potter Theory</t>
        </is>
      </c>
      <c r="H1277" s="41" t="n">
        <v>0.01021990740740741</v>
      </c>
      <c r="I1277" s="42" t="n">
        <v>254937</v>
      </c>
      <c r="J1277" s="42" t="n">
        <v>12001</v>
      </c>
      <c r="K1277" s="42" t="n">
        <v>1402</v>
      </c>
      <c r="L1277" s="43" t="n"/>
      <c r="M1277" s="44" t="n"/>
      <c r="N1277" s="44" t="inlineStr">
        <is>
          <t>UCKZo4N0lVPccBkSiuyVh4yg</t>
        </is>
      </c>
      <c r="O1277" s="45" t="n">
        <v>44523.84027777778</v>
      </c>
      <c r="P1277" s="46" t="n">
        <v>44523</v>
      </c>
      <c r="Q1277" s="44" t="n">
        <v>1995</v>
      </c>
      <c r="R1277" s="44" t="inlineStr">
        <is>
          <t>No Video ID yet</t>
        </is>
      </c>
      <c r="S1277" s="46" t="n"/>
      <c r="T1277" s="46" t="n"/>
      <c r="U1277" s="44" t="n"/>
      <c r="V1277" s="44">
        <f>IF(AND(P1277&gt;=Calendar!$K$2,P1277&lt;EDATE(Calendar!$K$2,1),OR(Calendar!$K$4="*",N1277=Calendar!$K$4)),P1277*100+COUNTIFS($P$6:$P$3271,P1277,$Q$6:$Q$3271,"&lt;="&amp;Q1277,$N$6:$N$3271,Calendar!$K$4),"")</f>
        <v/>
      </c>
      <c r="W1277" s="44">
        <f>IF(AND(B1277=Queue!$C$4,OR(Queue!$K$4="*",N1277=Queue!$K$4)),Q1277,"")</f>
        <v/>
      </c>
    </row>
    <row r="1278">
      <c r="A1278" s="35">
        <f>IF(M1278="","",HYPERLINK("https://www.youtube.com/watch?v="&amp;M1278,"▶"))</f>
        <v/>
      </c>
      <c r="B1278" s="36">
        <f>IF(C1278&lt;&gt;"",C1278,IF(P1278&lt;=IFERROR(INDEX(tblChannels[Watched Through],MATCH(N1278,tblChannels[Channel ID],0)),0),"Watched","Unwatched"))</f>
        <v/>
      </c>
      <c r="C1278" s="37" t="n"/>
      <c r="D1278" s="38" t="n"/>
      <c r="E1278" s="39" t="n">
        <v>44522.41666666666</v>
      </c>
      <c r="F1278" s="50" t="inlineStr">
        <is>
          <t>Jonathan Carlin</t>
        </is>
      </c>
      <c r="G1278" t="inlineStr">
        <is>
          <t>I Applied for Survivor..</t>
        </is>
      </c>
      <c r="H1278" s="41" t="n">
        <v>0.01321759259259259</v>
      </c>
      <c r="I1278" s="42" t="n">
        <v>31951</v>
      </c>
      <c r="J1278" s="42" t="n">
        <v>2284</v>
      </c>
      <c r="K1278" s="42" t="n">
        <v>221</v>
      </c>
      <c r="L1278" s="43" t="n"/>
      <c r="M1278" s="44" t="n"/>
      <c r="N1278" s="44" t="inlineStr">
        <is>
          <t>UCYPKFe86e6nm4TVUYKLsFUQ</t>
        </is>
      </c>
      <c r="O1278" s="45" t="n">
        <v>44522.625</v>
      </c>
      <c r="P1278" s="46" t="n">
        <v>44522</v>
      </c>
      <c r="Q1278" s="44" t="n">
        <v>1994</v>
      </c>
      <c r="R1278" s="44" t="inlineStr">
        <is>
          <t>No Video ID yet</t>
        </is>
      </c>
      <c r="S1278" s="46" t="n"/>
      <c r="T1278" s="46" t="n"/>
      <c r="U1278" s="44" t="n"/>
      <c r="V1278" s="44">
        <f>IF(AND(P1278&gt;=Calendar!$K$2,P1278&lt;EDATE(Calendar!$K$2,1),OR(Calendar!$K$4="*",N1278=Calendar!$K$4)),P1278*100+COUNTIFS($P$6:$P$3271,P1278,$Q$6:$Q$3271,"&lt;="&amp;Q1278,$N$6:$N$3271,Calendar!$K$4),"")</f>
        <v/>
      </c>
      <c r="W1278" s="44">
        <f>IF(AND(B1278=Queue!$C$4,OR(Queue!$K$4="*",N1278=Queue!$K$4)),Q1278,"")</f>
        <v/>
      </c>
    </row>
    <row r="1279">
      <c r="A1279" s="35">
        <f>IF(M1279="","",HYPERLINK("https://www.youtube.com/watch?v="&amp;M1279,"▶"))</f>
        <v/>
      </c>
      <c r="B1279" s="36">
        <f>IF(C1279&lt;&gt;"",C1279,IF(P1279&lt;=IFERROR(INDEX(tblChannels[Watched Through],MATCH(N1279,tblChannels[Channel ID],0)),0),"Watched","Unwatched"))</f>
        <v/>
      </c>
      <c r="C1279" s="37" t="n"/>
      <c r="D1279" s="38" t="n"/>
      <c r="E1279" s="39" t="n">
        <v>44519.84583333333</v>
      </c>
      <c r="F1279" s="47" t="inlineStr">
        <is>
          <t>Super Carlin Brothers</t>
        </is>
      </c>
      <c r="G1279" t="inlineStr">
        <is>
          <t>ALL FANDOMS Trivia Night and House Mug Launch LIVE STREAM!</t>
        </is>
      </c>
      <c r="H1279" s="41" t="n">
        <v>0.09795138888888889</v>
      </c>
      <c r="I1279" s="42" t="n">
        <v>60810</v>
      </c>
      <c r="J1279" s="42" t="n">
        <v>1638</v>
      </c>
      <c r="K1279" s="42" t="n">
        <v>93</v>
      </c>
      <c r="L1279" s="43" t="n"/>
      <c r="M1279" s="44" t="n"/>
      <c r="N1279" s="44" t="inlineStr">
        <is>
          <t>UCKZo4N0lVPccBkSiuyVh4yg</t>
        </is>
      </c>
      <c r="O1279" s="45" t="n">
        <v>44520.05416666667</v>
      </c>
      <c r="P1279" s="46" t="n">
        <v>44519</v>
      </c>
      <c r="Q1279" s="44" t="n">
        <v>1993</v>
      </c>
      <c r="R1279" s="44" t="inlineStr">
        <is>
          <t>No Video ID yet</t>
        </is>
      </c>
      <c r="S1279" s="46" t="n"/>
      <c r="T1279" s="46" t="n"/>
      <c r="U1279" s="44" t="n"/>
      <c r="V1279" s="44">
        <f>IF(AND(P1279&gt;=Calendar!$K$2,P1279&lt;EDATE(Calendar!$K$2,1),OR(Calendar!$K$4="*",N1279=Calendar!$K$4)),P1279*100+COUNTIFS($P$6:$P$3271,P1279,$Q$6:$Q$3271,"&lt;="&amp;Q1279,$N$6:$N$3271,Calendar!$K$4),"")</f>
        <v/>
      </c>
      <c r="W1279" s="44">
        <f>IF(AND(B1279=Queue!$C$4,OR(Queue!$K$4="*",N1279=Queue!$K$4)),Q1279,"")</f>
        <v/>
      </c>
    </row>
    <row r="1280">
      <c r="A1280" s="35">
        <f>IF(M1280="","",HYPERLINK("https://www.youtube.com/watch?v="&amp;M1280,"▶"))</f>
        <v/>
      </c>
      <c r="B1280" s="36">
        <f>IF(C1280&lt;&gt;"",C1280,IF(P1280&lt;=IFERROR(INDEX(tblChannels[Watched Through],MATCH(N1280,tblChannels[Channel ID],0)),0),"Watched","Unwatched"))</f>
        <v/>
      </c>
      <c r="C1280" s="37" t="n"/>
      <c r="D1280" s="38" t="n"/>
      <c r="E1280" s="39" t="n">
        <v>44519.5</v>
      </c>
      <c r="F1280" s="51" t="inlineStr">
        <is>
          <t>With the Carlins</t>
        </is>
      </c>
      <c r="G1280" t="inlineStr">
        <is>
          <t>OUR First Baby Steps as New Parents</t>
        </is>
      </c>
      <c r="H1280" s="41" t="n">
        <v>0.01133101851851852</v>
      </c>
      <c r="I1280" s="42" t="n">
        <v>27409</v>
      </c>
      <c r="J1280" s="42" t="n">
        <v>2772</v>
      </c>
      <c r="K1280" s="42" t="n">
        <v>217</v>
      </c>
      <c r="L1280" s="43" t="n"/>
      <c r="M1280" s="44" t="n"/>
      <c r="N1280" s="44" t="inlineStr">
        <is>
          <t>UCVBTjN9WJU5Ac8yU7b2K-5g</t>
        </is>
      </c>
      <c r="O1280" s="45" t="n">
        <v>44519.70833333334</v>
      </c>
      <c r="P1280" s="46" t="n">
        <v>44519</v>
      </c>
      <c r="Q1280" s="44" t="n">
        <v>1992</v>
      </c>
      <c r="R1280" s="44" t="inlineStr">
        <is>
          <t>No Video ID yet</t>
        </is>
      </c>
      <c r="S1280" s="46" t="n"/>
      <c r="T1280" s="46" t="n"/>
      <c r="U1280" s="44" t="n"/>
      <c r="V1280" s="44">
        <f>IF(AND(P1280&gt;=Calendar!$K$2,P1280&lt;EDATE(Calendar!$K$2,1),OR(Calendar!$K$4="*",N1280=Calendar!$K$4)),P1280*100+COUNTIFS($P$6:$P$3271,P1280,$Q$6:$Q$3271,"&lt;="&amp;Q1280,$N$6:$N$3271,Calendar!$K$4),"")</f>
        <v/>
      </c>
      <c r="W1280" s="44">
        <f>IF(AND(B1280=Queue!$C$4,OR(Queue!$K$4="*",N1280=Queue!$K$4)),Q1280,"")</f>
        <v/>
      </c>
    </row>
    <row r="1281">
      <c r="A1281" s="35">
        <f>IF(M1281="","",HYPERLINK("https://www.youtube.com/watch?v="&amp;M1281,"▶"))</f>
        <v/>
      </c>
      <c r="B1281" s="36">
        <f>IF(C1281&lt;&gt;"",C1281,IF(P1281&lt;=IFERROR(INDEX(tblChannels[Watched Through],MATCH(N1281,tblChannels[Channel ID],0)),0),"Watched","Unwatched"))</f>
        <v/>
      </c>
      <c r="C1281" s="37" t="n"/>
      <c r="D1281" s="38" t="n"/>
      <c r="E1281" s="39" t="n">
        <v>44519.41666666666</v>
      </c>
      <c r="F1281" s="40" t="inlineStr">
        <is>
          <t>Popcorn Culture</t>
        </is>
      </c>
      <c r="G1281" t="inlineStr">
        <is>
          <t>Cucumbers are Undercooked Pickles | Popcorn Culture</t>
        </is>
      </c>
      <c r="H1281" s="41" t="n">
        <v>0.04625</v>
      </c>
      <c r="I1281" s="42" t="n">
        <v>9843</v>
      </c>
      <c r="J1281" s="42" t="n">
        <v>524</v>
      </c>
      <c r="K1281" s="42" t="n">
        <v>103</v>
      </c>
      <c r="L1281" s="43" t="n"/>
      <c r="M1281" s="44" t="n"/>
      <c r="N1281" s="44" t="inlineStr">
        <is>
          <t>UCHfIbq9thHPC8yrKjAdJgDA</t>
        </is>
      </c>
      <c r="O1281" s="45" t="n">
        <v>44519.625</v>
      </c>
      <c r="P1281" s="46" t="n">
        <v>44519</v>
      </c>
      <c r="Q1281" s="44" t="n">
        <v>1991</v>
      </c>
      <c r="R1281" s="44" t="inlineStr">
        <is>
          <t>No Video ID yet</t>
        </is>
      </c>
      <c r="S1281" s="46" t="n"/>
      <c r="T1281" s="46" t="n"/>
      <c r="U1281" s="44" t="n"/>
      <c r="V1281" s="44">
        <f>IF(AND(P1281&gt;=Calendar!$K$2,P1281&lt;EDATE(Calendar!$K$2,1),OR(Calendar!$K$4="*",N1281=Calendar!$K$4)),P1281*100+COUNTIFS($P$6:$P$3271,P1281,$Q$6:$Q$3271,"&lt;="&amp;Q1281,$N$6:$N$3271,Calendar!$K$4),"")</f>
        <v/>
      </c>
      <c r="W1281" s="44">
        <f>IF(AND(B1281=Queue!$C$4,OR(Queue!$K$4="*",N1281=Queue!$K$4)),Q1281,"")</f>
        <v/>
      </c>
    </row>
    <row r="1282">
      <c r="A1282" s="35">
        <f>IF(M1282="","",HYPERLINK("https://www.youtube.com/watch?v="&amp;M1282,"▶"))</f>
        <v/>
      </c>
      <c r="B1282" s="36">
        <f>IF(C1282&lt;&gt;"",C1282,IF(P1282&lt;=IFERROR(INDEX(tblChannels[Watched Through],MATCH(N1282,tblChannels[Channel ID],0)),0),"Watched","Unwatched"))</f>
        <v/>
      </c>
      <c r="C1282" s="37" t="n"/>
      <c r="D1282" s="38" t="n"/>
      <c r="E1282" s="39" t="n">
        <v>44518.69027777778</v>
      </c>
      <c r="F1282" s="47" t="inlineStr">
        <is>
          <t>Super Carlin Brothers</t>
        </is>
      </c>
      <c r="G1282" t="inlineStr">
        <is>
          <t>The Hogwarts Founders OTHER Secret Chambers | Harry Potter Theory</t>
        </is>
      </c>
      <c r="H1282" s="41" t="n">
        <v>0.01038194444444444</v>
      </c>
      <c r="I1282" s="42" t="n">
        <v>961693</v>
      </c>
      <c r="J1282" s="42" t="n">
        <v>33567</v>
      </c>
      <c r="K1282" s="42" t="n">
        <v>1904</v>
      </c>
      <c r="L1282" s="43" t="n"/>
      <c r="M1282" s="44" t="n"/>
      <c r="N1282" s="44" t="inlineStr">
        <is>
          <t>UCKZo4N0lVPccBkSiuyVh4yg</t>
        </is>
      </c>
      <c r="O1282" s="45" t="n">
        <v>44518.89861111111</v>
      </c>
      <c r="P1282" s="46" t="n">
        <v>44518</v>
      </c>
      <c r="Q1282" s="44" t="n">
        <v>1990</v>
      </c>
      <c r="R1282" s="44" t="inlineStr">
        <is>
          <t>No Video ID yet</t>
        </is>
      </c>
      <c r="S1282" s="46" t="n"/>
      <c r="T1282" s="46" t="n"/>
      <c r="U1282" s="44" t="n"/>
      <c r="V1282" s="44">
        <f>IF(AND(P1282&gt;=Calendar!$K$2,P1282&lt;EDATE(Calendar!$K$2,1),OR(Calendar!$K$4="*",N1282=Calendar!$K$4)),P1282*100+COUNTIFS($P$6:$P$3271,P1282,$Q$6:$Q$3271,"&lt;="&amp;Q1282,$N$6:$N$3271,Calendar!$K$4),"")</f>
        <v/>
      </c>
      <c r="W1282" s="44">
        <f>IF(AND(B1282=Queue!$C$4,OR(Queue!$K$4="*",N1282=Queue!$K$4)),Q1282,"")</f>
        <v/>
      </c>
    </row>
    <row r="1283">
      <c r="A1283" s="35">
        <f>IF(M1283="","",HYPERLINK("https://www.youtube.com/watch?v="&amp;M1283,"▶"))</f>
        <v/>
      </c>
      <c r="B1283" s="36">
        <f>IF(C1283&lt;&gt;"",C1283,IF(P1283&lt;=IFERROR(INDEX(tblChannels[Watched Through],MATCH(N1283,tblChannels[Channel ID],0)),0),"Watched","Unwatched"))</f>
        <v/>
      </c>
      <c r="C1283" s="37" t="n"/>
      <c r="D1283" s="38" t="n"/>
      <c r="E1283" s="39" t="n">
        <v>44516.69236111111</v>
      </c>
      <c r="F1283" s="47" t="inlineStr">
        <is>
          <t>Super Carlin Brothers</t>
        </is>
      </c>
      <c r="G1283" t="inlineStr">
        <is>
          <t>How Did Voldemort Get His Original Wand Back? | Harry Potter Theory</t>
        </is>
      </c>
      <c r="H1283" s="41" t="n">
        <v>0.008946759259259258</v>
      </c>
      <c r="I1283" s="42" t="n">
        <v>363690</v>
      </c>
      <c r="J1283" s="42" t="n">
        <v>14371</v>
      </c>
      <c r="K1283" s="42" t="n">
        <v>951</v>
      </c>
      <c r="L1283" s="43" t="n"/>
      <c r="M1283" s="44" t="n"/>
      <c r="N1283" s="44" t="inlineStr">
        <is>
          <t>UCKZo4N0lVPccBkSiuyVh4yg</t>
        </is>
      </c>
      <c r="O1283" s="45" t="n">
        <v>44516.90069444444</v>
      </c>
      <c r="P1283" s="46" t="n">
        <v>44516</v>
      </c>
      <c r="Q1283" s="44" t="n">
        <v>1989</v>
      </c>
      <c r="R1283" s="44" t="inlineStr">
        <is>
          <t>No Video ID yet</t>
        </is>
      </c>
      <c r="S1283" s="46" t="n"/>
      <c r="T1283" s="46" t="n"/>
      <c r="U1283" s="44" t="n"/>
      <c r="V1283" s="44">
        <f>IF(AND(P1283&gt;=Calendar!$K$2,P1283&lt;EDATE(Calendar!$K$2,1),OR(Calendar!$K$4="*",N1283=Calendar!$K$4)),P1283*100+COUNTIFS($P$6:$P$3271,P1283,$Q$6:$Q$3271,"&lt;="&amp;Q1283,$N$6:$N$3271,Calendar!$K$4),"")</f>
        <v/>
      </c>
      <c r="W1283" s="44">
        <f>IF(AND(B1283=Queue!$C$4,OR(Queue!$K$4="*",N1283=Queue!$K$4)),Q1283,"")</f>
        <v/>
      </c>
    </row>
    <row r="1284">
      <c r="A1284" s="35">
        <f>IF(M1284="","",HYPERLINK("https://www.youtube.com/watch?v="&amp;M1284,"▶"))</f>
        <v/>
      </c>
      <c r="B1284" s="36">
        <f>IF(C1284&lt;&gt;"",C1284,IF(P1284&lt;=IFERROR(INDEX(tblChannels[Watched Through],MATCH(N1284,tblChannels[Channel ID],0)),0),"Watched","Unwatched"))</f>
        <v/>
      </c>
      <c r="C1284" s="37" t="n"/>
      <c r="D1284" s="38" t="n"/>
      <c r="E1284" s="39" t="n">
        <v>44515.41666666666</v>
      </c>
      <c r="F1284" s="50" t="inlineStr">
        <is>
          <t>Jonathan Carlin</t>
        </is>
      </c>
      <c r="G1284" t="inlineStr">
        <is>
          <t>The Boys First REAL Halloween!</t>
        </is>
      </c>
      <c r="H1284" s="41" t="n">
        <v>0.01369212962962963</v>
      </c>
      <c r="I1284" s="42" t="n">
        <v>26574</v>
      </c>
      <c r="J1284" s="42" t="n">
        <v>1991</v>
      </c>
      <c r="K1284" s="42" t="n">
        <v>148</v>
      </c>
      <c r="L1284" s="43" t="n"/>
      <c r="M1284" s="44" t="n"/>
      <c r="N1284" s="44" t="inlineStr">
        <is>
          <t>UCYPKFe86e6nm4TVUYKLsFUQ</t>
        </is>
      </c>
      <c r="O1284" s="45" t="n">
        <v>44515.625</v>
      </c>
      <c r="P1284" s="46" t="n">
        <v>44515</v>
      </c>
      <c r="Q1284" s="44" t="n">
        <v>1988</v>
      </c>
      <c r="R1284" s="44" t="inlineStr">
        <is>
          <t>No Video ID yet</t>
        </is>
      </c>
      <c r="S1284" s="46" t="n"/>
      <c r="T1284" s="46" t="n"/>
      <c r="U1284" s="44" t="n"/>
      <c r="V1284" s="44">
        <f>IF(AND(P1284&gt;=Calendar!$K$2,P1284&lt;EDATE(Calendar!$K$2,1),OR(Calendar!$K$4="*",N1284=Calendar!$K$4)),P1284*100+COUNTIFS($P$6:$P$3271,P1284,$Q$6:$Q$3271,"&lt;="&amp;Q1284,$N$6:$N$3271,Calendar!$K$4),"")</f>
        <v/>
      </c>
      <c r="W1284" s="44">
        <f>IF(AND(B1284=Queue!$C$4,OR(Queue!$K$4="*",N1284=Queue!$K$4)),Q1284,"")</f>
        <v/>
      </c>
    </row>
    <row r="1285">
      <c r="A1285" s="35">
        <f>IF(M1285="","",HYPERLINK("https://www.youtube.com/watch?v="&amp;M1285,"▶"))</f>
        <v/>
      </c>
      <c r="B1285" s="36">
        <f>IF(C1285&lt;&gt;"",C1285,IF(P1285&lt;=IFERROR(INDEX(tblChannels[Watched Through],MATCH(N1285,tblChannels[Channel ID],0)),0),"Watched","Unwatched"))</f>
        <v/>
      </c>
      <c r="C1285" s="37" t="n"/>
      <c r="D1285" s="38" t="n"/>
      <c r="E1285" s="39" t="n">
        <v>44512.5</v>
      </c>
      <c r="F1285" s="51" t="inlineStr">
        <is>
          <t>With the Carlins</t>
        </is>
      </c>
      <c r="G1285" t="inlineStr">
        <is>
          <t>Welcome to Life with the Carlins | Addison is Born</t>
        </is>
      </c>
      <c r="H1285" s="41" t="n">
        <v>0.00542824074074074</v>
      </c>
      <c r="I1285" s="42" t="n">
        <v>39858</v>
      </c>
      <c r="J1285" s="42" t="n">
        <v>4035</v>
      </c>
      <c r="K1285" s="42" t="n">
        <v>471</v>
      </c>
      <c r="L1285" s="43" t="n"/>
      <c r="M1285" s="44" t="n"/>
      <c r="N1285" s="44" t="inlineStr">
        <is>
          <t>UCVBTjN9WJU5Ac8yU7b2K-5g</t>
        </is>
      </c>
      <c r="O1285" s="45" t="n">
        <v>44512.70833333334</v>
      </c>
      <c r="P1285" s="46" t="n">
        <v>44512</v>
      </c>
      <c r="Q1285" s="44" t="n">
        <v>1987</v>
      </c>
      <c r="R1285" s="44" t="inlineStr">
        <is>
          <t>No Video ID yet</t>
        </is>
      </c>
      <c r="S1285" s="46" t="n"/>
      <c r="T1285" s="46" t="n"/>
      <c r="U1285" s="44" t="n"/>
      <c r="V1285" s="44">
        <f>IF(AND(P1285&gt;=Calendar!$K$2,P1285&lt;EDATE(Calendar!$K$2,1),OR(Calendar!$K$4="*",N1285=Calendar!$K$4)),P1285*100+COUNTIFS($P$6:$P$3271,P1285,$Q$6:$Q$3271,"&lt;="&amp;Q1285,$N$6:$N$3271,Calendar!$K$4),"")</f>
        <v/>
      </c>
      <c r="W1285" s="44">
        <f>IF(AND(B1285=Queue!$C$4,OR(Queue!$K$4="*",N1285=Queue!$K$4)),Q1285,"")</f>
        <v/>
      </c>
    </row>
    <row r="1286">
      <c r="A1286" s="35">
        <f>IF(M1286="","",HYPERLINK("https://www.youtube.com/watch?v="&amp;M1286,"▶"))</f>
        <v/>
      </c>
      <c r="B1286" s="36">
        <f>IF(C1286&lt;&gt;"",C1286,IF(P1286&lt;=IFERROR(INDEX(tblChannels[Watched Through],MATCH(N1286,tblChannels[Channel ID],0)),0),"Watched","Unwatched"))</f>
        <v/>
      </c>
      <c r="C1286" s="37" t="n"/>
      <c r="D1286" s="38" t="n"/>
      <c r="E1286" s="39" t="n">
        <v>44512.41666666666</v>
      </c>
      <c r="F1286" s="40" t="inlineStr">
        <is>
          <t>Popcorn Culture</t>
        </is>
      </c>
      <c r="G1286" t="inlineStr">
        <is>
          <t>The NONE True Host | Popcorn Culture</t>
        </is>
      </c>
      <c r="H1286" s="41" t="n">
        <v>0.04545138888888889</v>
      </c>
      <c r="I1286" s="42" t="n">
        <v>12369</v>
      </c>
      <c r="J1286" s="42" t="n">
        <v>812</v>
      </c>
      <c r="K1286" s="42" t="n">
        <v>176</v>
      </c>
      <c r="L1286" s="43" t="n"/>
      <c r="M1286" s="44" t="n"/>
      <c r="N1286" s="44" t="inlineStr">
        <is>
          <t>UCHfIbq9thHPC8yrKjAdJgDA</t>
        </is>
      </c>
      <c r="O1286" s="45" t="n">
        <v>44512.625</v>
      </c>
      <c r="P1286" s="46" t="n">
        <v>44512</v>
      </c>
      <c r="Q1286" s="44" t="n">
        <v>1986</v>
      </c>
      <c r="R1286" s="44" t="inlineStr">
        <is>
          <t>No Video ID yet</t>
        </is>
      </c>
      <c r="S1286" s="46" t="n"/>
      <c r="T1286" s="46" t="n"/>
      <c r="U1286" s="44" t="n"/>
      <c r="V1286" s="44">
        <f>IF(AND(P1286&gt;=Calendar!$K$2,P1286&lt;EDATE(Calendar!$K$2,1),OR(Calendar!$K$4="*",N1286=Calendar!$K$4)),P1286*100+COUNTIFS($P$6:$P$3271,P1286,$Q$6:$Q$3271,"&lt;="&amp;Q1286,$N$6:$N$3271,Calendar!$K$4),"")</f>
        <v/>
      </c>
      <c r="W1286" s="44">
        <f>IF(AND(B1286=Queue!$C$4,OR(Queue!$K$4="*",N1286=Queue!$K$4)),Q1286,"")</f>
        <v/>
      </c>
    </row>
    <row r="1287">
      <c r="A1287" s="35">
        <f>IF(M1287="","",HYPERLINK("https://www.youtube.com/watch?v="&amp;M1287,"▶"))</f>
        <v/>
      </c>
      <c r="B1287" s="36">
        <f>IF(C1287&lt;&gt;"",C1287,IF(P1287&lt;=IFERROR(INDEX(tblChannels[Watched Through],MATCH(N1287,tblChannels[Channel ID],0)),0),"Watched","Unwatched"))</f>
        <v/>
      </c>
      <c r="C1287" s="37" t="n"/>
      <c r="D1287" s="38" t="n"/>
      <c r="E1287" s="39" t="n">
        <v>44511.69722222222</v>
      </c>
      <c r="F1287" s="47" t="inlineStr">
        <is>
          <t>Super Carlin Brothers</t>
        </is>
      </c>
      <c r="G1287" t="inlineStr">
        <is>
          <t>J vs Ben: ULTIMATE Defense Against The Dark Arts Professor TRIVIA Quiz</t>
        </is>
      </c>
      <c r="H1287" s="41" t="n">
        <v>0.01585648148148148</v>
      </c>
      <c r="I1287" s="42" t="n">
        <v>222012</v>
      </c>
      <c r="J1287" s="42" t="n">
        <v>8485</v>
      </c>
      <c r="K1287" s="42" t="n">
        <v>526</v>
      </c>
      <c r="L1287" s="43" t="n"/>
      <c r="M1287" s="44" t="n"/>
      <c r="N1287" s="44" t="inlineStr">
        <is>
          <t>UCKZo4N0lVPccBkSiuyVh4yg</t>
        </is>
      </c>
      <c r="O1287" s="45" t="n">
        <v>44511.90555555555</v>
      </c>
      <c r="P1287" s="46" t="n">
        <v>44511</v>
      </c>
      <c r="Q1287" s="44" t="n">
        <v>1985</v>
      </c>
      <c r="R1287" s="44" t="inlineStr">
        <is>
          <t>No Video ID yet</t>
        </is>
      </c>
      <c r="S1287" s="46" t="n"/>
      <c r="T1287" s="46" t="n"/>
      <c r="U1287" s="44" t="n"/>
      <c r="V1287" s="44">
        <f>IF(AND(P1287&gt;=Calendar!$K$2,P1287&lt;EDATE(Calendar!$K$2,1),OR(Calendar!$K$4="*",N1287=Calendar!$K$4)),P1287*100+COUNTIFS($P$6:$P$3271,P1287,$Q$6:$Q$3271,"&lt;="&amp;Q1287,$N$6:$N$3271,Calendar!$K$4),"")</f>
        <v/>
      </c>
      <c r="W1287" s="44">
        <f>IF(AND(B1287=Queue!$C$4,OR(Queue!$K$4="*",N1287=Queue!$K$4)),Q1287,"")</f>
        <v/>
      </c>
    </row>
    <row r="1288">
      <c r="A1288" s="35">
        <f>IF(M1288="","",HYPERLINK("https://www.youtube.com/watch?v="&amp;M1288,"▶"))</f>
        <v/>
      </c>
      <c r="B1288" s="36">
        <f>IF(C1288&lt;&gt;"",C1288,IF(P1288&lt;=IFERROR(INDEX(tblChannels[Watched Through],MATCH(N1288,tblChannels[Channel ID],0)),0),"Watched","Unwatched"))</f>
        <v/>
      </c>
      <c r="C1288" s="37" t="n"/>
      <c r="D1288" s="38" t="n"/>
      <c r="E1288" s="39" t="n">
        <v>44509.70347222222</v>
      </c>
      <c r="F1288" s="47" t="inlineStr">
        <is>
          <t>Super Carlin Brothers</t>
        </is>
      </c>
      <c r="G1288" t="inlineStr">
        <is>
          <t>Eternals Post Credit Scene Explained: Who Is The Black Knight?</t>
        </is>
      </c>
      <c r="H1288" s="41" t="n">
        <v>0.01087962962962963</v>
      </c>
      <c r="I1288" s="42" t="n">
        <v>132613</v>
      </c>
      <c r="J1288" s="42" t="n">
        <v>5560</v>
      </c>
      <c r="K1288" s="42" t="n">
        <v>370</v>
      </c>
      <c r="L1288" s="43" t="n"/>
      <c r="M1288" s="44" t="n"/>
      <c r="N1288" s="44" t="inlineStr">
        <is>
          <t>UCKZo4N0lVPccBkSiuyVh4yg</t>
        </is>
      </c>
      <c r="O1288" s="45" t="n">
        <v>44509.91180555556</v>
      </c>
      <c r="P1288" s="46" t="n">
        <v>44509</v>
      </c>
      <c r="Q1288" s="44" t="n">
        <v>1984</v>
      </c>
      <c r="R1288" s="44" t="inlineStr">
        <is>
          <t>No Video ID yet</t>
        </is>
      </c>
      <c r="S1288" s="46" t="n"/>
      <c r="T1288" s="46" t="n"/>
      <c r="U1288" s="44" t="n"/>
      <c r="V1288" s="44">
        <f>IF(AND(P1288&gt;=Calendar!$K$2,P1288&lt;EDATE(Calendar!$K$2,1),OR(Calendar!$K$4="*",N1288=Calendar!$K$4)),P1288*100+COUNTIFS($P$6:$P$3271,P1288,$Q$6:$Q$3271,"&lt;="&amp;Q1288,$N$6:$N$3271,Calendar!$K$4),"")</f>
        <v/>
      </c>
      <c r="W1288" s="44">
        <f>IF(AND(B1288=Queue!$C$4,OR(Queue!$K$4="*",N1288=Queue!$K$4)),Q1288,"")</f>
        <v/>
      </c>
    </row>
    <row r="1289">
      <c r="A1289" s="35">
        <f>IF(M1289="","",HYPERLINK("https://www.youtube.com/watch?v="&amp;M1289,"▶"))</f>
        <v/>
      </c>
      <c r="B1289" s="36">
        <f>IF(C1289&lt;&gt;"",C1289,IF(P1289&lt;=IFERROR(INDEX(tblChannels[Watched Through],MATCH(N1289,tblChannels[Channel ID],0)),0),"Watched","Unwatched"))</f>
        <v/>
      </c>
      <c r="C1289" s="37" t="n"/>
      <c r="D1289" s="38" t="n"/>
      <c r="E1289" s="39" t="n">
        <v>44508.41666666666</v>
      </c>
      <c r="F1289" s="50" t="inlineStr">
        <is>
          <t>Jonathan Carlin</t>
        </is>
      </c>
      <c r="G1289" t="inlineStr">
        <is>
          <t>THE VLOG IS BACK!</t>
        </is>
      </c>
      <c r="H1289" s="41" t="n">
        <v>0.01766203703703704</v>
      </c>
      <c r="I1289" s="42" t="n">
        <v>35380</v>
      </c>
      <c r="J1289" s="42" t="n">
        <v>2741</v>
      </c>
      <c r="K1289" s="42" t="n">
        <v>239</v>
      </c>
      <c r="L1289" s="43" t="n"/>
      <c r="M1289" s="44" t="n"/>
      <c r="N1289" s="44" t="inlineStr">
        <is>
          <t>UCYPKFe86e6nm4TVUYKLsFUQ</t>
        </is>
      </c>
      <c r="O1289" s="45" t="n">
        <v>44508.625</v>
      </c>
      <c r="P1289" s="46" t="n">
        <v>44508</v>
      </c>
      <c r="Q1289" s="44" t="n">
        <v>1983</v>
      </c>
      <c r="R1289" s="44" t="inlineStr">
        <is>
          <t>No Video ID yet</t>
        </is>
      </c>
      <c r="S1289" s="46" t="n"/>
      <c r="T1289" s="46" t="n"/>
      <c r="U1289" s="44" t="n"/>
      <c r="V1289" s="44">
        <f>IF(AND(P1289&gt;=Calendar!$K$2,P1289&lt;EDATE(Calendar!$K$2,1),OR(Calendar!$K$4="*",N1289=Calendar!$K$4)),P1289*100+COUNTIFS($P$6:$P$3271,P1289,$Q$6:$Q$3271,"&lt;="&amp;Q1289,$N$6:$N$3271,Calendar!$K$4),"")</f>
        <v/>
      </c>
      <c r="W1289" s="44">
        <f>IF(AND(B1289=Queue!$C$4,OR(Queue!$K$4="*",N1289=Queue!$K$4)),Q1289,"")</f>
        <v/>
      </c>
    </row>
    <row r="1290">
      <c r="A1290" s="35">
        <f>IF(M1290="","",HYPERLINK("https://www.youtube.com/watch?v="&amp;M1290,"▶"))</f>
        <v/>
      </c>
      <c r="B1290" s="36">
        <f>IF(C1290&lt;&gt;"",C1290,IF(P1290&lt;=IFERROR(INDEX(tblChannels[Watched Through],MATCH(N1290,tblChannels[Channel ID],0)),0),"Watched","Unwatched"))</f>
        <v/>
      </c>
      <c r="C1290" s="37" t="n"/>
      <c r="D1290" s="38" t="n"/>
      <c r="E1290" s="39" t="n">
        <v>44505.41666666666</v>
      </c>
      <c r="F1290" s="40" t="inlineStr">
        <is>
          <t>Popcorn Culture</t>
        </is>
      </c>
      <c r="G1290" t="inlineStr">
        <is>
          <t>The Wives Episode - How to be Effortlessly Cool | Popcorn Culture</t>
        </is>
      </c>
      <c r="H1290" s="41" t="n">
        <v>0.05927083333333334</v>
      </c>
      <c r="I1290" s="42" t="n">
        <v>24667</v>
      </c>
      <c r="J1290" s="42" t="n">
        <v>1049</v>
      </c>
      <c r="K1290" s="42" t="n">
        <v>109</v>
      </c>
      <c r="L1290" s="43" t="n"/>
      <c r="M1290" s="44" t="n"/>
      <c r="N1290" s="44" t="inlineStr">
        <is>
          <t>UCHfIbq9thHPC8yrKjAdJgDA</t>
        </is>
      </c>
      <c r="O1290" s="45" t="n">
        <v>44505.58333333334</v>
      </c>
      <c r="P1290" s="46" t="n">
        <v>44505</v>
      </c>
      <c r="Q1290" s="44" t="n">
        <v>1982</v>
      </c>
      <c r="R1290" s="44" t="inlineStr">
        <is>
          <t>No Video ID yet</t>
        </is>
      </c>
      <c r="S1290" s="46" t="n"/>
      <c r="T1290" s="46" t="n"/>
      <c r="U1290" s="44" t="n"/>
      <c r="V1290" s="44">
        <f>IF(AND(P1290&gt;=Calendar!$K$2,P1290&lt;EDATE(Calendar!$K$2,1),OR(Calendar!$K$4="*",N1290=Calendar!$K$4)),P1290*100+COUNTIFS($P$6:$P$3271,P1290,$Q$6:$Q$3271,"&lt;="&amp;Q1290,$N$6:$N$3271,Calendar!$K$4),"")</f>
        <v/>
      </c>
      <c r="W1290" s="44">
        <f>IF(AND(B1290=Queue!$C$4,OR(Queue!$K$4="*",N1290=Queue!$K$4)),Q1290,"")</f>
        <v/>
      </c>
    </row>
    <row r="1291">
      <c r="A1291" s="35">
        <f>IF(M1291="","",HYPERLINK("https://www.youtube.com/watch?v="&amp;M1291,"▶"))</f>
        <v/>
      </c>
      <c r="B1291" s="36">
        <f>IF(C1291&lt;&gt;"",C1291,IF(P1291&lt;=IFERROR(INDEX(tblChannels[Watched Through],MATCH(N1291,tblChannels[Channel ID],0)),0),"Watched","Unwatched"))</f>
        <v/>
      </c>
      <c r="C1291" s="37" t="n"/>
      <c r="D1291" s="38" t="n"/>
      <c r="E1291" s="39" t="n">
        <v>44504.61388888889</v>
      </c>
      <c r="F1291" s="47" t="inlineStr">
        <is>
          <t>Super Carlin Brothers</t>
        </is>
      </c>
      <c r="G1291" t="inlineStr">
        <is>
          <t>Pokemon’s OTHER Least Favorite Pokemon | Theory</t>
        </is>
      </c>
      <c r="H1291" s="41" t="n">
        <v>0.01101851851851852</v>
      </c>
      <c r="I1291" s="42" t="n">
        <v>250186</v>
      </c>
      <c r="J1291" s="42" t="n">
        <v>12091</v>
      </c>
      <c r="K1291" s="42" t="n">
        <v>2042</v>
      </c>
      <c r="L1291" s="43" t="n"/>
      <c r="M1291" s="44" t="n"/>
      <c r="N1291" s="44" t="inlineStr">
        <is>
          <t>UCKZo4N0lVPccBkSiuyVh4yg</t>
        </is>
      </c>
      <c r="O1291" s="45" t="n">
        <v>44504.78055555555</v>
      </c>
      <c r="P1291" s="46" t="n">
        <v>44504</v>
      </c>
      <c r="Q1291" s="44" t="n">
        <v>1981</v>
      </c>
      <c r="R1291" s="44" t="inlineStr">
        <is>
          <t>No Video ID yet</t>
        </is>
      </c>
      <c r="S1291" s="46" t="n"/>
      <c r="T1291" s="46" t="n"/>
      <c r="U1291" s="44" t="n"/>
      <c r="V1291" s="44">
        <f>IF(AND(P1291&gt;=Calendar!$K$2,P1291&lt;EDATE(Calendar!$K$2,1),OR(Calendar!$K$4="*",N1291=Calendar!$K$4)),P1291*100+COUNTIFS($P$6:$P$3271,P1291,$Q$6:$Q$3271,"&lt;="&amp;Q1291,$N$6:$N$3271,Calendar!$K$4),"")</f>
        <v/>
      </c>
      <c r="W1291" s="44">
        <f>IF(AND(B1291=Queue!$C$4,OR(Queue!$K$4="*",N1291=Queue!$K$4)),Q1291,"")</f>
        <v/>
      </c>
    </row>
    <row r="1292">
      <c r="A1292" s="35">
        <f>IF(M1292="","",HYPERLINK("https://www.youtube.com/watch?v="&amp;M1292,"▶"))</f>
        <v/>
      </c>
      <c r="B1292" s="36">
        <f>IF(C1292&lt;&gt;"",C1292,IF(P1292&lt;=IFERROR(INDEX(tblChannels[Watched Through],MATCH(N1292,tblChannels[Channel ID],0)),0),"Watched","Unwatched"))</f>
        <v/>
      </c>
      <c r="C1292" s="37" t="n"/>
      <c r="D1292" s="38" t="n"/>
      <c r="E1292" s="39" t="n">
        <v>44502.61319444444</v>
      </c>
      <c r="F1292" s="47" t="inlineStr">
        <is>
          <t>Super Carlin Brothers</t>
        </is>
      </c>
      <c r="G1292" t="inlineStr">
        <is>
          <t>Viktor Krum’s BIG Secret | Harry Potter Theory</t>
        </is>
      </c>
      <c r="H1292" s="41" t="n">
        <v>0.009027777777777777</v>
      </c>
      <c r="I1292" s="42" t="n">
        <v>451618</v>
      </c>
      <c r="J1292" s="42" t="n">
        <v>19847</v>
      </c>
      <c r="K1292" s="42" t="n">
        <v>1905</v>
      </c>
      <c r="L1292" s="43" t="n"/>
      <c r="M1292" s="44" t="n"/>
      <c r="N1292" s="44" t="inlineStr">
        <is>
          <t>UCKZo4N0lVPccBkSiuyVh4yg</t>
        </is>
      </c>
      <c r="O1292" s="45" t="n">
        <v>44502.77986111111</v>
      </c>
      <c r="P1292" s="46" t="n">
        <v>44502</v>
      </c>
      <c r="Q1292" s="44" t="n">
        <v>1980</v>
      </c>
      <c r="R1292" s="44" t="inlineStr">
        <is>
          <t>No Video ID yet</t>
        </is>
      </c>
      <c r="S1292" s="46" t="n"/>
      <c r="T1292" s="46" t="n"/>
      <c r="U1292" s="44" t="n"/>
      <c r="V1292" s="44">
        <f>IF(AND(P1292&gt;=Calendar!$K$2,P1292&lt;EDATE(Calendar!$K$2,1),OR(Calendar!$K$4="*",N1292=Calendar!$K$4)),P1292*100+COUNTIFS($P$6:$P$3271,P1292,$Q$6:$Q$3271,"&lt;="&amp;Q1292,$N$6:$N$3271,Calendar!$K$4),"")</f>
        <v/>
      </c>
      <c r="W1292" s="44">
        <f>IF(AND(B1292=Queue!$C$4,OR(Queue!$K$4="*",N1292=Queue!$K$4)),Q1292,"")</f>
        <v/>
      </c>
    </row>
    <row r="1293">
      <c r="A1293" s="35">
        <f>IF(M1293="","",HYPERLINK("https://www.youtube.com/watch?v="&amp;M1293,"▶"))</f>
        <v/>
      </c>
      <c r="B1293" s="36">
        <f>IF(C1293&lt;&gt;"",C1293,IF(P1293&lt;=IFERROR(INDEX(tblChannels[Watched Through],MATCH(N1293,tblChannels[Channel ID],0)),0),"Watched","Unwatched"))</f>
        <v/>
      </c>
      <c r="C1293" s="37" t="n"/>
      <c r="D1293" s="38" t="n"/>
      <c r="E1293" s="39" t="n">
        <v>44501.59652777778</v>
      </c>
      <c r="F1293" s="50" t="inlineStr">
        <is>
          <t>Jonathan Carlin</t>
        </is>
      </c>
      <c r="G1293" t="inlineStr">
        <is>
          <t>Return of the VLOG | Trailer</t>
        </is>
      </c>
      <c r="H1293" s="41" t="n">
        <v>0.0006828703703703704</v>
      </c>
      <c r="I1293" s="42" t="n">
        <v>16754</v>
      </c>
      <c r="J1293" s="42" t="n">
        <v>2067</v>
      </c>
      <c r="K1293" s="42" t="n">
        <v>274</v>
      </c>
      <c r="L1293" s="43" t="n"/>
      <c r="M1293" s="44" t="n"/>
      <c r="N1293" s="44" t="inlineStr">
        <is>
          <t>UCYPKFe86e6nm4TVUYKLsFUQ</t>
        </is>
      </c>
      <c r="O1293" s="45" t="n">
        <v>44501.76319444444</v>
      </c>
      <c r="P1293" s="46" t="n">
        <v>44501</v>
      </c>
      <c r="Q1293" s="44" t="n">
        <v>1979</v>
      </c>
      <c r="R1293" s="44" t="inlineStr">
        <is>
          <t>No Video ID yet</t>
        </is>
      </c>
      <c r="S1293" s="46" t="n"/>
      <c r="T1293" s="46" t="n"/>
      <c r="U1293" s="44" t="n"/>
      <c r="V1293" s="44">
        <f>IF(AND(P1293&gt;=Calendar!$K$2,P1293&lt;EDATE(Calendar!$K$2,1),OR(Calendar!$K$4="*",N1293=Calendar!$K$4)),P1293*100+COUNTIFS($P$6:$P$3271,P1293,$Q$6:$Q$3271,"&lt;="&amp;Q1293,$N$6:$N$3271,Calendar!$K$4),"")</f>
        <v/>
      </c>
      <c r="W1293" s="44">
        <f>IF(AND(B1293=Queue!$C$4,OR(Queue!$K$4="*",N1293=Queue!$K$4)),Q1293,"")</f>
        <v/>
      </c>
    </row>
    <row r="1294">
      <c r="A1294" s="35">
        <f>IF(M1294="","",HYPERLINK("https://www.youtube.com/watch?v="&amp;M1294,"▶"))</f>
        <v/>
      </c>
      <c r="B1294" s="36">
        <f>IF(C1294&lt;&gt;"",C1294,IF(P1294&lt;=IFERROR(INDEX(tblChannels[Watched Through],MATCH(N1294,tblChannels[Channel ID],0)),0),"Watched","Unwatched"))</f>
        <v/>
      </c>
      <c r="C1294" s="37" t="n"/>
      <c r="D1294" s="38" t="n"/>
      <c r="E1294" s="39" t="n">
        <v>44501.41666666666</v>
      </c>
      <c r="F1294" s="49" t="inlineStr">
        <is>
          <t>Super Carlin Gaming</t>
        </is>
      </c>
      <c r="G1294" t="inlineStr">
        <is>
          <t>THE RED BATTLE |  Pokémon SoulSilver Randomizer Nuzlocke #33</t>
        </is>
      </c>
      <c r="H1294" s="41" t="n">
        <v>0.02525462962962963</v>
      </c>
      <c r="I1294" s="42" t="n">
        <v>12173</v>
      </c>
      <c r="J1294" s="42" t="n">
        <v>841</v>
      </c>
      <c r="K1294" s="42" t="n">
        <v>246</v>
      </c>
      <c r="L1294" s="43" t="n"/>
      <c r="M1294" s="44" t="n"/>
      <c r="N1294" s="44" t="inlineStr">
        <is>
          <t>UCor_9jRnNNZVzTuQ92PKsaQ</t>
        </is>
      </c>
      <c r="O1294" s="45" t="n">
        <v>44501.58333333334</v>
      </c>
      <c r="P1294" s="46" t="n">
        <v>44501</v>
      </c>
      <c r="Q1294" s="44" t="n">
        <v>1978</v>
      </c>
      <c r="R1294" s="44" t="inlineStr">
        <is>
          <t>No Video ID yet</t>
        </is>
      </c>
      <c r="S1294" s="46" t="n"/>
      <c r="T1294" s="46" t="n"/>
      <c r="U1294" s="44" t="n"/>
      <c r="V1294" s="44">
        <f>IF(AND(P1294&gt;=Calendar!$K$2,P1294&lt;EDATE(Calendar!$K$2,1),OR(Calendar!$K$4="*",N1294=Calendar!$K$4)),P1294*100+COUNTIFS($P$6:$P$3271,P1294,$Q$6:$Q$3271,"&lt;="&amp;Q1294,$N$6:$N$3271,Calendar!$K$4),"")</f>
        <v/>
      </c>
      <c r="W1294" s="44">
        <f>IF(AND(B1294=Queue!$C$4,OR(Queue!$K$4="*",N1294=Queue!$K$4)),Q1294,"")</f>
        <v/>
      </c>
    </row>
    <row r="1295">
      <c r="A1295" s="35">
        <f>IF(M1295="","",HYPERLINK("https://www.youtube.com/watch?v="&amp;M1295,"▶"))</f>
        <v/>
      </c>
      <c r="B1295" s="36">
        <f>IF(C1295&lt;&gt;"",C1295,IF(P1295&lt;=IFERROR(INDEX(tblChannels[Watched Through],MATCH(N1295,tblChannels[Channel ID],0)),0),"Watched","Unwatched"))</f>
        <v/>
      </c>
      <c r="C1295" s="37" t="n"/>
      <c r="D1295" s="38" t="n"/>
      <c r="E1295" s="39" t="n">
        <v>44498.69513888889</v>
      </c>
      <c r="F1295" s="47" t="inlineStr">
        <is>
          <t>Super Carlin Brothers</t>
        </is>
      </c>
      <c r="G1295" t="inlineStr">
        <is>
          <t>Ranking EVERY Marvel Movie | 2021</t>
        </is>
      </c>
      <c r="H1295" s="41" t="n">
        <v>0.04454861111111111</v>
      </c>
      <c r="I1295" s="42" t="n">
        <v>247902</v>
      </c>
      <c r="J1295" s="42" t="n">
        <v>6819</v>
      </c>
      <c r="K1295" s="42" t="n">
        <v>1081</v>
      </c>
      <c r="L1295" s="43" t="n"/>
      <c r="M1295" s="44" t="n"/>
      <c r="N1295" s="44" t="inlineStr">
        <is>
          <t>UCKZo4N0lVPccBkSiuyVh4yg</t>
        </is>
      </c>
      <c r="O1295" s="45" t="n">
        <v>44498.86180555556</v>
      </c>
      <c r="P1295" s="46" t="n">
        <v>44498</v>
      </c>
      <c r="Q1295" s="44" t="n">
        <v>1977</v>
      </c>
      <c r="R1295" s="44" t="inlineStr">
        <is>
          <t>No Video ID yet</t>
        </is>
      </c>
      <c r="S1295" s="46" t="n"/>
      <c r="T1295" s="46" t="n"/>
      <c r="U1295" s="44" t="n"/>
      <c r="V1295" s="44">
        <f>IF(AND(P1295&gt;=Calendar!$K$2,P1295&lt;EDATE(Calendar!$K$2,1),OR(Calendar!$K$4="*",N1295=Calendar!$K$4)),P1295*100+COUNTIFS($P$6:$P$3271,P1295,$Q$6:$Q$3271,"&lt;="&amp;Q1295,$N$6:$N$3271,Calendar!$K$4),"")</f>
        <v/>
      </c>
      <c r="W1295" s="44">
        <f>IF(AND(B1295=Queue!$C$4,OR(Queue!$K$4="*",N1295=Queue!$K$4)),Q1295,"")</f>
        <v/>
      </c>
    </row>
    <row r="1296">
      <c r="A1296" s="35">
        <f>IF(M1296="","",HYPERLINK("https://www.youtube.com/watch?v="&amp;M1296,"▶"))</f>
        <v/>
      </c>
      <c r="B1296" s="36">
        <f>IF(C1296&lt;&gt;"",C1296,IF(P1296&lt;=IFERROR(INDEX(tblChannels[Watched Through],MATCH(N1296,tblChannels[Channel ID],0)),0),"Watched","Unwatched"))</f>
        <v/>
      </c>
      <c r="C1296" s="37" t="n"/>
      <c r="D1296" s="38" t="n"/>
      <c r="E1296" s="39" t="n">
        <v>44498.41666666666</v>
      </c>
      <c r="F1296" s="40" t="inlineStr">
        <is>
          <t>Popcorn Culture</t>
        </is>
      </c>
      <c r="G1296" t="inlineStr">
        <is>
          <t>How Do You Throw Away a Trash Can? | Popcorn Culture</t>
        </is>
      </c>
      <c r="H1296" s="41" t="n">
        <v>0.04766203703703704</v>
      </c>
      <c r="I1296" s="42" t="n">
        <v>11269</v>
      </c>
      <c r="J1296" s="42" t="n">
        <v>536</v>
      </c>
      <c r="K1296" s="42" t="n">
        <v>44</v>
      </c>
      <c r="L1296" s="43" t="n"/>
      <c r="M1296" s="44" t="n"/>
      <c r="N1296" s="44" t="inlineStr">
        <is>
          <t>UCHfIbq9thHPC8yrKjAdJgDA</t>
        </is>
      </c>
      <c r="O1296" s="45" t="n">
        <v>44498.58333333334</v>
      </c>
      <c r="P1296" s="46" t="n">
        <v>44498</v>
      </c>
      <c r="Q1296" s="44" t="n">
        <v>1976</v>
      </c>
      <c r="R1296" s="44" t="inlineStr">
        <is>
          <t>No Video ID yet</t>
        </is>
      </c>
      <c r="S1296" s="46" t="n"/>
      <c r="T1296" s="46" t="n"/>
      <c r="U1296" s="44" t="n"/>
      <c r="V1296" s="44">
        <f>IF(AND(P1296&gt;=Calendar!$K$2,P1296&lt;EDATE(Calendar!$K$2,1),OR(Calendar!$K$4="*",N1296=Calendar!$K$4)),P1296*100+COUNTIFS($P$6:$P$3271,P1296,$Q$6:$Q$3271,"&lt;="&amp;Q1296,$N$6:$N$3271,Calendar!$K$4),"")</f>
        <v/>
      </c>
      <c r="W1296" s="44">
        <f>IF(AND(B1296=Queue!$C$4,OR(Queue!$K$4="*",N1296=Queue!$K$4)),Q1296,"")</f>
        <v/>
      </c>
    </row>
    <row r="1297">
      <c r="A1297" s="35">
        <f>IF(M1297="","",HYPERLINK("https://www.youtube.com/watch?v="&amp;M1297,"▶"))</f>
        <v/>
      </c>
      <c r="B1297" s="36">
        <f>IF(C1297&lt;&gt;"",C1297,IF(P1297&lt;=IFERROR(INDEX(tblChannels[Watched Through],MATCH(N1297,tblChannels[Channel ID],0)),0),"Watched","Unwatched"))</f>
        <v/>
      </c>
      <c r="C1297" s="37" t="n"/>
      <c r="D1297" s="38" t="n"/>
      <c r="E1297" s="39" t="n">
        <v>44497.71180555555</v>
      </c>
      <c r="F1297" s="47" t="inlineStr">
        <is>
          <t>Super Carlin Brothers</t>
        </is>
      </c>
      <c r="G1297" t="inlineStr">
        <is>
          <t>Lightyear Trailer CONFIRMS Time Travel! | Pixar Theory</t>
        </is>
      </c>
      <c r="H1297" s="41" t="n">
        <v>0.01006944444444445</v>
      </c>
      <c r="I1297" s="42" t="n">
        <v>225925</v>
      </c>
      <c r="J1297" s="42" t="n">
        <v>10726</v>
      </c>
      <c r="K1297" s="42" t="n">
        <v>1324</v>
      </c>
      <c r="L1297" s="43" t="n"/>
      <c r="M1297" s="44" t="n"/>
      <c r="N1297" s="44" t="inlineStr">
        <is>
          <t>UCKZo4N0lVPccBkSiuyVh4yg</t>
        </is>
      </c>
      <c r="O1297" s="45" t="n">
        <v>44497.87847222222</v>
      </c>
      <c r="P1297" s="46" t="n">
        <v>44497</v>
      </c>
      <c r="Q1297" s="44" t="n">
        <v>1975</v>
      </c>
      <c r="R1297" s="44" t="inlineStr">
        <is>
          <t>No Video ID yet</t>
        </is>
      </c>
      <c r="S1297" s="46" t="n"/>
      <c r="T1297" s="46" t="n"/>
      <c r="U1297" s="44" t="n"/>
      <c r="V1297" s="44">
        <f>IF(AND(P1297&gt;=Calendar!$K$2,P1297&lt;EDATE(Calendar!$K$2,1),OR(Calendar!$K$4="*",N1297=Calendar!$K$4)),P1297*100+COUNTIFS($P$6:$P$3271,P1297,$Q$6:$Q$3271,"&lt;="&amp;Q1297,$N$6:$N$3271,Calendar!$K$4),"")</f>
        <v/>
      </c>
      <c r="W1297" s="44">
        <f>IF(AND(B1297=Queue!$C$4,OR(Queue!$K$4="*",N1297=Queue!$K$4)),Q1297,"")</f>
        <v/>
      </c>
    </row>
    <row r="1298">
      <c r="A1298" s="35">
        <f>IF(M1298="","",HYPERLINK("https://www.youtube.com/watch?v="&amp;M1298,"▶"))</f>
        <v/>
      </c>
      <c r="B1298" s="36">
        <f>IF(C1298&lt;&gt;"",C1298,IF(P1298&lt;=IFERROR(INDEX(tblChannels[Watched Through],MATCH(N1298,tblChannels[Channel ID],0)),0),"Watched","Unwatched"))</f>
        <v/>
      </c>
      <c r="C1298" s="37" t="n"/>
      <c r="D1298" s="38" t="n"/>
      <c r="E1298" s="39" t="n">
        <v>44495.66111111111</v>
      </c>
      <c r="F1298" s="47" t="inlineStr">
        <is>
          <t>Super Carlin Brothers</t>
        </is>
      </c>
      <c r="G1298" t="inlineStr">
        <is>
          <t>J vs Ben: HARDEST Marvel Trivia Quiz EVER [Quiz Master Edition]</t>
        </is>
      </c>
      <c r="H1298" s="41" t="n">
        <v>0.01861111111111111</v>
      </c>
      <c r="I1298" s="42" t="n">
        <v>167245</v>
      </c>
      <c r="J1298" s="42" t="n">
        <v>7063</v>
      </c>
      <c r="K1298" s="42" t="n">
        <v>638</v>
      </c>
      <c r="L1298" s="43" t="n"/>
      <c r="M1298" s="44" t="n"/>
      <c r="N1298" s="44" t="inlineStr">
        <is>
          <t>UCKZo4N0lVPccBkSiuyVh4yg</t>
        </is>
      </c>
      <c r="O1298" s="45" t="n">
        <v>44495.82777777778</v>
      </c>
      <c r="P1298" s="46" t="n">
        <v>44495</v>
      </c>
      <c r="Q1298" s="44" t="n">
        <v>1974</v>
      </c>
      <c r="R1298" s="44" t="inlineStr">
        <is>
          <t>No Video ID yet</t>
        </is>
      </c>
      <c r="S1298" s="46" t="n"/>
      <c r="T1298" s="46" t="n"/>
      <c r="U1298" s="44" t="n"/>
      <c r="V1298" s="44">
        <f>IF(AND(P1298&gt;=Calendar!$K$2,P1298&lt;EDATE(Calendar!$K$2,1),OR(Calendar!$K$4="*",N1298=Calendar!$K$4)),P1298*100+COUNTIFS($P$6:$P$3271,P1298,$Q$6:$Q$3271,"&lt;="&amp;Q1298,$N$6:$N$3271,Calendar!$K$4),"")</f>
        <v/>
      </c>
      <c r="W1298" s="44">
        <f>IF(AND(B1298=Queue!$C$4,OR(Queue!$K$4="*",N1298=Queue!$K$4)),Q1298,"")</f>
        <v/>
      </c>
    </row>
    <row r="1299">
      <c r="A1299" s="35">
        <f>IF(M1299="","",HYPERLINK("https://www.youtube.com/watch?v="&amp;M1299,"▶"))</f>
        <v/>
      </c>
      <c r="B1299" s="36">
        <f>IF(C1299&lt;&gt;"",C1299,IF(P1299&lt;=IFERROR(INDEX(tblChannels[Watched Through],MATCH(N1299,tblChannels[Channel ID],0)),0),"Watched","Unwatched"))</f>
        <v/>
      </c>
      <c r="C1299" s="37" t="n"/>
      <c r="D1299" s="38" t="n"/>
      <c r="E1299" s="39" t="n">
        <v>44494.41666666666</v>
      </c>
      <c r="F1299" s="49" t="inlineStr">
        <is>
          <t>Super Carlin Gaming</t>
        </is>
      </c>
      <c r="G1299" t="inlineStr">
        <is>
          <t>THE POKEMON LEAGUE'S REVENGE |  Pokémon SoulSilver Randomizer Nuzlocke #32</t>
        </is>
      </c>
      <c r="H1299" s="41" t="n">
        <v>0.04865740740740741</v>
      </c>
      <c r="I1299" s="42" t="n">
        <v>14506</v>
      </c>
      <c r="J1299" s="42" t="n">
        <v>764</v>
      </c>
      <c r="K1299" s="42" t="n">
        <v>226</v>
      </c>
      <c r="L1299" s="43" t="n"/>
      <c r="M1299" s="44" t="n"/>
      <c r="N1299" s="44" t="inlineStr">
        <is>
          <t>UCor_9jRnNNZVzTuQ92PKsaQ</t>
        </is>
      </c>
      <c r="O1299" s="45" t="n">
        <v>44494.58333333334</v>
      </c>
      <c r="P1299" s="46" t="n">
        <v>44494</v>
      </c>
      <c r="Q1299" s="44" t="n">
        <v>1973</v>
      </c>
      <c r="R1299" s="44" t="inlineStr">
        <is>
          <t>No Video ID yet</t>
        </is>
      </c>
      <c r="S1299" s="46" t="n"/>
      <c r="T1299" s="46" t="n"/>
      <c r="U1299" s="44" t="n"/>
      <c r="V1299" s="44">
        <f>IF(AND(P1299&gt;=Calendar!$K$2,P1299&lt;EDATE(Calendar!$K$2,1),OR(Calendar!$K$4="*",N1299=Calendar!$K$4)),P1299*100+COUNTIFS($P$6:$P$3271,P1299,$Q$6:$Q$3271,"&lt;="&amp;Q1299,$N$6:$N$3271,Calendar!$K$4),"")</f>
        <v/>
      </c>
      <c r="W1299" s="44">
        <f>IF(AND(B1299=Queue!$C$4,OR(Queue!$K$4="*",N1299=Queue!$K$4)),Q1299,"")</f>
        <v/>
      </c>
    </row>
    <row r="1300">
      <c r="A1300" s="35">
        <f>IF(M1300="","",HYPERLINK("https://www.youtube.com/watch?v="&amp;M1300,"▶"))</f>
        <v/>
      </c>
      <c r="B1300" s="36">
        <f>IF(C1300&lt;&gt;"",C1300,IF(P1300&lt;=IFERROR(INDEX(tblChannels[Watched Through],MATCH(N1300,tblChannels[Channel ID],0)),0),"Watched","Unwatched"))</f>
        <v/>
      </c>
      <c r="C1300" s="37" t="n"/>
      <c r="D1300" s="38" t="n"/>
      <c r="E1300" s="39" t="n">
        <v>44491.41666666666</v>
      </c>
      <c r="F1300" s="40" t="inlineStr">
        <is>
          <t>Popcorn Culture</t>
        </is>
      </c>
      <c r="G1300" t="inlineStr">
        <is>
          <t>Cows Make Bad Currency | Popcorn Culture</t>
        </is>
      </c>
      <c r="H1300" s="41" t="n">
        <v>0.04597222222222222</v>
      </c>
      <c r="I1300" s="42" t="n">
        <v>9900</v>
      </c>
      <c r="J1300" s="42" t="n">
        <v>477</v>
      </c>
      <c r="K1300" s="42" t="n">
        <v>56</v>
      </c>
      <c r="L1300" s="43" t="n"/>
      <c r="M1300" s="44" t="n"/>
      <c r="N1300" s="44" t="inlineStr">
        <is>
          <t>UCHfIbq9thHPC8yrKjAdJgDA</t>
        </is>
      </c>
      <c r="O1300" s="45" t="n">
        <v>44491.58333333334</v>
      </c>
      <c r="P1300" s="46" t="n">
        <v>44491</v>
      </c>
      <c r="Q1300" s="44" t="n">
        <v>1972</v>
      </c>
      <c r="R1300" s="44" t="inlineStr">
        <is>
          <t>No Video ID yet</t>
        </is>
      </c>
      <c r="S1300" s="46" t="n"/>
      <c r="T1300" s="46" t="n"/>
      <c r="U1300" s="44" t="n"/>
      <c r="V1300" s="44">
        <f>IF(AND(P1300&gt;=Calendar!$K$2,P1300&lt;EDATE(Calendar!$K$2,1),OR(Calendar!$K$4="*",N1300=Calendar!$K$4)),P1300*100+COUNTIFS($P$6:$P$3271,P1300,$Q$6:$Q$3271,"&lt;="&amp;Q1300,$N$6:$N$3271,Calendar!$K$4),"")</f>
        <v/>
      </c>
      <c r="W1300" s="44">
        <f>IF(AND(B1300=Queue!$C$4,OR(Queue!$K$4="*",N1300=Queue!$K$4)),Q1300,"")</f>
        <v/>
      </c>
    </row>
    <row r="1301">
      <c r="A1301" s="35">
        <f>IF(M1301="","",HYPERLINK("https://www.youtube.com/watch?v="&amp;M1301,"▶"))</f>
        <v/>
      </c>
      <c r="B1301" s="36">
        <f>IF(C1301&lt;&gt;"",C1301,IF(P1301&lt;=IFERROR(INDEX(tblChannels[Watched Through],MATCH(N1301,tblChannels[Channel ID],0)),0),"Watched","Unwatched"))</f>
        <v/>
      </c>
      <c r="C1301" s="37" t="n"/>
      <c r="D1301" s="38" t="n"/>
      <c r="E1301" s="39" t="n">
        <v>44490.68541666667</v>
      </c>
      <c r="F1301" s="47" t="inlineStr">
        <is>
          <t>Super Carlin Brothers</t>
        </is>
      </c>
      <c r="G1301" t="inlineStr">
        <is>
          <t>Will Newt Give Up His Magic? | Harry Potter Theory</t>
        </is>
      </c>
      <c r="H1301" s="41" t="n">
        <v>0.01021990740740741</v>
      </c>
      <c r="I1301" s="42" t="n">
        <v>200048</v>
      </c>
      <c r="J1301" s="42" t="n">
        <v>9043</v>
      </c>
      <c r="K1301" s="42" t="n">
        <v>694</v>
      </c>
      <c r="L1301" s="43" t="n"/>
      <c r="M1301" s="44" t="n"/>
      <c r="N1301" s="44" t="inlineStr">
        <is>
          <t>UCKZo4N0lVPccBkSiuyVh4yg</t>
        </is>
      </c>
      <c r="O1301" s="45" t="n">
        <v>44490.85208333333</v>
      </c>
      <c r="P1301" s="46" t="n">
        <v>44490</v>
      </c>
      <c r="Q1301" s="44" t="n">
        <v>1971</v>
      </c>
      <c r="R1301" s="44" t="inlineStr">
        <is>
          <t>No Video ID yet</t>
        </is>
      </c>
      <c r="S1301" s="46" t="n"/>
      <c r="T1301" s="46" t="n"/>
      <c r="U1301" s="44" t="n"/>
      <c r="V1301" s="44">
        <f>IF(AND(P1301&gt;=Calendar!$K$2,P1301&lt;EDATE(Calendar!$K$2,1),OR(Calendar!$K$4="*",N1301=Calendar!$K$4)),P1301*100+COUNTIFS($P$6:$P$3271,P1301,$Q$6:$Q$3271,"&lt;="&amp;Q1301,$N$6:$N$3271,Calendar!$K$4),"")</f>
        <v/>
      </c>
      <c r="W1301" s="44">
        <f>IF(AND(B1301=Queue!$C$4,OR(Queue!$K$4="*",N1301=Queue!$K$4)),Q1301,"")</f>
        <v/>
      </c>
    </row>
    <row r="1302">
      <c r="A1302" s="35">
        <f>IF(M1302="","",HYPERLINK("https://www.youtube.com/watch?v="&amp;M1302,"▶"))</f>
        <v/>
      </c>
      <c r="B1302" s="36">
        <f>IF(C1302&lt;&gt;"",C1302,IF(P1302&lt;=IFERROR(INDEX(tblChannels[Watched Through],MATCH(N1302,tblChannels[Channel ID],0)),0),"Watched","Unwatched"))</f>
        <v/>
      </c>
      <c r="C1302" s="37" t="n"/>
      <c r="D1302" s="38" t="n"/>
      <c r="E1302" s="39" t="n">
        <v>44488.69930555556</v>
      </c>
      <c r="F1302" s="47" t="inlineStr">
        <is>
          <t>Super Carlin Brothers</t>
        </is>
      </c>
      <c r="G1302" t="inlineStr">
        <is>
          <t>Can A Wizard Run Out Of Magic? | Harry Potter Theory</t>
        </is>
      </c>
      <c r="H1302" s="41" t="n">
        <v>0.0100462962962963</v>
      </c>
      <c r="I1302" s="42" t="n">
        <v>369002</v>
      </c>
      <c r="J1302" s="42" t="n">
        <v>15228</v>
      </c>
      <c r="K1302" s="42" t="n">
        <v>1093</v>
      </c>
      <c r="L1302" s="43" t="n"/>
      <c r="M1302" s="44" t="n"/>
      <c r="N1302" s="44" t="inlineStr">
        <is>
          <t>UCKZo4N0lVPccBkSiuyVh4yg</t>
        </is>
      </c>
      <c r="O1302" s="45" t="n">
        <v>44488.86597222222</v>
      </c>
      <c r="P1302" s="46" t="n">
        <v>44488</v>
      </c>
      <c r="Q1302" s="44" t="n">
        <v>1970</v>
      </c>
      <c r="R1302" s="44" t="inlineStr">
        <is>
          <t>No Video ID yet</t>
        </is>
      </c>
      <c r="S1302" s="46" t="n"/>
      <c r="T1302" s="46" t="n"/>
      <c r="U1302" s="44" t="n"/>
      <c r="V1302" s="44">
        <f>IF(AND(P1302&gt;=Calendar!$K$2,P1302&lt;EDATE(Calendar!$K$2,1),OR(Calendar!$K$4="*",N1302=Calendar!$K$4)),P1302*100+COUNTIFS($P$6:$P$3271,P1302,$Q$6:$Q$3271,"&lt;="&amp;Q1302,$N$6:$N$3271,Calendar!$K$4),"")</f>
        <v/>
      </c>
      <c r="W1302" s="44">
        <f>IF(AND(B1302=Queue!$C$4,OR(Queue!$K$4="*",N1302=Queue!$K$4)),Q1302,"")</f>
        <v/>
      </c>
    </row>
    <row r="1303">
      <c r="A1303" s="35">
        <f>IF(M1303="","",HYPERLINK("https://www.youtube.com/watch?v="&amp;M1303,"▶"))</f>
        <v/>
      </c>
      <c r="B1303" s="36">
        <f>IF(C1303&lt;&gt;"",C1303,IF(P1303&lt;=IFERROR(INDEX(tblChannels[Watched Through],MATCH(N1303,tblChannels[Channel ID],0)),0),"Watched","Unwatched"))</f>
        <v/>
      </c>
      <c r="C1303" s="37" t="n"/>
      <c r="D1303" s="38" t="n"/>
      <c r="E1303" s="39" t="n">
        <v>44487.4625</v>
      </c>
      <c r="F1303" s="49" t="inlineStr">
        <is>
          <t>Super Carlin Gaming</t>
        </is>
      </c>
      <c r="G1303" t="inlineStr">
        <is>
          <t>SCG Super Smash Brothers Saturday SHOWDOWN</t>
        </is>
      </c>
      <c r="H1303" s="41" t="n">
        <v>0.02494212962962963</v>
      </c>
      <c r="I1303" s="42" t="n">
        <v>5854</v>
      </c>
      <c r="J1303" s="42" t="n">
        <v>339</v>
      </c>
      <c r="K1303" s="42" t="n">
        <v>29</v>
      </c>
      <c r="L1303" s="43" t="n"/>
      <c r="M1303" s="44" t="n"/>
      <c r="N1303" s="44" t="inlineStr">
        <is>
          <t>UCor_9jRnNNZVzTuQ92PKsaQ</t>
        </is>
      </c>
      <c r="O1303" s="45" t="n">
        <v>44487.62916666667</v>
      </c>
      <c r="P1303" s="46" t="n">
        <v>44487</v>
      </c>
      <c r="Q1303" s="44" t="n">
        <v>1969</v>
      </c>
      <c r="R1303" s="44" t="inlineStr">
        <is>
          <t>No Video ID yet</t>
        </is>
      </c>
      <c r="S1303" s="46" t="n"/>
      <c r="T1303" s="46" t="n"/>
      <c r="U1303" s="44" t="n"/>
      <c r="V1303" s="44">
        <f>IF(AND(P1303&gt;=Calendar!$K$2,P1303&lt;EDATE(Calendar!$K$2,1),OR(Calendar!$K$4="*",N1303=Calendar!$K$4)),P1303*100+COUNTIFS($P$6:$P$3271,P1303,$Q$6:$Q$3271,"&lt;="&amp;Q1303,$N$6:$N$3271,Calendar!$K$4),"")</f>
        <v/>
      </c>
      <c r="W1303" s="44">
        <f>IF(AND(B1303=Queue!$C$4,OR(Queue!$K$4="*",N1303=Queue!$K$4)),Q1303,"")</f>
        <v/>
      </c>
    </row>
    <row r="1304">
      <c r="A1304" s="35">
        <f>IF(M1304="","",HYPERLINK("https://www.youtube.com/watch?v="&amp;M1304,"▶"))</f>
        <v/>
      </c>
      <c r="B1304" s="36">
        <f>IF(C1304&lt;&gt;"",C1304,IF(P1304&lt;=IFERROR(INDEX(tblChannels[Watched Through],MATCH(N1304,tblChannels[Channel ID],0)),0),"Watched","Unwatched"))</f>
        <v/>
      </c>
      <c r="C1304" s="37" t="n"/>
      <c r="D1304" s="38" t="n"/>
      <c r="E1304" s="39" t="n">
        <v>44484.41666666666</v>
      </c>
      <c r="F1304" s="40" t="inlineStr">
        <is>
          <t>Popcorn Culture</t>
        </is>
      </c>
      <c r="G1304" t="inlineStr">
        <is>
          <t>All My Interests Have Cheated On Me | Popcorn Culture</t>
        </is>
      </c>
      <c r="H1304" s="41" t="n">
        <v>0.04726851851851852</v>
      </c>
      <c r="I1304" s="42" t="n">
        <v>10878</v>
      </c>
      <c r="J1304" s="42" t="n">
        <v>539</v>
      </c>
      <c r="K1304" s="42" t="n">
        <v>87</v>
      </c>
      <c r="L1304" s="43" t="n"/>
      <c r="M1304" s="44" t="n"/>
      <c r="N1304" s="44" t="inlineStr">
        <is>
          <t>UCHfIbq9thHPC8yrKjAdJgDA</t>
        </is>
      </c>
      <c r="O1304" s="45" t="n">
        <v>44484.58333333334</v>
      </c>
      <c r="P1304" s="46" t="n">
        <v>44484</v>
      </c>
      <c r="Q1304" s="44" t="n">
        <v>1968</v>
      </c>
      <c r="R1304" s="44" t="inlineStr">
        <is>
          <t>No Video ID yet</t>
        </is>
      </c>
      <c r="S1304" s="46" t="n"/>
      <c r="T1304" s="46" t="n"/>
      <c r="U1304" s="44" t="n"/>
      <c r="V1304" s="44">
        <f>IF(AND(P1304&gt;=Calendar!$K$2,P1304&lt;EDATE(Calendar!$K$2,1),OR(Calendar!$K$4="*",N1304=Calendar!$K$4)),P1304*100+COUNTIFS($P$6:$P$3271,P1304,$Q$6:$Q$3271,"&lt;="&amp;Q1304,$N$6:$N$3271,Calendar!$K$4),"")</f>
        <v/>
      </c>
      <c r="W1304" s="44">
        <f>IF(AND(B1304=Queue!$C$4,OR(Queue!$K$4="*",N1304=Queue!$K$4)),Q1304,"")</f>
        <v/>
      </c>
    </row>
    <row r="1305">
      <c r="A1305" s="35">
        <f>IF(M1305="","",HYPERLINK("https://www.youtube.com/watch?v="&amp;M1305,"▶"))</f>
        <v/>
      </c>
      <c r="B1305" s="36">
        <f>IF(C1305&lt;&gt;"",C1305,IF(P1305&lt;=IFERROR(INDEX(tblChannels[Watched Through],MATCH(N1305,tblChannels[Channel ID],0)),0),"Watched","Unwatched"))</f>
        <v/>
      </c>
      <c r="C1305" s="37" t="n"/>
      <c r="D1305" s="38" t="n"/>
      <c r="E1305" s="39" t="n">
        <v>44483.70694444444</v>
      </c>
      <c r="F1305" s="47" t="inlineStr">
        <is>
          <t>Super Carlin Brothers</t>
        </is>
      </c>
      <c r="G1305" t="inlineStr">
        <is>
          <t>J vs Ben: ULTIMATE Harry Potter Ghosts Trivia Quiz</t>
        </is>
      </c>
      <c r="H1305" s="41" t="n">
        <v>0.02034722222222222</v>
      </c>
      <c r="I1305" s="42" t="n">
        <v>272843</v>
      </c>
      <c r="J1305" s="42" t="n">
        <v>9126</v>
      </c>
      <c r="K1305" s="42" t="n">
        <v>815</v>
      </c>
      <c r="L1305" s="43" t="n"/>
      <c r="M1305" s="44" t="n"/>
      <c r="N1305" s="44" t="inlineStr">
        <is>
          <t>UCKZo4N0lVPccBkSiuyVh4yg</t>
        </is>
      </c>
      <c r="O1305" s="45" t="n">
        <v>44483.87361111111</v>
      </c>
      <c r="P1305" s="46" t="n">
        <v>44483</v>
      </c>
      <c r="Q1305" s="44" t="n">
        <v>1967</v>
      </c>
      <c r="R1305" s="44" t="inlineStr">
        <is>
          <t>No Video ID yet</t>
        </is>
      </c>
      <c r="S1305" s="46" t="n"/>
      <c r="T1305" s="46" t="n"/>
      <c r="U1305" s="44" t="n"/>
      <c r="V1305" s="44">
        <f>IF(AND(P1305&gt;=Calendar!$K$2,P1305&lt;EDATE(Calendar!$K$2,1),OR(Calendar!$K$4="*",N1305=Calendar!$K$4)),P1305*100+COUNTIFS($P$6:$P$3271,P1305,$Q$6:$Q$3271,"&lt;="&amp;Q1305,$N$6:$N$3271,Calendar!$K$4),"")</f>
        <v/>
      </c>
      <c r="W1305" s="44">
        <f>IF(AND(B1305=Queue!$C$4,OR(Queue!$K$4="*",N1305=Queue!$K$4)),Q1305,"")</f>
        <v/>
      </c>
    </row>
    <row r="1306">
      <c r="A1306" s="35">
        <f>IF(M1306="","",HYPERLINK("https://www.youtube.com/watch?v="&amp;M1306,"▶"))</f>
        <v/>
      </c>
      <c r="B1306" s="36">
        <f>IF(C1306&lt;&gt;"",C1306,IF(P1306&lt;=IFERROR(INDEX(tblChannels[Watched Through],MATCH(N1306,tblChannels[Channel ID],0)),0),"Watched","Unwatched"))</f>
        <v/>
      </c>
      <c r="C1306" s="37" t="n"/>
      <c r="D1306" s="38" t="n"/>
      <c r="E1306" s="39" t="n">
        <v>44481.64236111111</v>
      </c>
      <c r="F1306" s="47" t="inlineStr">
        <is>
          <t>Super Carlin Brothers</t>
        </is>
      </c>
      <c r="G1306" t="inlineStr">
        <is>
          <t>Could The Veil Kill A Ghost? | Harry Potter Theory</t>
        </is>
      </c>
      <c r="H1306" s="41" t="n">
        <v>0.00974537037037037</v>
      </c>
      <c r="I1306" s="42" t="n">
        <v>255074</v>
      </c>
      <c r="J1306" s="42" t="n">
        <v>11098</v>
      </c>
      <c r="K1306" s="42" t="n">
        <v>1271</v>
      </c>
      <c r="L1306" s="43" t="n"/>
      <c r="M1306" s="44" t="n"/>
      <c r="N1306" s="44" t="inlineStr">
        <is>
          <t>UCKZo4N0lVPccBkSiuyVh4yg</t>
        </is>
      </c>
      <c r="O1306" s="45" t="n">
        <v>44481.80902777778</v>
      </c>
      <c r="P1306" s="46" t="n">
        <v>44481</v>
      </c>
      <c r="Q1306" s="44" t="n">
        <v>1966</v>
      </c>
      <c r="R1306" s="44" t="inlineStr">
        <is>
          <t>No Video ID yet</t>
        </is>
      </c>
      <c r="S1306" s="46" t="n"/>
      <c r="T1306" s="46" t="n"/>
      <c r="U1306" s="44" t="n"/>
      <c r="V1306" s="44">
        <f>IF(AND(P1306&gt;=Calendar!$K$2,P1306&lt;EDATE(Calendar!$K$2,1),OR(Calendar!$K$4="*",N1306=Calendar!$K$4)),P1306*100+COUNTIFS($P$6:$P$3271,P1306,$Q$6:$Q$3271,"&lt;="&amp;Q1306,$N$6:$N$3271,Calendar!$K$4),"")</f>
        <v/>
      </c>
      <c r="W1306" s="44">
        <f>IF(AND(B1306=Queue!$C$4,OR(Queue!$K$4="*",N1306=Queue!$K$4)),Q1306,"")</f>
        <v/>
      </c>
    </row>
    <row r="1307">
      <c r="A1307" s="35">
        <f>IF(M1307="","",HYPERLINK("https://www.youtube.com/watch?v="&amp;M1307,"▶"))</f>
        <v/>
      </c>
      <c r="B1307" s="36">
        <f>IF(C1307&lt;&gt;"",C1307,IF(P1307&lt;=IFERROR(INDEX(tblChannels[Watched Through],MATCH(N1307,tblChannels[Channel ID],0)),0),"Watched","Unwatched"))</f>
        <v/>
      </c>
      <c r="C1307" s="37" t="n"/>
      <c r="D1307" s="38" t="n"/>
      <c r="E1307" s="39" t="n">
        <v>44480.41666666666</v>
      </c>
      <c r="F1307" s="49" t="inlineStr">
        <is>
          <t>Super Carlin Gaming</t>
        </is>
      </c>
      <c r="G1307" t="inlineStr">
        <is>
          <t>BATTLE PREPARATIONS! |  Pokémon SoulSilver Randomizer Nuzlocke #31</t>
        </is>
      </c>
      <c r="H1307" s="41" t="n">
        <v>0.02902777777777778</v>
      </c>
      <c r="I1307" s="42" t="n">
        <v>11162</v>
      </c>
      <c r="J1307" s="42" t="n">
        <v>611</v>
      </c>
      <c r="K1307" s="42" t="n">
        <v>110</v>
      </c>
      <c r="L1307" s="43" t="n"/>
      <c r="M1307" s="44" t="n"/>
      <c r="N1307" s="44" t="inlineStr">
        <is>
          <t>UCor_9jRnNNZVzTuQ92PKsaQ</t>
        </is>
      </c>
      <c r="O1307" s="45" t="n">
        <v>44480.58333333334</v>
      </c>
      <c r="P1307" s="46" t="n">
        <v>44480</v>
      </c>
      <c r="Q1307" s="44" t="n">
        <v>1965</v>
      </c>
      <c r="R1307" s="44" t="inlineStr">
        <is>
          <t>No Video ID yet</t>
        </is>
      </c>
      <c r="S1307" s="46" t="n"/>
      <c r="T1307" s="46" t="n"/>
      <c r="U1307" s="44" t="n"/>
      <c r="V1307" s="44">
        <f>IF(AND(P1307&gt;=Calendar!$K$2,P1307&lt;EDATE(Calendar!$K$2,1),OR(Calendar!$K$4="*",N1307=Calendar!$K$4)),P1307*100+COUNTIFS($P$6:$P$3271,P1307,$Q$6:$Q$3271,"&lt;="&amp;Q1307,$N$6:$N$3271,Calendar!$K$4),"")</f>
        <v/>
      </c>
      <c r="W1307" s="44">
        <f>IF(AND(B1307=Queue!$C$4,OR(Queue!$K$4="*",N1307=Queue!$K$4)),Q1307,"")</f>
        <v/>
      </c>
    </row>
    <row r="1308">
      <c r="A1308" s="35">
        <f>IF(M1308="","",HYPERLINK("https://www.youtube.com/watch?v="&amp;M1308,"▶"))</f>
        <v/>
      </c>
      <c r="B1308" s="36">
        <f>IF(C1308&lt;&gt;"",C1308,IF(P1308&lt;=IFERROR(INDEX(tblChannels[Watched Through],MATCH(N1308,tblChannels[Channel ID],0)),0),"Watched","Unwatched"))</f>
        <v/>
      </c>
      <c r="C1308" s="37" t="n"/>
      <c r="D1308" s="38" t="n"/>
      <c r="E1308" s="39" t="n">
        <v>44477.48680555556</v>
      </c>
      <c r="F1308" s="49" t="inlineStr">
        <is>
          <t>Super Carlin Gaming</t>
        </is>
      </c>
      <c r="G1308" t="inlineStr">
        <is>
          <t>Can We Pull a CHARIZARD? | Pokemon Celebrations UNBOXING</t>
        </is>
      </c>
      <c r="H1308" s="41" t="n">
        <v>0.02350694444444444</v>
      </c>
      <c r="I1308" s="42" t="n">
        <v>6584</v>
      </c>
      <c r="J1308" s="42" t="n">
        <v>391</v>
      </c>
      <c r="K1308" s="42" t="n">
        <v>56</v>
      </c>
      <c r="L1308" s="43" t="n"/>
      <c r="M1308" s="44" t="n"/>
      <c r="N1308" s="44" t="inlineStr">
        <is>
          <t>UCor_9jRnNNZVzTuQ92PKsaQ</t>
        </is>
      </c>
      <c r="O1308" s="45" t="n">
        <v>44477.65347222222</v>
      </c>
      <c r="P1308" s="46" t="n">
        <v>44477</v>
      </c>
      <c r="Q1308" s="44" t="n">
        <v>1964</v>
      </c>
      <c r="R1308" s="44" t="inlineStr">
        <is>
          <t>No Video ID yet</t>
        </is>
      </c>
      <c r="S1308" s="46" t="n"/>
      <c r="T1308" s="46" t="n"/>
      <c r="U1308" s="44" t="n"/>
      <c r="V1308" s="44">
        <f>IF(AND(P1308&gt;=Calendar!$K$2,P1308&lt;EDATE(Calendar!$K$2,1),OR(Calendar!$K$4="*",N1308=Calendar!$K$4)),P1308*100+COUNTIFS($P$6:$P$3271,P1308,$Q$6:$Q$3271,"&lt;="&amp;Q1308,$N$6:$N$3271,Calendar!$K$4),"")</f>
        <v/>
      </c>
      <c r="W1308" s="44">
        <f>IF(AND(B1308=Queue!$C$4,OR(Queue!$K$4="*",N1308=Queue!$K$4)),Q1308,"")</f>
        <v/>
      </c>
    </row>
    <row r="1309">
      <c r="A1309" s="35">
        <f>IF(M1309="","",HYPERLINK("https://www.youtube.com/watch?v="&amp;M1309,"▶"))</f>
        <v/>
      </c>
      <c r="B1309" s="36">
        <f>IF(C1309&lt;&gt;"",C1309,IF(P1309&lt;=IFERROR(INDEX(tblChannels[Watched Through],MATCH(N1309,tblChannels[Channel ID],0)),0),"Watched","Unwatched"))</f>
        <v/>
      </c>
      <c r="C1309" s="37" t="n"/>
      <c r="D1309" s="38" t="n"/>
      <c r="E1309" s="39" t="n">
        <v>44477.41666666666</v>
      </c>
      <c r="F1309" s="40" t="inlineStr">
        <is>
          <t>Popcorn Culture</t>
        </is>
      </c>
      <c r="G1309" t="inlineStr">
        <is>
          <t>Follow Your Dreams... UNLESS | Popcorn Culture</t>
        </is>
      </c>
      <c r="H1309" s="41" t="n">
        <v>0.04498842592592592</v>
      </c>
      <c r="I1309" s="42" t="n">
        <v>9493</v>
      </c>
      <c r="J1309" s="42" t="n">
        <v>482</v>
      </c>
      <c r="K1309" s="42" t="n">
        <v>66</v>
      </c>
      <c r="L1309" s="43" t="n"/>
      <c r="M1309" s="44" t="n"/>
      <c r="N1309" s="44" t="inlineStr">
        <is>
          <t>UCHfIbq9thHPC8yrKjAdJgDA</t>
        </is>
      </c>
      <c r="O1309" s="45" t="n">
        <v>44477.58333333334</v>
      </c>
      <c r="P1309" s="46" t="n">
        <v>44477</v>
      </c>
      <c r="Q1309" s="44" t="n">
        <v>1963</v>
      </c>
      <c r="R1309" s="44" t="inlineStr">
        <is>
          <t>No Video ID yet</t>
        </is>
      </c>
      <c r="S1309" s="46" t="n"/>
      <c r="T1309" s="46" t="n"/>
      <c r="U1309" s="44" t="n"/>
      <c r="V1309" s="44">
        <f>IF(AND(P1309&gt;=Calendar!$K$2,P1309&lt;EDATE(Calendar!$K$2,1),OR(Calendar!$K$4="*",N1309=Calendar!$K$4)),P1309*100+COUNTIFS($P$6:$P$3271,P1309,$Q$6:$Q$3271,"&lt;="&amp;Q1309,$N$6:$N$3271,Calendar!$K$4),"")</f>
        <v/>
      </c>
      <c r="W1309" s="44">
        <f>IF(AND(B1309=Queue!$C$4,OR(Queue!$K$4="*",N1309=Queue!$K$4)),Q1309,"")</f>
        <v/>
      </c>
    </row>
    <row r="1310">
      <c r="A1310" s="35">
        <f>IF(M1310="","",HYPERLINK("https://www.youtube.com/watch?v="&amp;M1310,"▶"))</f>
        <v/>
      </c>
      <c r="B1310" s="36">
        <f>IF(C1310&lt;&gt;"",C1310,IF(P1310&lt;=IFERROR(INDEX(tblChannels[Watched Through],MATCH(N1310,tblChannels[Channel ID],0)),0),"Watched","Unwatched"))</f>
        <v/>
      </c>
      <c r="C1310" s="37" t="n"/>
      <c r="D1310" s="38" t="n"/>
      <c r="E1310" s="39" t="n">
        <v>44476.63055555556</v>
      </c>
      <c r="F1310" s="47" t="inlineStr">
        <is>
          <t>Super Carlin Brothers</t>
        </is>
      </c>
      <c r="G1310" t="inlineStr">
        <is>
          <t>Mother Gothel Is Meg from Hercules | Disney Theory</t>
        </is>
      </c>
      <c r="H1310" s="41" t="n">
        <v>0.01033564814814815</v>
      </c>
      <c r="I1310" s="42" t="n">
        <v>475265</v>
      </c>
      <c r="J1310" s="42" t="n">
        <v>23274</v>
      </c>
      <c r="K1310" s="42" t="n">
        <v>2276</v>
      </c>
      <c r="L1310" s="43" t="n"/>
      <c r="M1310" s="44" t="n"/>
      <c r="N1310" s="44" t="inlineStr">
        <is>
          <t>UCKZo4N0lVPccBkSiuyVh4yg</t>
        </is>
      </c>
      <c r="O1310" s="45" t="n">
        <v>44476.79722222222</v>
      </c>
      <c r="P1310" s="46" t="n">
        <v>44476</v>
      </c>
      <c r="Q1310" s="44" t="n">
        <v>1962</v>
      </c>
      <c r="R1310" s="44" t="inlineStr">
        <is>
          <t>No Video ID yet</t>
        </is>
      </c>
      <c r="S1310" s="46" t="n"/>
      <c r="T1310" s="46" t="n"/>
      <c r="U1310" s="44" t="n"/>
      <c r="V1310" s="44">
        <f>IF(AND(P1310&gt;=Calendar!$K$2,P1310&lt;EDATE(Calendar!$K$2,1),OR(Calendar!$K$4="*",N1310=Calendar!$K$4)),P1310*100+COUNTIFS($P$6:$P$3271,P1310,$Q$6:$Q$3271,"&lt;="&amp;Q1310,$N$6:$N$3271,Calendar!$K$4),"")</f>
        <v/>
      </c>
      <c r="W1310" s="44">
        <f>IF(AND(B1310=Queue!$C$4,OR(Queue!$K$4="*",N1310=Queue!$K$4)),Q1310,"")</f>
        <v/>
      </c>
    </row>
    <row r="1311">
      <c r="A1311" s="35">
        <f>IF(M1311="","",HYPERLINK("https://www.youtube.com/watch?v="&amp;M1311,"▶"))</f>
        <v/>
      </c>
      <c r="B1311" s="36">
        <f>IF(C1311&lt;&gt;"",C1311,IF(P1311&lt;=IFERROR(INDEX(tblChannels[Watched Through],MATCH(N1311,tblChannels[Channel ID],0)),0),"Watched","Unwatched"))</f>
        <v/>
      </c>
      <c r="C1311" s="37" t="n"/>
      <c r="D1311" s="38" t="n"/>
      <c r="E1311" s="39" t="n">
        <v>44475.41666666666</v>
      </c>
      <c r="F1311" s="49" t="inlineStr">
        <is>
          <t>Super Carlin Gaming</t>
        </is>
      </c>
      <c r="G1311" t="inlineStr">
        <is>
          <t>BLUE'S BETRAYAL |  Pokémon SoulSilver Randomizer Nuzlocke #30</t>
        </is>
      </c>
      <c r="H1311" s="41" t="n">
        <v>0.02832175925925926</v>
      </c>
      <c r="I1311" s="42" t="n">
        <v>10877</v>
      </c>
      <c r="J1311" s="42" t="n">
        <v>661</v>
      </c>
      <c r="K1311" s="42" t="n">
        <v>160</v>
      </c>
      <c r="L1311" s="43" t="n"/>
      <c r="M1311" s="44" t="n"/>
      <c r="N1311" s="44" t="inlineStr">
        <is>
          <t>UCor_9jRnNNZVzTuQ92PKsaQ</t>
        </is>
      </c>
      <c r="O1311" s="45" t="n">
        <v>44475.58333333334</v>
      </c>
      <c r="P1311" s="46" t="n">
        <v>44475</v>
      </c>
      <c r="Q1311" s="44" t="n">
        <v>1961</v>
      </c>
      <c r="R1311" s="44" t="inlineStr">
        <is>
          <t>No Video ID yet</t>
        </is>
      </c>
      <c r="S1311" s="46" t="n"/>
      <c r="T1311" s="46" t="n"/>
      <c r="U1311" s="44" t="n"/>
      <c r="V1311" s="44">
        <f>IF(AND(P1311&gt;=Calendar!$K$2,P1311&lt;EDATE(Calendar!$K$2,1),OR(Calendar!$K$4="*",N1311=Calendar!$K$4)),P1311*100+COUNTIFS($P$6:$P$3271,P1311,$Q$6:$Q$3271,"&lt;="&amp;Q1311,$N$6:$N$3271,Calendar!$K$4),"")</f>
        <v/>
      </c>
      <c r="W1311" s="44">
        <f>IF(AND(B1311=Queue!$C$4,OR(Queue!$K$4="*",N1311=Queue!$K$4)),Q1311,"")</f>
        <v/>
      </c>
    </row>
    <row r="1312">
      <c r="A1312" s="35">
        <f>IF(M1312="","",HYPERLINK("https://www.youtube.com/watch?v="&amp;M1312,"▶"))</f>
        <v/>
      </c>
      <c r="B1312" s="36">
        <f>IF(C1312&lt;&gt;"",C1312,IF(P1312&lt;=IFERROR(INDEX(tblChannels[Watched Through],MATCH(N1312,tblChannels[Channel ID],0)),0),"Watched","Unwatched"))</f>
        <v/>
      </c>
      <c r="C1312" s="37" t="n"/>
      <c r="D1312" s="38" t="n"/>
      <c r="E1312" s="39" t="n">
        <v>44474.69861111111</v>
      </c>
      <c r="F1312" s="47" t="inlineStr">
        <is>
          <t>Super Carlin Brothers</t>
        </is>
      </c>
      <c r="G1312" t="inlineStr">
        <is>
          <t>Answering Google's TOP 25 Disney Princess Questions</t>
        </is>
      </c>
      <c r="H1312" s="41" t="n">
        <v>0.01001157407407407</v>
      </c>
      <c r="I1312" s="42" t="n">
        <v>113015</v>
      </c>
      <c r="J1312" s="42" t="n">
        <v>5754</v>
      </c>
      <c r="K1312" s="42" t="n">
        <v>678</v>
      </c>
      <c r="L1312" s="43" t="n"/>
      <c r="M1312" s="44" t="n"/>
      <c r="N1312" s="44" t="inlineStr">
        <is>
          <t>UCKZo4N0lVPccBkSiuyVh4yg</t>
        </is>
      </c>
      <c r="O1312" s="45" t="n">
        <v>44474.86527777778</v>
      </c>
      <c r="P1312" s="46" t="n">
        <v>44474</v>
      </c>
      <c r="Q1312" s="44" t="n">
        <v>1960</v>
      </c>
      <c r="R1312" s="44" t="inlineStr">
        <is>
          <t>No Video ID yet</t>
        </is>
      </c>
      <c r="S1312" s="46" t="n"/>
      <c r="T1312" s="46" t="n"/>
      <c r="U1312" s="44" t="n"/>
      <c r="V1312" s="44">
        <f>IF(AND(P1312&gt;=Calendar!$K$2,P1312&lt;EDATE(Calendar!$K$2,1),OR(Calendar!$K$4="*",N1312=Calendar!$K$4)),P1312*100+COUNTIFS($P$6:$P$3271,P1312,$Q$6:$Q$3271,"&lt;="&amp;Q1312,$N$6:$N$3271,Calendar!$K$4),"")</f>
        <v/>
      </c>
      <c r="W1312" s="44">
        <f>IF(AND(B1312=Queue!$C$4,OR(Queue!$K$4="*",N1312=Queue!$K$4)),Q1312,"")</f>
        <v/>
      </c>
    </row>
    <row r="1313">
      <c r="A1313" s="35">
        <f>IF(M1313="","",HYPERLINK("https://www.youtube.com/watch?v="&amp;M1313,"▶"))</f>
        <v/>
      </c>
      <c r="B1313" s="36">
        <f>IF(C1313&lt;&gt;"",C1313,IF(P1313&lt;=IFERROR(INDEX(tblChannels[Watched Through],MATCH(N1313,tblChannels[Channel ID],0)),0),"Watched","Unwatched"))</f>
        <v/>
      </c>
      <c r="C1313" s="37" t="n"/>
      <c r="D1313" s="38" t="n"/>
      <c r="E1313" s="39" t="n">
        <v>44473.41666666666</v>
      </c>
      <c r="F1313" s="49" t="inlineStr">
        <is>
          <t>Super Carlin Gaming</t>
        </is>
      </c>
      <c r="G1313" t="inlineStr">
        <is>
          <t>CELEBI'S SURPRISE |  Pokémon SoulSilver Randomizer Nuzlocke #29</t>
        </is>
      </c>
      <c r="H1313" s="41" t="n">
        <v>0.03685185185185185</v>
      </c>
      <c r="I1313" s="42" t="n">
        <v>12445</v>
      </c>
      <c r="J1313" s="42" t="n">
        <v>621</v>
      </c>
      <c r="K1313" s="42" t="n">
        <v>155</v>
      </c>
      <c r="L1313" s="43" t="n"/>
      <c r="M1313" s="44" t="n"/>
      <c r="N1313" s="44" t="inlineStr">
        <is>
          <t>UCor_9jRnNNZVzTuQ92PKsaQ</t>
        </is>
      </c>
      <c r="O1313" s="45" t="n">
        <v>44473.58333333334</v>
      </c>
      <c r="P1313" s="46" t="n">
        <v>44473</v>
      </c>
      <c r="Q1313" s="44" t="n">
        <v>1959</v>
      </c>
      <c r="R1313" s="44" t="inlineStr">
        <is>
          <t>No Video ID yet</t>
        </is>
      </c>
      <c r="S1313" s="46" t="n"/>
      <c r="T1313" s="46" t="n"/>
      <c r="U1313" s="44" t="n"/>
      <c r="V1313" s="44">
        <f>IF(AND(P1313&gt;=Calendar!$K$2,P1313&lt;EDATE(Calendar!$K$2,1),OR(Calendar!$K$4="*",N1313=Calendar!$K$4)),P1313*100+COUNTIFS($P$6:$P$3271,P1313,$Q$6:$Q$3271,"&lt;="&amp;Q1313,$N$6:$N$3271,Calendar!$K$4),"")</f>
        <v/>
      </c>
      <c r="W1313" s="44">
        <f>IF(AND(B1313=Queue!$C$4,OR(Queue!$K$4="*",N1313=Queue!$K$4)),Q1313,"")</f>
        <v/>
      </c>
    </row>
    <row r="1314">
      <c r="A1314" s="35">
        <f>IF(M1314="","",HYPERLINK("https://www.youtube.com/watch?v="&amp;M1314,"▶"))</f>
        <v/>
      </c>
      <c r="B1314" s="36">
        <f>IF(C1314&lt;&gt;"",C1314,IF(P1314&lt;=IFERROR(INDEX(tblChannels[Watched Through],MATCH(N1314,tblChannels[Channel ID],0)),0),"Watched","Unwatched"))</f>
        <v/>
      </c>
      <c r="C1314" s="37" t="n"/>
      <c r="D1314" s="38" t="n"/>
      <c r="E1314" s="39" t="n">
        <v>44471.51388888889</v>
      </c>
      <c r="F1314" s="47" t="inlineStr">
        <is>
          <t>Super Carlin Brothers</t>
        </is>
      </c>
      <c r="G1314" t="inlineStr">
        <is>
          <t>SCB and Fandom Forward 10k for CHARITY!</t>
        </is>
      </c>
      <c r="H1314" s="41" t="n">
        <v>0.1316666666666667</v>
      </c>
      <c r="I1314" s="42" t="n">
        <v>46414</v>
      </c>
      <c r="J1314" s="42" t="n">
        <v>644</v>
      </c>
      <c r="K1314" s="42" t="n">
        <v>31</v>
      </c>
      <c r="L1314" s="43" t="n"/>
      <c r="M1314" s="44" t="n"/>
      <c r="N1314" s="44" t="inlineStr">
        <is>
          <t>UCKZo4N0lVPccBkSiuyVh4yg</t>
        </is>
      </c>
      <c r="O1314" s="45" t="n">
        <v>44471.68055555555</v>
      </c>
      <c r="P1314" s="46" t="n">
        <v>44471</v>
      </c>
      <c r="Q1314" s="44" t="n">
        <v>1958</v>
      </c>
      <c r="R1314" s="44" t="inlineStr">
        <is>
          <t>No Video ID yet</t>
        </is>
      </c>
      <c r="S1314" s="46" t="n"/>
      <c r="T1314" s="46" t="n"/>
      <c r="U1314" s="44" t="n"/>
      <c r="V1314" s="44">
        <f>IF(AND(P1314&gt;=Calendar!$K$2,P1314&lt;EDATE(Calendar!$K$2,1),OR(Calendar!$K$4="*",N1314=Calendar!$K$4)),P1314*100+COUNTIFS($P$6:$P$3271,P1314,$Q$6:$Q$3271,"&lt;="&amp;Q1314,$N$6:$N$3271,Calendar!$K$4),"")</f>
        <v/>
      </c>
      <c r="W1314" s="44">
        <f>IF(AND(B1314=Queue!$C$4,OR(Queue!$K$4="*",N1314=Queue!$K$4)),Q1314,"")</f>
        <v/>
      </c>
    </row>
    <row r="1315">
      <c r="A1315" s="35">
        <f>IF(M1315="","",HYPERLINK("https://www.youtube.com/watch?v="&amp;M1315,"▶"))</f>
        <v/>
      </c>
      <c r="B1315" s="36">
        <f>IF(C1315&lt;&gt;"",C1315,IF(P1315&lt;=IFERROR(INDEX(tblChannels[Watched Through],MATCH(N1315,tblChannels[Channel ID],0)),0),"Watched","Unwatched"))</f>
        <v/>
      </c>
      <c r="C1315" s="37" t="n"/>
      <c r="D1315" s="38" t="n"/>
      <c r="E1315" s="39" t="n">
        <v>44470.41666666666</v>
      </c>
      <c r="F1315" s="40" t="inlineStr">
        <is>
          <t>Popcorn Culture</t>
        </is>
      </c>
      <c r="G1315" t="inlineStr">
        <is>
          <t>Hot Wheels: A History | Popcorn Culture</t>
        </is>
      </c>
      <c r="H1315" s="41" t="n">
        <v>0.04813657407407407</v>
      </c>
      <c r="I1315" s="42" t="n">
        <v>10266</v>
      </c>
      <c r="J1315" s="42" t="n">
        <v>472</v>
      </c>
      <c r="K1315" s="42" t="n">
        <v>62</v>
      </c>
      <c r="L1315" s="43" t="n"/>
      <c r="M1315" s="44" t="n"/>
      <c r="N1315" s="44" t="inlineStr">
        <is>
          <t>UCHfIbq9thHPC8yrKjAdJgDA</t>
        </is>
      </c>
      <c r="O1315" s="45" t="n">
        <v>44470.58333333334</v>
      </c>
      <c r="P1315" s="46" t="n">
        <v>44470</v>
      </c>
      <c r="Q1315" s="44" t="n">
        <v>1957</v>
      </c>
      <c r="R1315" s="44" t="inlineStr">
        <is>
          <t>No Video ID yet</t>
        </is>
      </c>
      <c r="S1315" s="46" t="n"/>
      <c r="T1315" s="46" t="n"/>
      <c r="U1315" s="44" t="n"/>
      <c r="V1315" s="44">
        <f>IF(AND(P1315&gt;=Calendar!$K$2,P1315&lt;EDATE(Calendar!$K$2,1),OR(Calendar!$K$4="*",N1315=Calendar!$K$4)),P1315*100+COUNTIFS($P$6:$P$3271,P1315,$Q$6:$Q$3271,"&lt;="&amp;Q1315,$N$6:$N$3271,Calendar!$K$4),"")</f>
        <v/>
      </c>
      <c r="W1315" s="44">
        <f>IF(AND(B1315=Queue!$C$4,OR(Queue!$K$4="*",N1315=Queue!$K$4)),Q1315,"")</f>
        <v/>
      </c>
    </row>
    <row r="1316">
      <c r="A1316" s="35">
        <f>IF(M1316="","",HYPERLINK("https://www.youtube.com/watch?v="&amp;M1316,"▶"))</f>
        <v/>
      </c>
      <c r="B1316" s="36">
        <f>IF(C1316&lt;&gt;"",C1316,IF(P1316&lt;=IFERROR(INDEX(tblChannels[Watched Through],MATCH(N1316,tblChannels[Channel ID],0)),0),"Watched","Unwatched"))</f>
        <v/>
      </c>
      <c r="C1316" s="37" t="n"/>
      <c r="D1316" s="38" t="n"/>
      <c r="E1316" s="39" t="n">
        <v>44469.70763888889</v>
      </c>
      <c r="F1316" s="47" t="inlineStr">
        <is>
          <t>Super Carlin Brothers</t>
        </is>
      </c>
      <c r="G1316" t="inlineStr">
        <is>
          <t>J vs Ben: Can We SPELL Harry Potter Spells?</t>
        </is>
      </c>
      <c r="H1316" s="41" t="n">
        <v>0.01855324074074074</v>
      </c>
      <c r="I1316" s="42" t="n">
        <v>176335</v>
      </c>
      <c r="J1316" s="42" t="n">
        <v>7386</v>
      </c>
      <c r="K1316" s="42" t="n">
        <v>865</v>
      </c>
      <c r="L1316" s="43" t="n"/>
      <c r="M1316" s="44" t="n"/>
      <c r="N1316" s="44" t="inlineStr">
        <is>
          <t>UCKZo4N0lVPccBkSiuyVh4yg</t>
        </is>
      </c>
      <c r="O1316" s="45" t="n">
        <v>44469.87430555555</v>
      </c>
      <c r="P1316" s="46" t="n">
        <v>44469</v>
      </c>
      <c r="Q1316" s="44" t="n">
        <v>1956</v>
      </c>
      <c r="R1316" s="44" t="inlineStr">
        <is>
          <t>No Video ID yet</t>
        </is>
      </c>
      <c r="S1316" s="46" t="n"/>
      <c r="T1316" s="46" t="n"/>
      <c r="U1316" s="44" t="n"/>
      <c r="V1316" s="44">
        <f>IF(AND(P1316&gt;=Calendar!$K$2,P1316&lt;EDATE(Calendar!$K$2,1),OR(Calendar!$K$4="*",N1316=Calendar!$K$4)),P1316*100+COUNTIFS($P$6:$P$3271,P1316,$Q$6:$Q$3271,"&lt;="&amp;Q1316,$N$6:$N$3271,Calendar!$K$4),"")</f>
        <v/>
      </c>
      <c r="W1316" s="44">
        <f>IF(AND(B1316=Queue!$C$4,OR(Queue!$K$4="*",N1316=Queue!$K$4)),Q1316,"")</f>
        <v/>
      </c>
    </row>
    <row r="1317">
      <c r="A1317" s="35">
        <f>IF(M1317="","",HYPERLINK("https://www.youtube.com/watch?v="&amp;M1317,"▶"))</f>
        <v/>
      </c>
      <c r="B1317" s="36">
        <f>IF(C1317&lt;&gt;"",C1317,IF(P1317&lt;=IFERROR(INDEX(tblChannels[Watched Through],MATCH(N1317,tblChannels[Channel ID],0)),0),"Watched","Unwatched"))</f>
        <v/>
      </c>
      <c r="C1317" s="37" t="n"/>
      <c r="D1317" s="38" t="n"/>
      <c r="E1317" s="39" t="n">
        <v>44468.41666666666</v>
      </c>
      <c r="F1317" s="49" t="inlineStr">
        <is>
          <t>Super Carlin Gaming</t>
        </is>
      </c>
      <c r="G1317" t="inlineStr">
        <is>
          <t>CELERY'S SURPRISE |  Pokémon SoulSilver Randomizer Nuzlocke #28</t>
        </is>
      </c>
      <c r="H1317" s="41" t="n">
        <v>0.02862268518518519</v>
      </c>
      <c r="I1317" s="42" t="n">
        <v>11535</v>
      </c>
      <c r="J1317" s="42" t="n">
        <v>654</v>
      </c>
      <c r="K1317" s="42" t="n">
        <v>200</v>
      </c>
      <c r="L1317" s="43" t="n"/>
      <c r="M1317" s="44" t="n"/>
      <c r="N1317" s="44" t="inlineStr">
        <is>
          <t>UCor_9jRnNNZVzTuQ92PKsaQ</t>
        </is>
      </c>
      <c r="O1317" s="45" t="n">
        <v>44468.58333333334</v>
      </c>
      <c r="P1317" s="46" t="n">
        <v>44468</v>
      </c>
      <c r="Q1317" s="44" t="n">
        <v>1955</v>
      </c>
      <c r="R1317" s="44" t="inlineStr">
        <is>
          <t>No Video ID yet</t>
        </is>
      </c>
      <c r="S1317" s="46" t="n"/>
      <c r="T1317" s="46" t="n"/>
      <c r="U1317" s="44" t="n"/>
      <c r="V1317" s="44">
        <f>IF(AND(P1317&gt;=Calendar!$K$2,P1317&lt;EDATE(Calendar!$K$2,1),OR(Calendar!$K$4="*",N1317=Calendar!$K$4)),P1317*100+COUNTIFS($P$6:$P$3271,P1317,$Q$6:$Q$3271,"&lt;="&amp;Q1317,$N$6:$N$3271,Calendar!$K$4),"")</f>
        <v/>
      </c>
      <c r="W1317" s="44">
        <f>IF(AND(B1317=Queue!$C$4,OR(Queue!$K$4="*",N1317=Queue!$K$4)),Q1317,"")</f>
        <v/>
      </c>
    </row>
    <row r="1318">
      <c r="A1318" s="35">
        <f>IF(M1318="","",HYPERLINK("https://www.youtube.com/watch?v="&amp;M1318,"▶"))</f>
        <v/>
      </c>
      <c r="B1318" s="36">
        <f>IF(C1318&lt;&gt;"",C1318,IF(P1318&lt;=IFERROR(INDEX(tblChannels[Watched Through],MATCH(N1318,tblChannels[Channel ID],0)),0),"Watched","Unwatched"))</f>
        <v/>
      </c>
      <c r="C1318" s="37" t="n"/>
      <c r="D1318" s="38" t="n"/>
      <c r="E1318" s="39" t="n">
        <v>44467.7125</v>
      </c>
      <c r="F1318" s="47" t="inlineStr">
        <is>
          <t>Super Carlin Brothers</t>
        </is>
      </c>
      <c r="G1318" t="inlineStr">
        <is>
          <t>Why Umbridge Is The WORST Kind of EVIL | Harry Potter Film Theory</t>
        </is>
      </c>
      <c r="H1318" s="41" t="n">
        <v>0.01228009259259259</v>
      </c>
      <c r="I1318" s="42" t="n">
        <v>643006</v>
      </c>
      <c r="J1318" s="42" t="n">
        <v>22681</v>
      </c>
      <c r="K1318" s="42" t="n">
        <v>4544</v>
      </c>
      <c r="L1318" s="43" t="n"/>
      <c r="M1318" s="44" t="n"/>
      <c r="N1318" s="44" t="inlineStr">
        <is>
          <t>UCKZo4N0lVPccBkSiuyVh4yg</t>
        </is>
      </c>
      <c r="O1318" s="45" t="n">
        <v>44467.87916666667</v>
      </c>
      <c r="P1318" s="46" t="n">
        <v>44467</v>
      </c>
      <c r="Q1318" s="44" t="n">
        <v>1954</v>
      </c>
      <c r="R1318" s="44" t="inlineStr">
        <is>
          <t>No Video ID yet</t>
        </is>
      </c>
      <c r="S1318" s="46" t="n"/>
      <c r="T1318" s="46" t="n"/>
      <c r="U1318" s="44" t="n"/>
      <c r="V1318" s="44">
        <f>IF(AND(P1318&gt;=Calendar!$K$2,P1318&lt;EDATE(Calendar!$K$2,1),OR(Calendar!$K$4="*",N1318=Calendar!$K$4)),P1318*100+COUNTIFS($P$6:$P$3271,P1318,$Q$6:$Q$3271,"&lt;="&amp;Q1318,$N$6:$N$3271,Calendar!$K$4),"")</f>
        <v/>
      </c>
      <c r="W1318" s="44">
        <f>IF(AND(B1318=Queue!$C$4,OR(Queue!$K$4="*",N1318=Queue!$K$4)),Q1318,"")</f>
        <v/>
      </c>
    </row>
    <row r="1319">
      <c r="A1319" s="35">
        <f>IF(M1319="","",HYPERLINK("https://www.youtube.com/watch?v="&amp;M1319,"▶"))</f>
        <v/>
      </c>
      <c r="B1319" s="36">
        <f>IF(C1319&lt;&gt;"",C1319,IF(P1319&lt;=IFERROR(INDEX(tblChannels[Watched Through],MATCH(N1319,tblChannels[Channel ID],0)),0),"Watched","Unwatched"))</f>
        <v/>
      </c>
      <c r="C1319" s="37" t="n"/>
      <c r="D1319" s="38" t="n"/>
      <c r="E1319" s="39" t="n">
        <v>44466.41666666666</v>
      </c>
      <c r="F1319" s="49" t="inlineStr">
        <is>
          <t>Super Carlin Gaming</t>
        </is>
      </c>
      <c r="G1319" t="inlineStr">
        <is>
          <t>BROCK AND MISTY |  Pokémon SoulSilver Randomizer Nuzlocke #27</t>
        </is>
      </c>
      <c r="H1319" s="41" t="n">
        <v>0.04034722222222222</v>
      </c>
      <c r="I1319" s="42" t="n">
        <v>13646</v>
      </c>
      <c r="J1319" s="42" t="n">
        <v>667</v>
      </c>
      <c r="K1319" s="42" t="n">
        <v>227</v>
      </c>
      <c r="L1319" s="43" t="n"/>
      <c r="M1319" s="44" t="n"/>
      <c r="N1319" s="44" t="inlineStr">
        <is>
          <t>UCor_9jRnNNZVzTuQ92PKsaQ</t>
        </is>
      </c>
      <c r="O1319" s="45" t="n">
        <v>44466.58333333334</v>
      </c>
      <c r="P1319" s="46" t="n">
        <v>44466</v>
      </c>
      <c r="Q1319" s="44" t="n">
        <v>1953</v>
      </c>
      <c r="R1319" s="44" t="inlineStr">
        <is>
          <t>No Video ID yet</t>
        </is>
      </c>
      <c r="S1319" s="46" t="n"/>
      <c r="T1319" s="46" t="n"/>
      <c r="U1319" s="44" t="n"/>
      <c r="V1319" s="44">
        <f>IF(AND(P1319&gt;=Calendar!$K$2,P1319&lt;EDATE(Calendar!$K$2,1),OR(Calendar!$K$4="*",N1319=Calendar!$K$4)),P1319*100+COUNTIFS($P$6:$P$3271,P1319,$Q$6:$Q$3271,"&lt;="&amp;Q1319,$N$6:$N$3271,Calendar!$K$4),"")</f>
        <v/>
      </c>
      <c r="W1319" s="44">
        <f>IF(AND(B1319=Queue!$C$4,OR(Queue!$K$4="*",N1319=Queue!$K$4)),Q1319,"")</f>
        <v/>
      </c>
    </row>
    <row r="1320">
      <c r="A1320" s="35">
        <f>IF(M1320="","",HYPERLINK("https://www.youtube.com/watch?v="&amp;M1320,"▶"))</f>
        <v/>
      </c>
      <c r="B1320" s="36">
        <f>IF(C1320&lt;&gt;"",C1320,IF(P1320&lt;=IFERROR(INDEX(tblChannels[Watched Through],MATCH(N1320,tblChannels[Channel ID],0)),0),"Watched","Unwatched"))</f>
        <v/>
      </c>
      <c r="C1320" s="37" t="n"/>
      <c r="D1320" s="38" t="n"/>
      <c r="E1320" s="39" t="n">
        <v>44463.84236111111</v>
      </c>
      <c r="F1320" s="47" t="inlineStr">
        <is>
          <t>Super Carlin Brothers</t>
        </is>
      </c>
      <c r="G1320" t="inlineStr">
        <is>
          <t>ALL FANDOMS Trivia Night and Coffee Product Reveal LIVE STREAM!</t>
        </is>
      </c>
      <c r="H1320" s="41" t="n">
        <v>0.08123842592592592</v>
      </c>
      <c r="I1320" s="42" t="n">
        <v>42175</v>
      </c>
      <c r="J1320" s="42" t="n">
        <v>1326</v>
      </c>
      <c r="K1320" s="42" t="n">
        <v>60</v>
      </c>
      <c r="L1320" s="43" t="n"/>
      <c r="M1320" s="44" t="n"/>
      <c r="N1320" s="44" t="inlineStr">
        <is>
          <t>UCKZo4N0lVPccBkSiuyVh4yg</t>
        </is>
      </c>
      <c r="O1320" s="45" t="n">
        <v>44464.00902777778</v>
      </c>
      <c r="P1320" s="46" t="n">
        <v>44463</v>
      </c>
      <c r="Q1320" s="44" t="n">
        <v>1952</v>
      </c>
      <c r="R1320" s="44" t="inlineStr">
        <is>
          <t>No Video ID yet</t>
        </is>
      </c>
      <c r="S1320" s="46" t="n"/>
      <c r="T1320" s="46" t="n"/>
      <c r="U1320" s="44" t="n"/>
      <c r="V1320" s="44">
        <f>IF(AND(P1320&gt;=Calendar!$K$2,P1320&lt;EDATE(Calendar!$K$2,1),OR(Calendar!$K$4="*",N1320=Calendar!$K$4)),P1320*100+COUNTIFS($P$6:$P$3271,P1320,$Q$6:$Q$3271,"&lt;="&amp;Q1320,$N$6:$N$3271,Calendar!$K$4),"")</f>
        <v/>
      </c>
      <c r="W1320" s="44">
        <f>IF(AND(B1320=Queue!$C$4,OR(Queue!$K$4="*",N1320=Queue!$K$4)),Q1320,"")</f>
        <v/>
      </c>
    </row>
    <row r="1321">
      <c r="A1321" s="35">
        <f>IF(M1321="","",HYPERLINK("https://www.youtube.com/watch?v="&amp;M1321,"▶"))</f>
        <v/>
      </c>
      <c r="B1321" s="36">
        <f>IF(C1321&lt;&gt;"",C1321,IF(P1321&lt;=IFERROR(INDEX(tblChannels[Watched Through],MATCH(N1321,tblChannels[Channel ID],0)),0),"Watched","Unwatched"))</f>
        <v/>
      </c>
      <c r="C1321" s="37" t="n"/>
      <c r="D1321" s="38" t="n"/>
      <c r="E1321" s="39" t="n">
        <v>44463.41666666666</v>
      </c>
      <c r="F1321" s="40" t="inlineStr">
        <is>
          <t>Popcorn Culture</t>
        </is>
      </c>
      <c r="G1321" t="inlineStr">
        <is>
          <t>50 First Dates of Frozen | Popcorn Culture</t>
        </is>
      </c>
      <c r="H1321" s="41" t="n">
        <v>0.04846064814814815</v>
      </c>
      <c r="I1321" s="42" t="n">
        <v>11460</v>
      </c>
      <c r="J1321" s="42" t="n">
        <v>535</v>
      </c>
      <c r="K1321" s="42" t="n">
        <v>68</v>
      </c>
      <c r="L1321" s="43" t="n"/>
      <c r="M1321" s="44" t="n"/>
      <c r="N1321" s="44" t="inlineStr">
        <is>
          <t>UCHfIbq9thHPC8yrKjAdJgDA</t>
        </is>
      </c>
      <c r="O1321" s="45" t="n">
        <v>44463.58333333334</v>
      </c>
      <c r="P1321" s="46" t="n">
        <v>44463</v>
      </c>
      <c r="Q1321" s="44" t="n">
        <v>1951</v>
      </c>
      <c r="R1321" s="44" t="inlineStr">
        <is>
          <t>No Video ID yet</t>
        </is>
      </c>
      <c r="S1321" s="46" t="n"/>
      <c r="T1321" s="46" t="n"/>
      <c r="U1321" s="44" t="n"/>
      <c r="V1321" s="44">
        <f>IF(AND(P1321&gt;=Calendar!$K$2,P1321&lt;EDATE(Calendar!$K$2,1),OR(Calendar!$K$4="*",N1321=Calendar!$K$4)),P1321*100+COUNTIFS($P$6:$P$3271,P1321,$Q$6:$Q$3271,"&lt;="&amp;Q1321,$N$6:$N$3271,Calendar!$K$4),"")</f>
        <v/>
      </c>
      <c r="W1321" s="44">
        <f>IF(AND(B1321=Queue!$C$4,OR(Queue!$K$4="*",N1321=Queue!$K$4)),Q1321,"")</f>
        <v/>
      </c>
    </row>
    <row r="1322">
      <c r="A1322" s="35">
        <f>IF(M1322="","",HYPERLINK("https://www.youtube.com/watch?v="&amp;M1322,"▶"))</f>
        <v/>
      </c>
      <c r="B1322" s="36">
        <f>IF(C1322&lt;&gt;"",C1322,IF(P1322&lt;=IFERROR(INDEX(tblChannels[Watched Through],MATCH(N1322,tblChannels[Channel ID],0)),0),"Watched","Unwatched"))</f>
        <v/>
      </c>
      <c r="C1322" s="37" t="n"/>
      <c r="D1322" s="38" t="n"/>
      <c r="E1322" s="39" t="n">
        <v>44462.66875</v>
      </c>
      <c r="F1322" s="47" t="inlineStr">
        <is>
          <t>Super Carlin Brothers</t>
        </is>
      </c>
      <c r="G1322" t="inlineStr">
        <is>
          <t>"The Secrets of Dumbledore" Title Explained | Harry Potter Theory</t>
        </is>
      </c>
      <c r="H1322" s="41" t="n">
        <v>0.01009259259259259</v>
      </c>
      <c r="I1322" s="42" t="n">
        <v>267643</v>
      </c>
      <c r="J1322" s="42" t="n">
        <v>12234</v>
      </c>
      <c r="K1322" s="42" t="n">
        <v>1229</v>
      </c>
      <c r="L1322" s="43" t="n"/>
      <c r="M1322" s="44" t="n"/>
      <c r="N1322" s="44" t="inlineStr">
        <is>
          <t>UCKZo4N0lVPccBkSiuyVh4yg</t>
        </is>
      </c>
      <c r="O1322" s="45" t="n">
        <v>44462.83541666667</v>
      </c>
      <c r="P1322" s="46" t="n">
        <v>44462</v>
      </c>
      <c r="Q1322" s="44" t="n">
        <v>1950</v>
      </c>
      <c r="R1322" s="44" t="inlineStr">
        <is>
          <t>No Video ID yet</t>
        </is>
      </c>
      <c r="S1322" s="46" t="n"/>
      <c r="T1322" s="46" t="n"/>
      <c r="U1322" s="44" t="n"/>
      <c r="V1322" s="44">
        <f>IF(AND(P1322&gt;=Calendar!$K$2,P1322&lt;EDATE(Calendar!$K$2,1),OR(Calendar!$K$4="*",N1322=Calendar!$K$4)),P1322*100+COUNTIFS($P$6:$P$3271,P1322,$Q$6:$Q$3271,"&lt;="&amp;Q1322,$N$6:$N$3271,Calendar!$K$4),"")</f>
        <v/>
      </c>
      <c r="W1322" s="44">
        <f>IF(AND(B1322=Queue!$C$4,OR(Queue!$K$4="*",N1322=Queue!$K$4)),Q1322,"")</f>
        <v/>
      </c>
    </row>
    <row r="1323">
      <c r="A1323" s="35">
        <f>IF(M1323="","",HYPERLINK("https://www.youtube.com/watch?v="&amp;M1323,"▶"))</f>
        <v/>
      </c>
      <c r="B1323" s="36">
        <f>IF(C1323&lt;&gt;"",C1323,IF(P1323&lt;=IFERROR(INDEX(tblChannels[Watched Through],MATCH(N1323,tblChannels[Channel ID],0)),0),"Watched","Unwatched"))</f>
        <v/>
      </c>
      <c r="C1323" s="37" t="n"/>
      <c r="D1323" s="38" t="n"/>
      <c r="E1323" s="39" t="n">
        <v>44461.41666666666</v>
      </c>
      <c r="F1323" s="49" t="inlineStr">
        <is>
          <t>Super Carlin Gaming</t>
        </is>
      </c>
      <c r="G1323" t="inlineStr">
        <is>
          <t>ICE. ICE. BABY. |  Pokémon SoulSilver Randomizer Nuzlocke #26</t>
        </is>
      </c>
      <c r="H1323" s="41" t="n">
        <v>0.02555555555555556</v>
      </c>
      <c r="I1323" s="42" t="n">
        <v>12592</v>
      </c>
      <c r="J1323" s="42" t="n">
        <v>695</v>
      </c>
      <c r="K1323" s="42" t="n">
        <v>96</v>
      </c>
      <c r="L1323" s="43" t="n"/>
      <c r="M1323" s="44" t="n"/>
      <c r="N1323" s="44" t="inlineStr">
        <is>
          <t>UCor_9jRnNNZVzTuQ92PKsaQ</t>
        </is>
      </c>
      <c r="O1323" s="45" t="n">
        <v>44461.58333333334</v>
      </c>
      <c r="P1323" s="46" t="n">
        <v>44461</v>
      </c>
      <c r="Q1323" s="44" t="n">
        <v>1949</v>
      </c>
      <c r="R1323" s="44" t="inlineStr">
        <is>
          <t>No Video ID yet</t>
        </is>
      </c>
      <c r="S1323" s="46" t="n"/>
      <c r="T1323" s="46" t="n"/>
      <c r="U1323" s="44" t="n"/>
      <c r="V1323" s="44">
        <f>IF(AND(P1323&gt;=Calendar!$K$2,P1323&lt;EDATE(Calendar!$K$2,1),OR(Calendar!$K$4="*",N1323=Calendar!$K$4)),P1323*100+COUNTIFS($P$6:$P$3271,P1323,$Q$6:$Q$3271,"&lt;="&amp;Q1323,$N$6:$N$3271,Calendar!$K$4),"")</f>
        <v/>
      </c>
      <c r="W1323" s="44">
        <f>IF(AND(B1323=Queue!$C$4,OR(Queue!$K$4="*",N1323=Queue!$K$4)),Q1323,"")</f>
        <v/>
      </c>
    </row>
    <row r="1324">
      <c r="A1324" s="35">
        <f>IF(M1324="","",HYPERLINK("https://www.youtube.com/watch?v="&amp;M1324,"▶"))</f>
        <v/>
      </c>
      <c r="B1324" s="36">
        <f>IF(C1324&lt;&gt;"",C1324,IF(P1324&lt;=IFERROR(INDEX(tblChannels[Watched Through],MATCH(N1324,tblChannels[Channel ID],0)),0),"Watched","Unwatched"))</f>
        <v/>
      </c>
      <c r="C1324" s="37" t="n"/>
      <c r="D1324" s="38" t="n"/>
      <c r="E1324" s="39" t="n">
        <v>44460.70694444444</v>
      </c>
      <c r="F1324" s="47" t="inlineStr">
        <is>
          <t>Super Carlin Brothers</t>
        </is>
      </c>
      <c r="G1324" t="inlineStr">
        <is>
          <t>The THUNDERBOLTS Are Coming! | Marvel Film Theory</t>
        </is>
      </c>
      <c r="H1324" s="41" t="n">
        <v>0.01140046296296296</v>
      </c>
      <c r="I1324" s="42" t="n">
        <v>156616</v>
      </c>
      <c r="J1324" s="42" t="n">
        <v>8083</v>
      </c>
      <c r="K1324" s="42" t="n">
        <v>875</v>
      </c>
      <c r="L1324" s="43" t="n"/>
      <c r="M1324" s="44" t="n"/>
      <c r="N1324" s="44" t="inlineStr">
        <is>
          <t>UCKZo4N0lVPccBkSiuyVh4yg</t>
        </is>
      </c>
      <c r="O1324" s="45" t="n">
        <v>44460.87361111111</v>
      </c>
      <c r="P1324" s="46" t="n">
        <v>44460</v>
      </c>
      <c r="Q1324" s="44" t="n">
        <v>1948</v>
      </c>
      <c r="R1324" s="44" t="inlineStr">
        <is>
          <t>No Video ID yet</t>
        </is>
      </c>
      <c r="S1324" s="46" t="n"/>
      <c r="T1324" s="46" t="n"/>
      <c r="U1324" s="44" t="n"/>
      <c r="V1324" s="44">
        <f>IF(AND(P1324&gt;=Calendar!$K$2,P1324&lt;EDATE(Calendar!$K$2,1),OR(Calendar!$K$4="*",N1324=Calendar!$K$4)),P1324*100+COUNTIFS($P$6:$P$3271,P1324,$Q$6:$Q$3271,"&lt;="&amp;Q1324,$N$6:$N$3271,Calendar!$K$4),"")</f>
        <v/>
      </c>
      <c r="W1324" s="44">
        <f>IF(AND(B1324=Queue!$C$4,OR(Queue!$K$4="*",N1324=Queue!$K$4)),Q1324,"")</f>
        <v/>
      </c>
    </row>
    <row r="1325">
      <c r="A1325" s="35">
        <f>IF(M1325="","",HYPERLINK("https://www.youtube.com/watch?v="&amp;M1325,"▶"))</f>
        <v/>
      </c>
      <c r="B1325" s="36">
        <f>IF(C1325&lt;&gt;"",C1325,IF(P1325&lt;=IFERROR(INDEX(tblChannels[Watched Through],MATCH(N1325,tblChannels[Channel ID],0)),0),"Watched","Unwatched"))</f>
        <v/>
      </c>
      <c r="C1325" s="37" t="n"/>
      <c r="D1325" s="38" t="n"/>
      <c r="E1325" s="39" t="n">
        <v>44459.41666666666</v>
      </c>
      <c r="F1325" s="49" t="inlineStr">
        <is>
          <t>Super Carlin Gaming</t>
        </is>
      </c>
      <c r="G1325" t="inlineStr">
        <is>
          <t>THE BUG'S LIFE |  Pokémon SoulSilver Randomizer Nuzlocke #25</t>
        </is>
      </c>
      <c r="H1325" s="41" t="n">
        <v>0.0319675925925926</v>
      </c>
      <c r="I1325" s="42" t="n">
        <v>14262</v>
      </c>
      <c r="J1325" s="42" t="n">
        <v>741</v>
      </c>
      <c r="K1325" s="42" t="n">
        <v>158</v>
      </c>
      <c r="L1325" s="43" t="n"/>
      <c r="M1325" s="44" t="n"/>
      <c r="N1325" s="44" t="inlineStr">
        <is>
          <t>UCor_9jRnNNZVzTuQ92PKsaQ</t>
        </is>
      </c>
      <c r="O1325" s="45" t="n">
        <v>44459.58333333334</v>
      </c>
      <c r="P1325" s="46" t="n">
        <v>44459</v>
      </c>
      <c r="Q1325" s="44" t="n">
        <v>1947</v>
      </c>
      <c r="R1325" s="44" t="inlineStr">
        <is>
          <t>No Video ID yet</t>
        </is>
      </c>
      <c r="S1325" s="46" t="n"/>
      <c r="T1325" s="46" t="n"/>
      <c r="U1325" s="44" t="n"/>
      <c r="V1325" s="44">
        <f>IF(AND(P1325&gt;=Calendar!$K$2,P1325&lt;EDATE(Calendar!$K$2,1),OR(Calendar!$K$4="*",N1325=Calendar!$K$4)),P1325*100+COUNTIFS($P$6:$P$3271,P1325,$Q$6:$Q$3271,"&lt;="&amp;Q1325,$N$6:$N$3271,Calendar!$K$4),"")</f>
        <v/>
      </c>
      <c r="W1325" s="44">
        <f>IF(AND(B1325=Queue!$C$4,OR(Queue!$K$4="*",N1325=Queue!$K$4)),Q1325,"")</f>
        <v/>
      </c>
    </row>
    <row r="1326">
      <c r="A1326" s="35">
        <f>IF(M1326="","",HYPERLINK("https://www.youtube.com/watch?v="&amp;M1326,"▶"))</f>
        <v/>
      </c>
      <c r="B1326" s="36">
        <f>IF(C1326&lt;&gt;"",C1326,IF(P1326&lt;=IFERROR(INDEX(tblChannels[Watched Through],MATCH(N1326,tblChannels[Channel ID],0)),0),"Watched","Unwatched"))</f>
        <v/>
      </c>
      <c r="C1326" s="37" t="n"/>
      <c r="D1326" s="38" t="n"/>
      <c r="E1326" s="39" t="n">
        <v>44456.41666666666</v>
      </c>
      <c r="F1326" s="40" t="inlineStr">
        <is>
          <t>Popcorn Culture</t>
        </is>
      </c>
      <c r="G1326" t="inlineStr">
        <is>
          <t>How to Win at Tic-Tac-Toe | Popcorn Culture</t>
        </is>
      </c>
      <c r="H1326" s="41" t="n">
        <v>0.05668981481481482</v>
      </c>
      <c r="I1326" s="42" t="n">
        <v>14599</v>
      </c>
      <c r="J1326" s="42" t="n">
        <v>668</v>
      </c>
      <c r="K1326" s="42" t="n">
        <v>99</v>
      </c>
      <c r="L1326" s="43" t="n"/>
      <c r="M1326" s="44" t="n"/>
      <c r="N1326" s="44" t="inlineStr">
        <is>
          <t>UCHfIbq9thHPC8yrKjAdJgDA</t>
        </is>
      </c>
      <c r="O1326" s="45" t="n">
        <v>44456.58333333334</v>
      </c>
      <c r="P1326" s="46" t="n">
        <v>44456</v>
      </c>
      <c r="Q1326" s="44" t="n">
        <v>1946</v>
      </c>
      <c r="R1326" s="44" t="inlineStr">
        <is>
          <t>No Video ID yet</t>
        </is>
      </c>
      <c r="S1326" s="46" t="n"/>
      <c r="T1326" s="46" t="n"/>
      <c r="U1326" s="44" t="n"/>
      <c r="V1326" s="44">
        <f>IF(AND(P1326&gt;=Calendar!$K$2,P1326&lt;EDATE(Calendar!$K$2,1),OR(Calendar!$K$4="*",N1326=Calendar!$K$4)),P1326*100+COUNTIFS($P$6:$P$3271,P1326,$Q$6:$Q$3271,"&lt;="&amp;Q1326,$N$6:$N$3271,Calendar!$K$4),"")</f>
        <v/>
      </c>
      <c r="W1326" s="44">
        <f>IF(AND(B1326=Queue!$C$4,OR(Queue!$K$4="*",N1326=Queue!$K$4)),Q1326,"")</f>
        <v/>
      </c>
    </row>
    <row r="1327">
      <c r="A1327" s="35">
        <f>IF(M1327="","",HYPERLINK("https://www.youtube.com/watch?v="&amp;M1327,"▶"))</f>
        <v/>
      </c>
      <c r="B1327" s="36">
        <f>IF(C1327&lt;&gt;"",C1327,IF(P1327&lt;=IFERROR(INDEX(tblChannels[Watched Through],MATCH(N1327,tblChannels[Channel ID],0)),0),"Watched","Unwatched"))</f>
        <v/>
      </c>
      <c r="C1327" s="37" t="n"/>
      <c r="D1327" s="38" t="n"/>
      <c r="E1327" s="39" t="n">
        <v>44455.70416666667</v>
      </c>
      <c r="F1327" s="47" t="inlineStr">
        <is>
          <t>Super Carlin Brothers</t>
        </is>
      </c>
      <c r="G1327" t="inlineStr">
        <is>
          <t>J vs Ben: IMPOSSIBLE Marvel “Who Said It?” GAME</t>
        </is>
      </c>
      <c r="H1327" s="41" t="n">
        <v>0.01979166666666667</v>
      </c>
      <c r="I1327" s="42" t="n">
        <v>200007</v>
      </c>
      <c r="J1327" s="42" t="n">
        <v>8595</v>
      </c>
      <c r="K1327" s="42" t="n">
        <v>700</v>
      </c>
      <c r="L1327" s="43" t="n"/>
      <c r="M1327" s="44" t="n"/>
      <c r="N1327" s="44" t="inlineStr">
        <is>
          <t>UCKZo4N0lVPccBkSiuyVh4yg</t>
        </is>
      </c>
      <c r="O1327" s="45" t="n">
        <v>44455.87083333333</v>
      </c>
      <c r="P1327" s="46" t="n">
        <v>44455</v>
      </c>
      <c r="Q1327" s="44" t="n">
        <v>1945</v>
      </c>
      <c r="R1327" s="44" t="inlineStr">
        <is>
          <t>No Video ID yet</t>
        </is>
      </c>
      <c r="S1327" s="46" t="n"/>
      <c r="T1327" s="46" t="n"/>
      <c r="U1327" s="44" t="n"/>
      <c r="V1327" s="44">
        <f>IF(AND(P1327&gt;=Calendar!$K$2,P1327&lt;EDATE(Calendar!$K$2,1),OR(Calendar!$K$4="*",N1327=Calendar!$K$4)),P1327*100+COUNTIFS($P$6:$P$3271,P1327,$Q$6:$Q$3271,"&lt;="&amp;Q1327,$N$6:$N$3271,Calendar!$K$4),"")</f>
        <v/>
      </c>
      <c r="W1327" s="44">
        <f>IF(AND(B1327=Queue!$C$4,OR(Queue!$K$4="*",N1327=Queue!$K$4)),Q1327,"")</f>
        <v/>
      </c>
    </row>
    <row r="1328">
      <c r="A1328" s="35">
        <f>IF(M1328="","",HYPERLINK("https://www.youtube.com/watch?v="&amp;M1328,"▶"))</f>
        <v/>
      </c>
      <c r="B1328" s="36">
        <f>IF(C1328&lt;&gt;"",C1328,IF(P1328&lt;=IFERROR(INDEX(tblChannels[Watched Through],MATCH(N1328,tblChannels[Channel ID],0)),0),"Watched","Unwatched"))</f>
        <v/>
      </c>
      <c r="C1328" s="37" t="n"/>
      <c r="D1328" s="38" t="n"/>
      <c r="E1328" s="39" t="n">
        <v>44454.73888888889</v>
      </c>
      <c r="F1328" s="49" t="inlineStr">
        <is>
          <t>Super Carlin Gaming</t>
        </is>
      </c>
      <c r="G1328" t="inlineStr">
        <is>
          <t>LIVE! MASSIVE POKÉMON CARD UNBOXING - EVOLVING SKIES</t>
        </is>
      </c>
      <c r="H1328" s="41" t="n">
        <v>0.1006828703703704</v>
      </c>
      <c r="I1328" s="42" t="n">
        <v>6575</v>
      </c>
      <c r="J1328" s="42" t="n">
        <v>226</v>
      </c>
      <c r="K1328" s="42" t="n">
        <v>22</v>
      </c>
      <c r="L1328" s="43" t="n"/>
      <c r="M1328" s="44" t="n"/>
      <c r="N1328" s="44" t="inlineStr">
        <is>
          <t>UCor_9jRnNNZVzTuQ92PKsaQ</t>
        </is>
      </c>
      <c r="O1328" s="45" t="n">
        <v>44454.90555555555</v>
      </c>
      <c r="P1328" s="46" t="n">
        <v>44454</v>
      </c>
      <c r="Q1328" s="44" t="n">
        <v>1944</v>
      </c>
      <c r="R1328" s="44" t="inlineStr">
        <is>
          <t>No Video ID yet</t>
        </is>
      </c>
      <c r="S1328" s="46" t="n"/>
      <c r="T1328" s="46" t="n"/>
      <c r="U1328" s="44" t="n"/>
      <c r="V1328" s="44">
        <f>IF(AND(P1328&gt;=Calendar!$K$2,P1328&lt;EDATE(Calendar!$K$2,1),OR(Calendar!$K$4="*",N1328=Calendar!$K$4)),P1328*100+COUNTIFS($P$6:$P$3271,P1328,$Q$6:$Q$3271,"&lt;="&amp;Q1328,$N$6:$N$3271,Calendar!$K$4),"")</f>
        <v/>
      </c>
      <c r="W1328" s="44">
        <f>IF(AND(B1328=Queue!$C$4,OR(Queue!$K$4="*",N1328=Queue!$K$4)),Q1328,"")</f>
        <v/>
      </c>
    </row>
    <row r="1329">
      <c r="A1329" s="35">
        <f>IF(M1329="","",HYPERLINK("https://www.youtube.com/watch?v="&amp;M1329,"▶"))</f>
        <v/>
      </c>
      <c r="B1329" s="36">
        <f>IF(C1329&lt;&gt;"",C1329,IF(P1329&lt;=IFERROR(INDEX(tblChannels[Watched Through],MATCH(N1329,tblChannels[Channel ID],0)),0),"Watched","Unwatched"))</f>
        <v/>
      </c>
      <c r="C1329" s="37" t="n"/>
      <c r="D1329" s="38" t="n"/>
      <c r="E1329" s="39" t="n">
        <v>44453.67361111111</v>
      </c>
      <c r="F1329" s="47" t="inlineStr">
        <is>
          <t>Super Carlin Brothers</t>
        </is>
      </c>
      <c r="G1329" t="inlineStr">
        <is>
          <t>The Lestrange Family’s SECRET Origins | Harry Potter Theory</t>
        </is>
      </c>
      <c r="H1329" s="41" t="n">
        <v>0.01216435185185185</v>
      </c>
      <c r="I1329" s="42" t="n">
        <v>341497</v>
      </c>
      <c r="J1329" s="42" t="n">
        <v>13767</v>
      </c>
      <c r="K1329" s="42" t="n">
        <v>894</v>
      </c>
      <c r="L1329" s="43" t="n"/>
      <c r="M1329" s="44" t="n"/>
      <c r="N1329" s="44" t="inlineStr">
        <is>
          <t>UCKZo4N0lVPccBkSiuyVh4yg</t>
        </is>
      </c>
      <c r="O1329" s="45" t="n">
        <v>44453.84027777778</v>
      </c>
      <c r="P1329" s="46" t="n">
        <v>44453</v>
      </c>
      <c r="Q1329" s="44" t="n">
        <v>1943</v>
      </c>
      <c r="R1329" s="44" t="inlineStr">
        <is>
          <t>No Video ID yet</t>
        </is>
      </c>
      <c r="S1329" s="46" t="n"/>
      <c r="T1329" s="46" t="n"/>
      <c r="U1329" s="44" t="n"/>
      <c r="V1329" s="44">
        <f>IF(AND(P1329&gt;=Calendar!$K$2,P1329&lt;EDATE(Calendar!$K$2,1),OR(Calendar!$K$4="*",N1329=Calendar!$K$4)),P1329*100+COUNTIFS($P$6:$P$3271,P1329,$Q$6:$Q$3271,"&lt;="&amp;Q1329,$N$6:$N$3271,Calendar!$K$4),"")</f>
        <v/>
      </c>
      <c r="W1329" s="44">
        <f>IF(AND(B1329=Queue!$C$4,OR(Queue!$K$4="*",N1329=Queue!$K$4)),Q1329,"")</f>
        <v/>
      </c>
    </row>
    <row r="1330">
      <c r="A1330" s="35">
        <f>IF(M1330="","",HYPERLINK("https://www.youtube.com/watch?v="&amp;M1330,"▶"))</f>
        <v/>
      </c>
      <c r="B1330" s="36">
        <f>IF(C1330&lt;&gt;"",C1330,IF(P1330&lt;=IFERROR(INDEX(tblChannels[Watched Through],MATCH(N1330,tblChannels[Channel ID],0)),0),"Watched","Unwatched"))</f>
        <v/>
      </c>
      <c r="C1330" s="37" t="n"/>
      <c r="D1330" s="38" t="n"/>
      <c r="E1330" s="39" t="n">
        <v>44452.41666666666</v>
      </c>
      <c r="F1330" s="49" t="inlineStr">
        <is>
          <t>Super Carlin Gaming</t>
        </is>
      </c>
      <c r="G1330" t="inlineStr">
        <is>
          <t>DANCE OF THE DRAGONS |  Pokémon SoulSilver Randomizer Nuzlocke #24</t>
        </is>
      </c>
      <c r="H1330" s="41" t="n">
        <v>0.02576388888888889</v>
      </c>
      <c r="I1330" s="42" t="n">
        <v>14230</v>
      </c>
      <c r="J1330" s="42" t="n">
        <v>804</v>
      </c>
      <c r="K1330" s="42" t="n">
        <v>135</v>
      </c>
      <c r="L1330" s="43" t="n"/>
      <c r="M1330" s="44" t="n"/>
      <c r="N1330" s="44" t="inlineStr">
        <is>
          <t>UCor_9jRnNNZVzTuQ92PKsaQ</t>
        </is>
      </c>
      <c r="O1330" s="45" t="n">
        <v>44452.58333333334</v>
      </c>
      <c r="P1330" s="46" t="n">
        <v>44452</v>
      </c>
      <c r="Q1330" s="44" t="n">
        <v>1942</v>
      </c>
      <c r="R1330" s="44" t="inlineStr">
        <is>
          <t>No Video ID yet</t>
        </is>
      </c>
      <c r="S1330" s="46" t="n"/>
      <c r="T1330" s="46" t="n"/>
      <c r="U1330" s="44" t="n"/>
      <c r="V1330" s="44">
        <f>IF(AND(P1330&gt;=Calendar!$K$2,P1330&lt;EDATE(Calendar!$K$2,1),OR(Calendar!$K$4="*",N1330=Calendar!$K$4)),P1330*100+COUNTIFS($P$6:$P$3271,P1330,$Q$6:$Q$3271,"&lt;="&amp;Q1330,$N$6:$N$3271,Calendar!$K$4),"")</f>
        <v/>
      </c>
      <c r="W1330" s="44">
        <f>IF(AND(B1330=Queue!$C$4,OR(Queue!$K$4="*",N1330=Queue!$K$4)),Q1330,"")</f>
        <v/>
      </c>
    </row>
    <row r="1331">
      <c r="A1331" s="35">
        <f>IF(M1331="","",HYPERLINK("https://www.youtube.com/watch?v="&amp;M1331,"▶"))</f>
        <v/>
      </c>
      <c r="B1331" s="36">
        <f>IF(C1331&lt;&gt;"",C1331,IF(P1331&lt;=IFERROR(INDEX(tblChannels[Watched Through],MATCH(N1331,tblChannels[Channel ID],0)),0),"Watched","Unwatched"))</f>
        <v/>
      </c>
      <c r="C1331" s="37" t="n"/>
      <c r="D1331" s="38" t="n"/>
      <c r="E1331" s="39" t="n">
        <v>44449.41666666666</v>
      </c>
      <c r="F1331" s="40" t="inlineStr">
        <is>
          <t>Popcorn Culture</t>
        </is>
      </c>
      <c r="G1331" t="inlineStr">
        <is>
          <t>YouTube is a Glacier Moving Through Time | Popcorn Culture</t>
        </is>
      </c>
      <c r="H1331" s="41" t="n">
        <v>0.0467824074074074</v>
      </c>
      <c r="I1331" s="42" t="n">
        <v>10344</v>
      </c>
      <c r="J1331" s="42" t="n">
        <v>474</v>
      </c>
      <c r="K1331" s="42" t="n">
        <v>99</v>
      </c>
      <c r="L1331" s="43" t="n"/>
      <c r="M1331" s="44" t="n"/>
      <c r="N1331" s="44" t="inlineStr">
        <is>
          <t>UCHfIbq9thHPC8yrKjAdJgDA</t>
        </is>
      </c>
      <c r="O1331" s="45" t="n">
        <v>44449.58333333334</v>
      </c>
      <c r="P1331" s="46" t="n">
        <v>44449</v>
      </c>
      <c r="Q1331" s="44" t="n">
        <v>1941</v>
      </c>
      <c r="R1331" s="44" t="inlineStr">
        <is>
          <t>No Video ID yet</t>
        </is>
      </c>
      <c r="S1331" s="46" t="n"/>
      <c r="T1331" s="46" t="n"/>
      <c r="U1331" s="44" t="n"/>
      <c r="V1331" s="44">
        <f>IF(AND(P1331&gt;=Calendar!$K$2,P1331&lt;EDATE(Calendar!$K$2,1),OR(Calendar!$K$4="*",N1331=Calendar!$K$4)),P1331*100+COUNTIFS($P$6:$P$3271,P1331,$Q$6:$Q$3271,"&lt;="&amp;Q1331,$N$6:$N$3271,Calendar!$K$4),"")</f>
        <v/>
      </c>
      <c r="W1331" s="44">
        <f>IF(AND(B1331=Queue!$C$4,OR(Queue!$K$4="*",N1331=Queue!$K$4)),Q1331,"")</f>
        <v/>
      </c>
    </row>
    <row r="1332">
      <c r="A1332" s="35">
        <f>IF(M1332="","",HYPERLINK("https://www.youtube.com/watch?v="&amp;M1332,"▶"))</f>
        <v/>
      </c>
      <c r="B1332" s="36">
        <f>IF(C1332&lt;&gt;"",C1332,IF(P1332&lt;=IFERROR(INDEX(tblChannels[Watched Through],MATCH(N1332,tblChannels[Channel ID],0)),0),"Watched","Unwatched"))</f>
        <v/>
      </c>
      <c r="C1332" s="37" t="n"/>
      <c r="D1332" s="38" t="n"/>
      <c r="E1332" s="39" t="n">
        <v>44448.70625</v>
      </c>
      <c r="F1332" s="47" t="inlineStr">
        <is>
          <t>Super Carlin Brothers</t>
        </is>
      </c>
      <c r="G1332" t="inlineStr">
        <is>
          <t>Where Did The Ten Rings Come From? | Marvel Theory</t>
        </is>
      </c>
      <c r="H1332" s="41" t="n">
        <v>0.009375</v>
      </c>
      <c r="I1332" s="42" t="n">
        <v>168341</v>
      </c>
      <c r="J1332" s="42" t="n">
        <v>6724</v>
      </c>
      <c r="K1332" s="42" t="n">
        <v>638</v>
      </c>
      <c r="L1332" s="43" t="n"/>
      <c r="M1332" s="44" t="n"/>
      <c r="N1332" s="44" t="inlineStr">
        <is>
          <t>UCKZo4N0lVPccBkSiuyVh4yg</t>
        </is>
      </c>
      <c r="O1332" s="45" t="n">
        <v>44448.87291666667</v>
      </c>
      <c r="P1332" s="46" t="n">
        <v>44448</v>
      </c>
      <c r="Q1332" s="44" t="n">
        <v>1940</v>
      </c>
      <c r="R1332" s="44" t="inlineStr">
        <is>
          <t>No Video ID yet</t>
        </is>
      </c>
      <c r="S1332" s="46" t="n"/>
      <c r="T1332" s="46" t="n"/>
      <c r="U1332" s="44" t="n"/>
      <c r="V1332" s="44">
        <f>IF(AND(P1332&gt;=Calendar!$K$2,P1332&lt;EDATE(Calendar!$K$2,1),OR(Calendar!$K$4="*",N1332=Calendar!$K$4)),P1332*100+COUNTIFS($P$6:$P$3271,P1332,$Q$6:$Q$3271,"&lt;="&amp;Q1332,$N$6:$N$3271,Calendar!$K$4),"")</f>
        <v/>
      </c>
      <c r="W1332" s="44">
        <f>IF(AND(B1332=Queue!$C$4,OR(Queue!$K$4="*",N1332=Queue!$K$4)),Q1332,"")</f>
        <v/>
      </c>
    </row>
    <row r="1333">
      <c r="A1333" s="35">
        <f>IF(M1333="","",HYPERLINK("https://www.youtube.com/watch?v="&amp;M1333,"▶"))</f>
        <v/>
      </c>
      <c r="B1333" s="36">
        <f>IF(C1333&lt;&gt;"",C1333,IF(P1333&lt;=IFERROR(INDEX(tblChannels[Watched Through],MATCH(N1333,tblChannels[Channel ID],0)),0),"Watched","Unwatched"))</f>
        <v/>
      </c>
      <c r="C1333" s="37" t="n"/>
      <c r="D1333" s="38" t="n"/>
      <c r="E1333" s="39" t="n">
        <v>44447.41666666666</v>
      </c>
      <c r="F1333" s="49" t="inlineStr">
        <is>
          <t>Super Carlin Gaming</t>
        </is>
      </c>
      <c r="G1333" t="inlineStr">
        <is>
          <t>A SLASH TOO SOON |  Pokémon SoulSilver Randomizer Nuzlocke #23</t>
        </is>
      </c>
      <c r="H1333" s="41" t="n">
        <v>0.02949074074074074</v>
      </c>
      <c r="I1333" s="42" t="n">
        <v>15108</v>
      </c>
      <c r="J1333" s="42" t="n">
        <v>1011</v>
      </c>
      <c r="K1333" s="42" t="n">
        <v>307</v>
      </c>
      <c r="L1333" s="43" t="n"/>
      <c r="M1333" s="44" t="n"/>
      <c r="N1333" s="44" t="inlineStr">
        <is>
          <t>UCor_9jRnNNZVzTuQ92PKsaQ</t>
        </is>
      </c>
      <c r="O1333" s="45" t="n">
        <v>44447.58333333334</v>
      </c>
      <c r="P1333" s="46" t="n">
        <v>44447</v>
      </c>
      <c r="Q1333" s="44" t="n">
        <v>1939</v>
      </c>
      <c r="R1333" s="44" t="inlineStr">
        <is>
          <t>No Video ID yet</t>
        </is>
      </c>
      <c r="S1333" s="46" t="n"/>
      <c r="T1333" s="46" t="n"/>
      <c r="U1333" s="44" t="n"/>
      <c r="V1333" s="44">
        <f>IF(AND(P1333&gt;=Calendar!$K$2,P1333&lt;EDATE(Calendar!$K$2,1),OR(Calendar!$K$4="*",N1333=Calendar!$K$4)),P1333*100+COUNTIFS($P$6:$P$3271,P1333,$Q$6:$Q$3271,"&lt;="&amp;Q1333,$N$6:$N$3271,Calendar!$K$4),"")</f>
        <v/>
      </c>
      <c r="W1333" s="44">
        <f>IF(AND(B1333=Queue!$C$4,OR(Queue!$K$4="*",N1333=Queue!$K$4)),Q1333,"")</f>
        <v/>
      </c>
    </row>
    <row r="1334">
      <c r="A1334" s="35">
        <f>IF(M1334="","",HYPERLINK("https://www.youtube.com/watch?v="&amp;M1334,"▶"))</f>
        <v/>
      </c>
      <c r="B1334" s="36">
        <f>IF(C1334&lt;&gt;"",C1334,IF(P1334&lt;=IFERROR(INDEX(tblChannels[Watched Through],MATCH(N1334,tblChannels[Channel ID],0)),0),"Watched","Unwatched"))</f>
        <v/>
      </c>
      <c r="C1334" s="37" t="n"/>
      <c r="D1334" s="38" t="n"/>
      <c r="E1334" s="39" t="n">
        <v>44446.71458333333</v>
      </c>
      <c r="F1334" s="47" t="inlineStr">
        <is>
          <t>Super Carlin Brothers</t>
        </is>
      </c>
      <c r="G1334" t="inlineStr">
        <is>
          <t>Shang-Chi and the Legend of the Ten Rings | REVIEW &amp; Theories</t>
        </is>
      </c>
      <c r="H1334" s="41" t="n">
        <v>0.03608796296296296</v>
      </c>
      <c r="I1334" s="42" t="n">
        <v>111495</v>
      </c>
      <c r="J1334" s="42" t="n">
        <v>4420</v>
      </c>
      <c r="K1334" s="42" t="n">
        <v>878</v>
      </c>
      <c r="L1334" s="43" t="n"/>
      <c r="M1334" s="44" t="n"/>
      <c r="N1334" s="44" t="inlineStr">
        <is>
          <t>UCKZo4N0lVPccBkSiuyVh4yg</t>
        </is>
      </c>
      <c r="O1334" s="45" t="n">
        <v>44446.88125</v>
      </c>
      <c r="P1334" s="46" t="n">
        <v>44446</v>
      </c>
      <c r="Q1334" s="44" t="n">
        <v>1938</v>
      </c>
      <c r="R1334" s="44" t="inlineStr">
        <is>
          <t>No Video ID yet</t>
        </is>
      </c>
      <c r="S1334" s="46" t="n"/>
      <c r="T1334" s="46" t="n"/>
      <c r="U1334" s="44" t="n"/>
      <c r="V1334" s="44">
        <f>IF(AND(P1334&gt;=Calendar!$K$2,P1334&lt;EDATE(Calendar!$K$2,1),OR(Calendar!$K$4="*",N1334=Calendar!$K$4)),P1334*100+COUNTIFS($P$6:$P$3271,P1334,$Q$6:$Q$3271,"&lt;="&amp;Q1334,$N$6:$N$3271,Calendar!$K$4),"")</f>
        <v/>
      </c>
      <c r="W1334" s="44">
        <f>IF(AND(B1334=Queue!$C$4,OR(Queue!$K$4="*",N1334=Queue!$K$4)),Q1334,"")</f>
        <v/>
      </c>
    </row>
    <row r="1335">
      <c r="A1335" s="35">
        <f>IF(M1335="","",HYPERLINK("https://www.youtube.com/watch?v="&amp;M1335,"▶"))</f>
        <v/>
      </c>
      <c r="B1335" s="36">
        <f>IF(C1335&lt;&gt;"",C1335,IF(P1335&lt;=IFERROR(INDEX(tblChannels[Watched Through],MATCH(N1335,tblChannels[Channel ID],0)),0),"Watched","Unwatched"))</f>
        <v/>
      </c>
      <c r="C1335" s="37" t="n"/>
      <c r="D1335" s="38" t="n"/>
      <c r="E1335" s="39" t="n">
        <v>44442.41666666666</v>
      </c>
      <c r="F1335" s="40" t="inlineStr">
        <is>
          <t>Popcorn Culture</t>
        </is>
      </c>
      <c r="G1335" t="inlineStr">
        <is>
          <t>Vampire Straw Teeth | Popcorn Culture</t>
        </is>
      </c>
      <c r="H1335" s="41" t="n">
        <v>0.05142361111111111</v>
      </c>
      <c r="I1335" s="42" t="n">
        <v>11227</v>
      </c>
      <c r="J1335" s="42" t="n">
        <v>505</v>
      </c>
      <c r="K1335" s="42" t="n">
        <v>93</v>
      </c>
      <c r="L1335" s="43" t="n"/>
      <c r="M1335" s="44" t="n"/>
      <c r="N1335" s="44" t="inlineStr">
        <is>
          <t>UCHfIbq9thHPC8yrKjAdJgDA</t>
        </is>
      </c>
      <c r="O1335" s="45" t="n">
        <v>44442.58333333334</v>
      </c>
      <c r="P1335" s="46" t="n">
        <v>44442</v>
      </c>
      <c r="Q1335" s="44" t="n">
        <v>1937</v>
      </c>
      <c r="R1335" s="44" t="inlineStr">
        <is>
          <t>No Video ID yet</t>
        </is>
      </c>
      <c r="S1335" s="46" t="n"/>
      <c r="T1335" s="46" t="n"/>
      <c r="U1335" s="44" t="n"/>
      <c r="V1335" s="44">
        <f>IF(AND(P1335&gt;=Calendar!$K$2,P1335&lt;EDATE(Calendar!$K$2,1),OR(Calendar!$K$4="*",N1335=Calendar!$K$4)),P1335*100+COUNTIFS($P$6:$P$3271,P1335,$Q$6:$Q$3271,"&lt;="&amp;Q1335,$N$6:$N$3271,Calendar!$K$4),"")</f>
        <v/>
      </c>
      <c r="W1335" s="44">
        <f>IF(AND(B1335=Queue!$C$4,OR(Queue!$K$4="*",N1335=Queue!$K$4)),Q1335,"")</f>
        <v/>
      </c>
    </row>
    <row r="1336">
      <c r="A1336" s="35">
        <f>IF(M1336="","",HYPERLINK("https://www.youtube.com/watch?v="&amp;M1336,"▶"))</f>
        <v/>
      </c>
      <c r="B1336" s="36">
        <f>IF(C1336&lt;&gt;"",C1336,IF(P1336&lt;=IFERROR(INDEX(tblChannels[Watched Through],MATCH(N1336,tblChannels[Channel ID],0)),0),"Watched","Unwatched"))</f>
        <v/>
      </c>
      <c r="C1336" s="37" t="n"/>
      <c r="D1336" s="38" t="n"/>
      <c r="E1336" s="39" t="n">
        <v>44441.67986111111</v>
      </c>
      <c r="F1336" s="47" t="inlineStr">
        <is>
          <t>Super Carlin Brothers</t>
        </is>
      </c>
      <c r="G1336" t="inlineStr">
        <is>
          <t>J vs Ben: Sorting MORE Marvel Characters into Hogwarts Houses</t>
        </is>
      </c>
      <c r="H1336" s="41" t="n">
        <v>0.02253472222222222</v>
      </c>
      <c r="I1336" s="42" t="n">
        <v>154026</v>
      </c>
      <c r="J1336" s="42" t="n">
        <v>6843</v>
      </c>
      <c r="K1336" s="42" t="n">
        <v>880</v>
      </c>
      <c r="L1336" s="43" t="n"/>
      <c r="M1336" s="44" t="n"/>
      <c r="N1336" s="44" t="inlineStr">
        <is>
          <t>UCKZo4N0lVPccBkSiuyVh4yg</t>
        </is>
      </c>
      <c r="O1336" s="45" t="n">
        <v>44441.84652777778</v>
      </c>
      <c r="P1336" s="46" t="n">
        <v>44441</v>
      </c>
      <c r="Q1336" s="44" t="n">
        <v>1936</v>
      </c>
      <c r="R1336" s="44" t="inlineStr">
        <is>
          <t>No Video ID yet</t>
        </is>
      </c>
      <c r="S1336" s="46" t="n"/>
      <c r="T1336" s="46" t="n"/>
      <c r="U1336" s="44" t="n"/>
      <c r="V1336" s="44">
        <f>IF(AND(P1336&gt;=Calendar!$K$2,P1336&lt;EDATE(Calendar!$K$2,1),OR(Calendar!$K$4="*",N1336=Calendar!$K$4)),P1336*100+COUNTIFS($P$6:$P$3271,P1336,$Q$6:$Q$3271,"&lt;="&amp;Q1336,$N$6:$N$3271,Calendar!$K$4),"")</f>
        <v/>
      </c>
      <c r="W1336" s="44">
        <f>IF(AND(B1336=Queue!$C$4,OR(Queue!$K$4="*",N1336=Queue!$K$4)),Q1336,"")</f>
        <v/>
      </c>
    </row>
    <row r="1337">
      <c r="A1337" s="35">
        <f>IF(M1337="","",HYPERLINK("https://www.youtube.com/watch?v="&amp;M1337,"▶"))</f>
        <v/>
      </c>
      <c r="B1337" s="36">
        <f>IF(C1337&lt;&gt;"",C1337,IF(P1337&lt;=IFERROR(INDEX(tblChannels[Watched Through],MATCH(N1337,tblChannels[Channel ID],0)),0),"Watched","Unwatched"))</f>
        <v/>
      </c>
      <c r="C1337" s="37" t="n"/>
      <c r="D1337" s="38" t="n"/>
      <c r="E1337" s="39" t="n">
        <v>44440.41666666666</v>
      </c>
      <c r="F1337" s="49" t="inlineStr">
        <is>
          <t>Super Carlin Gaming</t>
        </is>
      </c>
      <c r="G1337" t="inlineStr">
        <is>
          <t>THE JOURNEY TO KANTO |  Pokémon SoulSilver Randomizer Nuzlocke #22</t>
        </is>
      </c>
      <c r="H1337" s="41" t="n">
        <v>0.02482638888888889</v>
      </c>
      <c r="I1337" s="42" t="n">
        <v>15815</v>
      </c>
      <c r="J1337" s="42" t="n">
        <v>904</v>
      </c>
      <c r="K1337" s="42" t="n">
        <v>242</v>
      </c>
      <c r="L1337" s="43" t="n"/>
      <c r="M1337" s="44" t="n"/>
      <c r="N1337" s="44" t="inlineStr">
        <is>
          <t>UCor_9jRnNNZVzTuQ92PKsaQ</t>
        </is>
      </c>
      <c r="O1337" s="45" t="n">
        <v>44440.58333333334</v>
      </c>
      <c r="P1337" s="46" t="n">
        <v>44440</v>
      </c>
      <c r="Q1337" s="44" t="n">
        <v>1935</v>
      </c>
      <c r="R1337" s="44" t="inlineStr">
        <is>
          <t>No Video ID yet</t>
        </is>
      </c>
      <c r="S1337" s="46" t="n"/>
      <c r="T1337" s="46" t="n"/>
      <c r="U1337" s="44" t="n"/>
      <c r="V1337" s="44">
        <f>IF(AND(P1337&gt;=Calendar!$K$2,P1337&lt;EDATE(Calendar!$K$2,1),OR(Calendar!$K$4="*",N1337=Calendar!$K$4)),P1337*100+COUNTIFS($P$6:$P$3271,P1337,$Q$6:$Q$3271,"&lt;="&amp;Q1337,$N$6:$N$3271,Calendar!$K$4),"")</f>
        <v/>
      </c>
      <c r="W1337" s="44">
        <f>IF(AND(B1337=Queue!$C$4,OR(Queue!$K$4="*",N1337=Queue!$K$4)),Q1337,"")</f>
        <v/>
      </c>
    </row>
    <row r="1338">
      <c r="A1338" s="35">
        <f>IF(M1338="","",HYPERLINK("https://www.youtube.com/watch?v="&amp;M1338,"▶"))</f>
        <v/>
      </c>
      <c r="B1338" s="36">
        <f>IF(C1338&lt;&gt;"",C1338,IF(P1338&lt;=IFERROR(INDEX(tblChannels[Watched Through],MATCH(N1338,tblChannels[Channel ID],0)),0),"Watched","Unwatched"))</f>
        <v/>
      </c>
      <c r="C1338" s="37" t="n"/>
      <c r="D1338" s="38" t="n"/>
      <c r="E1338" s="39" t="n">
        <v>44439.63263888889</v>
      </c>
      <c r="F1338" s="47" t="inlineStr">
        <is>
          <t>Super Carlin Brothers</t>
        </is>
      </c>
      <c r="G1338" t="inlineStr">
        <is>
          <t>Answering Google's TOP 50 Harry Potter Questions | Harry Potter Explained</t>
        </is>
      </c>
      <c r="H1338" s="41" t="n">
        <v>0.02091435185185185</v>
      </c>
      <c r="I1338" s="42" t="n">
        <v>459775</v>
      </c>
      <c r="J1338" s="42" t="n">
        <v>15946</v>
      </c>
      <c r="K1338" s="42" t="n">
        <v>1860</v>
      </c>
      <c r="L1338" s="43" t="n"/>
      <c r="M1338" s="44" t="n"/>
      <c r="N1338" s="44" t="inlineStr">
        <is>
          <t>UCKZo4N0lVPccBkSiuyVh4yg</t>
        </is>
      </c>
      <c r="O1338" s="45" t="n">
        <v>44439.79930555556</v>
      </c>
      <c r="P1338" s="46" t="n">
        <v>44439</v>
      </c>
      <c r="Q1338" s="44" t="n">
        <v>1934</v>
      </c>
      <c r="R1338" s="44" t="inlineStr">
        <is>
          <t>No Video ID yet</t>
        </is>
      </c>
      <c r="S1338" s="46" t="n"/>
      <c r="T1338" s="46" t="n"/>
      <c r="U1338" s="44" t="n"/>
      <c r="V1338" s="44">
        <f>IF(AND(P1338&gt;=Calendar!$K$2,P1338&lt;EDATE(Calendar!$K$2,1),OR(Calendar!$K$4="*",N1338=Calendar!$K$4)),P1338*100+COUNTIFS($P$6:$P$3271,P1338,$Q$6:$Q$3271,"&lt;="&amp;Q1338,$N$6:$N$3271,Calendar!$K$4),"")</f>
        <v/>
      </c>
      <c r="W1338" s="44">
        <f>IF(AND(B1338=Queue!$C$4,OR(Queue!$K$4="*",N1338=Queue!$K$4)),Q1338,"")</f>
        <v/>
      </c>
    </row>
    <row r="1339">
      <c r="A1339" s="35">
        <f>IF(M1339="","",HYPERLINK("https://www.youtube.com/watch?v="&amp;M1339,"▶"))</f>
        <v/>
      </c>
      <c r="B1339" s="36">
        <f>IF(C1339&lt;&gt;"",C1339,IF(P1339&lt;=IFERROR(INDEX(tblChannels[Watched Through],MATCH(N1339,tblChannels[Channel ID],0)),0),"Watched","Unwatched"))</f>
        <v/>
      </c>
      <c r="C1339" s="37" t="n"/>
      <c r="D1339" s="38" t="n"/>
      <c r="E1339" s="39" t="n">
        <v>44438.41666666666</v>
      </c>
      <c r="F1339" s="49" t="inlineStr">
        <is>
          <t>Super Carlin Gaming</t>
        </is>
      </c>
      <c r="G1339" t="inlineStr">
        <is>
          <t>THE POKEMON LEAGUE |  Pokémon SoulSilver Randomizer Nuzlocke #21</t>
        </is>
      </c>
      <c r="H1339" s="41" t="n">
        <v>0.05023148148148148</v>
      </c>
      <c r="I1339" s="42" t="n">
        <v>21555</v>
      </c>
      <c r="J1339" s="42" t="n">
        <v>1387</v>
      </c>
      <c r="K1339" s="42" t="n">
        <v>265</v>
      </c>
      <c r="L1339" s="43" t="n"/>
      <c r="M1339" s="44" t="n"/>
      <c r="N1339" s="44" t="inlineStr">
        <is>
          <t>UCor_9jRnNNZVzTuQ92PKsaQ</t>
        </is>
      </c>
      <c r="O1339" s="45" t="n">
        <v>44438.58333333334</v>
      </c>
      <c r="P1339" s="46" t="n">
        <v>44438</v>
      </c>
      <c r="Q1339" s="44" t="n">
        <v>1933</v>
      </c>
      <c r="R1339" s="44" t="inlineStr">
        <is>
          <t>No Video ID yet</t>
        </is>
      </c>
      <c r="S1339" s="46" t="n"/>
      <c r="T1339" s="46" t="n"/>
      <c r="U1339" s="44" t="n"/>
      <c r="V1339" s="44">
        <f>IF(AND(P1339&gt;=Calendar!$K$2,P1339&lt;EDATE(Calendar!$K$2,1),OR(Calendar!$K$4="*",N1339=Calendar!$K$4)),P1339*100+COUNTIFS($P$6:$P$3271,P1339,$Q$6:$Q$3271,"&lt;="&amp;Q1339,$N$6:$N$3271,Calendar!$K$4),"")</f>
        <v/>
      </c>
      <c r="W1339" s="44">
        <f>IF(AND(B1339=Queue!$C$4,OR(Queue!$K$4="*",N1339=Queue!$K$4)),Q1339,"")</f>
        <v/>
      </c>
    </row>
    <row r="1340">
      <c r="A1340" s="35">
        <f>IF(M1340="","",HYPERLINK("https://www.youtube.com/watch?v="&amp;M1340,"▶"))</f>
        <v/>
      </c>
      <c r="B1340" s="36">
        <f>IF(C1340&lt;&gt;"",C1340,IF(P1340&lt;=IFERROR(INDEX(tblChannels[Watched Through],MATCH(N1340,tblChannels[Channel ID],0)),0),"Watched","Unwatched"))</f>
        <v/>
      </c>
      <c r="C1340" s="37" t="n"/>
      <c r="D1340" s="38" t="n"/>
      <c r="E1340" s="39" t="n">
        <v>44435.41666666666</v>
      </c>
      <c r="F1340" s="40" t="inlineStr">
        <is>
          <t>Popcorn Culture</t>
        </is>
      </c>
      <c r="G1340" t="inlineStr">
        <is>
          <t>Luke's First Movie | Popcorn Culture</t>
        </is>
      </c>
      <c r="H1340" s="41" t="n">
        <v>0.05391203703703704</v>
      </c>
      <c r="I1340" s="42" t="n">
        <v>12386</v>
      </c>
      <c r="J1340" s="42" t="n">
        <v>590</v>
      </c>
      <c r="K1340" s="42" t="n">
        <v>110</v>
      </c>
      <c r="L1340" s="43" t="n"/>
      <c r="M1340" s="44" t="n"/>
      <c r="N1340" s="44" t="inlineStr">
        <is>
          <t>UCHfIbq9thHPC8yrKjAdJgDA</t>
        </is>
      </c>
      <c r="O1340" s="45" t="n">
        <v>44435.58333333334</v>
      </c>
      <c r="P1340" s="46" t="n">
        <v>44435</v>
      </c>
      <c r="Q1340" s="44" t="n">
        <v>1932</v>
      </c>
      <c r="R1340" s="44" t="inlineStr">
        <is>
          <t>No Video ID yet</t>
        </is>
      </c>
      <c r="S1340" s="46" t="n"/>
      <c r="T1340" s="46" t="n"/>
      <c r="U1340" s="44" t="n"/>
      <c r="V1340" s="44">
        <f>IF(AND(P1340&gt;=Calendar!$K$2,P1340&lt;EDATE(Calendar!$K$2,1),OR(Calendar!$K$4="*",N1340=Calendar!$K$4)),P1340*100+COUNTIFS($P$6:$P$3271,P1340,$Q$6:$Q$3271,"&lt;="&amp;Q1340,$N$6:$N$3271,Calendar!$K$4),"")</f>
        <v/>
      </c>
      <c r="W1340" s="44">
        <f>IF(AND(B1340=Queue!$C$4,OR(Queue!$K$4="*",N1340=Queue!$K$4)),Q1340,"")</f>
        <v/>
      </c>
    </row>
    <row r="1341">
      <c r="A1341" s="35">
        <f>IF(M1341="","",HYPERLINK("https://www.youtube.com/watch?v="&amp;M1341,"▶"))</f>
        <v/>
      </c>
      <c r="B1341" s="36">
        <f>IF(C1341&lt;&gt;"",C1341,IF(P1341&lt;=IFERROR(INDEX(tblChannels[Watched Through],MATCH(N1341,tblChannels[Channel ID],0)),0),"Watched","Unwatched"))</f>
        <v/>
      </c>
      <c r="C1341" s="37" t="n"/>
      <c r="D1341" s="38" t="n"/>
      <c r="E1341" s="39" t="n">
        <v>44434.73819444444</v>
      </c>
      <c r="F1341" s="47" t="inlineStr">
        <is>
          <t>Super Carlin Brothers</t>
        </is>
      </c>
      <c r="G1341" t="inlineStr">
        <is>
          <t>Doctor Strange is NOT Mephisto | Spider-Man: NO WAY HOME Theory &amp; Trailer Breakdown</t>
        </is>
      </c>
      <c r="H1341" s="41" t="n">
        <v>0.01193287037037037</v>
      </c>
      <c r="I1341" s="42" t="n">
        <v>180463</v>
      </c>
      <c r="J1341" s="42" t="n">
        <v>9719</v>
      </c>
      <c r="K1341" s="42" t="n">
        <v>1148</v>
      </c>
      <c r="L1341" s="43" t="n"/>
      <c r="M1341" s="44" t="n"/>
      <c r="N1341" s="44" t="inlineStr">
        <is>
          <t>UCKZo4N0lVPccBkSiuyVh4yg</t>
        </is>
      </c>
      <c r="O1341" s="45" t="n">
        <v>44434.90486111111</v>
      </c>
      <c r="P1341" s="46" t="n">
        <v>44434</v>
      </c>
      <c r="Q1341" s="44" t="n">
        <v>1931</v>
      </c>
      <c r="R1341" s="44" t="inlineStr">
        <is>
          <t>No Video ID yet</t>
        </is>
      </c>
      <c r="S1341" s="46" t="n"/>
      <c r="T1341" s="46" t="n"/>
      <c r="U1341" s="44" t="n"/>
      <c r="V1341" s="44">
        <f>IF(AND(P1341&gt;=Calendar!$K$2,P1341&lt;EDATE(Calendar!$K$2,1),OR(Calendar!$K$4="*",N1341=Calendar!$K$4)),P1341*100+COUNTIFS($P$6:$P$3271,P1341,$Q$6:$Q$3271,"&lt;="&amp;Q1341,$N$6:$N$3271,Calendar!$K$4),"")</f>
        <v/>
      </c>
      <c r="W1341" s="44">
        <f>IF(AND(B1341=Queue!$C$4,OR(Queue!$K$4="*",N1341=Queue!$K$4)),Q1341,"")</f>
        <v/>
      </c>
    </row>
    <row r="1342">
      <c r="A1342" s="35">
        <f>IF(M1342="","",HYPERLINK("https://www.youtube.com/watch?v="&amp;M1342,"▶"))</f>
        <v/>
      </c>
      <c r="B1342" s="36">
        <f>IF(C1342&lt;&gt;"",C1342,IF(P1342&lt;=IFERROR(INDEX(tblChannels[Watched Through],MATCH(N1342,tblChannels[Channel ID],0)),0),"Watched","Unwatched"))</f>
        <v/>
      </c>
      <c r="C1342" s="37" t="n"/>
      <c r="D1342" s="38" t="n"/>
      <c r="E1342" s="39" t="n">
        <v>44433.41666666666</v>
      </c>
      <c r="F1342" s="49" t="inlineStr">
        <is>
          <t>Super Carlin Gaming</t>
        </is>
      </c>
      <c r="G1342" t="inlineStr">
        <is>
          <t>CELERY'S FINAL STAND |  Pokémon SoulSilver Randomizer Nuzlocke #20</t>
        </is>
      </c>
      <c r="H1342" s="41" t="n">
        <v>0.03369212962962963</v>
      </c>
      <c r="I1342" s="42" t="n">
        <v>18025</v>
      </c>
      <c r="J1342" s="42" t="n">
        <v>1159</v>
      </c>
      <c r="K1342" s="42" t="n">
        <v>169</v>
      </c>
      <c r="L1342" s="43" t="n"/>
      <c r="M1342" s="44" t="n"/>
      <c r="N1342" s="44" t="inlineStr">
        <is>
          <t>UCor_9jRnNNZVzTuQ92PKsaQ</t>
        </is>
      </c>
      <c r="O1342" s="45" t="n">
        <v>44433.58333333334</v>
      </c>
      <c r="P1342" s="46" t="n">
        <v>44433</v>
      </c>
      <c r="Q1342" s="44" t="n">
        <v>1930</v>
      </c>
      <c r="R1342" s="44" t="inlineStr">
        <is>
          <t>No Video ID yet</t>
        </is>
      </c>
      <c r="S1342" s="46" t="n"/>
      <c r="T1342" s="46" t="n"/>
      <c r="U1342" s="44" t="n"/>
      <c r="V1342" s="44">
        <f>IF(AND(P1342&gt;=Calendar!$K$2,P1342&lt;EDATE(Calendar!$K$2,1),OR(Calendar!$K$4="*",N1342=Calendar!$K$4)),P1342*100+COUNTIFS($P$6:$P$3271,P1342,$Q$6:$Q$3271,"&lt;="&amp;Q1342,$N$6:$N$3271,Calendar!$K$4),"")</f>
        <v/>
      </c>
      <c r="W1342" s="44">
        <f>IF(AND(B1342=Queue!$C$4,OR(Queue!$K$4="*",N1342=Queue!$K$4)),Q1342,"")</f>
        <v/>
      </c>
    </row>
    <row r="1343">
      <c r="A1343" s="35">
        <f>IF(M1343="","",HYPERLINK("https://www.youtube.com/watch?v="&amp;M1343,"▶"))</f>
        <v/>
      </c>
      <c r="B1343" s="36">
        <f>IF(C1343&lt;&gt;"",C1343,IF(P1343&lt;=IFERROR(INDEX(tblChannels[Watched Through],MATCH(N1343,tblChannels[Channel ID],0)),0),"Watched","Unwatched"))</f>
        <v/>
      </c>
      <c r="C1343" s="37" t="n"/>
      <c r="D1343" s="38" t="n"/>
      <c r="E1343" s="39" t="n">
        <v>44432.65902777778</v>
      </c>
      <c r="F1343" s="47" t="inlineStr">
        <is>
          <t>Super Carlin Brothers</t>
        </is>
      </c>
      <c r="G1343" t="inlineStr">
        <is>
          <t>How Did Harry Come Back To Life? | Harry Potter Explained</t>
        </is>
      </c>
      <c r="H1343" s="41" t="n">
        <v>0.007777777777777778</v>
      </c>
      <c r="I1343" s="42" t="n">
        <v>227419</v>
      </c>
      <c r="J1343" s="42" t="n">
        <v>11089</v>
      </c>
      <c r="K1343" s="42" t="n">
        <v>1296</v>
      </c>
      <c r="L1343" s="43" t="n"/>
      <c r="M1343" s="44" t="n"/>
      <c r="N1343" s="44" t="inlineStr">
        <is>
          <t>UCKZo4N0lVPccBkSiuyVh4yg</t>
        </is>
      </c>
      <c r="O1343" s="45" t="n">
        <v>44432.82569444444</v>
      </c>
      <c r="P1343" s="46" t="n">
        <v>44432</v>
      </c>
      <c r="Q1343" s="44" t="n">
        <v>1929</v>
      </c>
      <c r="R1343" s="44" t="inlineStr">
        <is>
          <t>No Video ID yet</t>
        </is>
      </c>
      <c r="S1343" s="46" t="n"/>
      <c r="T1343" s="46" t="n"/>
      <c r="U1343" s="44" t="n"/>
      <c r="V1343" s="44">
        <f>IF(AND(P1343&gt;=Calendar!$K$2,P1343&lt;EDATE(Calendar!$K$2,1),OR(Calendar!$K$4="*",N1343=Calendar!$K$4)),P1343*100+COUNTIFS($P$6:$P$3271,P1343,$Q$6:$Q$3271,"&lt;="&amp;Q1343,$N$6:$N$3271,Calendar!$K$4),"")</f>
        <v/>
      </c>
      <c r="W1343" s="44">
        <f>IF(AND(B1343=Queue!$C$4,OR(Queue!$K$4="*",N1343=Queue!$K$4)),Q1343,"")</f>
        <v/>
      </c>
    </row>
    <row r="1344">
      <c r="A1344" s="35">
        <f>IF(M1344="","",HYPERLINK("https://www.youtube.com/watch?v="&amp;M1344,"▶"))</f>
        <v/>
      </c>
      <c r="B1344" s="36">
        <f>IF(C1344&lt;&gt;"",C1344,IF(P1344&lt;=IFERROR(INDEX(tblChannels[Watched Through],MATCH(N1344,tblChannels[Channel ID],0)),0),"Watched","Unwatched"))</f>
        <v/>
      </c>
      <c r="C1344" s="37" t="n"/>
      <c r="D1344" s="38" t="n"/>
      <c r="E1344" s="39" t="n">
        <v>44431.41666666666</v>
      </c>
      <c r="F1344" s="49" t="inlineStr">
        <is>
          <t>Super Carlin Gaming</t>
        </is>
      </c>
      <c r="G1344" t="inlineStr">
        <is>
          <t>LET'S KICK SOME ACE | Pokémon SoulSilver Randomizer Nuzlocke #19</t>
        </is>
      </c>
      <c r="H1344" s="41" t="n">
        <v>0.0275</v>
      </c>
      <c r="I1344" s="42" t="n">
        <v>16611</v>
      </c>
      <c r="J1344" s="42" t="n">
        <v>864</v>
      </c>
      <c r="K1344" s="42" t="n">
        <v>182</v>
      </c>
      <c r="L1344" s="43" t="n"/>
      <c r="M1344" s="44" t="n"/>
      <c r="N1344" s="44" t="inlineStr">
        <is>
          <t>UCor_9jRnNNZVzTuQ92PKsaQ</t>
        </is>
      </c>
      <c r="O1344" s="45" t="n">
        <v>44431.58333333334</v>
      </c>
      <c r="P1344" s="46" t="n">
        <v>44431</v>
      </c>
      <c r="Q1344" s="44" t="n">
        <v>1928</v>
      </c>
      <c r="R1344" s="44" t="inlineStr">
        <is>
          <t>No Video ID yet</t>
        </is>
      </c>
      <c r="S1344" s="46" t="n"/>
      <c r="T1344" s="46" t="n"/>
      <c r="U1344" s="44" t="n"/>
      <c r="V1344" s="44">
        <f>IF(AND(P1344&gt;=Calendar!$K$2,P1344&lt;EDATE(Calendar!$K$2,1),OR(Calendar!$K$4="*",N1344=Calendar!$K$4)),P1344*100+COUNTIFS($P$6:$P$3271,P1344,$Q$6:$Q$3271,"&lt;="&amp;Q1344,$N$6:$N$3271,Calendar!$K$4),"")</f>
        <v/>
      </c>
      <c r="W1344" s="44">
        <f>IF(AND(B1344=Queue!$C$4,OR(Queue!$K$4="*",N1344=Queue!$K$4)),Q1344,"")</f>
        <v/>
      </c>
    </row>
    <row r="1345">
      <c r="A1345" s="35">
        <f>IF(M1345="","",HYPERLINK("https://www.youtube.com/watch?v="&amp;M1345,"▶"))</f>
        <v/>
      </c>
      <c r="B1345" s="36">
        <f>IF(C1345&lt;&gt;"",C1345,IF(P1345&lt;=IFERROR(INDEX(tblChannels[Watched Through],MATCH(N1345,tblChannels[Channel ID],0)),0),"Watched","Unwatched"))</f>
        <v/>
      </c>
      <c r="C1345" s="37" t="n"/>
      <c r="D1345" s="38" t="n"/>
      <c r="E1345" s="39" t="n">
        <v>44428.84027777778</v>
      </c>
      <c r="F1345" s="47" t="inlineStr">
        <is>
          <t>Super Carlin Brothers</t>
        </is>
      </c>
      <c r="G1345" t="inlineStr">
        <is>
          <t>ALL FANDOMS Trivia Night LIVE STREAM!</t>
        </is>
      </c>
      <c r="H1345" s="41" t="n">
        <v>0.08123842592592592</v>
      </c>
      <c r="I1345" s="42" t="n">
        <v>56545</v>
      </c>
      <c r="J1345" s="42" t="n">
        <v>1577</v>
      </c>
      <c r="K1345" s="42" t="n">
        <v>95</v>
      </c>
      <c r="L1345" s="43" t="n"/>
      <c r="M1345" s="44" t="n"/>
      <c r="N1345" s="44" t="inlineStr">
        <is>
          <t>UCKZo4N0lVPccBkSiuyVh4yg</t>
        </is>
      </c>
      <c r="O1345" s="45" t="n">
        <v>44429.00694444445</v>
      </c>
      <c r="P1345" s="46" t="n">
        <v>44428</v>
      </c>
      <c r="Q1345" s="44" t="n">
        <v>1927</v>
      </c>
      <c r="R1345" s="44" t="inlineStr">
        <is>
          <t>No Video ID yet</t>
        </is>
      </c>
      <c r="S1345" s="46" t="n"/>
      <c r="T1345" s="46" t="n"/>
      <c r="U1345" s="44" t="n"/>
      <c r="V1345" s="44">
        <f>IF(AND(P1345&gt;=Calendar!$K$2,P1345&lt;EDATE(Calendar!$K$2,1),OR(Calendar!$K$4="*",N1345=Calendar!$K$4)),P1345*100+COUNTIFS($P$6:$P$3271,P1345,$Q$6:$Q$3271,"&lt;="&amp;Q1345,$N$6:$N$3271,Calendar!$K$4),"")</f>
        <v/>
      </c>
      <c r="W1345" s="44">
        <f>IF(AND(B1345=Queue!$C$4,OR(Queue!$K$4="*",N1345=Queue!$K$4)),Q1345,"")</f>
        <v/>
      </c>
    </row>
    <row r="1346">
      <c r="A1346" s="35">
        <f>IF(M1346="","",HYPERLINK("https://www.youtube.com/watch?v="&amp;M1346,"▶"))</f>
        <v/>
      </c>
      <c r="B1346" s="36">
        <f>IF(C1346&lt;&gt;"",C1346,IF(P1346&lt;=IFERROR(INDEX(tblChannels[Watched Through],MATCH(N1346,tblChannels[Channel ID],0)),0),"Watched","Unwatched"))</f>
        <v/>
      </c>
      <c r="C1346" s="37" t="n"/>
      <c r="D1346" s="38" t="n"/>
      <c r="E1346" s="39" t="n">
        <v>44428.41666666666</v>
      </c>
      <c r="F1346" s="40" t="inlineStr">
        <is>
          <t>Popcorn Culture</t>
        </is>
      </c>
      <c r="G1346" t="inlineStr">
        <is>
          <t>The Frog in the Night | Popcorn Culture</t>
        </is>
      </c>
      <c r="H1346" s="41" t="n">
        <v>0.04960648148148148</v>
      </c>
      <c r="I1346" s="42" t="n">
        <v>14631</v>
      </c>
      <c r="J1346" s="42" t="n">
        <v>547</v>
      </c>
      <c r="K1346" s="42" t="n">
        <v>89</v>
      </c>
      <c r="L1346" s="43" t="n"/>
      <c r="M1346" s="44" t="n"/>
      <c r="N1346" s="44" t="inlineStr">
        <is>
          <t>UCHfIbq9thHPC8yrKjAdJgDA</t>
        </is>
      </c>
      <c r="O1346" s="45" t="n">
        <v>44428.58333333334</v>
      </c>
      <c r="P1346" s="46" t="n">
        <v>44428</v>
      </c>
      <c r="Q1346" s="44" t="n">
        <v>1926</v>
      </c>
      <c r="R1346" s="44" t="inlineStr">
        <is>
          <t>No Video ID yet</t>
        </is>
      </c>
      <c r="S1346" s="46" t="n"/>
      <c r="T1346" s="46" t="n"/>
      <c r="U1346" s="44" t="n"/>
      <c r="V1346" s="44">
        <f>IF(AND(P1346&gt;=Calendar!$K$2,P1346&lt;EDATE(Calendar!$K$2,1),OR(Calendar!$K$4="*",N1346=Calendar!$K$4)),P1346*100+COUNTIFS($P$6:$P$3271,P1346,$Q$6:$Q$3271,"&lt;="&amp;Q1346,$N$6:$N$3271,Calendar!$K$4),"")</f>
        <v/>
      </c>
      <c r="W1346" s="44">
        <f>IF(AND(B1346=Queue!$C$4,OR(Queue!$K$4="*",N1346=Queue!$K$4)),Q1346,"")</f>
        <v/>
      </c>
    </row>
    <row r="1347">
      <c r="A1347" s="35">
        <f>IF(M1347="","",HYPERLINK("https://www.youtube.com/watch?v="&amp;M1347,"▶"))</f>
        <v/>
      </c>
      <c r="B1347" s="36">
        <f>IF(C1347&lt;&gt;"",C1347,IF(P1347&lt;=IFERROR(INDEX(tblChannels[Watched Through],MATCH(N1347,tblChannels[Channel ID],0)),0),"Watched","Unwatched"))</f>
        <v/>
      </c>
      <c r="C1347" s="37" t="n"/>
      <c r="D1347" s="38" t="n"/>
      <c r="E1347" s="39" t="n">
        <v>44427.60138888889</v>
      </c>
      <c r="F1347" s="47" t="inlineStr">
        <is>
          <t>Super Carlin Brothers</t>
        </is>
      </c>
      <c r="G1347" t="inlineStr">
        <is>
          <t>J vs Ben: EXPERT Quidditch World Cup Harry Potter TRIVIA Quiz</t>
        </is>
      </c>
      <c r="H1347" s="41" t="n">
        <v>0.02541666666666667</v>
      </c>
      <c r="I1347" s="42" t="n">
        <v>322904</v>
      </c>
      <c r="J1347" s="42" t="n">
        <v>10475</v>
      </c>
      <c r="K1347" s="42" t="n">
        <v>924</v>
      </c>
      <c r="L1347" s="43" t="n"/>
      <c r="M1347" s="44" t="n"/>
      <c r="N1347" s="44" t="inlineStr">
        <is>
          <t>UCKZo4N0lVPccBkSiuyVh4yg</t>
        </is>
      </c>
      <c r="O1347" s="45" t="n">
        <v>44427.76805555556</v>
      </c>
      <c r="P1347" s="46" t="n">
        <v>44427</v>
      </c>
      <c r="Q1347" s="44" t="n">
        <v>1925</v>
      </c>
      <c r="R1347" s="44" t="inlineStr">
        <is>
          <t>No Video ID yet</t>
        </is>
      </c>
      <c r="S1347" s="46" t="n"/>
      <c r="T1347" s="46" t="n"/>
      <c r="U1347" s="44" t="n"/>
      <c r="V1347" s="44">
        <f>IF(AND(P1347&gt;=Calendar!$K$2,P1347&lt;EDATE(Calendar!$K$2,1),OR(Calendar!$K$4="*",N1347=Calendar!$K$4)),P1347*100+COUNTIFS($P$6:$P$3271,P1347,$Q$6:$Q$3271,"&lt;="&amp;Q1347,$N$6:$N$3271,Calendar!$K$4),"")</f>
        <v/>
      </c>
      <c r="W1347" s="44">
        <f>IF(AND(B1347=Queue!$C$4,OR(Queue!$K$4="*",N1347=Queue!$K$4)),Q1347,"")</f>
        <v/>
      </c>
    </row>
    <row r="1348">
      <c r="A1348" s="35">
        <f>IF(M1348="","",HYPERLINK("https://www.youtube.com/watch?v="&amp;M1348,"▶"))</f>
        <v/>
      </c>
      <c r="B1348" s="36">
        <f>IF(C1348&lt;&gt;"",C1348,IF(P1348&lt;=IFERROR(INDEX(tblChannels[Watched Through],MATCH(N1348,tblChannels[Channel ID],0)),0),"Watched","Unwatched"))</f>
        <v/>
      </c>
      <c r="C1348" s="37" t="n"/>
      <c r="D1348" s="38" t="n"/>
      <c r="E1348" s="39" t="n">
        <v>44426.95347222222</v>
      </c>
      <c r="F1348" s="49" t="inlineStr">
        <is>
          <t>Super Carlin Gaming</t>
        </is>
      </c>
      <c r="G1348" t="inlineStr">
        <is>
          <t>LIVE! - Rapid Strike Urshifu &amp; Friends</t>
        </is>
      </c>
      <c r="H1348" s="41" t="n">
        <v>0.07648148148148148</v>
      </c>
      <c r="I1348" s="42" t="n">
        <v>3608</v>
      </c>
      <c r="J1348" s="42" t="n">
        <v>160</v>
      </c>
      <c r="K1348" s="42" t="n">
        <v>9</v>
      </c>
      <c r="L1348" s="43" t="n"/>
      <c r="M1348" s="44" t="n"/>
      <c r="N1348" s="44" t="inlineStr">
        <is>
          <t>UCor_9jRnNNZVzTuQ92PKsaQ</t>
        </is>
      </c>
      <c r="O1348" s="45" t="n">
        <v>44427.12013888889</v>
      </c>
      <c r="P1348" s="46" t="n">
        <v>44426</v>
      </c>
      <c r="Q1348" s="44" t="n">
        <v>1924</v>
      </c>
      <c r="R1348" s="44" t="inlineStr">
        <is>
          <t>No Video ID yet</t>
        </is>
      </c>
      <c r="S1348" s="46" t="n"/>
      <c r="T1348" s="46" t="n"/>
      <c r="U1348" s="44" t="n"/>
      <c r="V1348" s="44">
        <f>IF(AND(P1348&gt;=Calendar!$K$2,P1348&lt;EDATE(Calendar!$K$2,1),OR(Calendar!$K$4="*",N1348=Calendar!$K$4)),P1348*100+COUNTIFS($P$6:$P$3271,P1348,$Q$6:$Q$3271,"&lt;="&amp;Q1348,$N$6:$N$3271,Calendar!$K$4),"")</f>
        <v/>
      </c>
      <c r="W1348" s="44">
        <f>IF(AND(B1348=Queue!$C$4,OR(Queue!$K$4="*",N1348=Queue!$K$4)),Q1348,"")</f>
        <v/>
      </c>
    </row>
    <row r="1349">
      <c r="A1349" s="35">
        <f>IF(M1349="","",HYPERLINK("https://www.youtube.com/watch?v="&amp;M1349,"▶"))</f>
        <v/>
      </c>
      <c r="B1349" s="36">
        <f>IF(C1349&lt;&gt;"",C1349,IF(P1349&lt;=IFERROR(INDEX(tblChannels[Watched Through],MATCH(N1349,tblChannels[Channel ID],0)),0),"Watched","Unwatched"))</f>
        <v/>
      </c>
      <c r="C1349" s="37" t="n"/>
      <c r="D1349" s="38" t="n"/>
      <c r="E1349" s="39" t="n">
        <v>44426.41666666666</v>
      </c>
      <c r="F1349" s="49" t="inlineStr">
        <is>
          <t>Super Carlin Gaming</t>
        </is>
      </c>
      <c r="G1349" t="inlineStr">
        <is>
          <t>OH. MY. GOD. | Pokémon SoulSilver Randomizer Nuzlocke #18</t>
        </is>
      </c>
      <c r="H1349" s="41" t="n">
        <v>0.03131944444444444</v>
      </c>
      <c r="I1349" s="42" t="n">
        <v>17620</v>
      </c>
      <c r="J1349" s="42" t="n">
        <v>1231</v>
      </c>
      <c r="K1349" s="42" t="n">
        <v>343</v>
      </c>
      <c r="L1349" s="43" t="n"/>
      <c r="M1349" s="44" t="n"/>
      <c r="N1349" s="44" t="inlineStr">
        <is>
          <t>UCor_9jRnNNZVzTuQ92PKsaQ</t>
        </is>
      </c>
      <c r="O1349" s="45" t="n">
        <v>44426.58333333334</v>
      </c>
      <c r="P1349" s="46" t="n">
        <v>44426</v>
      </c>
      <c r="Q1349" s="44" t="n">
        <v>1923</v>
      </c>
      <c r="R1349" s="44" t="inlineStr">
        <is>
          <t>No Video ID yet</t>
        </is>
      </c>
      <c r="S1349" s="46" t="n"/>
      <c r="T1349" s="46" t="n"/>
      <c r="U1349" s="44" t="n"/>
      <c r="V1349" s="44">
        <f>IF(AND(P1349&gt;=Calendar!$K$2,P1349&lt;EDATE(Calendar!$K$2,1),OR(Calendar!$K$4="*",N1349=Calendar!$K$4)),P1349*100+COUNTIFS($P$6:$P$3271,P1349,$Q$6:$Q$3271,"&lt;="&amp;Q1349,$N$6:$N$3271,Calendar!$K$4),"")</f>
        <v/>
      </c>
      <c r="W1349" s="44">
        <f>IF(AND(B1349=Queue!$C$4,OR(Queue!$K$4="*",N1349=Queue!$K$4)),Q1349,"")</f>
        <v/>
      </c>
    </row>
    <row r="1350">
      <c r="A1350" s="35">
        <f>IF(M1350="","",HYPERLINK("https://www.youtube.com/watch?v="&amp;M1350,"▶"))</f>
        <v/>
      </c>
      <c r="B1350" s="36">
        <f>IF(C1350&lt;&gt;"",C1350,IF(P1350&lt;=IFERROR(INDEX(tblChannels[Watched Through],MATCH(N1350,tblChannels[Channel ID],0)),0),"Watched","Unwatched"))</f>
        <v/>
      </c>
      <c r="C1350" s="37" t="n"/>
      <c r="D1350" s="38" t="n"/>
      <c r="E1350" s="39" t="n">
        <v>44425.69791666666</v>
      </c>
      <c r="F1350" s="47" t="inlineStr">
        <is>
          <t>Super Carlin Brothers</t>
        </is>
      </c>
      <c r="G1350" t="inlineStr">
        <is>
          <t>Credence is a GAUNT | Harry Potter Theory</t>
        </is>
      </c>
      <c r="H1350" s="41" t="n">
        <v>0.01107638888888889</v>
      </c>
      <c r="I1350" s="42" t="n">
        <v>291431</v>
      </c>
      <c r="J1350" s="42" t="n">
        <v>12519</v>
      </c>
      <c r="K1350" s="42" t="n">
        <v>1081</v>
      </c>
      <c r="L1350" s="43" t="n"/>
      <c r="M1350" s="44" t="n"/>
      <c r="N1350" s="44" t="inlineStr">
        <is>
          <t>UCKZo4N0lVPccBkSiuyVh4yg</t>
        </is>
      </c>
      <c r="O1350" s="45" t="n">
        <v>44425.86458333334</v>
      </c>
      <c r="P1350" s="46" t="n">
        <v>44425</v>
      </c>
      <c r="Q1350" s="44" t="n">
        <v>1922</v>
      </c>
      <c r="R1350" s="44" t="inlineStr">
        <is>
          <t>No Video ID yet</t>
        </is>
      </c>
      <c r="S1350" s="46" t="n"/>
      <c r="T1350" s="46" t="n"/>
      <c r="U1350" s="44" t="n"/>
      <c r="V1350" s="44">
        <f>IF(AND(P1350&gt;=Calendar!$K$2,P1350&lt;EDATE(Calendar!$K$2,1),OR(Calendar!$K$4="*",N1350=Calendar!$K$4)),P1350*100+COUNTIFS($P$6:$P$3271,P1350,$Q$6:$Q$3271,"&lt;="&amp;Q1350,$N$6:$N$3271,Calendar!$K$4),"")</f>
        <v/>
      </c>
      <c r="W1350" s="44">
        <f>IF(AND(B1350=Queue!$C$4,OR(Queue!$K$4="*",N1350=Queue!$K$4)),Q1350,"")</f>
        <v/>
      </c>
    </row>
    <row r="1351">
      <c r="A1351" s="35">
        <f>IF(M1351="","",HYPERLINK("https://www.youtube.com/watch?v="&amp;M1351,"▶"))</f>
        <v/>
      </c>
      <c r="B1351" s="36">
        <f>IF(C1351&lt;&gt;"",C1351,IF(P1351&lt;=IFERROR(INDEX(tblChannels[Watched Through],MATCH(N1351,tblChannels[Channel ID],0)),0),"Watched","Unwatched"))</f>
        <v/>
      </c>
      <c r="C1351" s="37" t="n"/>
      <c r="D1351" s="38" t="n"/>
      <c r="E1351" s="39" t="n">
        <v>44424.41666666666</v>
      </c>
      <c r="F1351" s="49" t="inlineStr">
        <is>
          <t>Super Carlin Gaming</t>
        </is>
      </c>
      <c r="G1351" t="inlineStr">
        <is>
          <t>THE GUARDIAN APPEARS |  Pokémon SoulSilver Randomizer Nuzlocke #17</t>
        </is>
      </c>
      <c r="H1351" s="41" t="n">
        <v>0.02847222222222222</v>
      </c>
      <c r="I1351" s="42" t="n">
        <v>17947</v>
      </c>
      <c r="J1351" s="42" t="n">
        <v>996</v>
      </c>
      <c r="K1351" s="42" t="n">
        <v>191</v>
      </c>
      <c r="L1351" s="43" t="n"/>
      <c r="M1351" s="44" t="n"/>
      <c r="N1351" s="44" t="inlineStr">
        <is>
          <t>UCor_9jRnNNZVzTuQ92PKsaQ</t>
        </is>
      </c>
      <c r="O1351" s="45" t="n">
        <v>44424.58333333334</v>
      </c>
      <c r="P1351" s="46" t="n">
        <v>44424</v>
      </c>
      <c r="Q1351" s="44" t="n">
        <v>1921</v>
      </c>
      <c r="R1351" s="44" t="inlineStr">
        <is>
          <t>No Video ID yet</t>
        </is>
      </c>
      <c r="S1351" s="46" t="n"/>
      <c r="T1351" s="46" t="n"/>
      <c r="U1351" s="44" t="n"/>
      <c r="V1351" s="44">
        <f>IF(AND(P1351&gt;=Calendar!$K$2,P1351&lt;EDATE(Calendar!$K$2,1),OR(Calendar!$K$4="*",N1351=Calendar!$K$4)),P1351*100+COUNTIFS($P$6:$P$3271,P1351,$Q$6:$Q$3271,"&lt;="&amp;Q1351,$N$6:$N$3271,Calendar!$K$4),"")</f>
        <v/>
      </c>
      <c r="W1351" s="44">
        <f>IF(AND(B1351=Queue!$C$4,OR(Queue!$K$4="*",N1351=Queue!$K$4)),Q1351,"")</f>
        <v/>
      </c>
    </row>
    <row r="1352">
      <c r="A1352" s="35">
        <f>IF(M1352="","",HYPERLINK("https://www.youtube.com/watch?v="&amp;M1352,"▶"))</f>
        <v/>
      </c>
      <c r="B1352" s="36">
        <f>IF(C1352&lt;&gt;"",C1352,IF(P1352&lt;=IFERROR(INDEX(tblChannels[Watched Through],MATCH(N1352,tblChannels[Channel ID],0)),0),"Watched","Unwatched"))</f>
        <v/>
      </c>
      <c r="C1352" s="37" t="n"/>
      <c r="D1352" s="38" t="n"/>
      <c r="E1352" s="39" t="n">
        <v>44421.41666666666</v>
      </c>
      <c r="F1352" s="40" t="inlineStr">
        <is>
          <t>Popcorn Culture</t>
        </is>
      </c>
      <c r="G1352" t="inlineStr">
        <is>
          <t>Are All Christmas Movies Classics? | Popcorn Culture</t>
        </is>
      </c>
      <c r="H1352" s="41" t="n">
        <v>0.04737268518518518</v>
      </c>
      <c r="I1352" s="42" t="n">
        <v>13247</v>
      </c>
      <c r="J1352" s="42" t="n">
        <v>619</v>
      </c>
      <c r="K1352" s="42" t="n">
        <v>77</v>
      </c>
      <c r="L1352" s="43" t="n"/>
      <c r="M1352" s="44" t="n"/>
      <c r="N1352" s="44" t="inlineStr">
        <is>
          <t>UCHfIbq9thHPC8yrKjAdJgDA</t>
        </is>
      </c>
      <c r="O1352" s="45" t="n">
        <v>44421.58333333334</v>
      </c>
      <c r="P1352" s="46" t="n">
        <v>44421</v>
      </c>
      <c r="Q1352" s="44" t="n">
        <v>1920</v>
      </c>
      <c r="R1352" s="44" t="inlineStr">
        <is>
          <t>No Video ID yet</t>
        </is>
      </c>
      <c r="S1352" s="46" t="n"/>
      <c r="T1352" s="46" t="n"/>
      <c r="U1352" s="44" t="n"/>
      <c r="V1352" s="44">
        <f>IF(AND(P1352&gt;=Calendar!$K$2,P1352&lt;EDATE(Calendar!$K$2,1),OR(Calendar!$K$4="*",N1352=Calendar!$K$4)),P1352*100+COUNTIFS($P$6:$P$3271,P1352,$Q$6:$Q$3271,"&lt;="&amp;Q1352,$N$6:$N$3271,Calendar!$K$4),"")</f>
        <v/>
      </c>
      <c r="W1352" s="44">
        <f>IF(AND(B1352=Queue!$C$4,OR(Queue!$K$4="*",N1352=Queue!$K$4)),Q1352,"")</f>
        <v/>
      </c>
    </row>
    <row r="1353">
      <c r="A1353" s="35">
        <f>IF(M1353="","",HYPERLINK("https://www.youtube.com/watch?v="&amp;M1353,"▶"))</f>
        <v/>
      </c>
      <c r="B1353" s="36">
        <f>IF(C1353&lt;&gt;"",C1353,IF(P1353&lt;=IFERROR(INDEX(tblChannels[Watched Through],MATCH(N1353,tblChannels[Channel ID],0)),0),"Watched","Unwatched"))</f>
        <v/>
      </c>
      <c r="C1353" s="37" t="n"/>
      <c r="D1353" s="38" t="n"/>
      <c r="E1353" s="39" t="n">
        <v>44420.68194444444</v>
      </c>
      <c r="F1353" s="47" t="inlineStr">
        <is>
          <t>Super Carlin Brothers</t>
        </is>
      </c>
      <c r="G1353" t="inlineStr">
        <is>
          <t>Aurelius Dumbledore SOLVED | Harry Potter Theory</t>
        </is>
      </c>
      <c r="H1353" s="41" t="n">
        <v>0.01157407407407407</v>
      </c>
      <c r="I1353" s="42" t="n">
        <v>495793</v>
      </c>
      <c r="J1353" s="42" t="n">
        <v>17068</v>
      </c>
      <c r="K1353" s="42" t="n">
        <v>1867</v>
      </c>
      <c r="L1353" s="43" t="n"/>
      <c r="M1353" s="44" t="n"/>
      <c r="N1353" s="44" t="inlineStr">
        <is>
          <t>UCKZo4N0lVPccBkSiuyVh4yg</t>
        </is>
      </c>
      <c r="O1353" s="45" t="n">
        <v>44420.84861111111</v>
      </c>
      <c r="P1353" s="46" t="n">
        <v>44420</v>
      </c>
      <c r="Q1353" s="44" t="n">
        <v>1919</v>
      </c>
      <c r="R1353" s="44" t="inlineStr">
        <is>
          <t>No Video ID yet</t>
        </is>
      </c>
      <c r="S1353" s="46" t="n"/>
      <c r="T1353" s="46" t="n"/>
      <c r="U1353" s="44" t="n"/>
      <c r="V1353" s="44">
        <f>IF(AND(P1353&gt;=Calendar!$K$2,P1353&lt;EDATE(Calendar!$K$2,1),OR(Calendar!$K$4="*",N1353=Calendar!$K$4)),P1353*100+COUNTIFS($P$6:$P$3271,P1353,$Q$6:$Q$3271,"&lt;="&amp;Q1353,$N$6:$N$3271,Calendar!$K$4),"")</f>
        <v/>
      </c>
      <c r="W1353" s="44">
        <f>IF(AND(B1353=Queue!$C$4,OR(Queue!$K$4="*",N1353=Queue!$K$4)),Q1353,"")</f>
        <v/>
      </c>
    </row>
    <row r="1354">
      <c r="A1354" s="35">
        <f>IF(M1354="","",HYPERLINK("https://www.youtube.com/watch?v="&amp;M1354,"▶"))</f>
        <v/>
      </c>
      <c r="B1354" s="36">
        <f>IF(C1354&lt;&gt;"",C1354,IF(P1354&lt;=IFERROR(INDEX(tblChannels[Watched Through],MATCH(N1354,tblChannels[Channel ID],0)),0),"Watched","Unwatched"))</f>
        <v/>
      </c>
      <c r="C1354" s="37" t="n"/>
      <c r="D1354" s="38" t="n"/>
      <c r="E1354" s="39" t="n">
        <v>44419.41666666666</v>
      </c>
      <c r="F1354" s="49" t="inlineStr">
        <is>
          <t>Super Carlin Gaming</t>
        </is>
      </c>
      <c r="G1354" t="inlineStr">
        <is>
          <t>SKUNKED! |  Pokémon SoulSilver Randomizer Nuzlocke #16</t>
        </is>
      </c>
      <c r="H1354" s="41" t="n">
        <v>0.03332175925925926</v>
      </c>
      <c r="I1354" s="42" t="n">
        <v>19923</v>
      </c>
      <c r="J1354" s="42" t="n">
        <v>1063</v>
      </c>
      <c r="K1354" s="42" t="n">
        <v>190</v>
      </c>
      <c r="L1354" s="43" t="n"/>
      <c r="M1354" s="44" t="n"/>
      <c r="N1354" s="44" t="inlineStr">
        <is>
          <t>UCor_9jRnNNZVzTuQ92PKsaQ</t>
        </is>
      </c>
      <c r="O1354" s="45" t="n">
        <v>44419.58333333334</v>
      </c>
      <c r="P1354" s="46" t="n">
        <v>44419</v>
      </c>
      <c r="Q1354" s="44" t="n">
        <v>1918</v>
      </c>
      <c r="R1354" s="44" t="inlineStr">
        <is>
          <t>No Video ID yet</t>
        </is>
      </c>
      <c r="S1354" s="46" t="n"/>
      <c r="T1354" s="46" t="n"/>
      <c r="U1354" s="44" t="n"/>
      <c r="V1354" s="44">
        <f>IF(AND(P1354&gt;=Calendar!$K$2,P1354&lt;EDATE(Calendar!$K$2,1),OR(Calendar!$K$4="*",N1354=Calendar!$K$4)),P1354*100+COUNTIFS($P$6:$P$3271,P1354,$Q$6:$Q$3271,"&lt;="&amp;Q1354,$N$6:$N$3271,Calendar!$K$4),"")</f>
        <v/>
      </c>
      <c r="W1354" s="44">
        <f>IF(AND(B1354=Queue!$C$4,OR(Queue!$K$4="*",N1354=Queue!$K$4)),Q1354,"")</f>
        <v/>
      </c>
    </row>
    <row r="1355">
      <c r="A1355" s="35">
        <f>IF(M1355="","",HYPERLINK("https://www.youtube.com/watch?v="&amp;M1355,"▶"))</f>
        <v/>
      </c>
      <c r="B1355" s="36">
        <f>IF(C1355&lt;&gt;"",C1355,IF(P1355&lt;=IFERROR(INDEX(tblChannels[Watched Through],MATCH(N1355,tblChannels[Channel ID],0)),0),"Watched","Unwatched"))</f>
        <v/>
      </c>
      <c r="C1355" s="37" t="n"/>
      <c r="D1355" s="38" t="n"/>
      <c r="E1355" s="39" t="n">
        <v>44418.62083333333</v>
      </c>
      <c r="F1355" s="47" t="inlineStr">
        <is>
          <t>Super Carlin Brothers</t>
        </is>
      </c>
      <c r="G1355" t="inlineStr">
        <is>
          <t>Genie Is A Robot | Disney Theory</t>
        </is>
      </c>
      <c r="H1355" s="41" t="n">
        <v>0.01054398148148148</v>
      </c>
      <c r="I1355" s="42" t="n">
        <v>206797</v>
      </c>
      <c r="J1355" s="42" t="n">
        <v>9841</v>
      </c>
      <c r="K1355" s="42" t="n">
        <v>667</v>
      </c>
      <c r="L1355" s="43" t="n"/>
      <c r="M1355" s="44" t="n"/>
      <c r="N1355" s="44" t="inlineStr">
        <is>
          <t>UCKZo4N0lVPccBkSiuyVh4yg</t>
        </is>
      </c>
      <c r="O1355" s="45" t="n">
        <v>44418.7875</v>
      </c>
      <c r="P1355" s="46" t="n">
        <v>44418</v>
      </c>
      <c r="Q1355" s="44" t="n">
        <v>1917</v>
      </c>
      <c r="R1355" s="44" t="inlineStr">
        <is>
          <t>No Video ID yet</t>
        </is>
      </c>
      <c r="S1355" s="46" t="n"/>
      <c r="T1355" s="46" t="n"/>
      <c r="U1355" s="44" t="n"/>
      <c r="V1355" s="44">
        <f>IF(AND(P1355&gt;=Calendar!$K$2,P1355&lt;EDATE(Calendar!$K$2,1),OR(Calendar!$K$4="*",N1355=Calendar!$K$4)),P1355*100+COUNTIFS($P$6:$P$3271,P1355,$Q$6:$Q$3271,"&lt;="&amp;Q1355,$N$6:$N$3271,Calendar!$K$4),"")</f>
        <v/>
      </c>
      <c r="W1355" s="44">
        <f>IF(AND(B1355=Queue!$C$4,OR(Queue!$K$4="*",N1355=Queue!$K$4)),Q1355,"")</f>
        <v/>
      </c>
    </row>
    <row r="1356">
      <c r="A1356" s="35">
        <f>IF(M1356="","",HYPERLINK("https://www.youtube.com/watch?v="&amp;M1356,"▶"))</f>
        <v/>
      </c>
      <c r="B1356" s="36">
        <f>IF(C1356&lt;&gt;"",C1356,IF(P1356&lt;=IFERROR(INDEX(tblChannels[Watched Through],MATCH(N1356,tblChannels[Channel ID],0)),0),"Watched","Unwatched"))</f>
        <v/>
      </c>
      <c r="C1356" s="37" t="n"/>
      <c r="D1356" s="38" t="n"/>
      <c r="E1356" s="39" t="n">
        <v>44417.41666666666</v>
      </c>
      <c r="F1356" s="49" t="inlineStr">
        <is>
          <t>Super Carlin Gaming</t>
        </is>
      </c>
      <c r="G1356" t="inlineStr">
        <is>
          <t>THE GOD OF SPACE RETURNS | Pokémon SoulSilver Randomizer Nuzlocke #15</t>
        </is>
      </c>
      <c r="H1356" s="41" t="n">
        <v>0.02902777777777778</v>
      </c>
      <c r="I1356" s="42" t="n">
        <v>19840</v>
      </c>
      <c r="J1356" s="42" t="n">
        <v>1334</v>
      </c>
      <c r="K1356" s="42" t="n">
        <v>259</v>
      </c>
      <c r="L1356" s="43" t="n"/>
      <c r="M1356" s="44" t="n"/>
      <c r="N1356" s="44" t="inlineStr">
        <is>
          <t>UCor_9jRnNNZVzTuQ92PKsaQ</t>
        </is>
      </c>
      <c r="O1356" s="45" t="n">
        <v>44417.58333333334</v>
      </c>
      <c r="P1356" s="46" t="n">
        <v>44417</v>
      </c>
      <c r="Q1356" s="44" t="n">
        <v>1916</v>
      </c>
      <c r="R1356" s="44" t="inlineStr">
        <is>
          <t>No Video ID yet</t>
        </is>
      </c>
      <c r="S1356" s="46" t="n"/>
      <c r="T1356" s="46" t="n"/>
      <c r="U1356" s="44" t="n"/>
      <c r="V1356" s="44">
        <f>IF(AND(P1356&gt;=Calendar!$K$2,P1356&lt;EDATE(Calendar!$K$2,1),OR(Calendar!$K$4="*",N1356=Calendar!$K$4)),P1356*100+COUNTIFS($P$6:$P$3271,P1356,$Q$6:$Q$3271,"&lt;="&amp;Q1356,$N$6:$N$3271,Calendar!$K$4),"")</f>
        <v/>
      </c>
      <c r="W1356" s="44">
        <f>IF(AND(B1356=Queue!$C$4,OR(Queue!$K$4="*",N1356=Queue!$K$4)),Q1356,"")</f>
        <v/>
      </c>
    </row>
    <row r="1357">
      <c r="A1357" s="35">
        <f>IF(M1357="","",HYPERLINK("https://www.youtube.com/watch?v="&amp;M1357,"▶"))</f>
        <v/>
      </c>
      <c r="B1357" s="36">
        <f>IF(C1357&lt;&gt;"",C1357,IF(P1357&lt;=IFERROR(INDEX(tblChannels[Watched Through],MATCH(N1357,tblChannels[Channel ID],0)),0),"Watched","Unwatched"))</f>
        <v/>
      </c>
      <c r="C1357" s="37" t="n"/>
      <c r="D1357" s="38" t="n"/>
      <c r="E1357" s="39" t="n">
        <v>44414.41666666666</v>
      </c>
      <c r="F1357" s="47" t="inlineStr">
        <is>
          <t>Super Carlin Brothers</t>
        </is>
      </c>
      <c r="G1357" t="inlineStr">
        <is>
          <t>Are Pokémon Living Creatures? | Popcorn Culture</t>
        </is>
      </c>
      <c r="H1357" s="41" t="n">
        <v>0.0484375</v>
      </c>
      <c r="I1357" s="42" t="n">
        <v>24620</v>
      </c>
      <c r="J1357" s="42" t="n">
        <v>955</v>
      </c>
      <c r="K1357" s="42" t="n">
        <v>125</v>
      </c>
      <c r="L1357" s="43" t="n"/>
      <c r="M1357" s="44" t="n"/>
      <c r="N1357" s="44" t="inlineStr">
        <is>
          <t>UCKZo4N0lVPccBkSiuyVh4yg</t>
        </is>
      </c>
      <c r="O1357" s="45" t="n">
        <v>44414.58333333334</v>
      </c>
      <c r="P1357" s="46" t="n">
        <v>44414</v>
      </c>
      <c r="Q1357" s="44" t="n">
        <v>1915</v>
      </c>
      <c r="R1357" s="44" t="inlineStr">
        <is>
          <t>No Video ID yet</t>
        </is>
      </c>
      <c r="S1357" s="46" t="n"/>
      <c r="T1357" s="46" t="n"/>
      <c r="U1357" s="44" t="n"/>
      <c r="V1357" s="44">
        <f>IF(AND(P1357&gt;=Calendar!$K$2,P1357&lt;EDATE(Calendar!$K$2,1),OR(Calendar!$K$4="*",N1357=Calendar!$K$4)),P1357*100+COUNTIFS($P$6:$P$3271,P1357,$Q$6:$Q$3271,"&lt;="&amp;Q1357,$N$6:$N$3271,Calendar!$K$4),"")</f>
        <v/>
      </c>
      <c r="W1357" s="44">
        <f>IF(AND(B1357=Queue!$C$4,OR(Queue!$K$4="*",N1357=Queue!$K$4)),Q1357,"")</f>
        <v/>
      </c>
    </row>
    <row r="1358">
      <c r="A1358" s="35">
        <f>IF(M1358="","",HYPERLINK("https://www.youtube.com/watch?v="&amp;M1358,"▶"))</f>
        <v/>
      </c>
      <c r="B1358" s="36">
        <f>IF(C1358&lt;&gt;"",C1358,IF(P1358&lt;=IFERROR(INDEX(tblChannels[Watched Through],MATCH(N1358,tblChannels[Channel ID],0)),0),"Watched","Unwatched"))</f>
        <v/>
      </c>
      <c r="C1358" s="37" t="n"/>
      <c r="D1358" s="38" t="n"/>
      <c r="E1358" s="39" t="n">
        <v>44414.25</v>
      </c>
      <c r="F1358" s="40" t="inlineStr">
        <is>
          <t>Popcorn Culture</t>
        </is>
      </c>
      <c r="G1358" t="inlineStr">
        <is>
          <t>87 - Are Pokémon Living Creatures?</t>
        </is>
      </c>
      <c r="H1358" s="41" t="n">
        <v>0.04528935185185185</v>
      </c>
      <c r="I1358" s="42" t="n">
        <v>2729</v>
      </c>
      <c r="J1358" s="42" t="n">
        <v>113</v>
      </c>
      <c r="K1358" s="42" t="n">
        <v>10</v>
      </c>
      <c r="L1358" s="43" t="n"/>
      <c r="M1358" s="44" t="n"/>
      <c r="N1358" s="44" t="inlineStr">
        <is>
          <t>UCHfIbq9thHPC8yrKjAdJgDA</t>
        </is>
      </c>
      <c r="O1358" s="45" t="n">
        <v>44414.41666666666</v>
      </c>
      <c r="P1358" s="46" t="n">
        <v>44414</v>
      </c>
      <c r="Q1358" s="44" t="n">
        <v>1914</v>
      </c>
      <c r="R1358" s="44" t="inlineStr">
        <is>
          <t>No Video ID yet</t>
        </is>
      </c>
      <c r="S1358" s="46" t="n"/>
      <c r="T1358" s="46" t="n"/>
      <c r="U1358" s="44" t="n"/>
      <c r="V1358" s="44">
        <f>IF(AND(P1358&gt;=Calendar!$K$2,P1358&lt;EDATE(Calendar!$K$2,1),OR(Calendar!$K$4="*",N1358=Calendar!$K$4)),P1358*100+COUNTIFS($P$6:$P$3271,P1358,$Q$6:$Q$3271,"&lt;="&amp;Q1358,$N$6:$N$3271,Calendar!$K$4),"")</f>
        <v/>
      </c>
      <c r="W1358" s="44">
        <f>IF(AND(B1358=Queue!$C$4,OR(Queue!$K$4="*",N1358=Queue!$K$4)),Q1358,"")</f>
        <v/>
      </c>
    </row>
    <row r="1359">
      <c r="A1359" s="35">
        <f>IF(M1359="","",HYPERLINK("https://www.youtube.com/watch?v="&amp;M1359,"▶"))</f>
        <v/>
      </c>
      <c r="B1359" s="36">
        <f>IF(C1359&lt;&gt;"",C1359,IF(P1359&lt;=IFERROR(INDEX(tblChannels[Watched Through],MATCH(N1359,tblChannels[Channel ID],0)),0),"Watched","Unwatched"))</f>
        <v/>
      </c>
      <c r="C1359" s="37" t="n"/>
      <c r="D1359" s="38" t="n"/>
      <c r="E1359" s="39" t="n">
        <v>44413.58333333334</v>
      </c>
      <c r="F1359" s="47" t="inlineStr">
        <is>
          <t>Super Carlin Brothers</t>
        </is>
      </c>
      <c r="G1359" t="inlineStr">
        <is>
          <t>Did Philosopher’s Stone Predict EVERYTHING? | Harry Potter Film Theory</t>
        </is>
      </c>
      <c r="H1359" s="41" t="n">
        <v>0.01119212962962963</v>
      </c>
      <c r="I1359" s="42" t="n">
        <v>803868</v>
      </c>
      <c r="J1359" s="42" t="n">
        <v>26435</v>
      </c>
      <c r="K1359" s="42" t="n">
        <v>1930</v>
      </c>
      <c r="L1359" s="43" t="n"/>
      <c r="M1359" s="44" t="n"/>
      <c r="N1359" s="44" t="inlineStr">
        <is>
          <t>UCKZo4N0lVPccBkSiuyVh4yg</t>
        </is>
      </c>
      <c r="O1359" s="45" t="n">
        <v>44413.75</v>
      </c>
      <c r="P1359" s="46" t="n">
        <v>44413</v>
      </c>
      <c r="Q1359" s="44" t="n">
        <v>1913</v>
      </c>
      <c r="R1359" s="44" t="inlineStr">
        <is>
          <t>No Video ID yet</t>
        </is>
      </c>
      <c r="S1359" s="46" t="n"/>
      <c r="T1359" s="46" t="n"/>
      <c r="U1359" s="44" t="n"/>
      <c r="V1359" s="44">
        <f>IF(AND(P1359&gt;=Calendar!$K$2,P1359&lt;EDATE(Calendar!$K$2,1),OR(Calendar!$K$4="*",N1359=Calendar!$K$4)),P1359*100+COUNTIFS($P$6:$P$3271,P1359,$Q$6:$Q$3271,"&lt;="&amp;Q1359,$N$6:$N$3271,Calendar!$K$4),"")</f>
        <v/>
      </c>
      <c r="W1359" s="44">
        <f>IF(AND(B1359=Queue!$C$4,OR(Queue!$K$4="*",N1359=Queue!$K$4)),Q1359,"")</f>
        <v/>
      </c>
    </row>
    <row r="1360">
      <c r="A1360" s="35">
        <f>IF(M1360="","",HYPERLINK("https://www.youtube.com/watch?v="&amp;M1360,"▶"))</f>
        <v/>
      </c>
      <c r="B1360" s="36">
        <f>IF(C1360&lt;&gt;"",C1360,IF(P1360&lt;=IFERROR(INDEX(tblChannels[Watched Through],MATCH(N1360,tblChannels[Channel ID],0)),0),"Watched","Unwatched"))</f>
        <v/>
      </c>
      <c r="C1360" s="37" t="n"/>
      <c r="D1360" s="38" t="n"/>
      <c r="E1360" s="39" t="n">
        <v>44412.41666666666</v>
      </c>
      <c r="F1360" s="49" t="inlineStr">
        <is>
          <t>Super Carlin Gaming</t>
        </is>
      </c>
      <c r="G1360" t="inlineStr">
        <is>
          <t>A High Pryce To Pay.. | Pokémon SoulSilver Randomizer Nuzlocke #14</t>
        </is>
      </c>
      <c r="H1360" s="41" t="n">
        <v>0.02263888888888889</v>
      </c>
      <c r="I1360" s="42" t="n">
        <v>18381</v>
      </c>
      <c r="J1360" s="42" t="n">
        <v>1202</v>
      </c>
      <c r="K1360" s="42" t="n">
        <v>499</v>
      </c>
      <c r="L1360" s="43" t="n"/>
      <c r="M1360" s="44" t="n"/>
      <c r="N1360" s="44" t="inlineStr">
        <is>
          <t>UCor_9jRnNNZVzTuQ92PKsaQ</t>
        </is>
      </c>
      <c r="O1360" s="45" t="n">
        <v>44412.58333333334</v>
      </c>
      <c r="P1360" s="46" t="n">
        <v>44412</v>
      </c>
      <c r="Q1360" s="44" t="n">
        <v>1912</v>
      </c>
      <c r="R1360" s="44" t="inlineStr">
        <is>
          <t>No Video ID yet</t>
        </is>
      </c>
      <c r="S1360" s="46" t="n"/>
      <c r="T1360" s="46" t="n"/>
      <c r="U1360" s="44" t="n"/>
      <c r="V1360" s="44">
        <f>IF(AND(P1360&gt;=Calendar!$K$2,P1360&lt;EDATE(Calendar!$K$2,1),OR(Calendar!$K$4="*",N1360=Calendar!$K$4)),P1360*100+COUNTIFS($P$6:$P$3271,P1360,$Q$6:$Q$3271,"&lt;="&amp;Q1360,$N$6:$N$3271,Calendar!$K$4),"")</f>
        <v/>
      </c>
      <c r="W1360" s="44">
        <f>IF(AND(B1360=Queue!$C$4,OR(Queue!$K$4="*",N1360=Queue!$K$4)),Q1360,"")</f>
        <v/>
      </c>
    </row>
    <row r="1361">
      <c r="A1361" s="35">
        <f>IF(M1361="","",HYPERLINK("https://www.youtube.com/watch?v="&amp;M1361,"▶"))</f>
        <v/>
      </c>
      <c r="B1361" s="36">
        <f>IF(C1361&lt;&gt;"",C1361,IF(P1361&lt;=IFERROR(INDEX(tblChannels[Watched Through],MATCH(N1361,tblChannels[Channel ID],0)),0),"Watched","Unwatched"))</f>
        <v/>
      </c>
      <c r="C1361" s="37" t="n"/>
      <c r="D1361" s="38" t="n"/>
      <c r="E1361" s="39" t="n">
        <v>44411.70833333334</v>
      </c>
      <c r="F1361" s="47" t="inlineStr">
        <is>
          <t>Super Carlin Brothers</t>
        </is>
      </c>
      <c r="G1361" t="inlineStr">
        <is>
          <t>J vs Ben: Most EXPENSIVE Disney Artifacts | GAME</t>
        </is>
      </c>
      <c r="H1361" s="41" t="n">
        <v>0.02362268518518518</v>
      </c>
      <c r="I1361" s="42" t="n">
        <v>144303</v>
      </c>
      <c r="J1361" s="42" t="n">
        <v>5471</v>
      </c>
      <c r="K1361" s="42" t="n">
        <v>510</v>
      </c>
      <c r="L1361" s="43" t="n"/>
      <c r="M1361" s="44" t="n"/>
      <c r="N1361" s="44" t="inlineStr">
        <is>
          <t>UCKZo4N0lVPccBkSiuyVh4yg</t>
        </is>
      </c>
      <c r="O1361" s="45" t="n">
        <v>44411.875</v>
      </c>
      <c r="P1361" s="46" t="n">
        <v>44411</v>
      </c>
      <c r="Q1361" s="44" t="n">
        <v>1911</v>
      </c>
      <c r="R1361" s="44" t="inlineStr">
        <is>
          <t>No Video ID yet</t>
        </is>
      </c>
      <c r="S1361" s="46" t="n"/>
      <c r="T1361" s="46" t="n"/>
      <c r="U1361" s="44" t="n"/>
      <c r="V1361" s="44">
        <f>IF(AND(P1361&gt;=Calendar!$K$2,P1361&lt;EDATE(Calendar!$K$2,1),OR(Calendar!$K$4="*",N1361=Calendar!$K$4)),P1361*100+COUNTIFS($P$6:$P$3271,P1361,$Q$6:$Q$3271,"&lt;="&amp;Q1361,$N$6:$N$3271,Calendar!$K$4),"")</f>
        <v/>
      </c>
      <c r="W1361" s="44">
        <f>IF(AND(B1361=Queue!$C$4,OR(Queue!$K$4="*",N1361=Queue!$K$4)),Q1361,"")</f>
        <v/>
      </c>
    </row>
    <row r="1362">
      <c r="A1362" s="35">
        <f>IF(M1362="","",HYPERLINK("https://www.youtube.com/watch?v="&amp;M1362,"▶"))</f>
        <v/>
      </c>
      <c r="B1362" s="36">
        <f>IF(C1362&lt;&gt;"",C1362,IF(P1362&lt;=IFERROR(INDEX(tblChannels[Watched Through],MATCH(N1362,tblChannels[Channel ID],0)),0),"Watched","Unwatched"))</f>
        <v/>
      </c>
      <c r="C1362" s="37" t="n"/>
      <c r="D1362" s="38" t="n"/>
      <c r="E1362" s="39" t="n">
        <v>44410.41666666666</v>
      </c>
      <c r="F1362" s="49" t="inlineStr">
        <is>
          <t>Super Carlin Gaming</t>
        </is>
      </c>
      <c r="G1362" t="inlineStr">
        <is>
          <t>THE REGI-ROCKET | Pokémon SoulSilver Randomizer Nuzlocke #13</t>
        </is>
      </c>
      <c r="H1362" s="41" t="n">
        <v>0.0340162037037037</v>
      </c>
      <c r="I1362" s="42" t="n">
        <v>21402</v>
      </c>
      <c r="J1362" s="42" t="n">
        <v>1126</v>
      </c>
      <c r="K1362" s="42" t="n">
        <v>378</v>
      </c>
      <c r="L1362" s="43" t="n"/>
      <c r="M1362" s="44" t="n"/>
      <c r="N1362" s="44" t="inlineStr">
        <is>
          <t>UCor_9jRnNNZVzTuQ92PKsaQ</t>
        </is>
      </c>
      <c r="O1362" s="45" t="n">
        <v>44410.58333333334</v>
      </c>
      <c r="P1362" s="46" t="n">
        <v>44410</v>
      </c>
      <c r="Q1362" s="44" t="n">
        <v>1910</v>
      </c>
      <c r="R1362" s="44" t="inlineStr">
        <is>
          <t>No Video ID yet</t>
        </is>
      </c>
      <c r="S1362" s="46" t="n"/>
      <c r="T1362" s="46" t="n"/>
      <c r="U1362" s="44" t="n"/>
      <c r="V1362" s="44">
        <f>IF(AND(P1362&gt;=Calendar!$K$2,P1362&lt;EDATE(Calendar!$K$2,1),OR(Calendar!$K$4="*",N1362=Calendar!$K$4)),P1362*100+COUNTIFS($P$6:$P$3271,P1362,$Q$6:$Q$3271,"&lt;="&amp;Q1362,$N$6:$N$3271,Calendar!$K$4),"")</f>
        <v/>
      </c>
      <c r="W1362" s="44">
        <f>IF(AND(B1362=Queue!$C$4,OR(Queue!$K$4="*",N1362=Queue!$K$4)),Q1362,"")</f>
        <v/>
      </c>
    </row>
    <row r="1363">
      <c r="A1363" s="35">
        <f>IF(M1363="","",HYPERLINK("https://www.youtube.com/watch?v="&amp;M1363,"▶"))</f>
        <v/>
      </c>
      <c r="B1363" s="36">
        <f>IF(C1363&lt;&gt;"",C1363,IF(P1363&lt;=IFERROR(INDEX(tblChannels[Watched Through],MATCH(N1363,tblChannels[Channel ID],0)),0),"Watched","Unwatched"))</f>
        <v/>
      </c>
      <c r="C1363" s="37" t="n"/>
      <c r="D1363" s="38" t="n"/>
      <c r="E1363" s="39" t="n">
        <v>44407.41666666666</v>
      </c>
      <c r="F1363" s="47" t="inlineStr">
        <is>
          <t>Super Carlin Brothers</t>
        </is>
      </c>
      <c r="G1363" t="inlineStr">
        <is>
          <t>Sponges Are Inevitable | Popcorn Culture</t>
        </is>
      </c>
      <c r="H1363" s="41" t="n">
        <v>0.04721064814814815</v>
      </c>
      <c r="I1363" s="42" t="n">
        <v>19435</v>
      </c>
      <c r="J1363" s="42" t="n">
        <v>738</v>
      </c>
      <c r="K1363" s="42" t="n">
        <v>76</v>
      </c>
      <c r="L1363" s="43" t="n"/>
      <c r="M1363" s="44" t="n"/>
      <c r="N1363" s="44" t="inlineStr">
        <is>
          <t>UCKZo4N0lVPccBkSiuyVh4yg</t>
        </is>
      </c>
      <c r="O1363" s="45" t="n">
        <v>44407.58333333334</v>
      </c>
      <c r="P1363" s="46" t="n">
        <v>44407</v>
      </c>
      <c r="Q1363" s="44" t="n">
        <v>1909</v>
      </c>
      <c r="R1363" s="44" t="inlineStr">
        <is>
          <t>No Video ID yet</t>
        </is>
      </c>
      <c r="S1363" s="46" t="n"/>
      <c r="T1363" s="46" t="n"/>
      <c r="U1363" s="44" t="n"/>
      <c r="V1363" s="44">
        <f>IF(AND(P1363&gt;=Calendar!$K$2,P1363&lt;EDATE(Calendar!$K$2,1),OR(Calendar!$K$4="*",N1363=Calendar!$K$4)),P1363*100+COUNTIFS($P$6:$P$3271,P1363,$Q$6:$Q$3271,"&lt;="&amp;Q1363,$N$6:$N$3271,Calendar!$K$4),"")</f>
        <v/>
      </c>
      <c r="W1363" s="44">
        <f>IF(AND(B1363=Queue!$C$4,OR(Queue!$K$4="*",N1363=Queue!$K$4)),Q1363,"")</f>
        <v/>
      </c>
    </row>
    <row r="1364">
      <c r="A1364" s="35">
        <f>IF(M1364="","",HYPERLINK("https://www.youtube.com/watch?v="&amp;M1364,"▶"))</f>
        <v/>
      </c>
      <c r="B1364" s="36">
        <f>IF(C1364&lt;&gt;"",C1364,IF(P1364&lt;=IFERROR(INDEX(tblChannels[Watched Through],MATCH(N1364,tblChannels[Channel ID],0)),0),"Watched","Unwatched"))</f>
        <v/>
      </c>
      <c r="C1364" s="37" t="n"/>
      <c r="D1364" s="38" t="n"/>
      <c r="E1364" s="39" t="n">
        <v>44407.25</v>
      </c>
      <c r="F1364" s="40" t="inlineStr">
        <is>
          <t>Popcorn Culture</t>
        </is>
      </c>
      <c r="G1364" t="inlineStr">
        <is>
          <t>86 - Sponges are Inevitable</t>
        </is>
      </c>
      <c r="H1364" s="41" t="n">
        <v>0.04626157407407407</v>
      </c>
      <c r="I1364" s="42" t="n">
        <v>1729</v>
      </c>
      <c r="J1364" s="42" t="n">
        <v>104</v>
      </c>
      <c r="K1364" s="42" t="n">
        <v>4</v>
      </c>
      <c r="L1364" s="43" t="n"/>
      <c r="M1364" s="44" t="n"/>
      <c r="N1364" s="44" t="inlineStr">
        <is>
          <t>UCHfIbq9thHPC8yrKjAdJgDA</t>
        </is>
      </c>
      <c r="O1364" s="45" t="n">
        <v>44407.41666666666</v>
      </c>
      <c r="P1364" s="46" t="n">
        <v>44407</v>
      </c>
      <c r="Q1364" s="44" t="n">
        <v>1908</v>
      </c>
      <c r="R1364" s="44" t="inlineStr">
        <is>
          <t>No Video ID yet</t>
        </is>
      </c>
      <c r="S1364" s="46" t="n"/>
      <c r="T1364" s="46" t="n"/>
      <c r="U1364" s="44" t="n"/>
      <c r="V1364" s="44">
        <f>IF(AND(P1364&gt;=Calendar!$K$2,P1364&lt;EDATE(Calendar!$K$2,1),OR(Calendar!$K$4="*",N1364=Calendar!$K$4)),P1364*100+COUNTIFS($P$6:$P$3271,P1364,$Q$6:$Q$3271,"&lt;="&amp;Q1364,$N$6:$N$3271,Calendar!$K$4),"")</f>
        <v/>
      </c>
      <c r="W1364" s="44">
        <f>IF(AND(B1364=Queue!$C$4,OR(Queue!$K$4="*",N1364=Queue!$K$4)),Q1364,"")</f>
        <v/>
      </c>
    </row>
    <row r="1365">
      <c r="A1365" s="35">
        <f>IF(M1365="","",HYPERLINK("https://www.youtube.com/watch?v="&amp;M1365,"▶"))</f>
        <v/>
      </c>
      <c r="B1365" s="36">
        <f>IF(C1365&lt;&gt;"",C1365,IF(P1365&lt;=IFERROR(INDEX(tblChannels[Watched Through],MATCH(N1365,tblChannels[Channel ID],0)),0),"Watched","Unwatched"))</f>
        <v/>
      </c>
      <c r="C1365" s="37" t="n"/>
      <c r="D1365" s="38" t="n"/>
      <c r="E1365" s="39" t="n">
        <v>44406.84513888889</v>
      </c>
      <c r="F1365" s="47" t="inlineStr">
        <is>
          <t>Super Carlin Brothers</t>
        </is>
      </c>
      <c r="G1365" t="inlineStr">
        <is>
          <t>Top 10 ODDEST Casting Calls In Harry Potter Movies</t>
        </is>
      </c>
      <c r="H1365" s="41" t="n">
        <v>0.01303240740740741</v>
      </c>
      <c r="I1365" s="42" t="n">
        <v>382303</v>
      </c>
      <c r="J1365" s="42" t="n">
        <v>18065</v>
      </c>
      <c r="K1365" s="42" t="n">
        <v>1783</v>
      </c>
      <c r="L1365" s="43" t="n"/>
      <c r="M1365" s="44" t="n"/>
      <c r="N1365" s="44" t="inlineStr">
        <is>
          <t>UCKZo4N0lVPccBkSiuyVh4yg</t>
        </is>
      </c>
      <c r="O1365" s="45" t="n">
        <v>44407.01180555556</v>
      </c>
      <c r="P1365" s="46" t="n">
        <v>44406</v>
      </c>
      <c r="Q1365" s="44" t="n">
        <v>1907</v>
      </c>
      <c r="R1365" s="44" t="inlineStr">
        <is>
          <t>No Video ID yet</t>
        </is>
      </c>
      <c r="S1365" s="46" t="n"/>
      <c r="T1365" s="46" t="n"/>
      <c r="U1365" s="44" t="n"/>
      <c r="V1365" s="44">
        <f>IF(AND(P1365&gt;=Calendar!$K$2,P1365&lt;EDATE(Calendar!$K$2,1),OR(Calendar!$K$4="*",N1365=Calendar!$K$4)),P1365*100+COUNTIFS($P$6:$P$3271,P1365,$Q$6:$Q$3271,"&lt;="&amp;Q1365,$N$6:$N$3271,Calendar!$K$4),"")</f>
        <v/>
      </c>
      <c r="W1365" s="44">
        <f>IF(AND(B1365=Queue!$C$4,OR(Queue!$K$4="*",N1365=Queue!$K$4)),Q1365,"")</f>
        <v/>
      </c>
    </row>
    <row r="1366">
      <c r="A1366" s="35">
        <f>IF(M1366="","",HYPERLINK("https://www.youtube.com/watch?v="&amp;M1366,"▶"))</f>
        <v/>
      </c>
      <c r="B1366" s="36">
        <f>IF(C1366&lt;&gt;"",C1366,IF(P1366&lt;=IFERROR(INDEX(tblChannels[Watched Through],MATCH(N1366,tblChannels[Channel ID],0)),0),"Watched","Unwatched"))</f>
        <v/>
      </c>
      <c r="C1366" s="37" t="n"/>
      <c r="D1366" s="38" t="n"/>
      <c r="E1366" s="39" t="n">
        <v>44405.41666666666</v>
      </c>
      <c r="F1366" s="49" t="inlineStr">
        <is>
          <t>Super Carlin Gaming</t>
        </is>
      </c>
      <c r="G1366" t="inlineStr">
        <is>
          <t>THE SHINY IN THE LAKE OF RAGE | Pokémon SoulSilver Randomizer Nuzlocke #12</t>
        </is>
      </c>
      <c r="H1366" s="41" t="n">
        <v>0.02444444444444445</v>
      </c>
      <c r="I1366" s="42" t="n">
        <v>20909</v>
      </c>
      <c r="J1366" s="42" t="n">
        <v>1619</v>
      </c>
      <c r="K1366" s="42" t="n">
        <v>366</v>
      </c>
      <c r="L1366" s="43" t="n"/>
      <c r="M1366" s="44" t="n"/>
      <c r="N1366" s="44" t="inlineStr">
        <is>
          <t>UCor_9jRnNNZVzTuQ92PKsaQ</t>
        </is>
      </c>
      <c r="O1366" s="45" t="n">
        <v>44405.58333333334</v>
      </c>
      <c r="P1366" s="46" t="n">
        <v>44405</v>
      </c>
      <c r="Q1366" s="44" t="n">
        <v>1906</v>
      </c>
      <c r="R1366" s="44" t="inlineStr">
        <is>
          <t>No Video ID yet</t>
        </is>
      </c>
      <c r="S1366" s="46" t="n"/>
      <c r="T1366" s="46" t="n"/>
      <c r="U1366" s="44" t="n"/>
      <c r="V1366" s="44">
        <f>IF(AND(P1366&gt;=Calendar!$K$2,P1366&lt;EDATE(Calendar!$K$2,1),OR(Calendar!$K$4="*",N1366=Calendar!$K$4)),P1366*100+COUNTIFS($P$6:$P$3271,P1366,$Q$6:$Q$3271,"&lt;="&amp;Q1366,$N$6:$N$3271,Calendar!$K$4),"")</f>
        <v/>
      </c>
      <c r="W1366" s="44">
        <f>IF(AND(B1366=Queue!$C$4,OR(Queue!$K$4="*",N1366=Queue!$K$4)),Q1366,"")</f>
        <v/>
      </c>
    </row>
    <row r="1367">
      <c r="A1367" s="35">
        <f>IF(M1367="","",HYPERLINK("https://www.youtube.com/watch?v="&amp;M1367,"▶"))</f>
        <v/>
      </c>
      <c r="B1367" s="36">
        <f>IF(C1367&lt;&gt;"",C1367,IF(P1367&lt;=IFERROR(INDEX(tblChannels[Watched Through],MATCH(N1367,tblChannels[Channel ID],0)),0),"Watched","Unwatched"))</f>
        <v/>
      </c>
      <c r="C1367" s="37" t="n"/>
      <c r="D1367" s="38" t="n"/>
      <c r="E1367" s="39" t="n">
        <v>44404.84305555555</v>
      </c>
      <c r="F1367" s="47" t="inlineStr">
        <is>
          <t>Super Carlin Brothers</t>
        </is>
      </c>
      <c r="G1367" t="inlineStr">
        <is>
          <t>Who Is Giulia’s Monster? | Pixar Theory</t>
        </is>
      </c>
      <c r="H1367" s="41" t="n">
        <v>0.01200231481481481</v>
      </c>
      <c r="I1367" s="42" t="n">
        <v>585691</v>
      </c>
      <c r="J1367" s="42" t="n">
        <v>18389</v>
      </c>
      <c r="K1367" s="42" t="n">
        <v>1318</v>
      </c>
      <c r="L1367" s="43" t="n"/>
      <c r="M1367" s="44" t="n"/>
      <c r="N1367" s="44" t="inlineStr">
        <is>
          <t>UCKZo4N0lVPccBkSiuyVh4yg</t>
        </is>
      </c>
      <c r="O1367" s="45" t="n">
        <v>44405.00972222222</v>
      </c>
      <c r="P1367" s="46" t="n">
        <v>44404</v>
      </c>
      <c r="Q1367" s="44" t="n">
        <v>1905</v>
      </c>
      <c r="R1367" s="44" t="inlineStr">
        <is>
          <t>No Video ID yet</t>
        </is>
      </c>
      <c r="S1367" s="46" t="n"/>
      <c r="T1367" s="46" t="n"/>
      <c r="U1367" s="44" t="n"/>
      <c r="V1367" s="44">
        <f>IF(AND(P1367&gt;=Calendar!$K$2,P1367&lt;EDATE(Calendar!$K$2,1),OR(Calendar!$K$4="*",N1367=Calendar!$K$4)),P1367*100+COUNTIFS($P$6:$P$3271,P1367,$Q$6:$Q$3271,"&lt;="&amp;Q1367,$N$6:$N$3271,Calendar!$K$4),"")</f>
        <v/>
      </c>
      <c r="W1367" s="44">
        <f>IF(AND(B1367=Queue!$C$4,OR(Queue!$K$4="*",N1367=Queue!$K$4)),Q1367,"")</f>
        <v/>
      </c>
    </row>
    <row r="1368">
      <c r="A1368" s="35">
        <f>IF(M1368="","",HYPERLINK("https://www.youtube.com/watch?v="&amp;M1368,"▶"))</f>
        <v/>
      </c>
      <c r="B1368" s="36">
        <f>IF(C1368&lt;&gt;"",C1368,IF(P1368&lt;=IFERROR(INDEX(tblChannels[Watched Through],MATCH(N1368,tblChannels[Channel ID],0)),0),"Watched","Unwatched"))</f>
        <v/>
      </c>
      <c r="C1368" s="37" t="n"/>
      <c r="D1368" s="38" t="n"/>
      <c r="E1368" s="39" t="n">
        <v>44403.41666666666</v>
      </c>
      <c r="F1368" s="49" t="inlineStr">
        <is>
          <t>Super Carlin Gaming</t>
        </is>
      </c>
      <c r="G1368" t="inlineStr">
        <is>
          <t>JASMINE'S WRATH |  Pokémon SoulSilver Randomizer Nuzlocke #11</t>
        </is>
      </c>
      <c r="H1368" s="41" t="n">
        <v>0.02217592592592593</v>
      </c>
      <c r="I1368" s="42" t="n">
        <v>20111</v>
      </c>
      <c r="J1368" s="42" t="n">
        <v>1396</v>
      </c>
      <c r="K1368" s="42" t="n">
        <v>374</v>
      </c>
      <c r="L1368" s="43" t="n"/>
      <c r="M1368" s="44" t="n"/>
      <c r="N1368" s="44" t="inlineStr">
        <is>
          <t>UCor_9jRnNNZVzTuQ92PKsaQ</t>
        </is>
      </c>
      <c r="O1368" s="45" t="n">
        <v>44403.58333333334</v>
      </c>
      <c r="P1368" s="46" t="n">
        <v>44403</v>
      </c>
      <c r="Q1368" s="44" t="n">
        <v>1904</v>
      </c>
      <c r="R1368" s="44" t="inlineStr">
        <is>
          <t>No Video ID yet</t>
        </is>
      </c>
      <c r="S1368" s="46" t="n"/>
      <c r="T1368" s="46" t="n"/>
      <c r="U1368" s="44" t="n"/>
      <c r="V1368" s="44">
        <f>IF(AND(P1368&gt;=Calendar!$K$2,P1368&lt;EDATE(Calendar!$K$2,1),OR(Calendar!$K$4="*",N1368=Calendar!$K$4)),P1368*100+COUNTIFS($P$6:$P$3271,P1368,$Q$6:$Q$3271,"&lt;="&amp;Q1368,$N$6:$N$3271,Calendar!$K$4),"")</f>
        <v/>
      </c>
      <c r="W1368" s="44">
        <f>IF(AND(B1368=Queue!$C$4,OR(Queue!$K$4="*",N1368=Queue!$K$4)),Q1368,"")</f>
        <v/>
      </c>
    </row>
    <row r="1369">
      <c r="A1369" s="35">
        <f>IF(M1369="","",HYPERLINK("https://www.youtube.com/watch?v="&amp;M1369,"▶"))</f>
        <v/>
      </c>
      <c r="B1369" s="36">
        <f>IF(C1369&lt;&gt;"",C1369,IF(P1369&lt;=IFERROR(INDEX(tblChannels[Watched Through],MATCH(N1369,tblChannels[Channel ID],0)),0),"Watched","Unwatched"))</f>
        <v/>
      </c>
      <c r="C1369" s="37" t="n"/>
      <c r="D1369" s="38" t="n"/>
      <c r="E1369" s="39" t="n">
        <v>44400.89236111111</v>
      </c>
      <c r="F1369" s="47" t="inlineStr">
        <is>
          <t>Super Carlin Brothers</t>
        </is>
      </c>
      <c r="G1369" t="inlineStr">
        <is>
          <t>SKREWTs Trivia SCB vs MuggleNet vs the World</t>
        </is>
      </c>
      <c r="H1369" s="41" t="n">
        <v>0.09283564814814815</v>
      </c>
      <c r="I1369" s="42" t="n">
        <v>57797</v>
      </c>
      <c r="J1369" s="42" t="n">
        <v>1659</v>
      </c>
      <c r="K1369" s="42" t="n">
        <v>144</v>
      </c>
      <c r="L1369" s="43" t="n"/>
      <c r="M1369" s="44" t="n"/>
      <c r="N1369" s="44" t="inlineStr">
        <is>
          <t>UCKZo4N0lVPccBkSiuyVh4yg</t>
        </is>
      </c>
      <c r="O1369" s="45" t="n">
        <v>44401.05902777778</v>
      </c>
      <c r="P1369" s="46" t="n">
        <v>44400</v>
      </c>
      <c r="Q1369" s="44" t="n">
        <v>1903</v>
      </c>
      <c r="R1369" s="44" t="inlineStr">
        <is>
          <t>No Video ID yet</t>
        </is>
      </c>
      <c r="S1369" s="46" t="n"/>
      <c r="T1369" s="46" t="n"/>
      <c r="U1369" s="44" t="n"/>
      <c r="V1369" s="44">
        <f>IF(AND(P1369&gt;=Calendar!$K$2,P1369&lt;EDATE(Calendar!$K$2,1),OR(Calendar!$K$4="*",N1369=Calendar!$K$4)),P1369*100+COUNTIFS($P$6:$P$3271,P1369,$Q$6:$Q$3271,"&lt;="&amp;Q1369,$N$6:$N$3271,Calendar!$K$4),"")</f>
        <v/>
      </c>
      <c r="W1369" s="44">
        <f>IF(AND(B1369=Queue!$C$4,OR(Queue!$K$4="*",N1369=Queue!$K$4)),Q1369,"")</f>
        <v/>
      </c>
    </row>
    <row r="1370">
      <c r="A1370" s="35">
        <f>IF(M1370="","",HYPERLINK("https://www.youtube.com/watch?v="&amp;M1370,"▶"))</f>
        <v/>
      </c>
      <c r="B1370" s="36">
        <f>IF(C1370&lt;&gt;"",C1370,IF(P1370&lt;=IFERROR(INDEX(tblChannels[Watched Through],MATCH(N1370,tblChannels[Channel ID],0)),0),"Watched","Unwatched"))</f>
        <v/>
      </c>
      <c r="C1370" s="37" t="n"/>
      <c r="D1370" s="38" t="n"/>
      <c r="E1370" s="39" t="n">
        <v>44400.41666666666</v>
      </c>
      <c r="F1370" s="47" t="inlineStr">
        <is>
          <t>Super Carlin Brothers</t>
        </is>
      </c>
      <c r="G1370" t="inlineStr">
        <is>
          <t>Everyone Loves a Trick Shot | Popcorn Culture</t>
        </is>
      </c>
      <c r="H1370" s="41" t="n">
        <v>0.05332175925925926</v>
      </c>
      <c r="I1370" s="42" t="n">
        <v>19146</v>
      </c>
      <c r="J1370" s="42" t="n">
        <v>825</v>
      </c>
      <c r="K1370" s="42" t="n">
        <v>86</v>
      </c>
      <c r="L1370" s="43" t="n"/>
      <c r="M1370" s="44" t="n"/>
      <c r="N1370" s="44" t="inlineStr">
        <is>
          <t>UCKZo4N0lVPccBkSiuyVh4yg</t>
        </is>
      </c>
      <c r="O1370" s="45" t="n">
        <v>44400.58333333334</v>
      </c>
      <c r="P1370" s="46" t="n">
        <v>44400</v>
      </c>
      <c r="Q1370" s="44" t="n">
        <v>1902</v>
      </c>
      <c r="R1370" s="44" t="inlineStr">
        <is>
          <t>No Video ID yet</t>
        </is>
      </c>
      <c r="S1370" s="46" t="n"/>
      <c r="T1370" s="46" t="n"/>
      <c r="U1370" s="44" t="n"/>
      <c r="V1370" s="44">
        <f>IF(AND(P1370&gt;=Calendar!$K$2,P1370&lt;EDATE(Calendar!$K$2,1),OR(Calendar!$K$4="*",N1370=Calendar!$K$4)),P1370*100+COUNTIFS($P$6:$P$3271,P1370,$Q$6:$Q$3271,"&lt;="&amp;Q1370,$N$6:$N$3271,Calendar!$K$4),"")</f>
        <v/>
      </c>
      <c r="W1370" s="44">
        <f>IF(AND(B1370=Queue!$C$4,OR(Queue!$K$4="*",N1370=Queue!$K$4)),Q1370,"")</f>
        <v/>
      </c>
    </row>
    <row r="1371">
      <c r="A1371" s="35">
        <f>IF(M1371="","",HYPERLINK("https://www.youtube.com/watch?v="&amp;M1371,"▶"))</f>
        <v/>
      </c>
      <c r="B1371" s="36">
        <f>IF(C1371&lt;&gt;"",C1371,IF(P1371&lt;=IFERROR(INDEX(tblChannels[Watched Through],MATCH(N1371,tblChannels[Channel ID],0)),0),"Watched","Unwatched"))</f>
        <v/>
      </c>
      <c r="C1371" s="37" t="n"/>
      <c r="D1371" s="38" t="n"/>
      <c r="E1371" s="39" t="n">
        <v>44400.25</v>
      </c>
      <c r="F1371" s="40" t="inlineStr">
        <is>
          <t>Popcorn Culture</t>
        </is>
      </c>
      <c r="G1371" t="inlineStr">
        <is>
          <t>85 - Everyone Loves a Trick Shot</t>
        </is>
      </c>
      <c r="H1371" s="41" t="n">
        <v>0.05271990740740741</v>
      </c>
      <c r="I1371" s="42" t="n">
        <v>1650</v>
      </c>
      <c r="J1371" s="42" t="n">
        <v>83</v>
      </c>
      <c r="K1371" s="42" t="n">
        <v>6</v>
      </c>
      <c r="L1371" s="43" t="n"/>
      <c r="M1371" s="44" t="n"/>
      <c r="N1371" s="44" t="inlineStr">
        <is>
          <t>UCHfIbq9thHPC8yrKjAdJgDA</t>
        </is>
      </c>
      <c r="O1371" s="45" t="n">
        <v>44400.41666666666</v>
      </c>
      <c r="P1371" s="46" t="n">
        <v>44400</v>
      </c>
      <c r="Q1371" s="44" t="n">
        <v>1901</v>
      </c>
      <c r="R1371" s="44" t="inlineStr">
        <is>
          <t>No Video ID yet</t>
        </is>
      </c>
      <c r="S1371" s="46" t="n"/>
      <c r="T1371" s="46" t="n"/>
      <c r="U1371" s="44" t="n"/>
      <c r="V1371" s="44">
        <f>IF(AND(P1371&gt;=Calendar!$K$2,P1371&lt;EDATE(Calendar!$K$2,1),OR(Calendar!$K$4="*",N1371=Calendar!$K$4)),P1371*100+COUNTIFS($P$6:$P$3271,P1371,$Q$6:$Q$3271,"&lt;="&amp;Q1371,$N$6:$N$3271,Calendar!$K$4),"")</f>
        <v/>
      </c>
      <c r="W1371" s="44">
        <f>IF(AND(B1371=Queue!$C$4,OR(Queue!$K$4="*",N1371=Queue!$K$4)),Q1371,"")</f>
        <v/>
      </c>
    </row>
    <row r="1372">
      <c r="A1372" s="35">
        <f>IF(M1372="","",HYPERLINK("https://www.youtube.com/watch?v="&amp;M1372,"▶"))</f>
        <v/>
      </c>
      <c r="B1372" s="36">
        <f>IF(C1372&lt;&gt;"",C1372,IF(P1372&lt;=IFERROR(INDEX(tblChannels[Watched Through],MATCH(N1372,tblChannels[Channel ID],0)),0),"Watched","Unwatched"))</f>
        <v/>
      </c>
      <c r="C1372" s="37" t="n"/>
      <c r="D1372" s="38" t="n"/>
      <c r="E1372" s="39" t="n">
        <v>44399.68680555555</v>
      </c>
      <c r="F1372" s="47" t="inlineStr">
        <is>
          <t>Super Carlin Brothers</t>
        </is>
      </c>
      <c r="G1372" t="inlineStr">
        <is>
          <t>J vs Ben: ULTIMATE Harry Potter Summer TRIVIA Quiz</t>
        </is>
      </c>
      <c r="H1372" s="41" t="n">
        <v>0.01924768518518518</v>
      </c>
      <c r="I1372" s="42" t="n">
        <v>329810</v>
      </c>
      <c r="J1372" s="42" t="n">
        <v>11340</v>
      </c>
      <c r="K1372" s="42" t="n">
        <v>1094</v>
      </c>
      <c r="L1372" s="43" t="n"/>
      <c r="M1372" s="44" t="n"/>
      <c r="N1372" s="44" t="inlineStr">
        <is>
          <t>UCKZo4N0lVPccBkSiuyVh4yg</t>
        </is>
      </c>
      <c r="O1372" s="45" t="n">
        <v>44399.85347222222</v>
      </c>
      <c r="P1372" s="46" t="n">
        <v>44399</v>
      </c>
      <c r="Q1372" s="44" t="n">
        <v>1900</v>
      </c>
      <c r="R1372" s="44" t="inlineStr">
        <is>
          <t>No Video ID yet</t>
        </is>
      </c>
      <c r="S1372" s="46" t="n"/>
      <c r="T1372" s="46" t="n"/>
      <c r="U1372" s="44" t="n"/>
      <c r="V1372" s="44">
        <f>IF(AND(P1372&gt;=Calendar!$K$2,P1372&lt;EDATE(Calendar!$K$2,1),OR(Calendar!$K$4="*",N1372=Calendar!$K$4)),P1372*100+COUNTIFS($P$6:$P$3271,P1372,$Q$6:$Q$3271,"&lt;="&amp;Q1372,$N$6:$N$3271,Calendar!$K$4),"")</f>
        <v/>
      </c>
      <c r="W1372" s="44">
        <f>IF(AND(B1372=Queue!$C$4,OR(Queue!$K$4="*",N1372=Queue!$K$4)),Q1372,"")</f>
        <v/>
      </c>
    </row>
    <row r="1373">
      <c r="A1373" s="35">
        <f>IF(M1373="","",HYPERLINK("https://www.youtube.com/watch?v="&amp;M1373,"▶"))</f>
        <v/>
      </c>
      <c r="B1373" s="36">
        <f>IF(C1373&lt;&gt;"",C1373,IF(P1373&lt;=IFERROR(INDEX(tblChannels[Watched Through],MATCH(N1373,tblChannels[Channel ID],0)),0),"Watched","Unwatched"))</f>
        <v/>
      </c>
      <c r="C1373" s="37" t="n"/>
      <c r="D1373" s="38" t="n"/>
      <c r="E1373" s="39" t="n">
        <v>44398.41666666666</v>
      </c>
      <c r="F1373" s="49" t="inlineStr">
        <is>
          <t>Super Carlin Gaming</t>
        </is>
      </c>
      <c r="G1373" t="inlineStr">
        <is>
          <t>THE GOD OF SPACE |  Pokémon SoulSilver Randomizer Nuzlocke #10</t>
        </is>
      </c>
      <c r="H1373" s="41" t="n">
        <v>0.02543981481481481</v>
      </c>
      <c r="I1373" s="42" t="n">
        <v>22436</v>
      </c>
      <c r="J1373" s="42" t="n">
        <v>1755</v>
      </c>
      <c r="K1373" s="42" t="n">
        <v>712</v>
      </c>
      <c r="L1373" s="43" t="n"/>
      <c r="M1373" s="44" t="n"/>
      <c r="N1373" s="44" t="inlineStr">
        <is>
          <t>UCor_9jRnNNZVzTuQ92PKsaQ</t>
        </is>
      </c>
      <c r="O1373" s="45" t="n">
        <v>44398.58333333334</v>
      </c>
      <c r="P1373" s="46" t="n">
        <v>44398</v>
      </c>
      <c r="Q1373" s="44" t="n">
        <v>1899</v>
      </c>
      <c r="R1373" s="44" t="inlineStr">
        <is>
          <t>No Video ID yet</t>
        </is>
      </c>
      <c r="S1373" s="46" t="n"/>
      <c r="T1373" s="46" t="n"/>
      <c r="U1373" s="44" t="n"/>
      <c r="V1373" s="44">
        <f>IF(AND(P1373&gt;=Calendar!$K$2,P1373&lt;EDATE(Calendar!$K$2,1),OR(Calendar!$K$4="*",N1373=Calendar!$K$4)),P1373*100+COUNTIFS($P$6:$P$3271,P1373,$Q$6:$Q$3271,"&lt;="&amp;Q1373,$N$6:$N$3271,Calendar!$K$4),"")</f>
        <v/>
      </c>
      <c r="W1373" s="44">
        <f>IF(AND(B1373=Queue!$C$4,OR(Queue!$K$4="*",N1373=Queue!$K$4)),Q1373,"")</f>
        <v/>
      </c>
    </row>
    <row r="1374">
      <c r="A1374" s="35">
        <f>IF(M1374="","",HYPERLINK("https://www.youtube.com/watch?v="&amp;M1374,"▶"))</f>
        <v/>
      </c>
      <c r="B1374" s="36">
        <f>IF(C1374&lt;&gt;"",C1374,IF(P1374&lt;=IFERROR(INDEX(tblChannels[Watched Through],MATCH(N1374,tblChannels[Channel ID],0)),0),"Watched","Unwatched"))</f>
        <v/>
      </c>
      <c r="C1374" s="37" t="n"/>
      <c r="D1374" s="38" t="n"/>
      <c r="E1374" s="39" t="n">
        <v>44397.68541666667</v>
      </c>
      <c r="F1374" s="47" t="inlineStr">
        <is>
          <t>Super Carlin Brothers</t>
        </is>
      </c>
      <c r="G1374" t="inlineStr">
        <is>
          <t>Could Each Horcrux Become A New Voldemort? | Harry Potter Theory</t>
        </is>
      </c>
      <c r="H1374" s="41" t="n">
        <v>0.009768518518518518</v>
      </c>
      <c r="I1374" s="42" t="n">
        <v>482077</v>
      </c>
      <c r="J1374" s="42" t="n">
        <v>18094</v>
      </c>
      <c r="K1374" s="42" t="n">
        <v>1953</v>
      </c>
      <c r="L1374" s="43" t="n"/>
      <c r="M1374" s="44" t="n"/>
      <c r="N1374" s="44" t="inlineStr">
        <is>
          <t>UCKZo4N0lVPccBkSiuyVh4yg</t>
        </is>
      </c>
      <c r="O1374" s="45" t="n">
        <v>44397.85208333333</v>
      </c>
      <c r="P1374" s="46" t="n">
        <v>44397</v>
      </c>
      <c r="Q1374" s="44" t="n">
        <v>1898</v>
      </c>
      <c r="R1374" s="44" t="inlineStr">
        <is>
          <t>No Video ID yet</t>
        </is>
      </c>
      <c r="S1374" s="46" t="n"/>
      <c r="T1374" s="46" t="n"/>
      <c r="U1374" s="44" t="n"/>
      <c r="V1374" s="44">
        <f>IF(AND(P1374&gt;=Calendar!$K$2,P1374&lt;EDATE(Calendar!$K$2,1),OR(Calendar!$K$4="*",N1374=Calendar!$K$4)),P1374*100+COUNTIFS($P$6:$P$3271,P1374,$Q$6:$Q$3271,"&lt;="&amp;Q1374,$N$6:$N$3271,Calendar!$K$4),"")</f>
        <v/>
      </c>
      <c r="W1374" s="44">
        <f>IF(AND(B1374=Queue!$C$4,OR(Queue!$K$4="*",N1374=Queue!$K$4)),Q1374,"")</f>
        <v/>
      </c>
    </row>
    <row r="1375">
      <c r="A1375" s="35">
        <f>IF(M1375="","",HYPERLINK("https://www.youtube.com/watch?v="&amp;M1375,"▶"))</f>
        <v/>
      </c>
      <c r="B1375" s="36">
        <f>IF(C1375&lt;&gt;"",C1375,IF(P1375&lt;=IFERROR(INDEX(tblChannels[Watched Through],MATCH(N1375,tblChannels[Channel ID],0)),0),"Watched","Unwatched"))</f>
        <v/>
      </c>
      <c r="C1375" s="37" t="n"/>
      <c r="D1375" s="38" t="n"/>
      <c r="E1375" s="39" t="n">
        <v>44396.64583333334</v>
      </c>
      <c r="F1375" s="47" t="inlineStr">
        <is>
          <t>Super Carlin Brothers</t>
        </is>
      </c>
      <c r="G1375" t="inlineStr">
        <is>
          <t>A New TRIVIA Challenger Approaches?!</t>
        </is>
      </c>
      <c r="H1375" s="41" t="n">
        <v>0.001527777777777778</v>
      </c>
      <c r="I1375" s="42" t="n">
        <v>21807</v>
      </c>
      <c r="J1375" s="42" t="n">
        <v>1466</v>
      </c>
      <c r="K1375" s="42" t="n">
        <v>110</v>
      </c>
      <c r="L1375" s="43" t="n"/>
      <c r="M1375" s="44" t="n"/>
      <c r="N1375" s="44" t="inlineStr">
        <is>
          <t>UCKZo4N0lVPccBkSiuyVh4yg</t>
        </is>
      </c>
      <c r="O1375" s="45" t="n">
        <v>44396.8125</v>
      </c>
      <c r="P1375" s="46" t="n">
        <v>44396</v>
      </c>
      <c r="Q1375" s="44" t="n">
        <v>1897</v>
      </c>
      <c r="R1375" s="44" t="inlineStr">
        <is>
          <t>No Video ID yet</t>
        </is>
      </c>
      <c r="S1375" s="46" t="n"/>
      <c r="T1375" s="46" t="n"/>
      <c r="U1375" s="44" t="n"/>
      <c r="V1375" s="44">
        <f>IF(AND(P1375&gt;=Calendar!$K$2,P1375&lt;EDATE(Calendar!$K$2,1),OR(Calendar!$K$4="*",N1375=Calendar!$K$4)),P1375*100+COUNTIFS($P$6:$P$3271,P1375,$Q$6:$Q$3271,"&lt;="&amp;Q1375,$N$6:$N$3271,Calendar!$K$4),"")</f>
        <v/>
      </c>
      <c r="W1375" s="44">
        <f>IF(AND(B1375=Queue!$C$4,OR(Queue!$K$4="*",N1375=Queue!$K$4)),Q1375,"")</f>
        <v/>
      </c>
    </row>
    <row r="1376">
      <c r="A1376" s="35">
        <f>IF(M1376="","",HYPERLINK("https://www.youtube.com/watch?v="&amp;M1376,"▶"))</f>
        <v/>
      </c>
      <c r="B1376" s="36">
        <f>IF(C1376&lt;&gt;"",C1376,IF(P1376&lt;=IFERROR(INDEX(tblChannels[Watched Through],MATCH(N1376,tblChannels[Channel ID],0)),0),"Watched","Unwatched"))</f>
        <v/>
      </c>
      <c r="C1376" s="37" t="n"/>
      <c r="D1376" s="38" t="n"/>
      <c r="E1376" s="39" t="n">
        <v>44396.41666666666</v>
      </c>
      <c r="F1376" s="49" t="inlineStr">
        <is>
          <t>Super Carlin Gaming</t>
        </is>
      </c>
      <c r="G1376" t="inlineStr">
        <is>
          <t>The ROGUE LICKILICKY |  Pokémon SoulSilver Randomizer Nuzlocke #9</t>
        </is>
      </c>
      <c r="H1376" s="41" t="n">
        <v>0.03206018518518518</v>
      </c>
      <c r="I1376" s="42" t="n">
        <v>24672</v>
      </c>
      <c r="J1376" s="42" t="n">
        <v>1319</v>
      </c>
      <c r="K1376" s="42" t="n">
        <v>302</v>
      </c>
      <c r="L1376" s="43" t="n"/>
      <c r="M1376" s="44" t="n"/>
      <c r="N1376" s="44" t="inlineStr">
        <is>
          <t>UCor_9jRnNNZVzTuQ92PKsaQ</t>
        </is>
      </c>
      <c r="O1376" s="45" t="n">
        <v>44396.58333333334</v>
      </c>
      <c r="P1376" s="46" t="n">
        <v>44396</v>
      </c>
      <c r="Q1376" s="44" t="n">
        <v>1896</v>
      </c>
      <c r="R1376" s="44" t="inlineStr">
        <is>
          <t>No Video ID yet</t>
        </is>
      </c>
      <c r="S1376" s="46" t="n"/>
      <c r="T1376" s="46" t="n"/>
      <c r="U1376" s="44" t="n"/>
      <c r="V1376" s="44">
        <f>IF(AND(P1376&gt;=Calendar!$K$2,P1376&lt;EDATE(Calendar!$K$2,1),OR(Calendar!$K$4="*",N1376=Calendar!$K$4)),P1376*100+COUNTIFS($P$6:$P$3271,P1376,$Q$6:$Q$3271,"&lt;="&amp;Q1376,$N$6:$N$3271,Calendar!$K$4),"")</f>
        <v/>
      </c>
      <c r="W1376" s="44">
        <f>IF(AND(B1376=Queue!$C$4,OR(Queue!$K$4="*",N1376=Queue!$K$4)),Q1376,"")</f>
        <v/>
      </c>
    </row>
    <row r="1377">
      <c r="A1377" s="35">
        <f>IF(M1377="","",HYPERLINK("https://www.youtube.com/watch?v="&amp;M1377,"▶"))</f>
        <v/>
      </c>
      <c r="B1377" s="36">
        <f>IF(C1377&lt;&gt;"",C1377,IF(P1377&lt;=IFERROR(INDEX(tblChannels[Watched Through],MATCH(N1377,tblChannels[Channel ID],0)),0),"Watched","Unwatched"))</f>
        <v/>
      </c>
      <c r="C1377" s="37" t="n"/>
      <c r="D1377" s="38" t="n"/>
      <c r="E1377" s="39" t="n">
        <v>44393.41666666666</v>
      </c>
      <c r="F1377" s="47" t="inlineStr">
        <is>
          <t>Super Carlin Brothers</t>
        </is>
      </c>
      <c r="G1377" t="inlineStr">
        <is>
          <t>Why Frozen is Our Favorite | Popcorn Culture</t>
        </is>
      </c>
      <c r="H1377" s="41" t="n">
        <v>0.04829861111111111</v>
      </c>
      <c r="I1377" s="42" t="n">
        <v>24237</v>
      </c>
      <c r="J1377" s="42" t="n">
        <v>1136</v>
      </c>
      <c r="K1377" s="42" t="n">
        <v>160</v>
      </c>
      <c r="L1377" s="43" t="n"/>
      <c r="M1377" s="44" t="n"/>
      <c r="N1377" s="44" t="inlineStr">
        <is>
          <t>UCKZo4N0lVPccBkSiuyVh4yg</t>
        </is>
      </c>
      <c r="O1377" s="45" t="n">
        <v>44393.58333333334</v>
      </c>
      <c r="P1377" s="46" t="n">
        <v>44393</v>
      </c>
      <c r="Q1377" s="44" t="n">
        <v>1895</v>
      </c>
      <c r="R1377" s="44" t="inlineStr">
        <is>
          <t>No Video ID yet</t>
        </is>
      </c>
      <c r="S1377" s="46" t="n"/>
      <c r="T1377" s="46" t="n"/>
      <c r="U1377" s="44" t="n"/>
      <c r="V1377" s="44">
        <f>IF(AND(P1377&gt;=Calendar!$K$2,P1377&lt;EDATE(Calendar!$K$2,1),OR(Calendar!$K$4="*",N1377=Calendar!$K$4)),P1377*100+COUNTIFS($P$6:$P$3271,P1377,$Q$6:$Q$3271,"&lt;="&amp;Q1377,$N$6:$N$3271,Calendar!$K$4),"")</f>
        <v/>
      </c>
      <c r="W1377" s="44">
        <f>IF(AND(B1377=Queue!$C$4,OR(Queue!$K$4="*",N1377=Queue!$K$4)),Q1377,"")</f>
        <v/>
      </c>
    </row>
    <row r="1378">
      <c r="A1378" s="35">
        <f>IF(M1378="","",HYPERLINK("https://www.youtube.com/watch?v="&amp;M1378,"▶"))</f>
        <v/>
      </c>
      <c r="B1378" s="36">
        <f>IF(C1378&lt;&gt;"",C1378,IF(P1378&lt;=IFERROR(INDEX(tblChannels[Watched Through],MATCH(N1378,tblChannels[Channel ID],0)),0),"Watched","Unwatched"))</f>
        <v/>
      </c>
      <c r="C1378" s="37" t="n"/>
      <c r="D1378" s="38" t="n"/>
      <c r="E1378" s="39" t="n">
        <v>44393.25</v>
      </c>
      <c r="F1378" s="40" t="inlineStr">
        <is>
          <t>Popcorn Culture</t>
        </is>
      </c>
      <c r="G1378" t="inlineStr">
        <is>
          <t>84 - Why Frozen is Our Favorite</t>
        </is>
      </c>
      <c r="H1378" s="41" t="n">
        <v>0.04642361111111111</v>
      </c>
      <c r="I1378" s="42" t="n">
        <v>1901</v>
      </c>
      <c r="J1378" s="42" t="n">
        <v>68</v>
      </c>
      <c r="K1378" s="42" t="n">
        <v>10</v>
      </c>
      <c r="L1378" s="43" t="n"/>
      <c r="M1378" s="44" t="n"/>
      <c r="N1378" s="44" t="inlineStr">
        <is>
          <t>UCHfIbq9thHPC8yrKjAdJgDA</t>
        </is>
      </c>
      <c r="O1378" s="45" t="n">
        <v>44393.41666666666</v>
      </c>
      <c r="P1378" s="46" t="n">
        <v>44393</v>
      </c>
      <c r="Q1378" s="44" t="n">
        <v>1894</v>
      </c>
      <c r="R1378" s="44" t="inlineStr">
        <is>
          <t>No Video ID yet</t>
        </is>
      </c>
      <c r="S1378" s="46" t="n"/>
      <c r="T1378" s="46" t="n"/>
      <c r="U1378" s="44" t="n"/>
      <c r="V1378" s="44">
        <f>IF(AND(P1378&gt;=Calendar!$K$2,P1378&lt;EDATE(Calendar!$K$2,1),OR(Calendar!$K$4="*",N1378=Calendar!$K$4)),P1378*100+COUNTIFS($P$6:$P$3271,P1378,$Q$6:$Q$3271,"&lt;="&amp;Q1378,$N$6:$N$3271,Calendar!$K$4),"")</f>
        <v/>
      </c>
      <c r="W1378" s="44">
        <f>IF(AND(B1378=Queue!$C$4,OR(Queue!$K$4="*",N1378=Queue!$K$4)),Q1378,"")</f>
        <v/>
      </c>
    </row>
    <row r="1379">
      <c r="A1379" s="35">
        <f>IF(M1379="","",HYPERLINK("https://www.youtube.com/watch?v="&amp;M1379,"▶"))</f>
        <v/>
      </c>
      <c r="B1379" s="36">
        <f>IF(C1379&lt;&gt;"",C1379,IF(P1379&lt;=IFERROR(INDEX(tblChannels[Watched Through],MATCH(N1379,tblChannels[Channel ID],0)),0),"Watched","Unwatched"))</f>
        <v/>
      </c>
      <c r="C1379" s="37" t="n"/>
      <c r="D1379" s="38" t="n"/>
      <c r="E1379" s="39" t="n">
        <v>44392.70416666667</v>
      </c>
      <c r="F1379" s="47" t="inlineStr">
        <is>
          <t>Super Carlin Brothers</t>
        </is>
      </c>
      <c r="G1379" t="inlineStr">
        <is>
          <t>Black Widow REVIEW | Was Our Theory Better?</t>
        </is>
      </c>
      <c r="H1379" s="41" t="n">
        <v>0.03065972222222222</v>
      </c>
      <c r="I1379" s="42" t="n">
        <v>93720</v>
      </c>
      <c r="J1379" s="42" t="n">
        <v>4638</v>
      </c>
      <c r="K1379" s="42" t="n">
        <v>1307</v>
      </c>
      <c r="L1379" s="43" t="n"/>
      <c r="M1379" s="44" t="n"/>
      <c r="N1379" s="44" t="inlineStr">
        <is>
          <t>UCKZo4N0lVPccBkSiuyVh4yg</t>
        </is>
      </c>
      <c r="O1379" s="45" t="n">
        <v>44392.87083333333</v>
      </c>
      <c r="P1379" s="46" t="n">
        <v>44392</v>
      </c>
      <c r="Q1379" s="44" t="n">
        <v>1893</v>
      </c>
      <c r="R1379" s="44" t="inlineStr">
        <is>
          <t>No Video ID yet</t>
        </is>
      </c>
      <c r="S1379" s="46" t="n"/>
      <c r="T1379" s="46" t="n"/>
      <c r="U1379" s="44" t="n"/>
      <c r="V1379" s="44">
        <f>IF(AND(P1379&gt;=Calendar!$K$2,P1379&lt;EDATE(Calendar!$K$2,1),OR(Calendar!$K$4="*",N1379=Calendar!$K$4)),P1379*100+COUNTIFS($P$6:$P$3271,P1379,$Q$6:$Q$3271,"&lt;="&amp;Q1379,$N$6:$N$3271,Calendar!$K$4),"")</f>
        <v/>
      </c>
      <c r="W1379" s="44">
        <f>IF(AND(B1379=Queue!$C$4,OR(Queue!$K$4="*",N1379=Queue!$K$4)),Q1379,"")</f>
        <v/>
      </c>
    </row>
    <row r="1380">
      <c r="A1380" s="35">
        <f>IF(M1380="","",HYPERLINK("https://www.youtube.com/watch?v="&amp;M1380,"▶"))</f>
        <v/>
      </c>
      <c r="B1380" s="36">
        <f>IF(C1380&lt;&gt;"",C1380,IF(P1380&lt;=IFERROR(INDEX(tblChannels[Watched Through],MATCH(N1380,tblChannels[Channel ID],0)),0),"Watched","Unwatched"))</f>
        <v/>
      </c>
      <c r="C1380" s="37" t="n"/>
      <c r="D1380" s="38" t="n"/>
      <c r="E1380" s="39" t="n">
        <v>44391.41666666666</v>
      </c>
      <c r="F1380" s="49" t="inlineStr">
        <is>
          <t>Super Carlin Gaming</t>
        </is>
      </c>
      <c r="G1380" t="inlineStr">
        <is>
          <t>The Dangerous Lighthouse |  Pokémon SoulSilver Randomizer Nuzlocke #8</t>
        </is>
      </c>
      <c r="H1380" s="41" t="n">
        <v>0.02471064814814815</v>
      </c>
      <c r="I1380" s="42" t="n">
        <v>26438</v>
      </c>
      <c r="J1380" s="42" t="n">
        <v>1415</v>
      </c>
      <c r="K1380" s="42" t="n">
        <v>315</v>
      </c>
      <c r="L1380" s="43" t="n"/>
      <c r="M1380" s="44" t="n"/>
      <c r="N1380" s="44" t="inlineStr">
        <is>
          <t>UCor_9jRnNNZVzTuQ92PKsaQ</t>
        </is>
      </c>
      <c r="O1380" s="45" t="n">
        <v>44391.58333333334</v>
      </c>
      <c r="P1380" s="46" t="n">
        <v>44391</v>
      </c>
      <c r="Q1380" s="44" t="n">
        <v>1892</v>
      </c>
      <c r="R1380" s="44" t="inlineStr">
        <is>
          <t>No Video ID yet</t>
        </is>
      </c>
      <c r="S1380" s="46" t="n"/>
      <c r="T1380" s="46" t="n"/>
      <c r="U1380" s="44" t="n"/>
      <c r="V1380" s="44">
        <f>IF(AND(P1380&gt;=Calendar!$K$2,P1380&lt;EDATE(Calendar!$K$2,1),OR(Calendar!$K$4="*",N1380=Calendar!$K$4)),P1380*100+COUNTIFS($P$6:$P$3271,P1380,$Q$6:$Q$3271,"&lt;="&amp;Q1380,$N$6:$N$3271,Calendar!$K$4),"")</f>
        <v/>
      </c>
      <c r="W1380" s="44">
        <f>IF(AND(B1380=Queue!$C$4,OR(Queue!$K$4="*",N1380=Queue!$K$4)),Q1380,"")</f>
        <v/>
      </c>
    </row>
    <row r="1381">
      <c r="A1381" s="35">
        <f>IF(M1381="","",HYPERLINK("https://www.youtube.com/watch?v="&amp;M1381,"▶"))</f>
        <v/>
      </c>
      <c r="B1381" s="36">
        <f>IF(C1381&lt;&gt;"",C1381,IF(P1381&lt;=IFERROR(INDEX(tblChannels[Watched Through],MATCH(N1381,tblChannels[Channel ID],0)),0),"Watched","Unwatched"))</f>
        <v/>
      </c>
      <c r="C1381" s="37" t="n"/>
      <c r="D1381" s="38" t="n"/>
      <c r="E1381" s="39" t="n">
        <v>44390.71875</v>
      </c>
      <c r="F1381" s="47" t="inlineStr">
        <is>
          <t>Super Carlin Brothers</t>
        </is>
      </c>
      <c r="G1381" t="inlineStr">
        <is>
          <t>Why Hela CAN Hold Thor’s Hammer | Marvel Theory</t>
        </is>
      </c>
      <c r="H1381" s="41" t="n">
        <v>0.00880787037037037</v>
      </c>
      <c r="I1381" s="42" t="n">
        <v>252007</v>
      </c>
      <c r="J1381" s="42" t="n">
        <v>13239</v>
      </c>
      <c r="K1381" s="42" t="n">
        <v>1674</v>
      </c>
      <c r="L1381" s="43" t="n"/>
      <c r="M1381" s="44" t="n"/>
      <c r="N1381" s="44" t="inlineStr">
        <is>
          <t>UCKZo4N0lVPccBkSiuyVh4yg</t>
        </is>
      </c>
      <c r="O1381" s="45" t="n">
        <v>44390.88541666666</v>
      </c>
      <c r="P1381" s="46" t="n">
        <v>44390</v>
      </c>
      <c r="Q1381" s="44" t="n">
        <v>1891</v>
      </c>
      <c r="R1381" s="44" t="inlineStr">
        <is>
          <t>No Video ID yet</t>
        </is>
      </c>
      <c r="S1381" s="46" t="n"/>
      <c r="T1381" s="46" t="n"/>
      <c r="U1381" s="44" t="n"/>
      <c r="V1381" s="44">
        <f>IF(AND(P1381&gt;=Calendar!$K$2,P1381&lt;EDATE(Calendar!$K$2,1),OR(Calendar!$K$4="*",N1381=Calendar!$K$4)),P1381*100+COUNTIFS($P$6:$P$3271,P1381,$Q$6:$Q$3271,"&lt;="&amp;Q1381,$N$6:$N$3271,Calendar!$K$4),"")</f>
        <v/>
      </c>
      <c r="W1381" s="44">
        <f>IF(AND(B1381=Queue!$C$4,OR(Queue!$K$4="*",N1381=Queue!$K$4)),Q1381,"")</f>
        <v/>
      </c>
    </row>
    <row r="1382">
      <c r="A1382" s="35">
        <f>IF(M1382="","",HYPERLINK("https://www.youtube.com/watch?v="&amp;M1382,"▶"))</f>
        <v/>
      </c>
      <c r="B1382" s="36">
        <f>IF(C1382&lt;&gt;"",C1382,IF(P1382&lt;=IFERROR(INDEX(tblChannels[Watched Through],MATCH(N1382,tblChannels[Channel ID],0)),0),"Watched","Unwatched"))</f>
        <v/>
      </c>
      <c r="C1382" s="37" t="n"/>
      <c r="D1382" s="38" t="n"/>
      <c r="E1382" s="39" t="n">
        <v>44389.41666666666</v>
      </c>
      <c r="F1382" s="49" t="inlineStr">
        <is>
          <t>Super Carlin Gaming</t>
        </is>
      </c>
      <c r="G1382" t="inlineStr">
        <is>
          <t>ENTER THE DRAGON | Pokémon SoulSilver Randomizer Nuzlocke #7</t>
        </is>
      </c>
      <c r="H1382" s="41" t="n">
        <v>0.03612268518518519</v>
      </c>
      <c r="I1382" s="42" t="n">
        <v>31215</v>
      </c>
      <c r="J1382" s="42" t="n">
        <v>1716</v>
      </c>
      <c r="K1382" s="42" t="n">
        <v>470</v>
      </c>
      <c r="L1382" s="43" t="n"/>
      <c r="M1382" s="44" t="n"/>
      <c r="N1382" s="44" t="inlineStr">
        <is>
          <t>UCor_9jRnNNZVzTuQ92PKsaQ</t>
        </is>
      </c>
      <c r="O1382" s="45" t="n">
        <v>44389.58333333334</v>
      </c>
      <c r="P1382" s="46" t="n">
        <v>44389</v>
      </c>
      <c r="Q1382" s="44" t="n">
        <v>1890</v>
      </c>
      <c r="R1382" s="44" t="inlineStr">
        <is>
          <t>No Video ID yet</t>
        </is>
      </c>
      <c r="S1382" s="46" t="n"/>
      <c r="T1382" s="46" t="n"/>
      <c r="U1382" s="44" t="n"/>
      <c r="V1382" s="44">
        <f>IF(AND(P1382&gt;=Calendar!$K$2,P1382&lt;EDATE(Calendar!$K$2,1),OR(Calendar!$K$4="*",N1382=Calendar!$K$4)),P1382*100+COUNTIFS($P$6:$P$3271,P1382,$Q$6:$Q$3271,"&lt;="&amp;Q1382,$N$6:$N$3271,Calendar!$K$4),"")</f>
        <v/>
      </c>
      <c r="W1382" s="44">
        <f>IF(AND(B1382=Queue!$C$4,OR(Queue!$K$4="*",N1382=Queue!$K$4)),Q1382,"")</f>
        <v/>
      </c>
    </row>
    <row r="1383">
      <c r="A1383" s="35">
        <f>IF(M1383="","",HYPERLINK("https://www.youtube.com/watch?v="&amp;M1383,"▶"))</f>
        <v/>
      </c>
      <c r="B1383" s="36">
        <f>IF(C1383&lt;&gt;"",C1383,IF(P1383&lt;=IFERROR(INDEX(tblChannels[Watched Through],MATCH(N1383,tblChannels[Channel ID],0)),0),"Watched","Unwatched"))</f>
        <v/>
      </c>
      <c r="C1383" s="37" t="n"/>
      <c r="D1383" s="38" t="n"/>
      <c r="E1383" s="39" t="n">
        <v>44386.42708333334</v>
      </c>
      <c r="F1383" s="47" t="inlineStr">
        <is>
          <t>Super Carlin Brothers</t>
        </is>
      </c>
      <c r="G1383" t="inlineStr">
        <is>
          <t>You vs The Mirror | Popcorn Culture</t>
        </is>
      </c>
      <c r="H1383" s="41" t="n">
        <v>0.05289351851851852</v>
      </c>
      <c r="I1383" s="42" t="n">
        <v>25145</v>
      </c>
      <c r="J1383" s="42" t="n">
        <v>841</v>
      </c>
      <c r="K1383" s="42" t="n">
        <v>109</v>
      </c>
      <c r="L1383" s="43" t="n"/>
      <c r="M1383" s="44" t="n"/>
      <c r="N1383" s="44" t="inlineStr">
        <is>
          <t>UCKZo4N0lVPccBkSiuyVh4yg</t>
        </is>
      </c>
      <c r="O1383" s="45" t="n">
        <v>44386.59375</v>
      </c>
      <c r="P1383" s="46" t="n">
        <v>44386</v>
      </c>
      <c r="Q1383" s="44" t="n">
        <v>1889</v>
      </c>
      <c r="R1383" s="44" t="inlineStr">
        <is>
          <t>No Video ID yet</t>
        </is>
      </c>
      <c r="S1383" s="46" t="n"/>
      <c r="T1383" s="46" t="n"/>
      <c r="U1383" s="44" t="n"/>
      <c r="V1383" s="44">
        <f>IF(AND(P1383&gt;=Calendar!$K$2,P1383&lt;EDATE(Calendar!$K$2,1),OR(Calendar!$K$4="*",N1383=Calendar!$K$4)),P1383*100+COUNTIFS($P$6:$P$3271,P1383,$Q$6:$Q$3271,"&lt;="&amp;Q1383,$N$6:$N$3271,Calendar!$K$4),"")</f>
        <v/>
      </c>
      <c r="W1383" s="44">
        <f>IF(AND(B1383=Queue!$C$4,OR(Queue!$K$4="*",N1383=Queue!$K$4)),Q1383,"")</f>
        <v/>
      </c>
    </row>
    <row r="1384">
      <c r="A1384" s="35">
        <f>IF(M1384="","",HYPERLINK("https://www.youtube.com/watch?v="&amp;M1384,"▶"))</f>
        <v/>
      </c>
      <c r="B1384" s="36">
        <f>IF(C1384&lt;&gt;"",C1384,IF(P1384&lt;=IFERROR(INDEX(tblChannels[Watched Through],MATCH(N1384,tblChannels[Channel ID],0)),0),"Watched","Unwatched"))</f>
        <v/>
      </c>
      <c r="C1384" s="37" t="n"/>
      <c r="D1384" s="38" t="n"/>
      <c r="E1384" s="39" t="n">
        <v>44386.25</v>
      </c>
      <c r="F1384" s="40" t="inlineStr">
        <is>
          <t>Popcorn Culture</t>
        </is>
      </c>
      <c r="G1384" t="inlineStr">
        <is>
          <t>83 - Trapped Between a Vacuum and a Squeaky Door Place</t>
        </is>
      </c>
      <c r="H1384" s="41" t="n">
        <v>0.05048611111111111</v>
      </c>
      <c r="I1384" s="42" t="n">
        <v>2761</v>
      </c>
      <c r="J1384" s="42" t="n">
        <v>77</v>
      </c>
      <c r="K1384" s="42" t="n">
        <v>9</v>
      </c>
      <c r="L1384" s="43" t="n"/>
      <c r="M1384" s="44" t="n"/>
      <c r="N1384" s="44" t="inlineStr">
        <is>
          <t>UCHfIbq9thHPC8yrKjAdJgDA</t>
        </is>
      </c>
      <c r="O1384" s="45" t="n">
        <v>44386.41666666666</v>
      </c>
      <c r="P1384" s="46" t="n">
        <v>44386</v>
      </c>
      <c r="Q1384" s="44" t="n">
        <v>1888</v>
      </c>
      <c r="R1384" s="44" t="inlineStr">
        <is>
          <t>No Video ID yet</t>
        </is>
      </c>
      <c r="S1384" s="46" t="n"/>
      <c r="T1384" s="46" t="n"/>
      <c r="U1384" s="44" t="n"/>
      <c r="V1384" s="44">
        <f>IF(AND(P1384&gt;=Calendar!$K$2,P1384&lt;EDATE(Calendar!$K$2,1),OR(Calendar!$K$4="*",N1384=Calendar!$K$4)),P1384*100+COUNTIFS($P$6:$P$3271,P1384,$Q$6:$Q$3271,"&lt;="&amp;Q1384,$N$6:$N$3271,Calendar!$K$4),"")</f>
        <v/>
      </c>
      <c r="W1384" s="44">
        <f>IF(AND(B1384=Queue!$C$4,OR(Queue!$K$4="*",N1384=Queue!$K$4)),Q1384,"")</f>
        <v/>
      </c>
    </row>
    <row r="1385">
      <c r="A1385" s="35">
        <f>IF(M1385="","",HYPERLINK("https://www.youtube.com/watch?v="&amp;M1385,"▶"))</f>
        <v/>
      </c>
      <c r="B1385" s="36">
        <f>IF(C1385&lt;&gt;"",C1385,IF(P1385&lt;=IFERROR(INDEX(tblChannels[Watched Through],MATCH(N1385,tblChannels[Channel ID],0)),0),"Watched","Unwatched"))</f>
        <v/>
      </c>
      <c r="C1385" s="37" t="n"/>
      <c r="D1385" s="38" t="n"/>
      <c r="E1385" s="39" t="n">
        <v>44385.62291666667</v>
      </c>
      <c r="F1385" s="47" t="inlineStr">
        <is>
          <t>Super Carlin Brothers</t>
        </is>
      </c>
      <c r="G1385" t="inlineStr">
        <is>
          <t>J vs Ben: ULTIMATE Black Widow TRIVIA Quiz</t>
        </is>
      </c>
      <c r="H1385" s="41" t="n">
        <v>0.01775462962962963</v>
      </c>
      <c r="I1385" s="42" t="n">
        <v>98238</v>
      </c>
      <c r="J1385" s="42" t="n">
        <v>4827</v>
      </c>
      <c r="K1385" s="42" t="n">
        <v>718</v>
      </c>
      <c r="L1385" s="43" t="n"/>
      <c r="M1385" s="44" t="n"/>
      <c r="N1385" s="44" t="inlineStr">
        <is>
          <t>UCKZo4N0lVPccBkSiuyVh4yg</t>
        </is>
      </c>
      <c r="O1385" s="45" t="n">
        <v>44385.78958333333</v>
      </c>
      <c r="P1385" s="46" t="n">
        <v>44385</v>
      </c>
      <c r="Q1385" s="44" t="n">
        <v>1887</v>
      </c>
      <c r="R1385" s="44" t="inlineStr">
        <is>
          <t>No Video ID yet</t>
        </is>
      </c>
      <c r="S1385" s="46" t="n"/>
      <c r="T1385" s="46" t="n"/>
      <c r="U1385" s="44" t="n"/>
      <c r="V1385" s="44">
        <f>IF(AND(P1385&gt;=Calendar!$K$2,P1385&lt;EDATE(Calendar!$K$2,1),OR(Calendar!$K$4="*",N1385=Calendar!$K$4)),P1385*100+COUNTIFS($P$6:$P$3271,P1385,$Q$6:$Q$3271,"&lt;="&amp;Q1385,$N$6:$N$3271,Calendar!$K$4),"")</f>
        <v/>
      </c>
      <c r="W1385" s="44">
        <f>IF(AND(B1385=Queue!$C$4,OR(Queue!$K$4="*",N1385=Queue!$K$4)),Q1385,"")</f>
        <v/>
      </c>
    </row>
    <row r="1386">
      <c r="A1386" s="35">
        <f>IF(M1386="","",HYPERLINK("https://www.youtube.com/watch?v="&amp;M1386,"▶"))</f>
        <v/>
      </c>
      <c r="B1386" s="36">
        <f>IF(C1386&lt;&gt;"",C1386,IF(P1386&lt;=IFERROR(INDEX(tblChannels[Watched Through],MATCH(N1386,tblChannels[Channel ID],0)),0),"Watched","Unwatched"))</f>
        <v/>
      </c>
      <c r="C1386" s="37" t="n"/>
      <c r="D1386" s="38" t="n"/>
      <c r="E1386" s="39" t="n">
        <v>44384.41666666666</v>
      </c>
      <c r="F1386" s="49" t="inlineStr">
        <is>
          <t>Super Carlin Gaming</t>
        </is>
      </c>
      <c r="G1386" t="inlineStr">
        <is>
          <t>THE PHOENIX COMETH |  Pokémon SoulSilver Randomizer Nuzlocke #6</t>
        </is>
      </c>
      <c r="H1386" s="41" t="n">
        <v>0.03270833333333333</v>
      </c>
      <c r="I1386" s="42" t="n">
        <v>30672</v>
      </c>
      <c r="J1386" s="42" t="n">
        <v>1273</v>
      </c>
      <c r="K1386" s="42" t="n">
        <v>659</v>
      </c>
      <c r="L1386" s="43" t="n"/>
      <c r="M1386" s="44" t="n"/>
      <c r="N1386" s="44" t="inlineStr">
        <is>
          <t>UCor_9jRnNNZVzTuQ92PKsaQ</t>
        </is>
      </c>
      <c r="O1386" s="45" t="n">
        <v>44384.58333333334</v>
      </c>
      <c r="P1386" s="46" t="n">
        <v>44384</v>
      </c>
      <c r="Q1386" s="44" t="n">
        <v>1886</v>
      </c>
      <c r="R1386" s="44" t="inlineStr">
        <is>
          <t>No Video ID yet</t>
        </is>
      </c>
      <c r="S1386" s="46" t="n"/>
      <c r="T1386" s="46" t="n"/>
      <c r="U1386" s="44" t="n"/>
      <c r="V1386" s="44">
        <f>IF(AND(P1386&gt;=Calendar!$K$2,P1386&lt;EDATE(Calendar!$K$2,1),OR(Calendar!$K$4="*",N1386=Calendar!$K$4)),P1386*100+COUNTIFS($P$6:$P$3271,P1386,$Q$6:$Q$3271,"&lt;="&amp;Q1386,$N$6:$N$3271,Calendar!$K$4),"")</f>
        <v/>
      </c>
      <c r="W1386" s="44">
        <f>IF(AND(B1386=Queue!$C$4,OR(Queue!$K$4="*",N1386=Queue!$K$4)),Q1386,"")</f>
        <v/>
      </c>
    </row>
    <row r="1387">
      <c r="A1387" s="35">
        <f>IF(M1387="","",HYPERLINK("https://www.youtube.com/watch?v="&amp;M1387,"▶"))</f>
        <v/>
      </c>
      <c r="B1387" s="36">
        <f>IF(C1387&lt;&gt;"",C1387,IF(P1387&lt;=IFERROR(INDEX(tblChannels[Watched Through],MATCH(N1387,tblChannels[Channel ID],0)),0),"Watched","Unwatched"))</f>
        <v/>
      </c>
      <c r="C1387" s="37" t="n"/>
      <c r="D1387" s="38" t="n"/>
      <c r="E1387" s="39" t="n">
        <v>44383.71805555555</v>
      </c>
      <c r="F1387" s="47" t="inlineStr">
        <is>
          <t>Super Carlin Brothers</t>
        </is>
      </c>
      <c r="G1387" t="inlineStr">
        <is>
          <t>Which Harry Potter Characters Could Lift Thor's Hammer? | Harry Potter Theory</t>
        </is>
      </c>
      <c r="H1387" s="41" t="n">
        <v>0.01265046296296296</v>
      </c>
      <c r="I1387" s="42" t="n">
        <v>271590</v>
      </c>
      <c r="J1387" s="42" t="n">
        <v>12848</v>
      </c>
      <c r="K1387" s="42" t="n">
        <v>2723</v>
      </c>
      <c r="L1387" s="43" t="n"/>
      <c r="M1387" s="44" t="n"/>
      <c r="N1387" s="44" t="inlineStr">
        <is>
          <t>UCKZo4N0lVPccBkSiuyVh4yg</t>
        </is>
      </c>
      <c r="O1387" s="45" t="n">
        <v>44383.88472222222</v>
      </c>
      <c r="P1387" s="46" t="n">
        <v>44383</v>
      </c>
      <c r="Q1387" s="44" t="n">
        <v>1885</v>
      </c>
      <c r="R1387" s="44" t="inlineStr">
        <is>
          <t>No Video ID yet</t>
        </is>
      </c>
      <c r="S1387" s="46" t="n"/>
      <c r="T1387" s="46" t="n"/>
      <c r="U1387" s="44" t="n"/>
      <c r="V1387" s="44">
        <f>IF(AND(P1387&gt;=Calendar!$K$2,P1387&lt;EDATE(Calendar!$K$2,1),OR(Calendar!$K$4="*",N1387=Calendar!$K$4)),P1387*100+COUNTIFS($P$6:$P$3271,P1387,$Q$6:$Q$3271,"&lt;="&amp;Q1387,$N$6:$N$3271,Calendar!$K$4),"")</f>
        <v/>
      </c>
      <c r="W1387" s="44">
        <f>IF(AND(B1387=Queue!$C$4,OR(Queue!$K$4="*",N1387=Queue!$K$4)),Q1387,"")</f>
        <v/>
      </c>
    </row>
    <row r="1388">
      <c r="A1388" s="35">
        <f>IF(M1388="","",HYPERLINK("https://www.youtube.com/watch?v="&amp;M1388,"▶"))</f>
        <v/>
      </c>
      <c r="B1388" s="36">
        <f>IF(C1388&lt;&gt;"",C1388,IF(P1388&lt;=IFERROR(INDEX(tblChannels[Watched Through],MATCH(N1388,tblChannels[Channel ID],0)),0),"Watched","Unwatched"))</f>
        <v/>
      </c>
      <c r="C1388" s="37" t="n"/>
      <c r="D1388" s="38" t="n"/>
      <c r="E1388" s="39" t="n">
        <v>44382.41666666666</v>
      </c>
      <c r="F1388" s="49" t="inlineStr">
        <is>
          <t>Super Carlin Gaming</t>
        </is>
      </c>
      <c r="G1388" t="inlineStr">
        <is>
          <t>THE ACCURSED REGIROCK |  Pokémon SoulSilver Randomizer Nuzlocke #5</t>
        </is>
      </c>
      <c r="H1388" s="41" t="n">
        <v>0.04358796296296296</v>
      </c>
      <c r="I1388" s="42" t="n">
        <v>38045</v>
      </c>
      <c r="J1388" s="42" t="n">
        <v>1577</v>
      </c>
      <c r="K1388" s="42" t="n">
        <v>529</v>
      </c>
      <c r="L1388" s="43" t="n"/>
      <c r="M1388" s="44" t="n"/>
      <c r="N1388" s="44" t="inlineStr">
        <is>
          <t>UCor_9jRnNNZVzTuQ92PKsaQ</t>
        </is>
      </c>
      <c r="O1388" s="45" t="n">
        <v>44382.58333333334</v>
      </c>
      <c r="P1388" s="46" t="n">
        <v>44382</v>
      </c>
      <c r="Q1388" s="44" t="n">
        <v>1884</v>
      </c>
      <c r="R1388" s="44" t="inlineStr">
        <is>
          <t>No Video ID yet</t>
        </is>
      </c>
      <c r="S1388" s="46" t="n"/>
      <c r="T1388" s="46" t="n"/>
      <c r="U1388" s="44" t="n"/>
      <c r="V1388" s="44">
        <f>IF(AND(P1388&gt;=Calendar!$K$2,P1388&lt;EDATE(Calendar!$K$2,1),OR(Calendar!$K$4="*",N1388=Calendar!$K$4)),P1388*100+COUNTIFS($P$6:$P$3271,P1388,$Q$6:$Q$3271,"&lt;="&amp;Q1388,$N$6:$N$3271,Calendar!$K$4),"")</f>
        <v/>
      </c>
      <c r="W1388" s="44">
        <f>IF(AND(B1388=Queue!$C$4,OR(Queue!$K$4="*",N1388=Queue!$K$4)),Q1388,"")</f>
        <v/>
      </c>
    </row>
    <row r="1389">
      <c r="A1389" s="35">
        <f>IF(M1389="","",HYPERLINK("https://www.youtube.com/watch?v="&amp;M1389,"▶"))</f>
        <v/>
      </c>
      <c r="B1389" s="36">
        <f>IF(C1389&lt;&gt;"",C1389,IF(P1389&lt;=IFERROR(INDEX(tblChannels[Watched Through],MATCH(N1389,tblChannels[Channel ID],0)),0),"Watched","Unwatched"))</f>
        <v/>
      </c>
      <c r="C1389" s="37" t="n"/>
      <c r="D1389" s="38" t="n"/>
      <c r="E1389" s="39" t="n">
        <v>44379.41666666666</v>
      </c>
      <c r="F1389" s="47" t="inlineStr">
        <is>
          <t>Super Carlin Brothers</t>
        </is>
      </c>
      <c r="G1389" t="inlineStr">
        <is>
          <t>The Logical Fallacy Fallacy | Popcorn Culture</t>
        </is>
      </c>
      <c r="H1389" s="41" t="n">
        <v>0.04658564814814815</v>
      </c>
      <c r="I1389" s="42" t="n">
        <v>20952</v>
      </c>
      <c r="J1389" s="42" t="n">
        <v>793</v>
      </c>
      <c r="K1389" s="42" t="n">
        <v>167</v>
      </c>
      <c r="L1389" s="43" t="n"/>
      <c r="M1389" s="44" t="n"/>
      <c r="N1389" s="44" t="inlineStr">
        <is>
          <t>UCKZo4N0lVPccBkSiuyVh4yg</t>
        </is>
      </c>
      <c r="O1389" s="45" t="n">
        <v>44379.58333333334</v>
      </c>
      <c r="P1389" s="46" t="n">
        <v>44379</v>
      </c>
      <c r="Q1389" s="44" t="n">
        <v>1883</v>
      </c>
      <c r="R1389" s="44" t="inlineStr">
        <is>
          <t>No Video ID yet</t>
        </is>
      </c>
      <c r="S1389" s="46" t="n"/>
      <c r="T1389" s="46" t="n"/>
      <c r="U1389" s="44" t="n"/>
      <c r="V1389" s="44">
        <f>IF(AND(P1389&gt;=Calendar!$K$2,P1389&lt;EDATE(Calendar!$K$2,1),OR(Calendar!$K$4="*",N1389=Calendar!$K$4)),P1389*100+COUNTIFS($P$6:$P$3271,P1389,$Q$6:$Q$3271,"&lt;="&amp;Q1389,$N$6:$N$3271,Calendar!$K$4),"")</f>
        <v/>
      </c>
      <c r="W1389" s="44">
        <f>IF(AND(B1389=Queue!$C$4,OR(Queue!$K$4="*",N1389=Queue!$K$4)),Q1389,"")</f>
        <v/>
      </c>
    </row>
    <row r="1390">
      <c r="A1390" s="35">
        <f>IF(M1390="","",HYPERLINK("https://www.youtube.com/watch?v="&amp;M1390,"▶"))</f>
        <v/>
      </c>
      <c r="B1390" s="36">
        <f>IF(C1390&lt;&gt;"",C1390,IF(P1390&lt;=IFERROR(INDEX(tblChannels[Watched Through],MATCH(N1390,tblChannels[Channel ID],0)),0),"Watched","Unwatched"))</f>
        <v/>
      </c>
      <c r="C1390" s="37" t="n"/>
      <c r="D1390" s="38" t="n"/>
      <c r="E1390" s="39" t="n">
        <v>44379.25</v>
      </c>
      <c r="F1390" s="40" t="inlineStr">
        <is>
          <t>Popcorn Culture</t>
        </is>
      </c>
      <c r="G1390" t="inlineStr">
        <is>
          <t>82 - The Logical Fallacy Fallacy</t>
        </is>
      </c>
      <c r="H1390" s="41" t="n">
        <v>0.04420138888888889</v>
      </c>
      <c r="I1390" s="42" t="n">
        <v>1377</v>
      </c>
      <c r="J1390" s="42" t="n">
        <v>64</v>
      </c>
      <c r="K1390" s="42" t="n">
        <v>10</v>
      </c>
      <c r="L1390" s="43" t="n"/>
      <c r="M1390" s="44" t="n"/>
      <c r="N1390" s="44" t="inlineStr">
        <is>
          <t>UCHfIbq9thHPC8yrKjAdJgDA</t>
        </is>
      </c>
      <c r="O1390" s="45" t="n">
        <v>44379.41666666666</v>
      </c>
      <c r="P1390" s="46" t="n">
        <v>44379</v>
      </c>
      <c r="Q1390" s="44" t="n">
        <v>1882</v>
      </c>
      <c r="R1390" s="44" t="inlineStr">
        <is>
          <t>No Video ID yet</t>
        </is>
      </c>
      <c r="S1390" s="46" t="n"/>
      <c r="T1390" s="46" t="n"/>
      <c r="U1390" s="44" t="n"/>
      <c r="V1390" s="44">
        <f>IF(AND(P1390&gt;=Calendar!$K$2,P1390&lt;EDATE(Calendar!$K$2,1),OR(Calendar!$K$4="*",N1390=Calendar!$K$4)),P1390*100+COUNTIFS($P$6:$P$3271,P1390,$Q$6:$Q$3271,"&lt;="&amp;Q1390,$N$6:$N$3271,Calendar!$K$4),"")</f>
        <v/>
      </c>
      <c r="W1390" s="44">
        <f>IF(AND(B1390=Queue!$C$4,OR(Queue!$K$4="*",N1390=Queue!$K$4)),Q1390,"")</f>
        <v/>
      </c>
    </row>
    <row r="1391">
      <c r="A1391" s="35">
        <f>IF(M1391="","",HYPERLINK("https://www.youtube.com/watch?v="&amp;M1391,"▶"))</f>
        <v/>
      </c>
      <c r="B1391" s="36">
        <f>IF(C1391&lt;&gt;"",C1391,IF(P1391&lt;=IFERROR(INDEX(tblChannels[Watched Through],MATCH(N1391,tblChannels[Channel ID],0)),0),"Watched","Unwatched"))</f>
        <v/>
      </c>
      <c r="C1391" s="37" t="n"/>
      <c r="D1391" s="38" t="n"/>
      <c r="E1391" s="39" t="n">
        <v>44378.7125</v>
      </c>
      <c r="F1391" s="47" t="inlineStr">
        <is>
          <t>Super Carlin Brothers</t>
        </is>
      </c>
      <c r="G1391" t="inlineStr">
        <is>
          <t>Do Broomsticks Have Magical Cores? | Harry Potter Theory</t>
        </is>
      </c>
      <c r="H1391" s="41" t="n">
        <v>0.01099537037037037</v>
      </c>
      <c r="I1391" s="42" t="n">
        <v>406706</v>
      </c>
      <c r="J1391" s="42" t="n">
        <v>15873</v>
      </c>
      <c r="K1391" s="42" t="n">
        <v>1884</v>
      </c>
      <c r="L1391" s="43" t="n"/>
      <c r="M1391" s="44" t="n"/>
      <c r="N1391" s="44" t="inlineStr">
        <is>
          <t>UCKZo4N0lVPccBkSiuyVh4yg</t>
        </is>
      </c>
      <c r="O1391" s="45" t="n">
        <v>44378.87916666667</v>
      </c>
      <c r="P1391" s="46" t="n">
        <v>44378</v>
      </c>
      <c r="Q1391" s="44" t="n">
        <v>1881</v>
      </c>
      <c r="R1391" s="44" t="inlineStr">
        <is>
          <t>No Video ID yet</t>
        </is>
      </c>
      <c r="S1391" s="46" t="n"/>
      <c r="T1391" s="46" t="n"/>
      <c r="U1391" s="44" t="n"/>
      <c r="V1391" s="44">
        <f>IF(AND(P1391&gt;=Calendar!$K$2,P1391&lt;EDATE(Calendar!$K$2,1),OR(Calendar!$K$4="*",N1391=Calendar!$K$4)),P1391*100+COUNTIFS($P$6:$P$3271,P1391,$Q$6:$Q$3271,"&lt;="&amp;Q1391,$N$6:$N$3271,Calendar!$K$4),"")</f>
        <v/>
      </c>
      <c r="W1391" s="44">
        <f>IF(AND(B1391=Queue!$C$4,OR(Queue!$K$4="*",N1391=Queue!$K$4)),Q1391,"")</f>
        <v/>
      </c>
    </row>
    <row r="1392">
      <c r="A1392" s="35">
        <f>IF(M1392="","",HYPERLINK("https://www.youtube.com/watch?v="&amp;M1392,"▶"))</f>
        <v/>
      </c>
      <c r="B1392" s="36">
        <f>IF(C1392&lt;&gt;"",C1392,IF(P1392&lt;=IFERROR(INDEX(tblChannels[Watched Through],MATCH(N1392,tblChannels[Channel ID],0)),0),"Watched","Unwatched"))</f>
        <v/>
      </c>
      <c r="C1392" s="37" t="n"/>
      <c r="D1392" s="38" t="n"/>
      <c r="E1392" s="39" t="n">
        <v>44377.41666666666</v>
      </c>
      <c r="F1392" s="49" t="inlineStr">
        <is>
          <t>Super Carlin Gaming</t>
        </is>
      </c>
      <c r="G1392" t="inlineStr">
        <is>
          <t>THE KISS OF DEATH |  Pokémon SoulSilver Randomizer Nuzlocke #4</t>
        </is>
      </c>
      <c r="H1392" s="41" t="n">
        <v>0.02456018518518518</v>
      </c>
      <c r="I1392" s="42" t="n">
        <v>33525</v>
      </c>
      <c r="J1392" s="42" t="n">
        <v>2321</v>
      </c>
      <c r="K1392" s="42" t="n">
        <v>675</v>
      </c>
      <c r="L1392" s="43" t="n"/>
      <c r="M1392" s="44" t="n"/>
      <c r="N1392" s="44" t="inlineStr">
        <is>
          <t>UCor_9jRnNNZVzTuQ92PKsaQ</t>
        </is>
      </c>
      <c r="O1392" s="45" t="n">
        <v>44377.58333333334</v>
      </c>
      <c r="P1392" s="46" t="n">
        <v>44377</v>
      </c>
      <c r="Q1392" s="44" t="n">
        <v>1880</v>
      </c>
      <c r="R1392" s="44" t="inlineStr">
        <is>
          <t>No Video ID yet</t>
        </is>
      </c>
      <c r="S1392" s="46" t="n"/>
      <c r="T1392" s="46" t="n"/>
      <c r="U1392" s="44" t="n"/>
      <c r="V1392" s="44">
        <f>IF(AND(P1392&gt;=Calendar!$K$2,P1392&lt;EDATE(Calendar!$K$2,1),OR(Calendar!$K$4="*",N1392=Calendar!$K$4)),P1392*100+COUNTIFS($P$6:$P$3271,P1392,$Q$6:$Q$3271,"&lt;="&amp;Q1392,$N$6:$N$3271,Calendar!$K$4),"")</f>
        <v/>
      </c>
      <c r="W1392" s="44">
        <f>IF(AND(B1392=Queue!$C$4,OR(Queue!$K$4="*",N1392=Queue!$K$4)),Q1392,"")</f>
        <v/>
      </c>
    </row>
    <row r="1393">
      <c r="A1393" s="35">
        <f>IF(M1393="","",HYPERLINK("https://www.youtube.com/watch?v="&amp;M1393,"▶"))</f>
        <v/>
      </c>
      <c r="B1393" s="36">
        <f>IF(C1393&lt;&gt;"",C1393,IF(P1393&lt;=IFERROR(INDEX(tblChannels[Watched Through],MATCH(N1393,tblChannels[Channel ID],0)),0),"Watched","Unwatched"))</f>
        <v/>
      </c>
      <c r="C1393" s="37" t="n"/>
      <c r="D1393" s="38" t="n"/>
      <c r="E1393" s="39" t="n">
        <v>44376.70069444444</v>
      </c>
      <c r="F1393" s="47" t="inlineStr">
        <is>
          <t>Super Carlin Brothers</t>
        </is>
      </c>
      <c r="G1393" t="inlineStr">
        <is>
          <t>How Luca Fits Into The Pixar Theory</t>
        </is>
      </c>
      <c r="H1393" s="41" t="n">
        <v>0.0096875</v>
      </c>
      <c r="I1393" s="42" t="n">
        <v>879162</v>
      </c>
      <c r="J1393" s="42" t="n">
        <v>41079</v>
      </c>
      <c r="K1393" s="42" t="n">
        <v>2292</v>
      </c>
      <c r="L1393" s="43" t="n"/>
      <c r="M1393" s="44" t="n"/>
      <c r="N1393" s="44" t="inlineStr">
        <is>
          <t>UCKZo4N0lVPccBkSiuyVh4yg</t>
        </is>
      </c>
      <c r="O1393" s="45" t="n">
        <v>44376.86736111111</v>
      </c>
      <c r="P1393" s="46" t="n">
        <v>44376</v>
      </c>
      <c r="Q1393" s="44" t="n">
        <v>1879</v>
      </c>
      <c r="R1393" s="44" t="inlineStr">
        <is>
          <t>No Video ID yet</t>
        </is>
      </c>
      <c r="S1393" s="46" t="n"/>
      <c r="T1393" s="46" t="n"/>
      <c r="U1393" s="44" t="n"/>
      <c r="V1393" s="44">
        <f>IF(AND(P1393&gt;=Calendar!$K$2,P1393&lt;EDATE(Calendar!$K$2,1),OR(Calendar!$K$4="*",N1393=Calendar!$K$4)),P1393*100+COUNTIFS($P$6:$P$3271,P1393,$Q$6:$Q$3271,"&lt;="&amp;Q1393,$N$6:$N$3271,Calendar!$K$4),"")</f>
        <v/>
      </c>
      <c r="W1393" s="44">
        <f>IF(AND(B1393=Queue!$C$4,OR(Queue!$K$4="*",N1393=Queue!$K$4)),Q1393,"")</f>
        <v/>
      </c>
    </row>
    <row r="1394">
      <c r="A1394" s="35">
        <f>IF(M1394="","",HYPERLINK("https://www.youtube.com/watch?v="&amp;M1394,"▶"))</f>
        <v/>
      </c>
      <c r="B1394" s="36">
        <f>IF(C1394&lt;&gt;"",C1394,IF(P1394&lt;=IFERROR(INDEX(tblChannels[Watched Through],MATCH(N1394,tblChannels[Channel ID],0)),0),"Watched","Unwatched"))</f>
        <v/>
      </c>
      <c r="C1394" s="37" t="n"/>
      <c r="D1394" s="38" t="n"/>
      <c r="E1394" s="39" t="n">
        <v>44375.41666666666</v>
      </c>
      <c r="F1394" s="49" t="inlineStr">
        <is>
          <t>Super Carlin Gaming</t>
        </is>
      </c>
      <c r="G1394" t="inlineStr">
        <is>
          <t>THE EGG IS HATCHING |  Pokémon Soul Silver Randomizer Nuzlocke #3</t>
        </is>
      </c>
      <c r="H1394" s="41" t="n">
        <v>0.02961805555555556</v>
      </c>
      <c r="I1394" s="42" t="n">
        <v>42407</v>
      </c>
      <c r="J1394" s="42" t="n">
        <v>1957</v>
      </c>
      <c r="K1394" s="42" t="n">
        <v>635</v>
      </c>
      <c r="L1394" s="43" t="n"/>
      <c r="M1394" s="44" t="n"/>
      <c r="N1394" s="44" t="inlineStr">
        <is>
          <t>UCor_9jRnNNZVzTuQ92PKsaQ</t>
        </is>
      </c>
      <c r="O1394" s="45" t="n">
        <v>44375.58333333334</v>
      </c>
      <c r="P1394" s="46" t="n">
        <v>44375</v>
      </c>
      <c r="Q1394" s="44" t="n">
        <v>1878</v>
      </c>
      <c r="R1394" s="44" t="inlineStr">
        <is>
          <t>No Video ID yet</t>
        </is>
      </c>
      <c r="S1394" s="46" t="n"/>
      <c r="T1394" s="46" t="n"/>
      <c r="U1394" s="44" t="n"/>
      <c r="V1394" s="44">
        <f>IF(AND(P1394&gt;=Calendar!$K$2,P1394&lt;EDATE(Calendar!$K$2,1),OR(Calendar!$K$4="*",N1394=Calendar!$K$4)),P1394*100+COUNTIFS($P$6:$P$3271,P1394,$Q$6:$Q$3271,"&lt;="&amp;Q1394,$N$6:$N$3271,Calendar!$K$4),"")</f>
        <v/>
      </c>
      <c r="W1394" s="44">
        <f>IF(AND(B1394=Queue!$C$4,OR(Queue!$K$4="*",N1394=Queue!$K$4)),Q1394,"")</f>
        <v/>
      </c>
    </row>
    <row r="1395">
      <c r="A1395" s="35">
        <f>IF(M1395="","",HYPERLINK("https://www.youtube.com/watch?v="&amp;M1395,"▶"))</f>
        <v/>
      </c>
      <c r="B1395" s="36">
        <f>IF(C1395&lt;&gt;"",C1395,IF(P1395&lt;=IFERROR(INDEX(tblChannels[Watched Through],MATCH(N1395,tblChannels[Channel ID],0)),0),"Watched","Unwatched"))</f>
        <v/>
      </c>
      <c r="C1395" s="37" t="n"/>
      <c r="D1395" s="38" t="n"/>
      <c r="E1395" s="39" t="n">
        <v>44372.75833333333</v>
      </c>
      <c r="F1395" s="49" t="inlineStr">
        <is>
          <t>Super Carlin Gaming</t>
        </is>
      </c>
      <c r="G1395" t="inlineStr">
        <is>
          <t>LIVE! MASSIVE POKÉMON CARD UNBOXING - CHILLING REIGN</t>
        </is>
      </c>
      <c r="H1395" s="41" t="n">
        <v>0.1228703703703704</v>
      </c>
      <c r="I1395" s="42" t="n">
        <v>9628</v>
      </c>
      <c r="J1395" s="42" t="n">
        <v>348</v>
      </c>
      <c r="K1395" s="42" t="n">
        <v>25</v>
      </c>
      <c r="L1395" s="43" t="n"/>
      <c r="M1395" s="44" t="n"/>
      <c r="N1395" s="44" t="inlineStr">
        <is>
          <t>UCor_9jRnNNZVzTuQ92PKsaQ</t>
        </is>
      </c>
      <c r="O1395" s="45" t="n">
        <v>44372.925</v>
      </c>
      <c r="P1395" s="46" t="n">
        <v>44372</v>
      </c>
      <c r="Q1395" s="44" t="n">
        <v>1877</v>
      </c>
      <c r="R1395" s="44" t="inlineStr">
        <is>
          <t>No Video ID yet</t>
        </is>
      </c>
      <c r="S1395" s="46" t="n"/>
      <c r="T1395" s="46" t="n"/>
      <c r="U1395" s="44" t="n"/>
      <c r="V1395" s="44">
        <f>IF(AND(P1395&gt;=Calendar!$K$2,P1395&lt;EDATE(Calendar!$K$2,1),OR(Calendar!$K$4="*",N1395=Calendar!$K$4)),P1395*100+COUNTIFS($P$6:$P$3271,P1395,$Q$6:$Q$3271,"&lt;="&amp;Q1395,$N$6:$N$3271,Calendar!$K$4),"")</f>
        <v/>
      </c>
      <c r="W1395" s="44">
        <f>IF(AND(B1395=Queue!$C$4,OR(Queue!$K$4="*",N1395=Queue!$K$4)),Q1395,"")</f>
        <v/>
      </c>
    </row>
    <row r="1396">
      <c r="A1396" s="35">
        <f>IF(M1396="","",HYPERLINK("https://www.youtube.com/watch?v="&amp;M1396,"▶"))</f>
        <v/>
      </c>
      <c r="B1396" s="36">
        <f>IF(C1396&lt;&gt;"",C1396,IF(P1396&lt;=IFERROR(INDEX(tblChannels[Watched Through],MATCH(N1396,tblChannels[Channel ID],0)),0),"Watched","Unwatched"))</f>
        <v/>
      </c>
      <c r="C1396" s="37" t="n"/>
      <c r="D1396" s="38" t="n"/>
      <c r="E1396" s="39" t="n">
        <v>44372.41666666666</v>
      </c>
      <c r="F1396" s="47" t="inlineStr">
        <is>
          <t>Super Carlin Brothers</t>
        </is>
      </c>
      <c r="G1396" t="inlineStr">
        <is>
          <t>Marshmallows Are The Worst | Popcorn Culture</t>
        </is>
      </c>
      <c r="H1396" s="41" t="n">
        <v>0.04604166666666667</v>
      </c>
      <c r="I1396" s="42" t="n">
        <v>21216</v>
      </c>
      <c r="J1396" s="42" t="n">
        <v>822</v>
      </c>
      <c r="K1396" s="42" t="n">
        <v>114</v>
      </c>
      <c r="L1396" s="43" t="n"/>
      <c r="M1396" s="44" t="n"/>
      <c r="N1396" s="44" t="inlineStr">
        <is>
          <t>UCKZo4N0lVPccBkSiuyVh4yg</t>
        </is>
      </c>
      <c r="O1396" s="45" t="n">
        <v>44372.58333333334</v>
      </c>
      <c r="P1396" s="46" t="n">
        <v>44372</v>
      </c>
      <c r="Q1396" s="44" t="n">
        <v>1876</v>
      </c>
      <c r="R1396" s="44" t="inlineStr">
        <is>
          <t>No Video ID yet</t>
        </is>
      </c>
      <c r="S1396" s="46" t="n"/>
      <c r="T1396" s="46" t="n"/>
      <c r="U1396" s="44" t="n"/>
      <c r="V1396" s="44">
        <f>IF(AND(P1396&gt;=Calendar!$K$2,P1396&lt;EDATE(Calendar!$K$2,1),OR(Calendar!$K$4="*",N1396=Calendar!$K$4)),P1396*100+COUNTIFS($P$6:$P$3271,P1396,$Q$6:$Q$3271,"&lt;="&amp;Q1396,$N$6:$N$3271,Calendar!$K$4),"")</f>
        <v/>
      </c>
      <c r="W1396" s="44">
        <f>IF(AND(B1396=Queue!$C$4,OR(Queue!$K$4="*",N1396=Queue!$K$4)),Q1396,"")</f>
        <v/>
      </c>
    </row>
    <row r="1397">
      <c r="A1397" s="35">
        <f>IF(M1397="","",HYPERLINK("https://www.youtube.com/watch?v="&amp;M1397,"▶"))</f>
        <v/>
      </c>
      <c r="B1397" s="36">
        <f>IF(C1397&lt;&gt;"",C1397,IF(P1397&lt;=IFERROR(INDEX(tblChannels[Watched Through],MATCH(N1397,tblChannels[Channel ID],0)),0),"Watched","Unwatched"))</f>
        <v/>
      </c>
      <c r="C1397" s="37" t="n"/>
      <c r="D1397" s="38" t="n"/>
      <c r="E1397" s="39" t="n">
        <v>44372.25</v>
      </c>
      <c r="F1397" s="40" t="inlineStr">
        <is>
          <t>Popcorn Culture</t>
        </is>
      </c>
      <c r="G1397" t="inlineStr">
        <is>
          <t>81 - Best Ways to Roast a Marshmallow</t>
        </is>
      </c>
      <c r="H1397" s="41" t="n">
        <v>0.04472222222222222</v>
      </c>
      <c r="I1397" s="42" t="n">
        <v>1445</v>
      </c>
      <c r="J1397" s="42" t="n">
        <v>69</v>
      </c>
      <c r="K1397" s="42" t="n">
        <v>5</v>
      </c>
      <c r="L1397" s="43" t="n"/>
      <c r="M1397" s="44" t="n"/>
      <c r="N1397" s="44" t="inlineStr">
        <is>
          <t>UCHfIbq9thHPC8yrKjAdJgDA</t>
        </is>
      </c>
      <c r="O1397" s="45" t="n">
        <v>44372.41666666666</v>
      </c>
      <c r="P1397" s="46" t="n">
        <v>44372</v>
      </c>
      <c r="Q1397" s="44" t="n">
        <v>1875</v>
      </c>
      <c r="R1397" s="44" t="inlineStr">
        <is>
          <t>No Video ID yet</t>
        </is>
      </c>
      <c r="S1397" s="46" t="n"/>
      <c r="T1397" s="46" t="n"/>
      <c r="U1397" s="44" t="n"/>
      <c r="V1397" s="44">
        <f>IF(AND(P1397&gt;=Calendar!$K$2,P1397&lt;EDATE(Calendar!$K$2,1),OR(Calendar!$K$4="*",N1397=Calendar!$K$4)),P1397*100+COUNTIFS($P$6:$P$3271,P1397,$Q$6:$Q$3271,"&lt;="&amp;Q1397,$N$6:$N$3271,Calendar!$K$4),"")</f>
        <v/>
      </c>
      <c r="W1397" s="44">
        <f>IF(AND(B1397=Queue!$C$4,OR(Queue!$K$4="*",N1397=Queue!$K$4)),Q1397,"")</f>
        <v/>
      </c>
    </row>
    <row r="1398">
      <c r="A1398" s="35">
        <f>IF(M1398="","",HYPERLINK("https://www.youtube.com/watch?v="&amp;M1398,"▶"))</f>
        <v/>
      </c>
      <c r="B1398" s="36">
        <f>IF(C1398&lt;&gt;"",C1398,IF(P1398&lt;=IFERROR(INDEX(tblChannels[Watched Through],MATCH(N1398,tblChannels[Channel ID],0)),0),"Watched","Unwatched"))</f>
        <v/>
      </c>
      <c r="C1398" s="37" t="n"/>
      <c r="D1398" s="38" t="n"/>
      <c r="E1398" s="39" t="n">
        <v>44371.70486111111</v>
      </c>
      <c r="F1398" s="47" t="inlineStr">
        <is>
          <t>Super Carlin Brothers</t>
        </is>
      </c>
      <c r="G1398" t="inlineStr">
        <is>
          <t>What Happened To Alberto’s Father? | Pixar Theory</t>
        </is>
      </c>
      <c r="H1398" s="41" t="n">
        <v>0.009201388888888889</v>
      </c>
      <c r="I1398" s="42" t="n">
        <v>1981429</v>
      </c>
      <c r="J1398" s="42" t="n">
        <v>34421</v>
      </c>
      <c r="K1398" s="42" t="n">
        <v>2359</v>
      </c>
      <c r="L1398" s="43" t="n"/>
      <c r="M1398" s="44" t="n"/>
      <c r="N1398" s="44" t="inlineStr">
        <is>
          <t>UCKZo4N0lVPccBkSiuyVh4yg</t>
        </is>
      </c>
      <c r="O1398" s="45" t="n">
        <v>44371.87152777778</v>
      </c>
      <c r="P1398" s="46" t="n">
        <v>44371</v>
      </c>
      <c r="Q1398" s="44" t="n">
        <v>1874</v>
      </c>
      <c r="R1398" s="44" t="inlineStr">
        <is>
          <t>No Video ID yet</t>
        </is>
      </c>
      <c r="S1398" s="46" t="n"/>
      <c r="T1398" s="46" t="n"/>
      <c r="U1398" s="44" t="n"/>
      <c r="V1398" s="44">
        <f>IF(AND(P1398&gt;=Calendar!$K$2,P1398&lt;EDATE(Calendar!$K$2,1),OR(Calendar!$K$4="*",N1398=Calendar!$K$4)),P1398*100+COUNTIFS($P$6:$P$3271,P1398,$Q$6:$Q$3271,"&lt;="&amp;Q1398,$N$6:$N$3271,Calendar!$K$4),"")</f>
        <v/>
      </c>
      <c r="W1398" s="44">
        <f>IF(AND(B1398=Queue!$C$4,OR(Queue!$K$4="*",N1398=Queue!$K$4)),Q1398,"")</f>
        <v/>
      </c>
    </row>
    <row r="1399">
      <c r="A1399" s="35">
        <f>IF(M1399="","",HYPERLINK("https://www.youtube.com/watch?v="&amp;M1399,"▶"))</f>
        <v/>
      </c>
      <c r="B1399" s="36">
        <f>IF(C1399&lt;&gt;"",C1399,IF(P1399&lt;=IFERROR(INDEX(tblChannels[Watched Through],MATCH(N1399,tblChannels[Channel ID],0)),0),"Watched","Unwatched"))</f>
        <v/>
      </c>
      <c r="C1399" s="37" t="n"/>
      <c r="D1399" s="38" t="n"/>
      <c r="E1399" s="39" t="n">
        <v>44371.41666666666</v>
      </c>
      <c r="F1399" s="49" t="inlineStr">
        <is>
          <t>Super Carlin Gaming</t>
        </is>
      </c>
      <c r="G1399" t="inlineStr">
        <is>
          <t>7 Steps To Build a Competitive Pokemon Card Deck! [Feat: The Sableyes]</t>
        </is>
      </c>
      <c r="H1399" s="41" t="n">
        <v>0.02988425925925926</v>
      </c>
      <c r="I1399" s="42" t="n">
        <v>36042</v>
      </c>
      <c r="J1399" s="42" t="n">
        <v>752</v>
      </c>
      <c r="K1399" s="42" t="n">
        <v>50</v>
      </c>
      <c r="L1399" s="43" t="n"/>
      <c r="M1399" s="44" t="n"/>
      <c r="N1399" s="44" t="inlineStr">
        <is>
          <t>UCor_9jRnNNZVzTuQ92PKsaQ</t>
        </is>
      </c>
      <c r="O1399" s="45" t="n">
        <v>44371.58333333334</v>
      </c>
      <c r="P1399" s="46" t="n">
        <v>44371</v>
      </c>
      <c r="Q1399" s="44" t="n">
        <v>1873</v>
      </c>
      <c r="R1399" s="44" t="inlineStr">
        <is>
          <t>No Video ID yet</t>
        </is>
      </c>
      <c r="S1399" s="46" t="n"/>
      <c r="T1399" s="46" t="n"/>
      <c r="U1399" s="44" t="n"/>
      <c r="V1399" s="44">
        <f>IF(AND(P1399&gt;=Calendar!$K$2,P1399&lt;EDATE(Calendar!$K$2,1),OR(Calendar!$K$4="*",N1399=Calendar!$K$4)),P1399*100+COUNTIFS($P$6:$P$3271,P1399,$Q$6:$Q$3271,"&lt;="&amp;Q1399,$N$6:$N$3271,Calendar!$K$4),"")</f>
        <v/>
      </c>
      <c r="W1399" s="44">
        <f>IF(AND(B1399=Queue!$C$4,OR(Queue!$K$4="*",N1399=Queue!$K$4)),Q1399,"")</f>
        <v/>
      </c>
    </row>
    <row r="1400">
      <c r="A1400" s="35">
        <f>IF(M1400="","",HYPERLINK("https://www.youtube.com/watch?v="&amp;M1400,"▶"))</f>
        <v/>
      </c>
      <c r="B1400" s="36">
        <f>IF(C1400&lt;&gt;"",C1400,IF(P1400&lt;=IFERROR(INDEX(tblChannels[Watched Through],MATCH(N1400,tblChannels[Channel ID],0)),0),"Watched","Unwatched"))</f>
        <v/>
      </c>
      <c r="C1400" s="37" t="n"/>
      <c r="D1400" s="38" t="n"/>
      <c r="E1400" s="39" t="n">
        <v>44370.41666666666</v>
      </c>
      <c r="F1400" s="49" t="inlineStr">
        <is>
          <t>Super Carlin Gaming</t>
        </is>
      </c>
      <c r="G1400" t="inlineStr">
        <is>
          <t>A LITERAL Cannon For An Arm |  Pokémon SoulSilver Randomizer Nuzlocke #2</t>
        </is>
      </c>
      <c r="H1400" s="41" t="n">
        <v>0.02458333333333333</v>
      </c>
      <c r="I1400" s="42" t="n">
        <v>44905</v>
      </c>
      <c r="J1400" s="42" t="n">
        <v>2907</v>
      </c>
      <c r="K1400" s="42" t="n">
        <v>818</v>
      </c>
      <c r="L1400" s="43" t="n"/>
      <c r="M1400" s="44" t="n"/>
      <c r="N1400" s="44" t="inlineStr">
        <is>
          <t>UCor_9jRnNNZVzTuQ92PKsaQ</t>
        </is>
      </c>
      <c r="O1400" s="45" t="n">
        <v>44370.58333333334</v>
      </c>
      <c r="P1400" s="46" t="n">
        <v>44370</v>
      </c>
      <c r="Q1400" s="44" t="n">
        <v>1872</v>
      </c>
      <c r="R1400" s="44" t="inlineStr">
        <is>
          <t>No Video ID yet</t>
        </is>
      </c>
      <c r="S1400" s="46" t="n"/>
      <c r="T1400" s="46" t="n"/>
      <c r="U1400" s="44" t="n"/>
      <c r="V1400" s="44">
        <f>IF(AND(P1400&gt;=Calendar!$K$2,P1400&lt;EDATE(Calendar!$K$2,1),OR(Calendar!$K$4="*",N1400=Calendar!$K$4)),P1400*100+COUNTIFS($P$6:$P$3271,P1400,$Q$6:$Q$3271,"&lt;="&amp;Q1400,$N$6:$N$3271,Calendar!$K$4),"")</f>
        <v/>
      </c>
      <c r="W1400" s="44">
        <f>IF(AND(B1400=Queue!$C$4,OR(Queue!$K$4="*",N1400=Queue!$K$4)),Q1400,"")</f>
        <v/>
      </c>
    </row>
    <row r="1401">
      <c r="A1401" s="35">
        <f>IF(M1401="","",HYPERLINK("https://www.youtube.com/watch?v="&amp;M1401,"▶"))</f>
        <v/>
      </c>
      <c r="B1401" s="36">
        <f>IF(C1401&lt;&gt;"",C1401,IF(P1401&lt;=IFERROR(INDEX(tblChannels[Watched Through],MATCH(N1401,tblChannels[Channel ID],0)),0),"Watched","Unwatched"))</f>
        <v/>
      </c>
      <c r="C1401" s="37" t="n"/>
      <c r="D1401" s="38" t="n"/>
      <c r="E1401" s="39" t="n">
        <v>44369.79375</v>
      </c>
      <c r="F1401" s="47" t="inlineStr">
        <is>
          <t>Super Carlin Brothers</t>
        </is>
      </c>
      <c r="G1401" t="inlineStr">
        <is>
          <t>LUCA REVIEW: Pixar's New Best? [J vs Ben]</t>
        </is>
      </c>
      <c r="H1401" s="41" t="n">
        <v>0.03909722222222222</v>
      </c>
      <c r="I1401" s="42" t="n">
        <v>310496</v>
      </c>
      <c r="J1401" s="42" t="n">
        <v>8103</v>
      </c>
      <c r="K1401" s="42" t="n">
        <v>1777</v>
      </c>
      <c r="L1401" s="43" t="n"/>
      <c r="M1401" s="44" t="n"/>
      <c r="N1401" s="44" t="inlineStr">
        <is>
          <t>UCKZo4N0lVPccBkSiuyVh4yg</t>
        </is>
      </c>
      <c r="O1401" s="45" t="n">
        <v>44369.96041666667</v>
      </c>
      <c r="P1401" s="46" t="n">
        <v>44369</v>
      </c>
      <c r="Q1401" s="44" t="n">
        <v>1871</v>
      </c>
      <c r="R1401" s="44" t="inlineStr">
        <is>
          <t>No Video ID yet</t>
        </is>
      </c>
      <c r="S1401" s="46" t="n"/>
      <c r="T1401" s="46" t="n"/>
      <c r="U1401" s="44" t="n"/>
      <c r="V1401" s="44">
        <f>IF(AND(P1401&gt;=Calendar!$K$2,P1401&lt;EDATE(Calendar!$K$2,1),OR(Calendar!$K$4="*",N1401=Calendar!$K$4)),P1401*100+COUNTIFS($P$6:$P$3271,P1401,$Q$6:$Q$3271,"&lt;="&amp;Q1401,$N$6:$N$3271,Calendar!$K$4),"")</f>
        <v/>
      </c>
      <c r="W1401" s="44">
        <f>IF(AND(B1401=Queue!$C$4,OR(Queue!$K$4="*",N1401=Queue!$K$4)),Q1401,"")</f>
        <v/>
      </c>
    </row>
    <row r="1402">
      <c r="A1402" s="35">
        <f>IF(M1402="","",HYPERLINK("https://www.youtube.com/watch?v="&amp;M1402,"▶"))</f>
        <v/>
      </c>
      <c r="B1402" s="36">
        <f>IF(C1402&lt;&gt;"",C1402,IF(P1402&lt;=IFERROR(INDEX(tblChannels[Watched Through],MATCH(N1402,tblChannels[Channel ID],0)),0),"Watched","Unwatched"))</f>
        <v/>
      </c>
      <c r="C1402" s="37" t="n"/>
      <c r="D1402" s="38" t="n"/>
      <c r="E1402" s="39" t="n">
        <v>44368.41666666666</v>
      </c>
      <c r="F1402" s="49" t="inlineStr">
        <is>
          <t>Super Carlin Gaming</t>
        </is>
      </c>
      <c r="G1402" t="inlineStr">
        <is>
          <t>Choosing Our Starter! |  Pokémon SoulSilver Randomizer Nuzlocke #1</t>
        </is>
      </c>
      <c r="H1402" s="41" t="n">
        <v>0.03265046296296296</v>
      </c>
      <c r="I1402" s="42" t="n">
        <v>108387</v>
      </c>
      <c r="J1402" s="42" t="n">
        <v>3725</v>
      </c>
      <c r="K1402" s="42" t="n">
        <v>1063</v>
      </c>
      <c r="L1402" s="43" t="n"/>
      <c r="M1402" s="44" t="n"/>
      <c r="N1402" s="44" t="inlineStr">
        <is>
          <t>UCor_9jRnNNZVzTuQ92PKsaQ</t>
        </is>
      </c>
      <c r="O1402" s="45" t="n">
        <v>44368.58333333334</v>
      </c>
      <c r="P1402" s="46" t="n">
        <v>44368</v>
      </c>
      <c r="Q1402" s="44" t="n">
        <v>1870</v>
      </c>
      <c r="R1402" s="44" t="inlineStr">
        <is>
          <t>No Video ID yet</t>
        </is>
      </c>
      <c r="S1402" s="46" t="n"/>
      <c r="T1402" s="46" t="n"/>
      <c r="U1402" s="44" t="n"/>
      <c r="V1402" s="44">
        <f>IF(AND(P1402&gt;=Calendar!$K$2,P1402&lt;EDATE(Calendar!$K$2,1),OR(Calendar!$K$4="*",N1402=Calendar!$K$4)),P1402*100+COUNTIFS($P$6:$P$3271,P1402,$Q$6:$Q$3271,"&lt;="&amp;Q1402,$N$6:$N$3271,Calendar!$K$4),"")</f>
        <v/>
      </c>
      <c r="W1402" s="44">
        <f>IF(AND(B1402=Queue!$C$4,OR(Queue!$K$4="*",N1402=Queue!$K$4)),Q1402,"")</f>
        <v/>
      </c>
    </row>
    <row r="1403">
      <c r="A1403" s="35">
        <f>IF(M1403="","",HYPERLINK("https://www.youtube.com/watch?v="&amp;M1403,"▶"))</f>
        <v/>
      </c>
      <c r="B1403" s="36">
        <f>IF(C1403&lt;&gt;"",C1403,IF(P1403&lt;=IFERROR(INDEX(tblChannels[Watched Through],MATCH(N1403,tblChannels[Channel ID],0)),0),"Watched","Unwatched"))</f>
        <v/>
      </c>
      <c r="C1403" s="37" t="n"/>
      <c r="D1403" s="38" t="n"/>
      <c r="E1403" s="39" t="n">
        <v>44365.41666666666</v>
      </c>
      <c r="F1403" s="47" t="inlineStr">
        <is>
          <t>Super Carlin Brothers</t>
        </is>
      </c>
      <c r="G1403" t="inlineStr">
        <is>
          <t>Your Personal Hotseat | Popcorn Culture</t>
        </is>
      </c>
      <c r="H1403" s="41" t="n">
        <v>0.04842592592592593</v>
      </c>
      <c r="I1403" s="42" t="n">
        <v>19304</v>
      </c>
      <c r="J1403" s="42" t="n">
        <v>863</v>
      </c>
      <c r="K1403" s="42" t="n">
        <v>147</v>
      </c>
      <c r="L1403" s="43" t="n"/>
      <c r="M1403" s="44" t="n"/>
      <c r="N1403" s="44" t="inlineStr">
        <is>
          <t>UCKZo4N0lVPccBkSiuyVh4yg</t>
        </is>
      </c>
      <c r="O1403" s="45" t="n">
        <v>44365.58333333334</v>
      </c>
      <c r="P1403" s="46" t="n">
        <v>44365</v>
      </c>
      <c r="Q1403" s="44" t="n">
        <v>1869</v>
      </c>
      <c r="R1403" s="44" t="inlineStr">
        <is>
          <t>No Video ID yet</t>
        </is>
      </c>
      <c r="S1403" s="46" t="n"/>
      <c r="T1403" s="46" t="n"/>
      <c r="U1403" s="44" t="n"/>
      <c r="V1403" s="44">
        <f>IF(AND(P1403&gt;=Calendar!$K$2,P1403&lt;EDATE(Calendar!$K$2,1),OR(Calendar!$K$4="*",N1403=Calendar!$K$4)),P1403*100+COUNTIFS($P$6:$P$3271,P1403,$Q$6:$Q$3271,"&lt;="&amp;Q1403,$N$6:$N$3271,Calendar!$K$4),"")</f>
        <v/>
      </c>
      <c r="W1403" s="44">
        <f>IF(AND(B1403=Queue!$C$4,OR(Queue!$K$4="*",N1403=Queue!$K$4)),Q1403,"")</f>
        <v/>
      </c>
    </row>
    <row r="1404">
      <c r="A1404" s="35">
        <f>IF(M1404="","",HYPERLINK("https://www.youtube.com/watch?v="&amp;M1404,"▶"))</f>
        <v/>
      </c>
      <c r="B1404" s="36">
        <f>IF(C1404&lt;&gt;"",C1404,IF(P1404&lt;=IFERROR(INDEX(tblChannels[Watched Through],MATCH(N1404,tblChannels[Channel ID],0)),0),"Watched","Unwatched"))</f>
        <v/>
      </c>
      <c r="C1404" s="37" t="n"/>
      <c r="D1404" s="38" t="n"/>
      <c r="E1404" s="39" t="n">
        <v>44365.25</v>
      </c>
      <c r="F1404" s="40" t="inlineStr">
        <is>
          <t>Popcorn Culture</t>
        </is>
      </c>
      <c r="G1404" t="inlineStr">
        <is>
          <t>80 - Your Personal Hotseat</t>
        </is>
      </c>
      <c r="H1404" s="41" t="n">
        <v>0.04686342592592593</v>
      </c>
      <c r="I1404" s="42" t="n">
        <v>1167</v>
      </c>
      <c r="J1404" s="42" t="n">
        <v>59</v>
      </c>
      <c r="K1404" s="42" t="n">
        <v>3</v>
      </c>
      <c r="L1404" s="43" t="n"/>
      <c r="M1404" s="44" t="n"/>
      <c r="N1404" s="44" t="inlineStr">
        <is>
          <t>UCHfIbq9thHPC8yrKjAdJgDA</t>
        </is>
      </c>
      <c r="O1404" s="45" t="n">
        <v>44365.41666666666</v>
      </c>
      <c r="P1404" s="46" t="n">
        <v>44365</v>
      </c>
      <c r="Q1404" s="44" t="n">
        <v>1868</v>
      </c>
      <c r="R1404" s="44" t="inlineStr">
        <is>
          <t>No Video ID yet</t>
        </is>
      </c>
      <c r="S1404" s="46" t="n"/>
      <c r="T1404" s="46" t="n"/>
      <c r="U1404" s="44" t="n"/>
      <c r="V1404" s="44">
        <f>IF(AND(P1404&gt;=Calendar!$K$2,P1404&lt;EDATE(Calendar!$K$2,1),OR(Calendar!$K$4="*",N1404=Calendar!$K$4)),P1404*100+COUNTIFS($P$6:$P$3271,P1404,$Q$6:$Q$3271,"&lt;="&amp;Q1404,$N$6:$N$3271,Calendar!$K$4),"")</f>
        <v/>
      </c>
      <c r="W1404" s="44">
        <f>IF(AND(B1404=Queue!$C$4,OR(Queue!$K$4="*",N1404=Queue!$K$4)),Q1404,"")</f>
        <v/>
      </c>
    </row>
    <row r="1405">
      <c r="A1405" s="35">
        <f>IF(M1405="","",HYPERLINK("https://www.youtube.com/watch?v="&amp;M1405,"▶"))</f>
        <v/>
      </c>
      <c r="B1405" s="36">
        <f>IF(C1405&lt;&gt;"",C1405,IF(P1405&lt;=IFERROR(INDEX(tblChannels[Watched Through],MATCH(N1405,tblChannels[Channel ID],0)),0),"Watched","Unwatched"))</f>
        <v/>
      </c>
      <c r="C1405" s="37" t="n"/>
      <c r="D1405" s="38" t="n"/>
      <c r="E1405" s="39" t="n">
        <v>44364.78472222222</v>
      </c>
      <c r="F1405" s="47" t="inlineStr">
        <is>
          <t>Super Carlin Brothers</t>
        </is>
      </c>
      <c r="G1405" t="inlineStr">
        <is>
          <t>Wait.. Did Loki SURVIVE Thanos In Infinity War? | Marvel Theory</t>
        </is>
      </c>
      <c r="H1405" s="41" t="n">
        <v>0.01111111111111111</v>
      </c>
      <c r="I1405" s="42" t="n">
        <v>238329</v>
      </c>
      <c r="J1405" s="42" t="n">
        <v>11455</v>
      </c>
      <c r="K1405" s="42" t="n">
        <v>1268</v>
      </c>
      <c r="L1405" s="43" t="n"/>
      <c r="M1405" s="44" t="n"/>
      <c r="N1405" s="44" t="inlineStr">
        <is>
          <t>UCKZo4N0lVPccBkSiuyVh4yg</t>
        </is>
      </c>
      <c r="O1405" s="45" t="n">
        <v>44364.95138888889</v>
      </c>
      <c r="P1405" s="46" t="n">
        <v>44364</v>
      </c>
      <c r="Q1405" s="44" t="n">
        <v>1867</v>
      </c>
      <c r="R1405" s="44" t="inlineStr">
        <is>
          <t>No Video ID yet</t>
        </is>
      </c>
      <c r="S1405" s="46" t="n"/>
      <c r="T1405" s="46" t="n"/>
      <c r="U1405" s="44" t="n"/>
      <c r="V1405" s="44">
        <f>IF(AND(P1405&gt;=Calendar!$K$2,P1405&lt;EDATE(Calendar!$K$2,1),OR(Calendar!$K$4="*",N1405=Calendar!$K$4)),P1405*100+COUNTIFS($P$6:$P$3271,P1405,$Q$6:$Q$3271,"&lt;="&amp;Q1405,$N$6:$N$3271,Calendar!$K$4),"")</f>
        <v/>
      </c>
      <c r="W1405" s="44">
        <f>IF(AND(B1405=Queue!$C$4,OR(Queue!$K$4="*",N1405=Queue!$K$4)),Q1405,"")</f>
        <v/>
      </c>
    </row>
    <row r="1406">
      <c r="A1406" s="35">
        <f>IF(M1406="","",HYPERLINK("https://www.youtube.com/watch?v="&amp;M1406,"▶"))</f>
        <v/>
      </c>
      <c r="B1406" s="36">
        <f>IF(C1406&lt;&gt;"",C1406,IF(P1406&lt;=IFERROR(INDEX(tblChannels[Watched Through],MATCH(N1406,tblChannels[Channel ID],0)),0),"Watched","Unwatched"))</f>
        <v/>
      </c>
      <c r="C1406" s="37" t="n"/>
      <c r="D1406" s="38" t="n"/>
      <c r="E1406" s="39" t="n">
        <v>44363.53888888889</v>
      </c>
      <c r="F1406" s="49" t="inlineStr">
        <is>
          <t>Super Carlin Gaming</t>
        </is>
      </c>
      <c r="G1406" t="inlineStr">
        <is>
          <t>NEW NUZLOCKE | Teaser Trailer</t>
        </is>
      </c>
      <c r="H1406" s="41" t="n">
        <v>0.0005787037037037037</v>
      </c>
      <c r="I1406" s="42" t="n">
        <v>9293</v>
      </c>
      <c r="J1406" s="42" t="n">
        <v>1111</v>
      </c>
      <c r="K1406" s="42" t="n">
        <v>267</v>
      </c>
      <c r="L1406" s="43" t="n"/>
      <c r="M1406" s="44" t="n"/>
      <c r="N1406" s="44" t="inlineStr">
        <is>
          <t>UCor_9jRnNNZVzTuQ92PKsaQ</t>
        </is>
      </c>
      <c r="O1406" s="45" t="n">
        <v>44363.70555555556</v>
      </c>
      <c r="P1406" s="46" t="n">
        <v>44363</v>
      </c>
      <c r="Q1406" s="44" t="n">
        <v>1866</v>
      </c>
      <c r="R1406" s="44" t="inlineStr">
        <is>
          <t>No Video ID yet</t>
        </is>
      </c>
      <c r="S1406" s="46" t="n"/>
      <c r="T1406" s="46" t="n"/>
      <c r="U1406" s="44" t="n"/>
      <c r="V1406" s="44">
        <f>IF(AND(P1406&gt;=Calendar!$K$2,P1406&lt;EDATE(Calendar!$K$2,1),OR(Calendar!$K$4="*",N1406=Calendar!$K$4)),P1406*100+COUNTIFS($P$6:$P$3271,P1406,$Q$6:$Q$3271,"&lt;="&amp;Q1406,$N$6:$N$3271,Calendar!$K$4),"")</f>
        <v/>
      </c>
      <c r="W1406" s="44">
        <f>IF(AND(B1406=Queue!$C$4,OR(Queue!$K$4="*",N1406=Queue!$K$4)),Q1406,"")</f>
        <v/>
      </c>
    </row>
    <row r="1407">
      <c r="A1407" s="35">
        <f>IF(M1407="","",HYPERLINK("https://www.youtube.com/watch?v="&amp;M1407,"▶"))</f>
        <v/>
      </c>
      <c r="B1407" s="36">
        <f>IF(C1407&lt;&gt;"",C1407,IF(P1407&lt;=IFERROR(INDEX(tblChannels[Watched Through],MATCH(N1407,tblChannels[Channel ID],0)),0),"Watched","Unwatched"))</f>
        <v/>
      </c>
      <c r="C1407" s="37" t="n"/>
      <c r="D1407" s="38" t="n"/>
      <c r="E1407" s="39" t="n">
        <v>44362.68958333333</v>
      </c>
      <c r="F1407" s="47" t="inlineStr">
        <is>
          <t>Super Carlin Brothers</t>
        </is>
      </c>
      <c r="G1407" t="inlineStr">
        <is>
          <t>Lady Loki Is Coming | Marvel Theory</t>
        </is>
      </c>
      <c r="H1407" s="41" t="n">
        <v>0.01015046296296296</v>
      </c>
      <c r="I1407" s="42" t="n">
        <v>100379</v>
      </c>
      <c r="J1407" s="42" t="n">
        <v>6140</v>
      </c>
      <c r="K1407" s="42" t="n">
        <v>1539</v>
      </c>
      <c r="L1407" s="43" t="n"/>
      <c r="M1407" s="44" t="n"/>
      <c r="N1407" s="44" t="inlineStr">
        <is>
          <t>UCKZo4N0lVPccBkSiuyVh4yg</t>
        </is>
      </c>
      <c r="O1407" s="45" t="n">
        <v>44362.85625</v>
      </c>
      <c r="P1407" s="46" t="n">
        <v>44362</v>
      </c>
      <c r="Q1407" s="44" t="n">
        <v>1865</v>
      </c>
      <c r="R1407" s="44" t="inlineStr">
        <is>
          <t>No Video ID yet</t>
        </is>
      </c>
      <c r="S1407" s="46" t="n"/>
      <c r="T1407" s="46" t="n"/>
      <c r="U1407" s="44" t="n"/>
      <c r="V1407" s="44">
        <f>IF(AND(P1407&gt;=Calendar!$K$2,P1407&lt;EDATE(Calendar!$K$2,1),OR(Calendar!$K$4="*",N1407=Calendar!$K$4)),P1407*100+COUNTIFS($P$6:$P$3271,P1407,$Q$6:$Q$3271,"&lt;="&amp;Q1407,$N$6:$N$3271,Calendar!$K$4),"")</f>
        <v/>
      </c>
      <c r="W1407" s="44">
        <f>IF(AND(B1407=Queue!$C$4,OR(Queue!$K$4="*",N1407=Queue!$K$4)),Q1407,"")</f>
        <v/>
      </c>
    </row>
    <row r="1408">
      <c r="A1408" s="35">
        <f>IF(M1408="","",HYPERLINK("https://www.youtube.com/watch?v="&amp;M1408,"▶"))</f>
        <v/>
      </c>
      <c r="B1408" s="36">
        <f>IF(C1408&lt;&gt;"",C1408,IF(P1408&lt;=IFERROR(INDEX(tblChannels[Watched Through],MATCH(N1408,tblChannels[Channel ID],0)),0),"Watched","Unwatched"))</f>
        <v/>
      </c>
      <c r="C1408" s="37" t="n"/>
      <c r="D1408" s="38" t="n"/>
      <c r="E1408" s="39" t="n">
        <v>44358.41666666666</v>
      </c>
      <c r="F1408" s="47" t="inlineStr">
        <is>
          <t>Super Carlin Brothers</t>
        </is>
      </c>
      <c r="G1408" t="inlineStr">
        <is>
          <t>There are GIANT SLOTHS?!? | Popcorn Culture</t>
        </is>
      </c>
      <c r="H1408" s="41" t="n">
        <v>0.05143518518518519</v>
      </c>
      <c r="I1408" s="42" t="n">
        <v>22162</v>
      </c>
      <c r="J1408" s="42" t="n">
        <v>957</v>
      </c>
      <c r="K1408" s="42" t="n">
        <v>161</v>
      </c>
      <c r="L1408" s="43" t="n"/>
      <c r="M1408" s="44" t="n"/>
      <c r="N1408" s="44" t="inlineStr">
        <is>
          <t>UCKZo4N0lVPccBkSiuyVh4yg</t>
        </is>
      </c>
      <c r="O1408" s="45" t="n">
        <v>44358.58333333334</v>
      </c>
      <c r="P1408" s="46" t="n">
        <v>44358</v>
      </c>
      <c r="Q1408" s="44" t="n">
        <v>1864</v>
      </c>
      <c r="R1408" s="44" t="inlineStr">
        <is>
          <t>No Video ID yet</t>
        </is>
      </c>
      <c r="S1408" s="46" t="n"/>
      <c r="T1408" s="46" t="n"/>
      <c r="U1408" s="44" t="n"/>
      <c r="V1408" s="44">
        <f>IF(AND(P1408&gt;=Calendar!$K$2,P1408&lt;EDATE(Calendar!$K$2,1),OR(Calendar!$K$4="*",N1408=Calendar!$K$4)),P1408*100+COUNTIFS($P$6:$P$3271,P1408,$Q$6:$Q$3271,"&lt;="&amp;Q1408,$N$6:$N$3271,Calendar!$K$4),"")</f>
        <v/>
      </c>
      <c r="W1408" s="44">
        <f>IF(AND(B1408=Queue!$C$4,OR(Queue!$K$4="*",N1408=Queue!$K$4)),Q1408,"")</f>
        <v/>
      </c>
    </row>
    <row r="1409">
      <c r="A1409" s="35">
        <f>IF(M1409="","",HYPERLINK("https://www.youtube.com/watch?v="&amp;M1409,"▶"))</f>
        <v/>
      </c>
      <c r="B1409" s="36">
        <f>IF(C1409&lt;&gt;"",C1409,IF(P1409&lt;=IFERROR(INDEX(tblChannels[Watched Through],MATCH(N1409,tblChannels[Channel ID],0)),0),"Watched","Unwatched"))</f>
        <v/>
      </c>
      <c r="C1409" s="37" t="n"/>
      <c r="D1409" s="38" t="n"/>
      <c r="E1409" s="39" t="n">
        <v>44358.25</v>
      </c>
      <c r="F1409" s="40" t="inlineStr">
        <is>
          <t>Popcorn Culture</t>
        </is>
      </c>
      <c r="G1409" t="inlineStr">
        <is>
          <t>79 - There Were GIANT Sloths?!?</t>
        </is>
      </c>
      <c r="H1409" s="41" t="n">
        <v>0.04986111111111111</v>
      </c>
      <c r="I1409" s="42" t="n">
        <v>1207</v>
      </c>
      <c r="J1409" s="42" t="n">
        <v>60</v>
      </c>
      <c r="K1409" s="42" t="n">
        <v>10</v>
      </c>
      <c r="L1409" s="43" t="n"/>
      <c r="M1409" s="44" t="n"/>
      <c r="N1409" s="44" t="inlineStr">
        <is>
          <t>UCHfIbq9thHPC8yrKjAdJgDA</t>
        </is>
      </c>
      <c r="O1409" s="45" t="n">
        <v>44358.41666666666</v>
      </c>
      <c r="P1409" s="46" t="n">
        <v>44358</v>
      </c>
      <c r="Q1409" s="44" t="n">
        <v>1863</v>
      </c>
      <c r="R1409" s="44" t="inlineStr">
        <is>
          <t>No Video ID yet</t>
        </is>
      </c>
      <c r="S1409" s="46" t="n"/>
      <c r="T1409" s="46" t="n"/>
      <c r="U1409" s="44" t="n"/>
      <c r="V1409" s="44">
        <f>IF(AND(P1409&gt;=Calendar!$K$2,P1409&lt;EDATE(Calendar!$K$2,1),OR(Calendar!$K$4="*",N1409=Calendar!$K$4)),P1409*100+COUNTIFS($P$6:$P$3271,P1409,$Q$6:$Q$3271,"&lt;="&amp;Q1409,$N$6:$N$3271,Calendar!$K$4),"")</f>
        <v/>
      </c>
      <c r="W1409" s="44">
        <f>IF(AND(B1409=Queue!$C$4,OR(Queue!$K$4="*",N1409=Queue!$K$4)),Q1409,"")</f>
        <v/>
      </c>
    </row>
    <row r="1410">
      <c r="A1410" s="35">
        <f>IF(M1410="","",HYPERLINK("https://www.youtube.com/watch?v="&amp;M1410,"▶"))</f>
        <v/>
      </c>
      <c r="B1410" s="36">
        <f>IF(C1410&lt;&gt;"",C1410,IF(P1410&lt;=IFERROR(INDEX(tblChannels[Watched Through],MATCH(N1410,tblChannels[Channel ID],0)),0),"Watched","Unwatched"))</f>
        <v/>
      </c>
      <c r="C1410" s="37" t="n"/>
      <c r="D1410" s="38" t="n"/>
      <c r="E1410" s="39" t="n">
        <v>44357.69097222222</v>
      </c>
      <c r="F1410" s="47" t="inlineStr">
        <is>
          <t>Super Carlin Brothers</t>
        </is>
      </c>
      <c r="G1410" t="inlineStr">
        <is>
          <t>J vs Ben: HARDEST LOKI TRIVIA QUIZ</t>
        </is>
      </c>
      <c r="H1410" s="41" t="n">
        <v>0.0224537037037037</v>
      </c>
      <c r="I1410" s="42" t="n">
        <v>169686</v>
      </c>
      <c r="J1410" s="42" t="n">
        <v>7560</v>
      </c>
      <c r="K1410" s="42" t="n">
        <v>774</v>
      </c>
      <c r="L1410" s="43" t="n"/>
      <c r="M1410" s="44" t="n"/>
      <c r="N1410" s="44" t="inlineStr">
        <is>
          <t>UCKZo4N0lVPccBkSiuyVh4yg</t>
        </is>
      </c>
      <c r="O1410" s="45" t="n">
        <v>44357.85763888889</v>
      </c>
      <c r="P1410" s="46" t="n">
        <v>44357</v>
      </c>
      <c r="Q1410" s="44" t="n">
        <v>1862</v>
      </c>
      <c r="R1410" s="44" t="inlineStr">
        <is>
          <t>No Video ID yet</t>
        </is>
      </c>
      <c r="S1410" s="46" t="n"/>
      <c r="T1410" s="46" t="n"/>
      <c r="U1410" s="44" t="n"/>
      <c r="V1410" s="44">
        <f>IF(AND(P1410&gt;=Calendar!$K$2,P1410&lt;EDATE(Calendar!$K$2,1),OR(Calendar!$K$4="*",N1410=Calendar!$K$4)),P1410*100+COUNTIFS($P$6:$P$3271,P1410,$Q$6:$Q$3271,"&lt;="&amp;Q1410,$N$6:$N$3271,Calendar!$K$4),"")</f>
        <v/>
      </c>
      <c r="W1410" s="44">
        <f>IF(AND(B1410=Queue!$C$4,OR(Queue!$K$4="*",N1410=Queue!$K$4)),Q1410,"")</f>
        <v/>
      </c>
    </row>
    <row r="1411">
      <c r="A1411" s="35">
        <f>IF(M1411="","",HYPERLINK("https://www.youtube.com/watch?v="&amp;M1411,"▶"))</f>
        <v/>
      </c>
      <c r="B1411" s="36">
        <f>IF(C1411&lt;&gt;"",C1411,IF(P1411&lt;=IFERROR(INDEX(tblChannels[Watched Through],MATCH(N1411,tblChannels[Channel ID],0)),0),"Watched","Unwatched"))</f>
        <v/>
      </c>
      <c r="C1411" s="37" t="n"/>
      <c r="D1411" s="38" t="n"/>
      <c r="E1411" s="39" t="n">
        <v>44355.68680555555</v>
      </c>
      <c r="F1411" s="47" t="inlineStr">
        <is>
          <t>Super Carlin Brothers</t>
        </is>
      </c>
      <c r="G1411" t="inlineStr">
        <is>
          <t>Floo Powder’s SECRET Ingredient | Harry Potter Theory</t>
        </is>
      </c>
      <c r="H1411" s="41" t="n">
        <v>0.0109837962962963</v>
      </c>
      <c r="I1411" s="42" t="n">
        <v>388086</v>
      </c>
      <c r="J1411" s="42" t="n">
        <v>16000</v>
      </c>
      <c r="K1411" s="42" t="n">
        <v>1615</v>
      </c>
      <c r="L1411" s="43" t="n"/>
      <c r="M1411" s="44" t="n"/>
      <c r="N1411" s="44" t="inlineStr">
        <is>
          <t>UCKZo4N0lVPccBkSiuyVh4yg</t>
        </is>
      </c>
      <c r="O1411" s="45" t="n">
        <v>44355.85347222222</v>
      </c>
      <c r="P1411" s="46" t="n">
        <v>44355</v>
      </c>
      <c r="Q1411" s="44" t="n">
        <v>1861</v>
      </c>
      <c r="R1411" s="44" t="inlineStr">
        <is>
          <t>No Video ID yet</t>
        </is>
      </c>
      <c r="S1411" s="46" t="n"/>
      <c r="T1411" s="46" t="n"/>
      <c r="U1411" s="44" t="n"/>
      <c r="V1411" s="44">
        <f>IF(AND(P1411&gt;=Calendar!$K$2,P1411&lt;EDATE(Calendar!$K$2,1),OR(Calendar!$K$4="*",N1411=Calendar!$K$4)),P1411*100+COUNTIFS($P$6:$P$3271,P1411,$Q$6:$Q$3271,"&lt;="&amp;Q1411,$N$6:$N$3271,Calendar!$K$4),"")</f>
        <v/>
      </c>
      <c r="W1411" s="44">
        <f>IF(AND(B1411=Queue!$C$4,OR(Queue!$K$4="*",N1411=Queue!$K$4)),Q1411,"")</f>
        <v/>
      </c>
    </row>
    <row r="1412">
      <c r="A1412" s="35">
        <f>IF(M1412="","",HYPERLINK("https://www.youtube.com/watch?v="&amp;M1412,"▶"))</f>
        <v/>
      </c>
      <c r="B1412" s="36">
        <f>IF(C1412&lt;&gt;"",C1412,IF(P1412&lt;=IFERROR(INDEX(tblChannels[Watched Through],MATCH(N1412,tblChannels[Channel ID],0)),0),"Watched","Unwatched"))</f>
        <v/>
      </c>
      <c r="C1412" s="37" t="n"/>
      <c r="D1412" s="38" t="n"/>
      <c r="E1412" s="39" t="n">
        <v>44354.41666666666</v>
      </c>
      <c r="F1412" s="49" t="inlineStr">
        <is>
          <t>Super Carlin Gaming</t>
        </is>
      </c>
      <c r="G1412" t="inlineStr">
        <is>
          <t>THE FINAL BATTLE |  Pokémon LeafGreen Randomizer Nuzlocke #22</t>
        </is>
      </c>
      <c r="H1412" s="41" t="n">
        <v>0.03966435185185185</v>
      </c>
      <c r="I1412" s="42" t="n">
        <v>22815</v>
      </c>
      <c r="J1412" s="42" t="n">
        <v>1615</v>
      </c>
      <c r="K1412" s="42" t="n">
        <v>507</v>
      </c>
      <c r="L1412" s="43" t="n"/>
      <c r="M1412" s="44" t="n"/>
      <c r="N1412" s="44" t="inlineStr">
        <is>
          <t>UCor_9jRnNNZVzTuQ92PKsaQ</t>
        </is>
      </c>
      <c r="O1412" s="45" t="n">
        <v>44354.58333333334</v>
      </c>
      <c r="P1412" s="46" t="n">
        <v>44354</v>
      </c>
      <c r="Q1412" s="44" t="n">
        <v>1860</v>
      </c>
      <c r="R1412" s="44" t="inlineStr">
        <is>
          <t>No Video ID yet</t>
        </is>
      </c>
      <c r="S1412" s="46" t="n"/>
      <c r="T1412" s="46" t="n"/>
      <c r="U1412" s="44" t="n"/>
      <c r="V1412" s="44">
        <f>IF(AND(P1412&gt;=Calendar!$K$2,P1412&lt;EDATE(Calendar!$K$2,1),OR(Calendar!$K$4="*",N1412=Calendar!$K$4)),P1412*100+COUNTIFS($P$6:$P$3271,P1412,$Q$6:$Q$3271,"&lt;="&amp;Q1412,$N$6:$N$3271,Calendar!$K$4),"")</f>
        <v/>
      </c>
      <c r="W1412" s="44">
        <f>IF(AND(B1412=Queue!$C$4,OR(Queue!$K$4="*",N1412=Queue!$K$4)),Q1412,"")</f>
        <v/>
      </c>
    </row>
    <row r="1413">
      <c r="A1413" s="35">
        <f>IF(M1413="","",HYPERLINK("https://www.youtube.com/watch?v="&amp;M1413,"▶"))</f>
        <v/>
      </c>
      <c r="B1413" s="36">
        <f>IF(C1413&lt;&gt;"",C1413,IF(P1413&lt;=IFERROR(INDEX(tblChannels[Watched Through],MATCH(N1413,tblChannels[Channel ID],0)),0),"Watched","Unwatched"))</f>
        <v/>
      </c>
      <c r="C1413" s="37" t="n"/>
      <c r="D1413" s="38" t="n"/>
      <c r="E1413" s="39" t="n">
        <v>44351.41666666666</v>
      </c>
      <c r="F1413" s="47" t="inlineStr">
        <is>
          <t>Super Carlin Brothers</t>
        </is>
      </c>
      <c r="G1413" t="inlineStr">
        <is>
          <t>The Cupcake Dilemma | Popcorn Culture</t>
        </is>
      </c>
      <c r="H1413" s="41" t="n">
        <v>0.05521990740740741</v>
      </c>
      <c r="I1413" s="42" t="n">
        <v>30528</v>
      </c>
      <c r="J1413" s="42" t="n">
        <v>1021</v>
      </c>
      <c r="K1413" s="42" t="n">
        <v>162</v>
      </c>
      <c r="L1413" s="43" t="n"/>
      <c r="M1413" s="44" t="n"/>
      <c r="N1413" s="44" t="inlineStr">
        <is>
          <t>UCKZo4N0lVPccBkSiuyVh4yg</t>
        </is>
      </c>
      <c r="O1413" s="45" t="n">
        <v>44351.58333333334</v>
      </c>
      <c r="P1413" s="46" t="n">
        <v>44351</v>
      </c>
      <c r="Q1413" s="44" t="n">
        <v>1859</v>
      </c>
      <c r="R1413" s="44" t="inlineStr">
        <is>
          <t>No Video ID yet</t>
        </is>
      </c>
      <c r="S1413" s="46" t="n"/>
      <c r="T1413" s="46" t="n"/>
      <c r="U1413" s="44" t="n"/>
      <c r="V1413" s="44">
        <f>IF(AND(P1413&gt;=Calendar!$K$2,P1413&lt;EDATE(Calendar!$K$2,1),OR(Calendar!$K$4="*",N1413=Calendar!$K$4)),P1413*100+COUNTIFS($P$6:$P$3271,P1413,$Q$6:$Q$3271,"&lt;="&amp;Q1413,$N$6:$N$3271,Calendar!$K$4),"")</f>
        <v/>
      </c>
      <c r="W1413" s="44">
        <f>IF(AND(B1413=Queue!$C$4,OR(Queue!$K$4="*",N1413=Queue!$K$4)),Q1413,"")</f>
        <v/>
      </c>
    </row>
    <row r="1414">
      <c r="A1414" s="35">
        <f>IF(M1414="","",HYPERLINK("https://www.youtube.com/watch?v="&amp;M1414,"▶"))</f>
        <v/>
      </c>
      <c r="B1414" s="36">
        <f>IF(C1414&lt;&gt;"",C1414,IF(P1414&lt;=IFERROR(INDEX(tblChannels[Watched Through],MATCH(N1414,tblChannels[Channel ID],0)),0),"Watched","Unwatched"))</f>
        <v/>
      </c>
      <c r="C1414" s="37" t="n"/>
      <c r="D1414" s="38" t="n"/>
      <c r="E1414" s="39" t="n">
        <v>44351.25</v>
      </c>
      <c r="F1414" s="40" t="inlineStr">
        <is>
          <t>Popcorn Culture</t>
        </is>
      </c>
      <c r="G1414" t="inlineStr">
        <is>
          <t>78 - The Cupcake Dilemma</t>
        </is>
      </c>
      <c r="H1414" s="41" t="n">
        <v>0.05359953703703704</v>
      </c>
      <c r="I1414" s="42" t="n">
        <v>1603</v>
      </c>
      <c r="J1414" s="42" t="n">
        <v>64</v>
      </c>
      <c r="K1414" s="42" t="n">
        <v>4</v>
      </c>
      <c r="L1414" s="43" t="n"/>
      <c r="M1414" s="44" t="n"/>
      <c r="N1414" s="44" t="inlineStr">
        <is>
          <t>UCHfIbq9thHPC8yrKjAdJgDA</t>
        </is>
      </c>
      <c r="O1414" s="45" t="n">
        <v>44351.41666666666</v>
      </c>
      <c r="P1414" s="46" t="n">
        <v>44351</v>
      </c>
      <c r="Q1414" s="44" t="n">
        <v>1858</v>
      </c>
      <c r="R1414" s="44" t="inlineStr">
        <is>
          <t>No Video ID yet</t>
        </is>
      </c>
      <c r="S1414" s="46" t="n"/>
      <c r="T1414" s="46" t="n"/>
      <c r="U1414" s="44" t="n"/>
      <c r="V1414" s="44">
        <f>IF(AND(P1414&gt;=Calendar!$K$2,P1414&lt;EDATE(Calendar!$K$2,1),OR(Calendar!$K$4="*",N1414=Calendar!$K$4)),P1414*100+COUNTIFS($P$6:$P$3271,P1414,$Q$6:$Q$3271,"&lt;="&amp;Q1414,$N$6:$N$3271,Calendar!$K$4),"")</f>
        <v/>
      </c>
      <c r="W1414" s="44">
        <f>IF(AND(B1414=Queue!$C$4,OR(Queue!$K$4="*",N1414=Queue!$K$4)),Q1414,"")</f>
        <v/>
      </c>
    </row>
    <row r="1415">
      <c r="A1415" s="35">
        <f>IF(M1415="","",HYPERLINK("https://www.youtube.com/watch?v="&amp;M1415,"▶"))</f>
        <v/>
      </c>
      <c r="B1415" s="36">
        <f>IF(C1415&lt;&gt;"",C1415,IF(P1415&lt;=IFERROR(INDEX(tblChannels[Watched Through],MATCH(N1415,tblChannels[Channel ID],0)),0),"Watched","Unwatched"))</f>
        <v/>
      </c>
      <c r="C1415" s="37" t="n"/>
      <c r="D1415" s="38" t="n"/>
      <c r="E1415" s="39" t="n">
        <v>44350.69583333333</v>
      </c>
      <c r="F1415" s="47" t="inlineStr">
        <is>
          <t>Super Carlin Brothers</t>
        </is>
      </c>
      <c r="G1415" t="inlineStr">
        <is>
          <t>The SECRET Descendents of Ravenclaw | Harry Potter Theory</t>
        </is>
      </c>
      <c r="H1415" s="41" t="n">
        <v>0.01216435185185185</v>
      </c>
      <c r="I1415" s="42" t="n">
        <v>404334</v>
      </c>
      <c r="J1415" s="42" t="n">
        <v>15945</v>
      </c>
      <c r="K1415" s="42" t="n">
        <v>1597</v>
      </c>
      <c r="L1415" s="43" t="n"/>
      <c r="M1415" s="44" t="n"/>
      <c r="N1415" s="44" t="inlineStr">
        <is>
          <t>UCKZo4N0lVPccBkSiuyVh4yg</t>
        </is>
      </c>
      <c r="O1415" s="45" t="n">
        <v>44350.8625</v>
      </c>
      <c r="P1415" s="46" t="n">
        <v>44350</v>
      </c>
      <c r="Q1415" s="44" t="n">
        <v>1857</v>
      </c>
      <c r="R1415" s="44" t="inlineStr">
        <is>
          <t>No Video ID yet</t>
        </is>
      </c>
      <c r="S1415" s="46" t="n"/>
      <c r="T1415" s="46" t="n"/>
      <c r="U1415" s="44" t="n"/>
      <c r="V1415" s="44">
        <f>IF(AND(P1415&gt;=Calendar!$K$2,P1415&lt;EDATE(Calendar!$K$2,1),OR(Calendar!$K$4="*",N1415=Calendar!$K$4)),P1415*100+COUNTIFS($P$6:$P$3271,P1415,$Q$6:$Q$3271,"&lt;="&amp;Q1415,$N$6:$N$3271,Calendar!$K$4),"")</f>
        <v/>
      </c>
      <c r="W1415" s="44">
        <f>IF(AND(B1415=Queue!$C$4,OR(Queue!$K$4="*",N1415=Queue!$K$4)),Q1415,"")</f>
        <v/>
      </c>
    </row>
    <row r="1416">
      <c r="A1416" s="35">
        <f>IF(M1416="","",HYPERLINK("https://www.youtube.com/watch?v="&amp;M1416,"▶"))</f>
        <v/>
      </c>
      <c r="B1416" s="36">
        <f>IF(C1416&lt;&gt;"",C1416,IF(P1416&lt;=IFERROR(INDEX(tblChannels[Watched Through],MATCH(N1416,tblChannels[Channel ID],0)),0),"Watched","Unwatched"))</f>
        <v/>
      </c>
      <c r="C1416" s="37" t="n"/>
      <c r="D1416" s="38" t="n"/>
      <c r="E1416" s="39" t="n">
        <v>44349.41666666666</v>
      </c>
      <c r="F1416" s="49" t="inlineStr">
        <is>
          <t>Super Carlin Gaming</t>
        </is>
      </c>
      <c r="G1416" t="inlineStr">
        <is>
          <t>DESTINY AWAITS.. |  Pokémon LeafGreen Randomizer Nuzlocke #21</t>
        </is>
      </c>
      <c r="H1416" s="41" t="n">
        <v>0.03944444444444444</v>
      </c>
      <c r="I1416" s="42" t="n">
        <v>23353</v>
      </c>
      <c r="J1416" s="42" t="n">
        <v>1485</v>
      </c>
      <c r="K1416" s="42" t="n">
        <v>552</v>
      </c>
      <c r="L1416" s="43" t="n"/>
      <c r="M1416" s="44" t="n"/>
      <c r="N1416" s="44" t="inlineStr">
        <is>
          <t>UCor_9jRnNNZVzTuQ92PKsaQ</t>
        </is>
      </c>
      <c r="O1416" s="45" t="n">
        <v>44349.58333333334</v>
      </c>
      <c r="P1416" s="46" t="n">
        <v>44349</v>
      </c>
      <c r="Q1416" s="44" t="n">
        <v>1856</v>
      </c>
      <c r="R1416" s="44" t="inlineStr">
        <is>
          <t>No Video ID yet</t>
        </is>
      </c>
      <c r="S1416" s="46" t="n"/>
      <c r="T1416" s="46" t="n"/>
      <c r="U1416" s="44" t="n"/>
      <c r="V1416" s="44">
        <f>IF(AND(P1416&gt;=Calendar!$K$2,P1416&lt;EDATE(Calendar!$K$2,1),OR(Calendar!$K$4="*",N1416=Calendar!$K$4)),P1416*100+COUNTIFS($P$6:$P$3271,P1416,$Q$6:$Q$3271,"&lt;="&amp;Q1416,$N$6:$N$3271,Calendar!$K$4),"")</f>
        <v/>
      </c>
      <c r="W1416" s="44">
        <f>IF(AND(B1416=Queue!$C$4,OR(Queue!$K$4="*",N1416=Queue!$K$4)),Q1416,"")</f>
        <v/>
      </c>
    </row>
    <row r="1417">
      <c r="A1417" s="35">
        <f>IF(M1417="","",HYPERLINK("https://www.youtube.com/watch?v="&amp;M1417,"▶"))</f>
        <v/>
      </c>
      <c r="B1417" s="36">
        <f>IF(C1417&lt;&gt;"",C1417,IF(P1417&lt;=IFERROR(INDEX(tblChannels[Watched Through],MATCH(N1417,tblChannels[Channel ID],0)),0),"Watched","Unwatched"))</f>
        <v/>
      </c>
      <c r="C1417" s="37" t="n"/>
      <c r="D1417" s="38" t="n"/>
      <c r="E1417" s="39" t="n">
        <v>44348.72152777778</v>
      </c>
      <c r="F1417" s="47" t="inlineStr">
        <is>
          <t>Super Carlin Brothers</t>
        </is>
      </c>
      <c r="G1417" t="inlineStr">
        <is>
          <t>Mrs. Norris is a Maledictus SOLVED | Harry Potter Theory</t>
        </is>
      </c>
      <c r="H1417" s="41" t="n">
        <v>0.01082175925925926</v>
      </c>
      <c r="I1417" s="42" t="n">
        <v>493467</v>
      </c>
      <c r="J1417" s="42" t="n">
        <v>18821</v>
      </c>
      <c r="K1417" s="42" t="n">
        <v>2655</v>
      </c>
      <c r="L1417" s="43" t="n"/>
      <c r="M1417" s="44" t="n"/>
      <c r="N1417" s="44" t="inlineStr">
        <is>
          <t>UCKZo4N0lVPccBkSiuyVh4yg</t>
        </is>
      </c>
      <c r="O1417" s="45" t="n">
        <v>44348.88819444444</v>
      </c>
      <c r="P1417" s="46" t="n">
        <v>44348</v>
      </c>
      <c r="Q1417" s="44" t="n">
        <v>1855</v>
      </c>
      <c r="R1417" s="44" t="inlineStr">
        <is>
          <t>No Video ID yet</t>
        </is>
      </c>
      <c r="S1417" s="46" t="n"/>
      <c r="T1417" s="46" t="n"/>
      <c r="U1417" s="44" t="n"/>
      <c r="V1417" s="44">
        <f>IF(AND(P1417&gt;=Calendar!$K$2,P1417&lt;EDATE(Calendar!$K$2,1),OR(Calendar!$K$4="*",N1417=Calendar!$K$4)),P1417*100+COUNTIFS($P$6:$P$3271,P1417,$Q$6:$Q$3271,"&lt;="&amp;Q1417,$N$6:$N$3271,Calendar!$K$4),"")</f>
        <v/>
      </c>
      <c r="W1417" s="44">
        <f>IF(AND(B1417=Queue!$C$4,OR(Queue!$K$4="*",N1417=Queue!$K$4)),Q1417,"")</f>
        <v/>
      </c>
    </row>
    <row r="1418">
      <c r="A1418" s="35">
        <f>IF(M1418="","",HYPERLINK("https://www.youtube.com/watch?v="&amp;M1418,"▶"))</f>
        <v/>
      </c>
      <c r="B1418" s="36">
        <f>IF(C1418&lt;&gt;"",C1418,IF(P1418&lt;=IFERROR(INDEX(tblChannels[Watched Through],MATCH(N1418,tblChannels[Channel ID],0)),0),"Watched","Unwatched"))</f>
        <v/>
      </c>
      <c r="C1418" s="37" t="n"/>
      <c r="D1418" s="38" t="n"/>
      <c r="E1418" s="39" t="n">
        <v>44347.41666666666</v>
      </c>
      <c r="F1418" s="49" t="inlineStr">
        <is>
          <t>Super Carlin Gaming</t>
        </is>
      </c>
      <c r="G1418" t="inlineStr">
        <is>
          <t>THE BATTLE OF SEAFOAM |  Pokémon LeafGreen Randomizer Nuzlocke #20</t>
        </is>
      </c>
      <c r="H1418" s="41" t="n">
        <v>0.03111111111111111</v>
      </c>
      <c r="I1418" s="42" t="n">
        <v>20004</v>
      </c>
      <c r="J1418" s="42" t="n">
        <v>2136</v>
      </c>
      <c r="K1418" s="42" t="n">
        <v>471</v>
      </c>
      <c r="L1418" s="43" t="n"/>
      <c r="M1418" s="44" t="n"/>
      <c r="N1418" s="44" t="inlineStr">
        <is>
          <t>UCor_9jRnNNZVzTuQ92PKsaQ</t>
        </is>
      </c>
      <c r="O1418" s="45" t="n">
        <v>44347.58333333334</v>
      </c>
      <c r="P1418" s="46" t="n">
        <v>44347</v>
      </c>
      <c r="Q1418" s="44" t="n">
        <v>1854</v>
      </c>
      <c r="R1418" s="44" t="inlineStr">
        <is>
          <t>No Video ID yet</t>
        </is>
      </c>
      <c r="S1418" s="46" t="n"/>
      <c r="T1418" s="46" t="n"/>
      <c r="U1418" s="44" t="n"/>
      <c r="V1418" s="44">
        <f>IF(AND(P1418&gt;=Calendar!$K$2,P1418&lt;EDATE(Calendar!$K$2,1),OR(Calendar!$K$4="*",N1418=Calendar!$K$4)),P1418*100+COUNTIFS($P$6:$P$3271,P1418,$Q$6:$Q$3271,"&lt;="&amp;Q1418,$N$6:$N$3271,Calendar!$K$4),"")</f>
        <v/>
      </c>
      <c r="W1418" s="44">
        <f>IF(AND(B1418=Queue!$C$4,OR(Queue!$K$4="*",N1418=Queue!$K$4)),Q1418,"")</f>
        <v/>
      </c>
    </row>
    <row r="1419">
      <c r="A1419" s="35">
        <f>IF(M1419="","",HYPERLINK("https://www.youtube.com/watch?v="&amp;M1419,"▶"))</f>
        <v/>
      </c>
      <c r="B1419" s="36">
        <f>IF(C1419&lt;&gt;"",C1419,IF(P1419&lt;=IFERROR(INDEX(tblChannels[Watched Through],MATCH(N1419,tblChannels[Channel ID],0)),0),"Watched","Unwatched"))</f>
        <v/>
      </c>
      <c r="C1419" s="37" t="n"/>
      <c r="D1419" s="38" t="n"/>
      <c r="E1419" s="39" t="n">
        <v>44344.41666666666</v>
      </c>
      <c r="F1419" s="47" t="inlineStr">
        <is>
          <t>Super Carlin Brothers</t>
        </is>
      </c>
      <c r="G1419" t="inlineStr">
        <is>
          <t>Which Superhero Was Right? | Popcorn Culture</t>
        </is>
      </c>
      <c r="H1419" s="41" t="n">
        <v>0.05501157407407407</v>
      </c>
      <c r="I1419" s="42" t="n">
        <v>48049</v>
      </c>
      <c r="J1419" s="42" t="n">
        <v>1566</v>
      </c>
      <c r="K1419" s="42" t="n">
        <v>187</v>
      </c>
      <c r="L1419" s="43" t="n"/>
      <c r="M1419" s="44" t="n"/>
      <c r="N1419" s="44" t="inlineStr">
        <is>
          <t>UCKZo4N0lVPccBkSiuyVh4yg</t>
        </is>
      </c>
      <c r="O1419" s="45" t="n">
        <v>44344.58333333334</v>
      </c>
      <c r="P1419" s="46" t="n">
        <v>44344</v>
      </c>
      <c r="Q1419" s="44" t="n">
        <v>1853</v>
      </c>
      <c r="R1419" s="44" t="inlineStr">
        <is>
          <t>No Video ID yet</t>
        </is>
      </c>
      <c r="S1419" s="46" t="n"/>
      <c r="T1419" s="46" t="n"/>
      <c r="U1419" s="44" t="n"/>
      <c r="V1419" s="44">
        <f>IF(AND(P1419&gt;=Calendar!$K$2,P1419&lt;EDATE(Calendar!$K$2,1),OR(Calendar!$K$4="*",N1419=Calendar!$K$4)),P1419*100+COUNTIFS($P$6:$P$3271,P1419,$Q$6:$Q$3271,"&lt;="&amp;Q1419,$N$6:$N$3271,Calendar!$K$4),"")</f>
        <v/>
      </c>
      <c r="W1419" s="44">
        <f>IF(AND(B1419=Queue!$C$4,OR(Queue!$K$4="*",N1419=Queue!$K$4)),Q1419,"")</f>
        <v/>
      </c>
    </row>
    <row r="1420">
      <c r="A1420" s="35">
        <f>IF(M1420="","",HYPERLINK("https://www.youtube.com/watch?v="&amp;M1420,"▶"))</f>
        <v/>
      </c>
      <c r="B1420" s="36">
        <f>IF(C1420&lt;&gt;"",C1420,IF(P1420&lt;=IFERROR(INDEX(tblChannels[Watched Through],MATCH(N1420,tblChannels[Channel ID],0)),0),"Watched","Unwatched"))</f>
        <v/>
      </c>
      <c r="C1420" s="37" t="n"/>
      <c r="D1420" s="38" t="n"/>
      <c r="E1420" s="39" t="n">
        <v>44344.25</v>
      </c>
      <c r="F1420" s="40" t="inlineStr">
        <is>
          <t>Popcorn Culture</t>
        </is>
      </c>
      <c r="G1420" t="inlineStr">
        <is>
          <t>77 - Are We Too Old For Subwoofers?</t>
        </is>
      </c>
      <c r="H1420" s="41" t="n">
        <v>0.05369212962962963</v>
      </c>
      <c r="I1420" s="42" t="n">
        <v>1258</v>
      </c>
      <c r="J1420" s="42" t="n">
        <v>61</v>
      </c>
      <c r="K1420" s="42" t="n">
        <v>4</v>
      </c>
      <c r="L1420" s="43" t="n"/>
      <c r="M1420" s="44" t="n"/>
      <c r="N1420" s="44" t="inlineStr">
        <is>
          <t>UCHfIbq9thHPC8yrKjAdJgDA</t>
        </is>
      </c>
      <c r="O1420" s="45" t="n">
        <v>44344.41666666666</v>
      </c>
      <c r="P1420" s="46" t="n">
        <v>44344</v>
      </c>
      <c r="Q1420" s="44" t="n">
        <v>1852</v>
      </c>
      <c r="R1420" s="44" t="inlineStr">
        <is>
          <t>No Video ID yet</t>
        </is>
      </c>
      <c r="S1420" s="46" t="n"/>
      <c r="T1420" s="46" t="n"/>
      <c r="U1420" s="44" t="n"/>
      <c r="V1420" s="44">
        <f>IF(AND(P1420&gt;=Calendar!$K$2,P1420&lt;EDATE(Calendar!$K$2,1),OR(Calendar!$K$4="*",N1420=Calendar!$K$4)),P1420*100+COUNTIFS($P$6:$P$3271,P1420,$Q$6:$Q$3271,"&lt;="&amp;Q1420,$N$6:$N$3271,Calendar!$K$4),"")</f>
        <v/>
      </c>
      <c r="W1420" s="44">
        <f>IF(AND(B1420=Queue!$C$4,OR(Queue!$K$4="*",N1420=Queue!$K$4)),Q1420,"")</f>
        <v/>
      </c>
    </row>
    <row r="1421">
      <c r="A1421" s="35">
        <f>IF(M1421="","",HYPERLINK("https://www.youtube.com/watch?v="&amp;M1421,"▶"))</f>
        <v/>
      </c>
      <c r="B1421" s="36">
        <f>IF(C1421&lt;&gt;"",C1421,IF(P1421&lt;=IFERROR(INDEX(tblChannels[Watched Through],MATCH(N1421,tblChannels[Channel ID],0)),0),"Watched","Unwatched"))</f>
        <v/>
      </c>
      <c r="C1421" s="37" t="n"/>
      <c r="D1421" s="38" t="n"/>
      <c r="E1421" s="39" t="n">
        <v>44343.68125</v>
      </c>
      <c r="F1421" s="47" t="inlineStr">
        <is>
          <t>Super Carlin Brothers</t>
        </is>
      </c>
      <c r="G1421" t="inlineStr">
        <is>
          <t>J vs Ben: HARDEST Harry Potter Portraits TRIVIA Quiz</t>
        </is>
      </c>
      <c r="H1421" s="41" t="n">
        <v>0.01622685185185185</v>
      </c>
      <c r="I1421" s="42" t="n">
        <v>204576</v>
      </c>
      <c r="J1421" s="42" t="n">
        <v>8335</v>
      </c>
      <c r="K1421" s="42" t="n">
        <v>650</v>
      </c>
      <c r="L1421" s="43" t="n"/>
      <c r="M1421" s="44" t="n"/>
      <c r="N1421" s="44" t="inlineStr">
        <is>
          <t>UCKZo4N0lVPccBkSiuyVh4yg</t>
        </is>
      </c>
      <c r="O1421" s="45" t="n">
        <v>44343.84791666667</v>
      </c>
      <c r="P1421" s="46" t="n">
        <v>44343</v>
      </c>
      <c r="Q1421" s="44" t="n">
        <v>1851</v>
      </c>
      <c r="R1421" s="44" t="inlineStr">
        <is>
          <t>No Video ID yet</t>
        </is>
      </c>
      <c r="S1421" s="46" t="n"/>
      <c r="T1421" s="46" t="n"/>
      <c r="U1421" s="44" t="n"/>
      <c r="V1421" s="44">
        <f>IF(AND(P1421&gt;=Calendar!$K$2,P1421&lt;EDATE(Calendar!$K$2,1),OR(Calendar!$K$4="*",N1421=Calendar!$K$4)),P1421*100+COUNTIFS($P$6:$P$3271,P1421,$Q$6:$Q$3271,"&lt;="&amp;Q1421,$N$6:$N$3271,Calendar!$K$4),"")</f>
        <v/>
      </c>
      <c r="W1421" s="44">
        <f>IF(AND(B1421=Queue!$C$4,OR(Queue!$K$4="*",N1421=Queue!$K$4)),Q1421,"")</f>
        <v/>
      </c>
    </row>
    <row r="1422">
      <c r="A1422" s="35">
        <f>IF(M1422="","",HYPERLINK("https://www.youtube.com/watch?v="&amp;M1422,"▶"))</f>
        <v/>
      </c>
      <c r="B1422" s="36">
        <f>IF(C1422&lt;&gt;"",C1422,IF(P1422&lt;=IFERROR(INDEX(tblChannels[Watched Through],MATCH(N1422,tblChannels[Channel ID],0)),0),"Watched","Unwatched"))</f>
        <v/>
      </c>
      <c r="C1422" s="37" t="n"/>
      <c r="D1422" s="38" t="n"/>
      <c r="E1422" s="39" t="n">
        <v>44342.41666666666</v>
      </c>
      <c r="F1422" s="49" t="inlineStr">
        <is>
          <t>Super Carlin Gaming</t>
        </is>
      </c>
      <c r="G1422" t="inlineStr">
        <is>
          <t>RISE OF THE DRAGON |  Pokémon LeafGreen Randomizer Nuzlocke #19</t>
        </is>
      </c>
      <c r="H1422" s="41" t="n">
        <v>0.03709490740740741</v>
      </c>
      <c r="I1422" s="42" t="n">
        <v>22474</v>
      </c>
      <c r="J1422" s="42" t="n">
        <v>1368</v>
      </c>
      <c r="K1422" s="42" t="n">
        <v>348</v>
      </c>
      <c r="L1422" s="43" t="n"/>
      <c r="M1422" s="44" t="n"/>
      <c r="N1422" s="44" t="inlineStr">
        <is>
          <t>UCor_9jRnNNZVzTuQ92PKsaQ</t>
        </is>
      </c>
      <c r="O1422" s="45" t="n">
        <v>44342.58333333334</v>
      </c>
      <c r="P1422" s="46" t="n">
        <v>44342</v>
      </c>
      <c r="Q1422" s="44" t="n">
        <v>1850</v>
      </c>
      <c r="R1422" s="44" t="inlineStr">
        <is>
          <t>No Video ID yet</t>
        </is>
      </c>
      <c r="S1422" s="46" t="n"/>
      <c r="T1422" s="46" t="n"/>
      <c r="U1422" s="44" t="n"/>
      <c r="V1422" s="44">
        <f>IF(AND(P1422&gt;=Calendar!$K$2,P1422&lt;EDATE(Calendar!$K$2,1),OR(Calendar!$K$4="*",N1422=Calendar!$K$4)),P1422*100+COUNTIFS($P$6:$P$3271,P1422,$Q$6:$Q$3271,"&lt;="&amp;Q1422,$N$6:$N$3271,Calendar!$K$4),"")</f>
        <v/>
      </c>
      <c r="W1422" s="44">
        <f>IF(AND(B1422=Queue!$C$4,OR(Queue!$K$4="*",N1422=Queue!$K$4)),Q1422,"")</f>
        <v/>
      </c>
    </row>
    <row r="1423">
      <c r="A1423" s="35">
        <f>IF(M1423="","",HYPERLINK("https://www.youtube.com/watch?v="&amp;M1423,"▶"))</f>
        <v/>
      </c>
      <c r="B1423" s="36">
        <f>IF(C1423&lt;&gt;"",C1423,IF(P1423&lt;=IFERROR(INDEX(tblChannels[Watched Through],MATCH(N1423,tblChannels[Channel ID],0)),0),"Watched","Unwatched"))</f>
        <v/>
      </c>
      <c r="C1423" s="37" t="n"/>
      <c r="D1423" s="38" t="n"/>
      <c r="E1423" s="39" t="n">
        <v>44341.9875</v>
      </c>
      <c r="F1423" s="49" t="inlineStr">
        <is>
          <t>Super Carlin Gaming</t>
        </is>
      </c>
      <c r="G1423" t="inlineStr">
        <is>
          <t>LIVE! - Pokemon Trading Card Game | Players Cup IV</t>
        </is>
      </c>
      <c r="H1423" s="41" t="n">
        <v>0.1134722222222222</v>
      </c>
      <c r="I1423" s="42" t="n">
        <v>8128</v>
      </c>
      <c r="J1423" s="42" t="n">
        <v>307</v>
      </c>
      <c r="K1423" s="42" t="n">
        <v>6</v>
      </c>
      <c r="L1423" s="43" t="n"/>
      <c r="M1423" s="44" t="n"/>
      <c r="N1423" s="44" t="inlineStr">
        <is>
          <t>UCor_9jRnNNZVzTuQ92PKsaQ</t>
        </is>
      </c>
      <c r="O1423" s="45" t="n">
        <v>44342.15416666667</v>
      </c>
      <c r="P1423" s="46" t="n">
        <v>44341</v>
      </c>
      <c r="Q1423" s="44" t="n">
        <v>1849</v>
      </c>
      <c r="R1423" s="44" t="inlineStr">
        <is>
          <t>No Video ID yet</t>
        </is>
      </c>
      <c r="S1423" s="46" t="n"/>
      <c r="T1423" s="46" t="n"/>
      <c r="U1423" s="44" t="n"/>
      <c r="V1423" s="44">
        <f>IF(AND(P1423&gt;=Calendar!$K$2,P1423&lt;EDATE(Calendar!$K$2,1),OR(Calendar!$K$4="*",N1423=Calendar!$K$4)),P1423*100+COUNTIFS($P$6:$P$3271,P1423,$Q$6:$Q$3271,"&lt;="&amp;Q1423,$N$6:$N$3271,Calendar!$K$4),"")</f>
        <v/>
      </c>
      <c r="W1423" s="44">
        <f>IF(AND(B1423=Queue!$C$4,OR(Queue!$K$4="*",N1423=Queue!$K$4)),Q1423,"")</f>
        <v/>
      </c>
    </row>
    <row r="1424">
      <c r="A1424" s="35">
        <f>IF(M1424="","",HYPERLINK("https://www.youtube.com/watch?v="&amp;M1424,"▶"))</f>
        <v/>
      </c>
      <c r="B1424" s="36">
        <f>IF(C1424&lt;&gt;"",C1424,IF(P1424&lt;=IFERROR(INDEX(tblChannels[Watched Through],MATCH(N1424,tblChannels[Channel ID],0)),0),"Watched","Unwatched"))</f>
        <v/>
      </c>
      <c r="C1424" s="37" t="n"/>
      <c r="D1424" s="38" t="n"/>
      <c r="E1424" s="39" t="n">
        <v>44341.69305555556</v>
      </c>
      <c r="F1424" s="47" t="inlineStr">
        <is>
          <t>Super Carlin Brothers</t>
        </is>
      </c>
      <c r="G1424" t="inlineStr">
        <is>
          <t>Sirius Is A Hufflepuff | Harry Potter Theory</t>
        </is>
      </c>
      <c r="H1424" s="41" t="n">
        <v>0.009328703703703704</v>
      </c>
      <c r="I1424" s="42" t="n">
        <v>366748</v>
      </c>
      <c r="J1424" s="42" t="n">
        <v>15878</v>
      </c>
      <c r="K1424" s="42" t="n">
        <v>1651</v>
      </c>
      <c r="L1424" s="43" t="n"/>
      <c r="M1424" s="44" t="n"/>
      <c r="N1424" s="44" t="inlineStr">
        <is>
          <t>UCKZo4N0lVPccBkSiuyVh4yg</t>
        </is>
      </c>
      <c r="O1424" s="45" t="n">
        <v>44341.85972222222</v>
      </c>
      <c r="P1424" s="46" t="n">
        <v>44341</v>
      </c>
      <c r="Q1424" s="44" t="n">
        <v>1848</v>
      </c>
      <c r="R1424" s="44" t="inlineStr">
        <is>
          <t>No Video ID yet</t>
        </is>
      </c>
      <c r="S1424" s="46" t="n"/>
      <c r="T1424" s="46" t="n"/>
      <c r="U1424" s="44" t="n"/>
      <c r="V1424" s="44">
        <f>IF(AND(P1424&gt;=Calendar!$K$2,P1424&lt;EDATE(Calendar!$K$2,1),OR(Calendar!$K$4="*",N1424=Calendar!$K$4)),P1424*100+COUNTIFS($P$6:$P$3271,P1424,$Q$6:$Q$3271,"&lt;="&amp;Q1424,$N$6:$N$3271,Calendar!$K$4),"")</f>
        <v/>
      </c>
      <c r="W1424" s="44">
        <f>IF(AND(B1424=Queue!$C$4,OR(Queue!$K$4="*",N1424=Queue!$K$4)),Q1424,"")</f>
        <v/>
      </c>
    </row>
    <row r="1425">
      <c r="A1425" s="35">
        <f>IF(M1425="","",HYPERLINK("https://www.youtube.com/watch?v="&amp;M1425,"▶"))</f>
        <v/>
      </c>
      <c r="B1425" s="36">
        <f>IF(C1425&lt;&gt;"",C1425,IF(P1425&lt;=IFERROR(INDEX(tblChannels[Watched Through],MATCH(N1425,tblChannels[Channel ID],0)),0),"Watched","Unwatched"))</f>
        <v/>
      </c>
      <c r="C1425" s="37" t="n"/>
      <c r="D1425" s="38" t="n"/>
      <c r="E1425" s="39" t="n">
        <v>44340.41666666666</v>
      </c>
      <c r="F1425" s="49" t="inlineStr">
        <is>
          <t>Super Carlin Gaming</t>
        </is>
      </c>
      <c r="G1425" t="inlineStr">
        <is>
          <t>Blaine's up to his Normal Tricks.. |  Pokémon LeafGreen Randomizer Nuzlocke #18</t>
        </is>
      </c>
      <c r="H1425" s="41" t="n">
        <v>0.02325231481481482</v>
      </c>
      <c r="I1425" s="42" t="n">
        <v>19228</v>
      </c>
      <c r="J1425" s="42" t="n">
        <v>1353</v>
      </c>
      <c r="K1425" s="42" t="n">
        <v>215</v>
      </c>
      <c r="L1425" s="43" t="n"/>
      <c r="M1425" s="44" t="n"/>
      <c r="N1425" s="44" t="inlineStr">
        <is>
          <t>UCor_9jRnNNZVzTuQ92PKsaQ</t>
        </is>
      </c>
      <c r="O1425" s="45" t="n">
        <v>44340.58333333334</v>
      </c>
      <c r="P1425" s="46" t="n">
        <v>44340</v>
      </c>
      <c r="Q1425" s="44" t="n">
        <v>1847</v>
      </c>
      <c r="R1425" s="44" t="inlineStr">
        <is>
          <t>No Video ID yet</t>
        </is>
      </c>
      <c r="S1425" s="46" t="n"/>
      <c r="T1425" s="46" t="n"/>
      <c r="U1425" s="44" t="n"/>
      <c r="V1425" s="44">
        <f>IF(AND(P1425&gt;=Calendar!$K$2,P1425&lt;EDATE(Calendar!$K$2,1),OR(Calendar!$K$4="*",N1425=Calendar!$K$4)),P1425*100+COUNTIFS($P$6:$P$3271,P1425,$Q$6:$Q$3271,"&lt;="&amp;Q1425,$N$6:$N$3271,Calendar!$K$4),"")</f>
        <v/>
      </c>
      <c r="W1425" s="44">
        <f>IF(AND(B1425=Queue!$C$4,OR(Queue!$K$4="*",N1425=Queue!$K$4)),Q1425,"")</f>
        <v/>
      </c>
    </row>
    <row r="1426">
      <c r="A1426" s="35">
        <f>IF(M1426="","",HYPERLINK("https://www.youtube.com/watch?v="&amp;M1426,"▶"))</f>
        <v/>
      </c>
      <c r="B1426" s="36">
        <f>IF(C1426&lt;&gt;"",C1426,IF(P1426&lt;=IFERROR(INDEX(tblChannels[Watched Through],MATCH(N1426,tblChannels[Channel ID],0)),0),"Watched","Unwatched"))</f>
        <v/>
      </c>
      <c r="C1426" s="37" t="n"/>
      <c r="D1426" s="38" t="n"/>
      <c r="E1426" s="39" t="n">
        <v>44337.86180555556</v>
      </c>
      <c r="F1426" s="47" t="inlineStr">
        <is>
          <t>Super Carlin Brothers</t>
        </is>
      </c>
      <c r="G1426" t="inlineStr">
        <is>
          <t>ALL FANDOMS Trivia Night LIVE STREAM!</t>
        </is>
      </c>
      <c r="H1426" s="41" t="n">
        <v>0.1031944444444444</v>
      </c>
      <c r="I1426" s="42" t="n">
        <v>77007</v>
      </c>
      <c r="J1426" s="42" t="n">
        <v>1695</v>
      </c>
      <c r="K1426" s="42" t="n">
        <v>155</v>
      </c>
      <c r="L1426" s="43" t="n"/>
      <c r="M1426" s="44" t="n"/>
      <c r="N1426" s="44" t="inlineStr">
        <is>
          <t>UCKZo4N0lVPccBkSiuyVh4yg</t>
        </is>
      </c>
      <c r="O1426" s="45" t="n">
        <v>44338.02847222222</v>
      </c>
      <c r="P1426" s="46" t="n">
        <v>44337</v>
      </c>
      <c r="Q1426" s="44" t="n">
        <v>1846</v>
      </c>
      <c r="R1426" s="44" t="inlineStr">
        <is>
          <t>No Video ID yet</t>
        </is>
      </c>
      <c r="S1426" s="46" t="n"/>
      <c r="T1426" s="46" t="n"/>
      <c r="U1426" s="44" t="n"/>
      <c r="V1426" s="44">
        <f>IF(AND(P1426&gt;=Calendar!$K$2,P1426&lt;EDATE(Calendar!$K$2,1),OR(Calendar!$K$4="*",N1426=Calendar!$K$4)),P1426*100+COUNTIFS($P$6:$P$3271,P1426,$Q$6:$Q$3271,"&lt;="&amp;Q1426,$N$6:$N$3271,Calendar!$K$4),"")</f>
        <v/>
      </c>
      <c r="W1426" s="44">
        <f>IF(AND(B1426=Queue!$C$4,OR(Queue!$K$4="*",N1426=Queue!$K$4)),Q1426,"")</f>
        <v/>
      </c>
    </row>
    <row r="1427">
      <c r="A1427" s="35">
        <f>IF(M1427="","",HYPERLINK("https://www.youtube.com/watch?v="&amp;M1427,"▶"))</f>
        <v/>
      </c>
      <c r="B1427" s="36">
        <f>IF(C1427&lt;&gt;"",C1427,IF(P1427&lt;=IFERROR(INDEX(tblChannels[Watched Through],MATCH(N1427,tblChannels[Channel ID],0)),0),"Watched","Unwatched"))</f>
        <v/>
      </c>
      <c r="C1427" s="37" t="n"/>
      <c r="D1427" s="38" t="n"/>
      <c r="E1427" s="39" t="n">
        <v>44337.41666666666</v>
      </c>
      <c r="F1427" s="47" t="inlineStr">
        <is>
          <t>Super Carlin Brothers</t>
        </is>
      </c>
      <c r="G1427" t="inlineStr">
        <is>
          <t>Ben is Bigfoot | Popcorn Culture</t>
        </is>
      </c>
      <c r="H1427" s="41" t="n">
        <v>0.04695601851851852</v>
      </c>
      <c r="I1427" s="42" t="n">
        <v>23434</v>
      </c>
      <c r="J1427" s="42" t="n">
        <v>996</v>
      </c>
      <c r="K1427" s="42" t="n">
        <v>109</v>
      </c>
      <c r="L1427" s="43" t="n"/>
      <c r="M1427" s="44" t="n"/>
      <c r="N1427" s="44" t="inlineStr">
        <is>
          <t>UCKZo4N0lVPccBkSiuyVh4yg</t>
        </is>
      </c>
      <c r="O1427" s="45" t="n">
        <v>44337.58333333334</v>
      </c>
      <c r="P1427" s="46" t="n">
        <v>44337</v>
      </c>
      <c r="Q1427" s="44" t="n">
        <v>1845</v>
      </c>
      <c r="R1427" s="44" t="inlineStr">
        <is>
          <t>No Video ID yet</t>
        </is>
      </c>
      <c r="S1427" s="46" t="n"/>
      <c r="T1427" s="46" t="n"/>
      <c r="U1427" s="44" t="n"/>
      <c r="V1427" s="44">
        <f>IF(AND(P1427&gt;=Calendar!$K$2,P1427&lt;EDATE(Calendar!$K$2,1),OR(Calendar!$K$4="*",N1427=Calendar!$K$4)),P1427*100+COUNTIFS($P$6:$P$3271,P1427,$Q$6:$Q$3271,"&lt;="&amp;Q1427,$N$6:$N$3271,Calendar!$K$4),"")</f>
        <v/>
      </c>
      <c r="W1427" s="44">
        <f>IF(AND(B1427=Queue!$C$4,OR(Queue!$K$4="*",N1427=Queue!$K$4)),Q1427,"")</f>
        <v/>
      </c>
    </row>
    <row r="1428">
      <c r="A1428" s="35">
        <f>IF(M1428="","",HYPERLINK("https://www.youtube.com/watch?v="&amp;M1428,"▶"))</f>
        <v/>
      </c>
      <c r="B1428" s="36">
        <f>IF(C1428&lt;&gt;"",C1428,IF(P1428&lt;=IFERROR(INDEX(tblChannels[Watched Through],MATCH(N1428,tblChannels[Channel ID],0)),0),"Watched","Unwatched"))</f>
        <v/>
      </c>
      <c r="C1428" s="37" t="n"/>
      <c r="D1428" s="38" t="n"/>
      <c r="E1428" s="39" t="n">
        <v>44337.25</v>
      </c>
      <c r="F1428" s="40" t="inlineStr">
        <is>
          <t>Popcorn Culture</t>
        </is>
      </c>
      <c r="G1428" t="inlineStr">
        <is>
          <t>76 - Ben is Bigfoot</t>
        </is>
      </c>
      <c r="H1428" s="41" t="n">
        <v>0.04542824074074074</v>
      </c>
      <c r="I1428" s="42" t="n">
        <v>1304</v>
      </c>
      <c r="J1428" s="42" t="n">
        <v>59</v>
      </c>
      <c r="K1428" s="42" t="n">
        <v>4</v>
      </c>
      <c r="L1428" s="43" t="n"/>
      <c r="M1428" s="44" t="n"/>
      <c r="N1428" s="44" t="inlineStr">
        <is>
          <t>UCHfIbq9thHPC8yrKjAdJgDA</t>
        </is>
      </c>
      <c r="O1428" s="45" t="n">
        <v>44337.41666666666</v>
      </c>
      <c r="P1428" s="46" t="n">
        <v>44337</v>
      </c>
      <c r="Q1428" s="44" t="n">
        <v>1844</v>
      </c>
      <c r="R1428" s="44" t="inlineStr">
        <is>
          <t>No Video ID yet</t>
        </is>
      </c>
      <c r="S1428" s="46" t="n"/>
      <c r="T1428" s="46" t="n"/>
      <c r="U1428" s="44" t="n"/>
      <c r="V1428" s="44">
        <f>IF(AND(P1428&gt;=Calendar!$K$2,P1428&lt;EDATE(Calendar!$K$2,1),OR(Calendar!$K$4="*",N1428=Calendar!$K$4)),P1428*100+COUNTIFS($P$6:$P$3271,P1428,$Q$6:$Q$3271,"&lt;="&amp;Q1428,$N$6:$N$3271,Calendar!$K$4),"")</f>
        <v/>
      </c>
      <c r="W1428" s="44">
        <f>IF(AND(B1428=Queue!$C$4,OR(Queue!$K$4="*",N1428=Queue!$K$4)),Q1428,"")</f>
        <v/>
      </c>
    </row>
    <row r="1429">
      <c r="A1429" s="35">
        <f>IF(M1429="","",HYPERLINK("https://www.youtube.com/watch?v="&amp;M1429,"▶"))</f>
        <v/>
      </c>
      <c r="B1429" s="36">
        <f>IF(C1429&lt;&gt;"",C1429,IF(P1429&lt;=IFERROR(INDEX(tblChannels[Watched Through],MATCH(N1429,tblChannels[Channel ID],0)),0),"Watched","Unwatched"))</f>
        <v/>
      </c>
      <c r="C1429" s="37" t="n"/>
      <c r="D1429" s="38" t="n"/>
      <c r="E1429" s="39" t="n">
        <v>44336.70833333334</v>
      </c>
      <c r="F1429" s="47" t="inlineStr">
        <is>
          <t>Super Carlin Brothers</t>
        </is>
      </c>
      <c r="G1429" t="inlineStr">
        <is>
          <t>How Fred &amp; George Figured Out The Marauder’s Map | Harry Potter Theory</t>
        </is>
      </c>
      <c r="H1429" s="41" t="n">
        <v>0.01053240740740741</v>
      </c>
      <c r="I1429" s="42" t="n">
        <v>1125807</v>
      </c>
      <c r="J1429" s="42" t="n">
        <v>35048</v>
      </c>
      <c r="K1429" s="42" t="n">
        <v>4302</v>
      </c>
      <c r="L1429" s="43" t="n"/>
      <c r="M1429" s="44" t="n"/>
      <c r="N1429" s="44" t="inlineStr">
        <is>
          <t>UCKZo4N0lVPccBkSiuyVh4yg</t>
        </is>
      </c>
      <c r="O1429" s="45" t="n">
        <v>44336.875</v>
      </c>
      <c r="P1429" s="46" t="n">
        <v>44336</v>
      </c>
      <c r="Q1429" s="44" t="n">
        <v>1843</v>
      </c>
      <c r="R1429" s="44" t="inlineStr">
        <is>
          <t>No Video ID yet</t>
        </is>
      </c>
      <c r="S1429" s="46" t="n"/>
      <c r="T1429" s="46" t="n"/>
      <c r="U1429" s="44" t="n"/>
      <c r="V1429" s="44">
        <f>IF(AND(P1429&gt;=Calendar!$K$2,P1429&lt;EDATE(Calendar!$K$2,1),OR(Calendar!$K$4="*",N1429=Calendar!$K$4)),P1429*100+COUNTIFS($P$6:$P$3271,P1429,$Q$6:$Q$3271,"&lt;="&amp;Q1429,$N$6:$N$3271,Calendar!$K$4),"")</f>
        <v/>
      </c>
      <c r="W1429" s="44">
        <f>IF(AND(B1429=Queue!$C$4,OR(Queue!$K$4="*",N1429=Queue!$K$4)),Q1429,"")</f>
        <v/>
      </c>
    </row>
    <row r="1430">
      <c r="A1430" s="35">
        <f>IF(M1430="","",HYPERLINK("https://www.youtube.com/watch?v="&amp;M1430,"▶"))</f>
        <v/>
      </c>
      <c r="B1430" s="36">
        <f>IF(C1430&lt;&gt;"",C1430,IF(P1430&lt;=IFERROR(INDEX(tblChannels[Watched Through],MATCH(N1430,tblChannels[Channel ID],0)),0),"Watched","Unwatched"))</f>
        <v/>
      </c>
      <c r="C1430" s="37" t="n"/>
      <c r="D1430" s="38" t="n"/>
      <c r="E1430" s="39" t="n">
        <v>44335.41666666666</v>
      </c>
      <c r="F1430" s="49" t="inlineStr">
        <is>
          <t>Super Carlin Gaming</t>
        </is>
      </c>
      <c r="G1430" t="inlineStr">
        <is>
          <t>The Truly Haunted Mansion |  Pokémon Leaf Green Randomizer Nuzlocke #17</t>
        </is>
      </c>
      <c r="H1430" s="41" t="n">
        <v>0.0271412037037037</v>
      </c>
      <c r="I1430" s="42" t="n">
        <v>20687</v>
      </c>
      <c r="J1430" s="42" t="n">
        <v>1196</v>
      </c>
      <c r="K1430" s="42" t="n">
        <v>331</v>
      </c>
      <c r="L1430" s="43" t="n"/>
      <c r="M1430" s="44" t="n"/>
      <c r="N1430" s="44" t="inlineStr">
        <is>
          <t>UCor_9jRnNNZVzTuQ92PKsaQ</t>
        </is>
      </c>
      <c r="O1430" s="45" t="n">
        <v>44335.58333333334</v>
      </c>
      <c r="P1430" s="46" t="n">
        <v>44335</v>
      </c>
      <c r="Q1430" s="44" t="n">
        <v>1842</v>
      </c>
      <c r="R1430" s="44" t="inlineStr">
        <is>
          <t>No Video ID yet</t>
        </is>
      </c>
      <c r="S1430" s="46" t="n"/>
      <c r="T1430" s="46" t="n"/>
      <c r="U1430" s="44" t="n"/>
      <c r="V1430" s="44">
        <f>IF(AND(P1430&gt;=Calendar!$K$2,P1430&lt;EDATE(Calendar!$K$2,1),OR(Calendar!$K$4="*",N1430=Calendar!$K$4)),P1430*100+COUNTIFS($P$6:$P$3271,P1430,$Q$6:$Q$3271,"&lt;="&amp;Q1430,$N$6:$N$3271,Calendar!$K$4),"")</f>
        <v/>
      </c>
      <c r="W1430" s="44">
        <f>IF(AND(B1430=Queue!$C$4,OR(Queue!$K$4="*",N1430=Queue!$K$4)),Q1430,"")</f>
        <v/>
      </c>
    </row>
    <row r="1431">
      <c r="A1431" s="35">
        <f>IF(M1431="","",HYPERLINK("https://www.youtube.com/watch?v="&amp;M1431,"▶"))</f>
        <v/>
      </c>
      <c r="B1431" s="36">
        <f>IF(C1431&lt;&gt;"",C1431,IF(P1431&lt;=IFERROR(INDEX(tblChannels[Watched Through],MATCH(N1431,tblChannels[Channel ID],0)),0),"Watched","Unwatched"))</f>
        <v/>
      </c>
      <c r="C1431" s="37" t="n"/>
      <c r="D1431" s="38" t="n"/>
      <c r="E1431" s="39" t="n">
        <v>44334.71319444444</v>
      </c>
      <c r="F1431" s="47" t="inlineStr">
        <is>
          <t>Super Carlin Brothers</t>
        </is>
      </c>
      <c r="G1431" t="inlineStr">
        <is>
          <t>Dumbledore Is Socrates | Harry Potter Theory</t>
        </is>
      </c>
      <c r="H1431" s="41" t="n">
        <v>0.01090277777777778</v>
      </c>
      <c r="I1431" s="42" t="n">
        <v>244597</v>
      </c>
      <c r="J1431" s="42" t="n">
        <v>11766</v>
      </c>
      <c r="K1431" s="42" t="n">
        <v>792</v>
      </c>
      <c r="L1431" s="43" t="n"/>
      <c r="M1431" s="44" t="n"/>
      <c r="N1431" s="44" t="inlineStr">
        <is>
          <t>UCKZo4N0lVPccBkSiuyVh4yg</t>
        </is>
      </c>
      <c r="O1431" s="45" t="n">
        <v>44334.87986111111</v>
      </c>
      <c r="P1431" s="46" t="n">
        <v>44334</v>
      </c>
      <c r="Q1431" s="44" t="n">
        <v>1841</v>
      </c>
      <c r="R1431" s="44" t="inlineStr">
        <is>
          <t>No Video ID yet</t>
        </is>
      </c>
      <c r="S1431" s="46" t="n"/>
      <c r="T1431" s="46" t="n"/>
      <c r="U1431" s="44" t="n"/>
      <c r="V1431" s="44">
        <f>IF(AND(P1431&gt;=Calendar!$K$2,P1431&lt;EDATE(Calendar!$K$2,1),OR(Calendar!$K$4="*",N1431=Calendar!$K$4)),P1431*100+COUNTIFS($P$6:$P$3271,P1431,$Q$6:$Q$3271,"&lt;="&amp;Q1431,$N$6:$N$3271,Calendar!$K$4),"")</f>
        <v/>
      </c>
      <c r="W1431" s="44">
        <f>IF(AND(B1431=Queue!$C$4,OR(Queue!$K$4="*",N1431=Queue!$K$4)),Q1431,"")</f>
        <v/>
      </c>
    </row>
    <row r="1432">
      <c r="A1432" s="35">
        <f>IF(M1432="","",HYPERLINK("https://www.youtube.com/watch?v="&amp;M1432,"▶"))</f>
        <v/>
      </c>
      <c r="B1432" s="36">
        <f>IF(C1432&lt;&gt;"",C1432,IF(P1432&lt;=IFERROR(INDEX(tblChannels[Watched Through],MATCH(N1432,tblChannels[Channel ID],0)),0),"Watched","Unwatched"))</f>
        <v/>
      </c>
      <c r="C1432" s="37" t="n"/>
      <c r="D1432" s="38" t="n"/>
      <c r="E1432" s="39" t="n">
        <v>44333.41666666666</v>
      </c>
      <c r="F1432" s="49" t="inlineStr">
        <is>
          <t>Super Carlin Gaming</t>
        </is>
      </c>
      <c r="G1432" t="inlineStr">
        <is>
          <t>DON'T JYNX IT! |  Pokémon LeafGreen Randomizer Nuzlocke #16</t>
        </is>
      </c>
      <c r="H1432" s="41" t="n">
        <v>0.02185185185185185</v>
      </c>
      <c r="I1432" s="42" t="n">
        <v>19444</v>
      </c>
      <c r="J1432" s="42" t="n">
        <v>1208</v>
      </c>
      <c r="K1432" s="42" t="n">
        <v>428</v>
      </c>
      <c r="L1432" s="43" t="n"/>
      <c r="M1432" s="44" t="n"/>
      <c r="N1432" s="44" t="inlineStr">
        <is>
          <t>UCor_9jRnNNZVzTuQ92PKsaQ</t>
        </is>
      </c>
      <c r="O1432" s="45" t="n">
        <v>44333.58333333334</v>
      </c>
      <c r="P1432" s="46" t="n">
        <v>44333</v>
      </c>
      <c r="Q1432" s="44" t="n">
        <v>1840</v>
      </c>
      <c r="R1432" s="44" t="inlineStr">
        <is>
          <t>No Video ID yet</t>
        </is>
      </c>
      <c r="S1432" s="46" t="n"/>
      <c r="T1432" s="46" t="n"/>
      <c r="U1432" s="44" t="n"/>
      <c r="V1432" s="44">
        <f>IF(AND(P1432&gt;=Calendar!$K$2,P1432&lt;EDATE(Calendar!$K$2,1),OR(Calendar!$K$4="*",N1432=Calendar!$K$4)),P1432*100+COUNTIFS($P$6:$P$3271,P1432,$Q$6:$Q$3271,"&lt;="&amp;Q1432,$N$6:$N$3271,Calendar!$K$4),"")</f>
        <v/>
      </c>
      <c r="W1432" s="44">
        <f>IF(AND(B1432=Queue!$C$4,OR(Queue!$K$4="*",N1432=Queue!$K$4)),Q1432,"")</f>
        <v/>
      </c>
    </row>
    <row r="1433">
      <c r="A1433" s="35">
        <f>IF(M1433="","",HYPERLINK("https://www.youtube.com/watch?v="&amp;M1433,"▶"))</f>
        <v/>
      </c>
      <c r="B1433" s="36">
        <f>IF(C1433&lt;&gt;"",C1433,IF(P1433&lt;=IFERROR(INDEX(tblChannels[Watched Through],MATCH(N1433,tblChannels[Channel ID],0)),0),"Watched","Unwatched"))</f>
        <v/>
      </c>
      <c r="C1433" s="37" t="n"/>
      <c r="D1433" s="38" t="n"/>
      <c r="E1433" s="39" t="n">
        <v>44330.4375</v>
      </c>
      <c r="F1433" s="47" t="inlineStr">
        <is>
          <t>Super Carlin Brothers</t>
        </is>
      </c>
      <c r="G1433" t="inlineStr">
        <is>
          <t>J's Popcorn Confession</t>
        </is>
      </c>
      <c r="H1433" s="41" t="n">
        <v>0.04778935185185185</v>
      </c>
      <c r="I1433" s="42" t="n">
        <v>28308</v>
      </c>
      <c r="J1433" s="42" t="n">
        <v>1168</v>
      </c>
      <c r="K1433" s="42" t="n">
        <v>162</v>
      </c>
      <c r="L1433" s="43" t="n"/>
      <c r="M1433" s="44" t="n"/>
      <c r="N1433" s="44" t="inlineStr">
        <is>
          <t>UCKZo4N0lVPccBkSiuyVh4yg</t>
        </is>
      </c>
      <c r="O1433" s="45" t="n">
        <v>44330.60416666666</v>
      </c>
      <c r="P1433" s="46" t="n">
        <v>44330</v>
      </c>
      <c r="Q1433" s="44" t="n">
        <v>1839</v>
      </c>
      <c r="R1433" s="44" t="inlineStr">
        <is>
          <t>No Video ID yet</t>
        </is>
      </c>
      <c r="S1433" s="46" t="n"/>
      <c r="T1433" s="46" t="n"/>
      <c r="U1433" s="44" t="n"/>
      <c r="V1433" s="44">
        <f>IF(AND(P1433&gt;=Calendar!$K$2,P1433&lt;EDATE(Calendar!$K$2,1),OR(Calendar!$K$4="*",N1433=Calendar!$K$4)),P1433*100+COUNTIFS($P$6:$P$3271,P1433,$Q$6:$Q$3271,"&lt;="&amp;Q1433,$N$6:$N$3271,Calendar!$K$4),"")</f>
        <v/>
      </c>
      <c r="W1433" s="44">
        <f>IF(AND(B1433=Queue!$C$4,OR(Queue!$K$4="*",N1433=Queue!$K$4)),Q1433,"")</f>
        <v/>
      </c>
    </row>
    <row r="1434">
      <c r="A1434" s="35">
        <f>IF(M1434="","",HYPERLINK("https://www.youtube.com/watch?v="&amp;M1434,"▶"))</f>
        <v/>
      </c>
      <c r="B1434" s="36">
        <f>IF(C1434&lt;&gt;"",C1434,IF(P1434&lt;=IFERROR(INDEX(tblChannels[Watched Through],MATCH(N1434,tblChannels[Channel ID],0)),0),"Watched","Unwatched"))</f>
        <v/>
      </c>
      <c r="C1434" s="37" t="n"/>
      <c r="D1434" s="38" t="n"/>
      <c r="E1434" s="39" t="n">
        <v>44330.25</v>
      </c>
      <c r="F1434" s="40" t="inlineStr">
        <is>
          <t>Popcorn Culture</t>
        </is>
      </c>
      <c r="G1434" t="inlineStr">
        <is>
          <t>75 - J's Popcorn Confession</t>
        </is>
      </c>
      <c r="H1434" s="41" t="n">
        <v>0.04664351851851852</v>
      </c>
      <c r="I1434" s="42" t="n">
        <v>1530</v>
      </c>
      <c r="J1434" s="42" t="n">
        <v>80</v>
      </c>
      <c r="K1434" s="42" t="n">
        <v>14</v>
      </c>
      <c r="L1434" s="43" t="n"/>
      <c r="M1434" s="44" t="n"/>
      <c r="N1434" s="44" t="inlineStr">
        <is>
          <t>UCHfIbq9thHPC8yrKjAdJgDA</t>
        </is>
      </c>
      <c r="O1434" s="45" t="n">
        <v>44330.41666666666</v>
      </c>
      <c r="P1434" s="46" t="n">
        <v>44330</v>
      </c>
      <c r="Q1434" s="44" t="n">
        <v>1838</v>
      </c>
      <c r="R1434" s="44" t="inlineStr">
        <is>
          <t>No Video ID yet</t>
        </is>
      </c>
      <c r="S1434" s="46" t="n"/>
      <c r="T1434" s="46" t="n"/>
      <c r="U1434" s="44" t="n"/>
      <c r="V1434" s="44">
        <f>IF(AND(P1434&gt;=Calendar!$K$2,P1434&lt;EDATE(Calendar!$K$2,1),OR(Calendar!$K$4="*",N1434=Calendar!$K$4)),P1434*100+COUNTIFS($P$6:$P$3271,P1434,$Q$6:$Q$3271,"&lt;="&amp;Q1434,$N$6:$N$3271,Calendar!$K$4),"")</f>
        <v/>
      </c>
      <c r="W1434" s="44">
        <f>IF(AND(B1434=Queue!$C$4,OR(Queue!$K$4="*",N1434=Queue!$K$4)),Q1434,"")</f>
        <v/>
      </c>
    </row>
    <row r="1435">
      <c r="A1435" s="35">
        <f>IF(M1435="","",HYPERLINK("https://www.youtube.com/watch?v="&amp;M1435,"▶"))</f>
        <v/>
      </c>
      <c r="B1435" s="36">
        <f>IF(C1435&lt;&gt;"",C1435,IF(P1435&lt;=IFERROR(INDEX(tblChannels[Watched Through],MATCH(N1435,tblChannels[Channel ID],0)),0),"Watched","Unwatched"))</f>
        <v/>
      </c>
      <c r="C1435" s="37" t="n"/>
      <c r="D1435" s="38" t="n"/>
      <c r="E1435" s="39" t="n">
        <v>44329.67222222222</v>
      </c>
      <c r="F1435" s="47" t="inlineStr">
        <is>
          <t>Super Carlin Brothers</t>
        </is>
      </c>
      <c r="G1435" t="inlineStr">
        <is>
          <t>J vs Ben: HARDEST Pixar Movie Trivia Quiz EVER</t>
        </is>
      </c>
      <c r="H1435" s="41" t="n">
        <v>0.01581018518518518</v>
      </c>
      <c r="I1435" s="42" t="n">
        <v>185743</v>
      </c>
      <c r="J1435" s="42" t="n">
        <v>8319</v>
      </c>
      <c r="K1435" s="42" t="n">
        <v>636</v>
      </c>
      <c r="L1435" s="43" t="n"/>
      <c r="M1435" s="44" t="n"/>
      <c r="N1435" s="44" t="inlineStr">
        <is>
          <t>UCKZo4N0lVPccBkSiuyVh4yg</t>
        </is>
      </c>
      <c r="O1435" s="45" t="n">
        <v>44329.83888888889</v>
      </c>
      <c r="P1435" s="46" t="n">
        <v>44329</v>
      </c>
      <c r="Q1435" s="44" t="n">
        <v>1837</v>
      </c>
      <c r="R1435" s="44" t="inlineStr">
        <is>
          <t>No Video ID yet</t>
        </is>
      </c>
      <c r="S1435" s="46" t="n"/>
      <c r="T1435" s="46" t="n"/>
      <c r="U1435" s="44" t="n"/>
      <c r="V1435" s="44">
        <f>IF(AND(P1435&gt;=Calendar!$K$2,P1435&lt;EDATE(Calendar!$K$2,1),OR(Calendar!$K$4="*",N1435=Calendar!$K$4)),P1435*100+COUNTIFS($P$6:$P$3271,P1435,$Q$6:$Q$3271,"&lt;="&amp;Q1435,$N$6:$N$3271,Calendar!$K$4),"")</f>
        <v/>
      </c>
      <c r="W1435" s="44">
        <f>IF(AND(B1435=Queue!$C$4,OR(Queue!$K$4="*",N1435=Queue!$K$4)),Q1435,"")</f>
        <v/>
      </c>
    </row>
    <row r="1436">
      <c r="A1436" s="35">
        <f>IF(M1436="","",HYPERLINK("https://www.youtube.com/watch?v="&amp;M1436,"▶"))</f>
        <v/>
      </c>
      <c r="B1436" s="36">
        <f>IF(C1436&lt;&gt;"",C1436,IF(P1436&lt;=IFERROR(INDEX(tblChannels[Watched Through],MATCH(N1436,tblChannels[Channel ID],0)),0),"Watched","Unwatched"))</f>
        <v/>
      </c>
      <c r="C1436" s="37" t="n"/>
      <c r="D1436" s="38" t="n"/>
      <c r="E1436" s="39" t="n">
        <v>44328.68263888889</v>
      </c>
      <c r="F1436" s="47" t="inlineStr">
        <is>
          <t>Super Carlin Brothers</t>
        </is>
      </c>
      <c r="G1436" t="inlineStr">
        <is>
          <t>What Happened to Kvothe's Powers? | Name of the Wind Theory</t>
        </is>
      </c>
      <c r="H1436" s="41" t="n">
        <v>0.01106481481481482</v>
      </c>
      <c r="I1436" s="42" t="n">
        <v>91912</v>
      </c>
      <c r="J1436" s="42" t="n">
        <v>4823</v>
      </c>
      <c r="K1436" s="42" t="n">
        <v>1028</v>
      </c>
      <c r="L1436" s="43" t="n"/>
      <c r="M1436" s="44" t="n"/>
      <c r="N1436" s="44" t="inlineStr">
        <is>
          <t>UCKZo4N0lVPccBkSiuyVh4yg</t>
        </is>
      </c>
      <c r="O1436" s="45" t="n">
        <v>44328.84930555556</v>
      </c>
      <c r="P1436" s="46" t="n">
        <v>44328</v>
      </c>
      <c r="Q1436" s="44" t="n">
        <v>1836</v>
      </c>
      <c r="R1436" s="44" t="inlineStr">
        <is>
          <t>No Video ID yet</t>
        </is>
      </c>
      <c r="S1436" s="46" t="n"/>
      <c r="T1436" s="46" t="n"/>
      <c r="U1436" s="44" t="n"/>
      <c r="V1436" s="44">
        <f>IF(AND(P1436&gt;=Calendar!$K$2,P1436&lt;EDATE(Calendar!$K$2,1),OR(Calendar!$K$4="*",N1436=Calendar!$K$4)),P1436*100+COUNTIFS($P$6:$P$3271,P1436,$Q$6:$Q$3271,"&lt;="&amp;Q1436,$N$6:$N$3271,Calendar!$K$4),"")</f>
        <v/>
      </c>
      <c r="W1436" s="44">
        <f>IF(AND(B1436=Queue!$C$4,OR(Queue!$K$4="*",N1436=Queue!$K$4)),Q1436,"")</f>
        <v/>
      </c>
    </row>
    <row r="1437">
      <c r="A1437" s="35">
        <f>IF(M1437="","",HYPERLINK("https://www.youtube.com/watch?v="&amp;M1437,"▶"))</f>
        <v/>
      </c>
      <c r="B1437" s="36">
        <f>IF(C1437&lt;&gt;"",C1437,IF(P1437&lt;=IFERROR(INDEX(tblChannels[Watched Through],MATCH(N1437,tblChannels[Channel ID],0)),0),"Watched","Unwatched"))</f>
        <v/>
      </c>
      <c r="C1437" s="37" t="n"/>
      <c r="D1437" s="38" t="n"/>
      <c r="E1437" s="39" t="n">
        <v>44328.41666666666</v>
      </c>
      <c r="F1437" s="49" t="inlineStr">
        <is>
          <t>Super Carlin Gaming</t>
        </is>
      </c>
      <c r="G1437" t="inlineStr">
        <is>
          <t>The STEEL Peach.. |  Pokémon LeafGreen Randomizer Nuzlocke #15</t>
        </is>
      </c>
      <c r="H1437" s="41" t="n">
        <v>0.03488425925925926</v>
      </c>
      <c r="I1437" s="42" t="n">
        <v>23929</v>
      </c>
      <c r="J1437" s="42" t="n">
        <v>1299</v>
      </c>
      <c r="K1437" s="42" t="n">
        <v>480</v>
      </c>
      <c r="L1437" s="43" t="n"/>
      <c r="M1437" s="44" t="n"/>
      <c r="N1437" s="44" t="inlineStr">
        <is>
          <t>UCor_9jRnNNZVzTuQ92PKsaQ</t>
        </is>
      </c>
      <c r="O1437" s="45" t="n">
        <v>44328.58333333334</v>
      </c>
      <c r="P1437" s="46" t="n">
        <v>44328</v>
      </c>
      <c r="Q1437" s="44" t="n">
        <v>1835</v>
      </c>
      <c r="R1437" s="44" t="inlineStr">
        <is>
          <t>No Video ID yet</t>
        </is>
      </c>
      <c r="S1437" s="46" t="n"/>
      <c r="T1437" s="46" t="n"/>
      <c r="U1437" s="44" t="n"/>
      <c r="V1437" s="44">
        <f>IF(AND(P1437&gt;=Calendar!$K$2,P1437&lt;EDATE(Calendar!$K$2,1),OR(Calendar!$K$4="*",N1437=Calendar!$K$4)),P1437*100+COUNTIFS($P$6:$P$3271,P1437,$Q$6:$Q$3271,"&lt;="&amp;Q1437,$N$6:$N$3271,Calendar!$K$4),"")</f>
        <v/>
      </c>
      <c r="W1437" s="44">
        <f>IF(AND(B1437=Queue!$C$4,OR(Queue!$K$4="*",N1437=Queue!$K$4)),Q1437,"")</f>
        <v/>
      </c>
    </row>
    <row r="1438">
      <c r="A1438" s="35">
        <f>IF(M1438="","",HYPERLINK("https://www.youtube.com/watch?v="&amp;M1438,"▶"))</f>
        <v/>
      </c>
      <c r="B1438" s="36">
        <f>IF(C1438&lt;&gt;"",C1438,IF(P1438&lt;=IFERROR(INDEX(tblChannels[Watched Through],MATCH(N1438,tblChannels[Channel ID],0)),0),"Watched","Unwatched"))</f>
        <v/>
      </c>
      <c r="C1438" s="37" t="n"/>
      <c r="D1438" s="38" t="n"/>
      <c r="E1438" s="39" t="n">
        <v>44327.70486111111</v>
      </c>
      <c r="F1438" s="47" t="inlineStr">
        <is>
          <t>Super Carlin Brothers</t>
        </is>
      </c>
      <c r="G1438" t="inlineStr">
        <is>
          <t>Omega is Rey’s Mother | Star Wars Theory</t>
        </is>
      </c>
      <c r="H1438" s="41" t="n">
        <v>0.009456018518518518</v>
      </c>
      <c r="I1438" s="42" t="n">
        <v>79433</v>
      </c>
      <c r="J1438" s="42" t="n">
        <v>4251</v>
      </c>
      <c r="K1438" s="42" t="n">
        <v>861</v>
      </c>
      <c r="L1438" s="43" t="n"/>
      <c r="M1438" s="44" t="n"/>
      <c r="N1438" s="44" t="inlineStr">
        <is>
          <t>UCKZo4N0lVPccBkSiuyVh4yg</t>
        </is>
      </c>
      <c r="O1438" s="45" t="n">
        <v>44327.87152777778</v>
      </c>
      <c r="P1438" s="46" t="n">
        <v>44327</v>
      </c>
      <c r="Q1438" s="44" t="n">
        <v>1834</v>
      </c>
      <c r="R1438" s="44" t="inlineStr">
        <is>
          <t>No Video ID yet</t>
        </is>
      </c>
      <c r="S1438" s="46" t="n"/>
      <c r="T1438" s="46" t="n"/>
      <c r="U1438" s="44" t="n"/>
      <c r="V1438" s="44">
        <f>IF(AND(P1438&gt;=Calendar!$K$2,P1438&lt;EDATE(Calendar!$K$2,1),OR(Calendar!$K$4="*",N1438=Calendar!$K$4)),P1438*100+COUNTIFS($P$6:$P$3271,P1438,$Q$6:$Q$3271,"&lt;="&amp;Q1438,$N$6:$N$3271,Calendar!$K$4),"")</f>
        <v/>
      </c>
      <c r="W1438" s="44">
        <f>IF(AND(B1438=Queue!$C$4,OR(Queue!$K$4="*",N1438=Queue!$K$4)),Q1438,"")</f>
        <v/>
      </c>
    </row>
    <row r="1439">
      <c r="A1439" s="35">
        <f>IF(M1439="","",HYPERLINK("https://www.youtube.com/watch?v="&amp;M1439,"▶"))</f>
        <v/>
      </c>
      <c r="B1439" s="36">
        <f>IF(C1439&lt;&gt;"",C1439,IF(P1439&lt;=IFERROR(INDEX(tblChannels[Watched Through],MATCH(N1439,tblChannels[Channel ID],0)),0),"Watched","Unwatched"))</f>
        <v/>
      </c>
      <c r="C1439" s="37" t="n"/>
      <c r="D1439" s="38" t="n"/>
      <c r="E1439" s="39" t="n">
        <v>44326.41666666666</v>
      </c>
      <c r="F1439" s="49" t="inlineStr">
        <is>
          <t>Super Carlin Gaming</t>
        </is>
      </c>
      <c r="G1439" t="inlineStr">
        <is>
          <t>SELF-DESTRUCT |  Pokémon LeafGreen Randomizer Nuzlocke #14</t>
        </is>
      </c>
      <c r="H1439" s="41" t="n">
        <v>0.02938657407407408</v>
      </c>
      <c r="I1439" s="42" t="n">
        <v>23166</v>
      </c>
      <c r="J1439" s="42" t="n">
        <v>1330</v>
      </c>
      <c r="K1439" s="42" t="n">
        <v>568</v>
      </c>
      <c r="L1439" s="43" t="n"/>
      <c r="M1439" s="44" t="n"/>
      <c r="N1439" s="44" t="inlineStr">
        <is>
          <t>UCor_9jRnNNZVzTuQ92PKsaQ</t>
        </is>
      </c>
      <c r="O1439" s="45" t="n">
        <v>44326.58333333334</v>
      </c>
      <c r="P1439" s="46" t="n">
        <v>44326</v>
      </c>
      <c r="Q1439" s="44" t="n">
        <v>1833</v>
      </c>
      <c r="R1439" s="44" t="inlineStr">
        <is>
          <t>No Video ID yet</t>
        </is>
      </c>
      <c r="S1439" s="46" t="n"/>
      <c r="T1439" s="46" t="n"/>
      <c r="U1439" s="44" t="n"/>
      <c r="V1439" s="44">
        <f>IF(AND(P1439&gt;=Calendar!$K$2,P1439&lt;EDATE(Calendar!$K$2,1),OR(Calendar!$K$4="*",N1439=Calendar!$K$4)),P1439*100+COUNTIFS($P$6:$P$3271,P1439,$Q$6:$Q$3271,"&lt;="&amp;Q1439,$N$6:$N$3271,Calendar!$K$4),"")</f>
        <v/>
      </c>
      <c r="W1439" s="44">
        <f>IF(AND(B1439=Queue!$C$4,OR(Queue!$K$4="*",N1439=Queue!$K$4)),Q1439,"")</f>
        <v/>
      </c>
    </row>
    <row r="1440">
      <c r="A1440" s="35">
        <f>IF(M1440="","",HYPERLINK("https://www.youtube.com/watch?v="&amp;M1440,"▶"))</f>
        <v/>
      </c>
      <c r="B1440" s="36">
        <f>IF(C1440&lt;&gt;"",C1440,IF(P1440&lt;=IFERROR(INDEX(tblChannels[Watched Through],MATCH(N1440,tblChannels[Channel ID],0)),0),"Watched","Unwatched"))</f>
        <v/>
      </c>
      <c r="C1440" s="37" t="n"/>
      <c r="D1440" s="38" t="n"/>
      <c r="E1440" s="39" t="n">
        <v>44323.41666666666</v>
      </c>
      <c r="F1440" s="47" t="inlineStr">
        <is>
          <t>Super Carlin Brothers</t>
        </is>
      </c>
      <c r="G1440" t="inlineStr">
        <is>
          <t>What's the "Best" Harry Potter Movie? | Popcorn Culture</t>
        </is>
      </c>
      <c r="H1440" s="41" t="n">
        <v>0.0528125</v>
      </c>
      <c r="I1440" s="42" t="n">
        <v>77078</v>
      </c>
      <c r="J1440" s="42" t="n">
        <v>2714</v>
      </c>
      <c r="K1440" s="42" t="n">
        <v>571</v>
      </c>
      <c r="L1440" s="43" t="n"/>
      <c r="M1440" s="44" t="n"/>
      <c r="N1440" s="44" t="inlineStr">
        <is>
          <t>UCKZo4N0lVPccBkSiuyVh4yg</t>
        </is>
      </c>
      <c r="O1440" s="45" t="n">
        <v>44323.58333333334</v>
      </c>
      <c r="P1440" s="46" t="n">
        <v>44323</v>
      </c>
      <c r="Q1440" s="44" t="n">
        <v>1832</v>
      </c>
      <c r="R1440" s="44" t="inlineStr">
        <is>
          <t>No Video ID yet</t>
        </is>
      </c>
      <c r="S1440" s="46" t="n"/>
      <c r="T1440" s="46" t="n"/>
      <c r="U1440" s="44" t="n"/>
      <c r="V1440" s="44">
        <f>IF(AND(P1440&gt;=Calendar!$K$2,P1440&lt;EDATE(Calendar!$K$2,1),OR(Calendar!$K$4="*",N1440=Calendar!$K$4)),P1440*100+COUNTIFS($P$6:$P$3271,P1440,$Q$6:$Q$3271,"&lt;="&amp;Q1440,$N$6:$N$3271,Calendar!$K$4),"")</f>
        <v/>
      </c>
      <c r="W1440" s="44">
        <f>IF(AND(B1440=Queue!$C$4,OR(Queue!$K$4="*",N1440=Queue!$K$4)),Q1440,"")</f>
        <v/>
      </c>
    </row>
    <row r="1441">
      <c r="A1441" s="35">
        <f>IF(M1441="","",HYPERLINK("https://www.youtube.com/watch?v="&amp;M1441,"▶"))</f>
        <v/>
      </c>
      <c r="B1441" s="36">
        <f>IF(C1441&lt;&gt;"",C1441,IF(P1441&lt;=IFERROR(INDEX(tblChannels[Watched Through],MATCH(N1441,tblChannels[Channel ID],0)),0),"Watched","Unwatched"))</f>
        <v/>
      </c>
      <c r="C1441" s="37" t="n"/>
      <c r="D1441" s="38" t="n"/>
      <c r="E1441" s="39" t="n">
        <v>44323.25</v>
      </c>
      <c r="F1441" s="40" t="inlineStr">
        <is>
          <t>Popcorn Culture</t>
        </is>
      </c>
      <c r="G1441" t="inlineStr">
        <is>
          <t>74 - There’s Nothing Cooler than a Backflip</t>
        </is>
      </c>
      <c r="H1441" s="41" t="n">
        <v>0.05193287037037037</v>
      </c>
      <c r="I1441" s="42" t="n">
        <v>1608</v>
      </c>
      <c r="J1441" s="42" t="n">
        <v>74</v>
      </c>
      <c r="K1441" s="42" t="n">
        <v>14</v>
      </c>
      <c r="L1441" s="43" t="n"/>
      <c r="M1441" s="44" t="n"/>
      <c r="N1441" s="44" t="inlineStr">
        <is>
          <t>UCHfIbq9thHPC8yrKjAdJgDA</t>
        </is>
      </c>
      <c r="O1441" s="45" t="n">
        <v>44323.41666666666</v>
      </c>
      <c r="P1441" s="46" t="n">
        <v>44323</v>
      </c>
      <c r="Q1441" s="44" t="n">
        <v>1831</v>
      </c>
      <c r="R1441" s="44" t="inlineStr">
        <is>
          <t>No Video ID yet</t>
        </is>
      </c>
      <c r="S1441" s="46" t="n"/>
      <c r="T1441" s="46" t="n"/>
      <c r="U1441" s="44" t="n"/>
      <c r="V1441" s="44">
        <f>IF(AND(P1441&gt;=Calendar!$K$2,P1441&lt;EDATE(Calendar!$K$2,1),OR(Calendar!$K$4="*",N1441=Calendar!$K$4)),P1441*100+COUNTIFS($P$6:$P$3271,P1441,$Q$6:$Q$3271,"&lt;="&amp;Q1441,$N$6:$N$3271,Calendar!$K$4),"")</f>
        <v/>
      </c>
      <c r="W1441" s="44">
        <f>IF(AND(B1441=Queue!$C$4,OR(Queue!$K$4="*",N1441=Queue!$K$4)),Q1441,"")</f>
        <v/>
      </c>
    </row>
    <row r="1442">
      <c r="A1442" s="35">
        <f>IF(M1442="","",HYPERLINK("https://www.youtube.com/watch?v="&amp;M1442,"▶"))</f>
        <v/>
      </c>
      <c r="B1442" s="36">
        <f>IF(C1442&lt;&gt;"",C1442,IF(P1442&lt;=IFERROR(INDEX(tblChannels[Watched Through],MATCH(N1442,tblChannels[Channel ID],0)),0),"Watched","Unwatched"))</f>
        <v/>
      </c>
      <c r="C1442" s="37" t="n"/>
      <c r="D1442" s="38" t="n"/>
      <c r="E1442" s="39" t="n">
        <v>44322.79375</v>
      </c>
      <c r="F1442" s="47" t="inlineStr">
        <is>
          <t>Super Carlin Brothers</t>
        </is>
      </c>
      <c r="G1442" t="inlineStr">
        <is>
          <t>Why Didn’t The Founders Choose Magical Beasts? | Harry Potter Theory</t>
        </is>
      </c>
      <c r="H1442" s="41" t="n">
        <v>0.01020833333333333</v>
      </c>
      <c r="I1442" s="42" t="n">
        <v>490090</v>
      </c>
      <c r="J1442" s="42" t="n">
        <v>20030</v>
      </c>
      <c r="K1442" s="42" t="n">
        <v>2515</v>
      </c>
      <c r="L1442" s="43" t="n"/>
      <c r="M1442" s="44" t="n"/>
      <c r="N1442" s="44" t="inlineStr">
        <is>
          <t>UCKZo4N0lVPccBkSiuyVh4yg</t>
        </is>
      </c>
      <c r="O1442" s="45" t="n">
        <v>44322.96041666667</v>
      </c>
      <c r="P1442" s="46" t="n">
        <v>44322</v>
      </c>
      <c r="Q1442" s="44" t="n">
        <v>1830</v>
      </c>
      <c r="R1442" s="44" t="inlineStr">
        <is>
          <t>No Video ID yet</t>
        </is>
      </c>
      <c r="S1442" s="46" t="n"/>
      <c r="T1442" s="46" t="n"/>
      <c r="U1442" s="44" t="n"/>
      <c r="V1442" s="44">
        <f>IF(AND(P1442&gt;=Calendar!$K$2,P1442&lt;EDATE(Calendar!$K$2,1),OR(Calendar!$K$4="*",N1442=Calendar!$K$4)),P1442*100+COUNTIFS($P$6:$P$3271,P1442,$Q$6:$Q$3271,"&lt;="&amp;Q1442,$N$6:$N$3271,Calendar!$K$4),"")</f>
        <v/>
      </c>
      <c r="W1442" s="44">
        <f>IF(AND(B1442=Queue!$C$4,OR(Queue!$K$4="*",N1442=Queue!$K$4)),Q1442,"")</f>
        <v/>
      </c>
    </row>
    <row r="1443">
      <c r="A1443" s="35">
        <f>IF(M1443="","",HYPERLINK("https://www.youtube.com/watch?v="&amp;M1443,"▶"))</f>
        <v/>
      </c>
      <c r="B1443" s="36">
        <f>IF(C1443&lt;&gt;"",C1443,IF(P1443&lt;=IFERROR(INDEX(tblChannels[Watched Through],MATCH(N1443,tblChannels[Channel ID],0)),0),"Watched","Unwatched"))</f>
        <v/>
      </c>
      <c r="C1443" s="37" t="n"/>
      <c r="D1443" s="38" t="n"/>
      <c r="E1443" s="39" t="n">
        <v>44321.70833333334</v>
      </c>
      <c r="F1443" s="47" t="inlineStr">
        <is>
          <t>Super Carlin Brothers</t>
        </is>
      </c>
      <c r="G1443" t="inlineStr">
        <is>
          <t>Is Cinder Playing A Beautiful Game? | Name of the Wind Theory</t>
        </is>
      </c>
      <c r="H1443" s="41" t="n">
        <v>0.01166666666666667</v>
      </c>
      <c r="I1443" s="42" t="n">
        <v>71377</v>
      </c>
      <c r="J1443" s="42" t="n">
        <v>3440</v>
      </c>
      <c r="K1443" s="42" t="n">
        <v>484</v>
      </c>
      <c r="L1443" s="43" t="n"/>
      <c r="M1443" s="44" t="n"/>
      <c r="N1443" s="44" t="inlineStr">
        <is>
          <t>UCKZo4N0lVPccBkSiuyVh4yg</t>
        </is>
      </c>
      <c r="O1443" s="45" t="n">
        <v>44321.875</v>
      </c>
      <c r="P1443" s="46" t="n">
        <v>44321</v>
      </c>
      <c r="Q1443" s="44" t="n">
        <v>1829</v>
      </c>
      <c r="R1443" s="44" t="inlineStr">
        <is>
          <t>No Video ID yet</t>
        </is>
      </c>
      <c r="S1443" s="46" t="n"/>
      <c r="T1443" s="46" t="n"/>
      <c r="U1443" s="44" t="n"/>
      <c r="V1443" s="44">
        <f>IF(AND(P1443&gt;=Calendar!$K$2,P1443&lt;EDATE(Calendar!$K$2,1),OR(Calendar!$K$4="*",N1443=Calendar!$K$4)),P1443*100+COUNTIFS($P$6:$P$3271,P1443,$Q$6:$Q$3271,"&lt;="&amp;Q1443,$N$6:$N$3271,Calendar!$K$4),"")</f>
        <v/>
      </c>
      <c r="W1443" s="44">
        <f>IF(AND(B1443=Queue!$C$4,OR(Queue!$K$4="*",N1443=Queue!$K$4)),Q1443,"")</f>
        <v/>
      </c>
    </row>
    <row r="1444">
      <c r="A1444" s="35">
        <f>IF(M1444="","",HYPERLINK("https://www.youtube.com/watch?v="&amp;M1444,"▶"))</f>
        <v/>
      </c>
      <c r="B1444" s="36">
        <f>IF(C1444&lt;&gt;"",C1444,IF(P1444&lt;=IFERROR(INDEX(tblChannels[Watched Through],MATCH(N1444,tblChannels[Channel ID],0)),0),"Watched","Unwatched"))</f>
        <v/>
      </c>
      <c r="C1444" s="37" t="n"/>
      <c r="D1444" s="38" t="n"/>
      <c r="E1444" s="39" t="n">
        <v>44321.41666666666</v>
      </c>
      <c r="F1444" s="49" t="inlineStr">
        <is>
          <t>Super Carlin Gaming</t>
        </is>
      </c>
      <c r="G1444" t="inlineStr">
        <is>
          <t>CAN I HAZ CHARIZARD? | Pokémon LeafGreen Nuzlocke #13</t>
        </is>
      </c>
      <c r="H1444" s="41" t="n">
        <v>0.03450231481481481</v>
      </c>
      <c r="I1444" s="42" t="n">
        <v>25330</v>
      </c>
      <c r="J1444" s="42" t="n">
        <v>2260</v>
      </c>
      <c r="K1444" s="42" t="n">
        <v>613</v>
      </c>
      <c r="L1444" s="43" t="n"/>
      <c r="M1444" s="44" t="n"/>
      <c r="N1444" s="44" t="inlineStr">
        <is>
          <t>UCor_9jRnNNZVzTuQ92PKsaQ</t>
        </is>
      </c>
      <c r="O1444" s="45" t="n">
        <v>44321.58333333334</v>
      </c>
      <c r="P1444" s="46" t="n">
        <v>44321</v>
      </c>
      <c r="Q1444" s="44" t="n">
        <v>1828</v>
      </c>
      <c r="R1444" s="44" t="inlineStr">
        <is>
          <t>No Video ID yet</t>
        </is>
      </c>
      <c r="S1444" s="46" t="n"/>
      <c r="T1444" s="46" t="n"/>
      <c r="U1444" s="44" t="n"/>
      <c r="V1444" s="44">
        <f>IF(AND(P1444&gt;=Calendar!$K$2,P1444&lt;EDATE(Calendar!$K$2,1),OR(Calendar!$K$4="*",N1444=Calendar!$K$4)),P1444*100+COUNTIFS($P$6:$P$3271,P1444,$Q$6:$Q$3271,"&lt;="&amp;Q1444,$N$6:$N$3271,Calendar!$K$4),"")</f>
        <v/>
      </c>
      <c r="W1444" s="44">
        <f>IF(AND(B1444=Queue!$C$4,OR(Queue!$K$4="*",N1444=Queue!$K$4)),Q1444,"")</f>
        <v/>
      </c>
    </row>
    <row r="1445">
      <c r="A1445" s="35">
        <f>IF(M1445="","",HYPERLINK("https://www.youtube.com/watch?v="&amp;M1445,"▶"))</f>
        <v/>
      </c>
      <c r="B1445" s="36">
        <f>IF(C1445&lt;&gt;"",C1445,IF(P1445&lt;=IFERROR(INDEX(tblChannels[Watched Through],MATCH(N1445,tblChannels[Channel ID],0)),0),"Watched","Unwatched"))</f>
        <v/>
      </c>
      <c r="C1445" s="37" t="n"/>
      <c r="D1445" s="38" t="n"/>
      <c r="E1445" s="39" t="n">
        <v>44320.70138888889</v>
      </c>
      <c r="F1445" s="47" t="inlineStr">
        <is>
          <t>Super Carlin Brothers</t>
        </is>
      </c>
      <c r="G1445" t="inlineStr">
        <is>
          <t>Is Luca A Monster? | Pixar Theory</t>
        </is>
      </c>
      <c r="H1445" s="41" t="n">
        <v>0.01033564814814815</v>
      </c>
      <c r="I1445" s="42" t="n">
        <v>372315</v>
      </c>
      <c r="J1445" s="42" t="n">
        <v>12941</v>
      </c>
      <c r="K1445" s="42" t="n">
        <v>1092</v>
      </c>
      <c r="L1445" s="43" t="n"/>
      <c r="M1445" s="44" t="n"/>
      <c r="N1445" s="44" t="inlineStr">
        <is>
          <t>UCKZo4N0lVPccBkSiuyVh4yg</t>
        </is>
      </c>
      <c r="O1445" s="45" t="n">
        <v>44320.86805555555</v>
      </c>
      <c r="P1445" s="46" t="n">
        <v>44320</v>
      </c>
      <c r="Q1445" s="44" t="n">
        <v>1827</v>
      </c>
      <c r="R1445" s="44" t="inlineStr">
        <is>
          <t>No Video ID yet</t>
        </is>
      </c>
      <c r="S1445" s="46" t="n"/>
      <c r="T1445" s="46" t="n"/>
      <c r="U1445" s="44" t="n"/>
      <c r="V1445" s="44">
        <f>IF(AND(P1445&gt;=Calendar!$K$2,P1445&lt;EDATE(Calendar!$K$2,1),OR(Calendar!$K$4="*",N1445=Calendar!$K$4)),P1445*100+COUNTIFS($P$6:$P$3271,P1445,$Q$6:$Q$3271,"&lt;="&amp;Q1445,$N$6:$N$3271,Calendar!$K$4),"")</f>
        <v/>
      </c>
      <c r="W1445" s="44">
        <f>IF(AND(B1445=Queue!$C$4,OR(Queue!$K$4="*",N1445=Queue!$K$4)),Q1445,"")</f>
        <v/>
      </c>
    </row>
    <row r="1446">
      <c r="A1446" s="35">
        <f>IF(M1446="","",HYPERLINK("https://www.youtube.com/watch?v="&amp;M1446,"▶"))</f>
        <v/>
      </c>
      <c r="B1446" s="36">
        <f>IF(C1446&lt;&gt;"",C1446,IF(P1446&lt;=IFERROR(INDEX(tblChannels[Watched Through],MATCH(N1446,tblChannels[Channel ID],0)),0),"Watched","Unwatched"))</f>
        <v/>
      </c>
      <c r="C1446" s="37" t="n"/>
      <c r="D1446" s="38" t="n"/>
      <c r="E1446" s="39" t="n">
        <v>44319.41666666666</v>
      </c>
      <c r="F1446" s="49" t="inlineStr">
        <is>
          <t>Super Carlin Gaming</t>
        </is>
      </c>
      <c r="G1446" t="inlineStr">
        <is>
          <t>A Grumpy Rage.. |  Pokémon LeafGreen Randomizer Nuzlocke #12</t>
        </is>
      </c>
      <c r="H1446" s="41" t="n">
        <v>0.02403935185185185</v>
      </c>
      <c r="I1446" s="42" t="n">
        <v>23079</v>
      </c>
      <c r="J1446" s="42" t="n">
        <v>1390</v>
      </c>
      <c r="K1446" s="42" t="n">
        <v>370</v>
      </c>
      <c r="L1446" s="43" t="n"/>
      <c r="M1446" s="44" t="n"/>
      <c r="N1446" s="44" t="inlineStr">
        <is>
          <t>UCor_9jRnNNZVzTuQ92PKsaQ</t>
        </is>
      </c>
      <c r="O1446" s="45" t="n">
        <v>44319.58333333334</v>
      </c>
      <c r="P1446" s="46" t="n">
        <v>44319</v>
      </c>
      <c r="Q1446" s="44" t="n">
        <v>1826</v>
      </c>
      <c r="R1446" s="44" t="inlineStr">
        <is>
          <t>No Video ID yet</t>
        </is>
      </c>
      <c r="S1446" s="46" t="n"/>
      <c r="T1446" s="46" t="n"/>
      <c r="U1446" s="44" t="n"/>
      <c r="V1446" s="44">
        <f>IF(AND(P1446&gt;=Calendar!$K$2,P1446&lt;EDATE(Calendar!$K$2,1),OR(Calendar!$K$4="*",N1446=Calendar!$K$4)),P1446*100+COUNTIFS($P$6:$P$3271,P1446,$Q$6:$Q$3271,"&lt;="&amp;Q1446,$N$6:$N$3271,Calendar!$K$4),"")</f>
        <v/>
      </c>
      <c r="W1446" s="44">
        <f>IF(AND(B1446=Queue!$C$4,OR(Queue!$K$4="*",N1446=Queue!$K$4)),Q1446,"")</f>
        <v/>
      </c>
    </row>
    <row r="1447">
      <c r="A1447" s="35">
        <f>IF(M1447="","",HYPERLINK("https://www.youtube.com/watch?v="&amp;M1447,"▶"))</f>
        <v/>
      </c>
      <c r="B1447" s="36">
        <f>IF(C1447&lt;&gt;"",C1447,IF(P1447&lt;=IFERROR(INDEX(tblChannels[Watched Through],MATCH(N1447,tblChannels[Channel ID],0)),0),"Watched","Unwatched"))</f>
        <v/>
      </c>
      <c r="C1447" s="37" t="n"/>
      <c r="D1447" s="38" t="n"/>
      <c r="E1447" s="39" t="n">
        <v>44316.41666666666</v>
      </c>
      <c r="F1447" s="47" t="inlineStr">
        <is>
          <t>Super Carlin Brothers</t>
        </is>
      </c>
      <c r="G1447" t="inlineStr">
        <is>
          <t>Are Comedians Modern Day Philosophers? | Popcorn Culture</t>
        </is>
      </c>
      <c r="H1447" s="41" t="n">
        <v>0.04776620370370371</v>
      </c>
      <c r="I1447" s="42" t="n">
        <v>24124</v>
      </c>
      <c r="J1447" s="42" t="n">
        <v>1021</v>
      </c>
      <c r="K1447" s="42" t="n">
        <v>188</v>
      </c>
      <c r="L1447" s="43" t="n"/>
      <c r="M1447" s="44" t="n"/>
      <c r="N1447" s="44" t="inlineStr">
        <is>
          <t>UCKZo4N0lVPccBkSiuyVh4yg</t>
        </is>
      </c>
      <c r="O1447" s="45" t="n">
        <v>44316.58333333334</v>
      </c>
      <c r="P1447" s="46" t="n">
        <v>44316</v>
      </c>
      <c r="Q1447" s="44" t="n">
        <v>1825</v>
      </c>
      <c r="R1447" s="44" t="inlineStr">
        <is>
          <t>No Video ID yet</t>
        </is>
      </c>
      <c r="S1447" s="46" t="n"/>
      <c r="T1447" s="46" t="n"/>
      <c r="U1447" s="44" t="n"/>
      <c r="V1447" s="44">
        <f>IF(AND(P1447&gt;=Calendar!$K$2,P1447&lt;EDATE(Calendar!$K$2,1),OR(Calendar!$K$4="*",N1447=Calendar!$K$4)),P1447*100+COUNTIFS($P$6:$P$3271,P1447,$Q$6:$Q$3271,"&lt;="&amp;Q1447,$N$6:$N$3271,Calendar!$K$4),"")</f>
        <v/>
      </c>
      <c r="W1447" s="44">
        <f>IF(AND(B1447=Queue!$C$4,OR(Queue!$K$4="*",N1447=Queue!$K$4)),Q1447,"")</f>
        <v/>
      </c>
    </row>
    <row r="1448">
      <c r="A1448" s="35">
        <f>IF(M1448="","",HYPERLINK("https://www.youtube.com/watch?v="&amp;M1448,"▶"))</f>
        <v/>
      </c>
      <c r="B1448" s="36">
        <f>IF(C1448&lt;&gt;"",C1448,IF(P1448&lt;=IFERROR(INDEX(tblChannels[Watched Through],MATCH(N1448,tblChannels[Channel ID],0)),0),"Watched","Unwatched"))</f>
        <v/>
      </c>
      <c r="C1448" s="37" t="n"/>
      <c r="D1448" s="38" t="n"/>
      <c r="E1448" s="39" t="n">
        <v>44316.25</v>
      </c>
      <c r="F1448" s="40" t="inlineStr">
        <is>
          <t>Popcorn Culture</t>
        </is>
      </c>
      <c r="G1448" t="inlineStr">
        <is>
          <t>73 - Comedians are Modern Day Philosophers</t>
        </is>
      </c>
      <c r="H1448" s="41" t="n">
        <v>0.04659722222222222</v>
      </c>
      <c r="I1448" s="42" t="n">
        <v>1064</v>
      </c>
      <c r="J1448" s="42" t="n">
        <v>58</v>
      </c>
      <c r="K1448" s="42" t="n">
        <v>8</v>
      </c>
      <c r="L1448" s="43" t="n"/>
      <c r="M1448" s="44" t="n"/>
      <c r="N1448" s="44" t="inlineStr">
        <is>
          <t>UCHfIbq9thHPC8yrKjAdJgDA</t>
        </is>
      </c>
      <c r="O1448" s="45" t="n">
        <v>44316.41666666666</v>
      </c>
      <c r="P1448" s="46" t="n">
        <v>44316</v>
      </c>
      <c r="Q1448" s="44" t="n">
        <v>1824</v>
      </c>
      <c r="R1448" s="44" t="inlineStr">
        <is>
          <t>No Video ID yet</t>
        </is>
      </c>
      <c r="S1448" s="46" t="n"/>
      <c r="T1448" s="46" t="n"/>
      <c r="U1448" s="44" t="n"/>
      <c r="V1448" s="44">
        <f>IF(AND(P1448&gt;=Calendar!$K$2,P1448&lt;EDATE(Calendar!$K$2,1),OR(Calendar!$K$4="*",N1448=Calendar!$K$4)),P1448*100+COUNTIFS($P$6:$P$3271,P1448,$Q$6:$Q$3271,"&lt;="&amp;Q1448,$N$6:$N$3271,Calendar!$K$4),"")</f>
        <v/>
      </c>
      <c r="W1448" s="44">
        <f>IF(AND(B1448=Queue!$C$4,OR(Queue!$K$4="*",N1448=Queue!$K$4)),Q1448,"")</f>
        <v/>
      </c>
    </row>
    <row r="1449">
      <c r="A1449" s="35">
        <f>IF(M1449="","",HYPERLINK("https://www.youtube.com/watch?v="&amp;M1449,"▶"))</f>
        <v/>
      </c>
      <c r="B1449" s="36">
        <f>IF(C1449&lt;&gt;"",C1449,IF(P1449&lt;=IFERROR(INDEX(tblChannels[Watched Through],MATCH(N1449,tblChannels[Channel ID],0)),0),"Watched","Unwatched"))</f>
        <v/>
      </c>
      <c r="C1449" s="37" t="n"/>
      <c r="D1449" s="38" t="n"/>
      <c r="E1449" s="39" t="n">
        <v>44315.68680555555</v>
      </c>
      <c r="F1449" s="47" t="inlineStr">
        <is>
          <t>Super Carlin Brothers</t>
        </is>
      </c>
      <c r="G1449" t="inlineStr">
        <is>
          <t>J vs Ben: INSANELY HARD Harry Potter Trivia Quiz [Quiz Master Edition]</t>
        </is>
      </c>
      <c r="H1449" s="41" t="n">
        <v>0.01967592592592593</v>
      </c>
      <c r="I1449" s="42" t="n">
        <v>432804</v>
      </c>
      <c r="J1449" s="42" t="n">
        <v>12060</v>
      </c>
      <c r="K1449" s="42" t="n">
        <v>1074</v>
      </c>
      <c r="L1449" s="43" t="n"/>
      <c r="M1449" s="44" t="n"/>
      <c r="N1449" s="44" t="inlineStr">
        <is>
          <t>UCKZo4N0lVPccBkSiuyVh4yg</t>
        </is>
      </c>
      <c r="O1449" s="45" t="n">
        <v>44315.85347222222</v>
      </c>
      <c r="P1449" s="46" t="n">
        <v>44315</v>
      </c>
      <c r="Q1449" s="44" t="n">
        <v>1823</v>
      </c>
      <c r="R1449" s="44" t="inlineStr">
        <is>
          <t>No Video ID yet</t>
        </is>
      </c>
      <c r="S1449" s="46" t="n"/>
      <c r="T1449" s="46" t="n"/>
      <c r="U1449" s="44" t="n"/>
      <c r="V1449" s="44">
        <f>IF(AND(P1449&gt;=Calendar!$K$2,P1449&lt;EDATE(Calendar!$K$2,1),OR(Calendar!$K$4="*",N1449=Calendar!$K$4)),P1449*100+COUNTIFS($P$6:$P$3271,P1449,$Q$6:$Q$3271,"&lt;="&amp;Q1449,$N$6:$N$3271,Calendar!$K$4),"")</f>
        <v/>
      </c>
      <c r="W1449" s="44">
        <f>IF(AND(B1449=Queue!$C$4,OR(Queue!$K$4="*",N1449=Queue!$K$4)),Q1449,"")</f>
        <v/>
      </c>
    </row>
    <row r="1450">
      <c r="A1450" s="35">
        <f>IF(M1450="","",HYPERLINK("https://www.youtube.com/watch?v="&amp;M1450,"▶"))</f>
        <v/>
      </c>
      <c r="B1450" s="36">
        <f>IF(C1450&lt;&gt;"",C1450,IF(P1450&lt;=IFERROR(INDEX(tblChannels[Watched Through],MATCH(N1450,tblChannels[Channel ID],0)),0),"Watched","Unwatched"))</f>
        <v/>
      </c>
      <c r="C1450" s="37" t="n"/>
      <c r="D1450" s="38" t="n"/>
      <c r="E1450" s="39" t="n">
        <v>44314.69375</v>
      </c>
      <c r="F1450" s="47" t="inlineStr">
        <is>
          <t>Super Carlin Brothers</t>
        </is>
      </c>
      <c r="G1450" t="inlineStr">
        <is>
          <t>Who Is Denna’s Patron? | Name of the Wind Theory</t>
        </is>
      </c>
      <c r="H1450" s="41" t="n">
        <v>0.01168981481481481</v>
      </c>
      <c r="I1450" s="42" t="n">
        <v>64401</v>
      </c>
      <c r="J1450" s="42" t="n">
        <v>3739</v>
      </c>
      <c r="K1450" s="42" t="n">
        <v>563</v>
      </c>
      <c r="L1450" s="43" t="n"/>
      <c r="M1450" s="44" t="n"/>
      <c r="N1450" s="44" t="inlineStr">
        <is>
          <t>UCKZo4N0lVPccBkSiuyVh4yg</t>
        </is>
      </c>
      <c r="O1450" s="45" t="n">
        <v>44314.86041666667</v>
      </c>
      <c r="P1450" s="46" t="n">
        <v>44314</v>
      </c>
      <c r="Q1450" s="44" t="n">
        <v>1822</v>
      </c>
      <c r="R1450" s="44" t="inlineStr">
        <is>
          <t>No Video ID yet</t>
        </is>
      </c>
      <c r="S1450" s="46" t="n"/>
      <c r="T1450" s="46" t="n"/>
      <c r="U1450" s="44" t="n"/>
      <c r="V1450" s="44">
        <f>IF(AND(P1450&gt;=Calendar!$K$2,P1450&lt;EDATE(Calendar!$K$2,1),OR(Calendar!$K$4="*",N1450=Calendar!$K$4)),P1450*100+COUNTIFS($P$6:$P$3271,P1450,$Q$6:$Q$3271,"&lt;="&amp;Q1450,$N$6:$N$3271,Calendar!$K$4),"")</f>
        <v/>
      </c>
      <c r="W1450" s="44">
        <f>IF(AND(B1450=Queue!$C$4,OR(Queue!$K$4="*",N1450=Queue!$K$4)),Q1450,"")</f>
        <v/>
      </c>
    </row>
    <row r="1451">
      <c r="A1451" s="35">
        <f>IF(M1451="","",HYPERLINK("https://www.youtube.com/watch?v="&amp;M1451,"▶"))</f>
        <v/>
      </c>
      <c r="B1451" s="36">
        <f>IF(C1451&lt;&gt;"",C1451,IF(P1451&lt;=IFERROR(INDEX(tblChannels[Watched Through],MATCH(N1451,tblChannels[Channel ID],0)),0),"Watched","Unwatched"))</f>
        <v/>
      </c>
      <c r="C1451" s="37" t="n"/>
      <c r="D1451" s="38" t="n"/>
      <c r="E1451" s="39" t="n">
        <v>44314.41666666666</v>
      </c>
      <c r="F1451" s="49" t="inlineStr">
        <is>
          <t>Super Carlin Gaming</t>
        </is>
      </c>
      <c r="G1451" t="inlineStr">
        <is>
          <t>The Truly Haunted Tower |  Pokémon LeafGreen Randomizer Nuzlocke #11</t>
        </is>
      </c>
      <c r="H1451" s="41" t="n">
        <v>0.02697916666666667</v>
      </c>
      <c r="I1451" s="42" t="n">
        <v>23995</v>
      </c>
      <c r="J1451" s="42" t="n">
        <v>1588</v>
      </c>
      <c r="K1451" s="42" t="n">
        <v>488</v>
      </c>
      <c r="L1451" s="43" t="n"/>
      <c r="M1451" s="44" t="n"/>
      <c r="N1451" s="44" t="inlineStr">
        <is>
          <t>UCor_9jRnNNZVzTuQ92PKsaQ</t>
        </is>
      </c>
      <c r="O1451" s="45" t="n">
        <v>44314.58333333334</v>
      </c>
      <c r="P1451" s="46" t="n">
        <v>44314</v>
      </c>
      <c r="Q1451" s="44" t="n">
        <v>1821</v>
      </c>
      <c r="R1451" s="44" t="inlineStr">
        <is>
          <t>No Video ID yet</t>
        </is>
      </c>
      <c r="S1451" s="46" t="n"/>
      <c r="T1451" s="46" t="n"/>
      <c r="U1451" s="44" t="n"/>
      <c r="V1451" s="44">
        <f>IF(AND(P1451&gt;=Calendar!$K$2,P1451&lt;EDATE(Calendar!$K$2,1),OR(Calendar!$K$4="*",N1451=Calendar!$K$4)),P1451*100+COUNTIFS($P$6:$P$3271,P1451,$Q$6:$Q$3271,"&lt;="&amp;Q1451,$N$6:$N$3271,Calendar!$K$4),"")</f>
        <v/>
      </c>
      <c r="W1451" s="44">
        <f>IF(AND(B1451=Queue!$C$4,OR(Queue!$K$4="*",N1451=Queue!$K$4)),Q1451,"")</f>
        <v/>
      </c>
    </row>
    <row r="1452">
      <c r="A1452" s="35">
        <f>IF(M1452="","",HYPERLINK("https://www.youtube.com/watch?v="&amp;M1452,"▶"))</f>
        <v/>
      </c>
      <c r="B1452" s="36">
        <f>IF(C1452&lt;&gt;"",C1452,IF(P1452&lt;=IFERROR(INDEX(tblChannels[Watched Through],MATCH(N1452,tblChannels[Channel ID],0)),0),"Watched","Unwatched"))</f>
        <v/>
      </c>
      <c r="C1452" s="37" t="n"/>
      <c r="D1452" s="38" t="n"/>
      <c r="E1452" s="39" t="n">
        <v>44313.71180555555</v>
      </c>
      <c r="F1452" s="47" t="inlineStr">
        <is>
          <t>Super Carlin Brothers</t>
        </is>
      </c>
      <c r="G1452" t="inlineStr">
        <is>
          <t>Top 10 Harry Potter Moments That Were Better In The Movies | Theory</t>
        </is>
      </c>
      <c r="H1452" s="41" t="n">
        <v>0.01144675925925926</v>
      </c>
      <c r="I1452" s="42" t="n">
        <v>904617</v>
      </c>
      <c r="J1452" s="42" t="n">
        <v>29805</v>
      </c>
      <c r="K1452" s="42" t="n">
        <v>4207</v>
      </c>
      <c r="L1452" s="43" t="n"/>
      <c r="M1452" s="44" t="n"/>
      <c r="N1452" s="44" t="inlineStr">
        <is>
          <t>UCKZo4N0lVPccBkSiuyVh4yg</t>
        </is>
      </c>
      <c r="O1452" s="45" t="n">
        <v>44313.87847222222</v>
      </c>
      <c r="P1452" s="46" t="n">
        <v>44313</v>
      </c>
      <c r="Q1452" s="44" t="n">
        <v>1820</v>
      </c>
      <c r="R1452" s="44" t="inlineStr">
        <is>
          <t>No Video ID yet</t>
        </is>
      </c>
      <c r="S1452" s="46" t="n"/>
      <c r="T1452" s="46" t="n"/>
      <c r="U1452" s="44" t="n"/>
      <c r="V1452" s="44">
        <f>IF(AND(P1452&gt;=Calendar!$K$2,P1452&lt;EDATE(Calendar!$K$2,1),OR(Calendar!$K$4="*",N1452=Calendar!$K$4)),P1452*100+COUNTIFS($P$6:$P$3271,P1452,$Q$6:$Q$3271,"&lt;="&amp;Q1452,$N$6:$N$3271,Calendar!$K$4),"")</f>
        <v/>
      </c>
      <c r="W1452" s="44">
        <f>IF(AND(B1452=Queue!$C$4,OR(Queue!$K$4="*",N1452=Queue!$K$4)),Q1452,"")</f>
        <v/>
      </c>
    </row>
    <row r="1453">
      <c r="A1453" s="35">
        <f>IF(M1453="","",HYPERLINK("https://www.youtube.com/watch?v="&amp;M1453,"▶"))</f>
        <v/>
      </c>
      <c r="B1453" s="36">
        <f>IF(C1453&lt;&gt;"",C1453,IF(P1453&lt;=IFERROR(INDEX(tblChannels[Watched Through],MATCH(N1453,tblChannels[Channel ID],0)),0),"Watched","Unwatched"))</f>
        <v/>
      </c>
      <c r="C1453" s="37" t="n"/>
      <c r="D1453" s="38" t="n"/>
      <c r="E1453" s="39" t="n">
        <v>44312.41666666666</v>
      </c>
      <c r="F1453" s="49" t="inlineStr">
        <is>
          <t>Super Carlin Gaming</t>
        </is>
      </c>
      <c r="G1453" t="inlineStr">
        <is>
          <t>ENTER BOSS ROCKET |  Pokémon LeafGreen Randomizer Nuzlocke #10</t>
        </is>
      </c>
      <c r="H1453" s="41" t="n">
        <v>0.02383101851851852</v>
      </c>
      <c r="I1453" s="42" t="n">
        <v>25071</v>
      </c>
      <c r="J1453" s="42" t="n">
        <v>2956</v>
      </c>
      <c r="K1453" s="42" t="n">
        <v>403</v>
      </c>
      <c r="L1453" s="43" t="n"/>
      <c r="M1453" s="44" t="n"/>
      <c r="N1453" s="44" t="inlineStr">
        <is>
          <t>UCor_9jRnNNZVzTuQ92PKsaQ</t>
        </is>
      </c>
      <c r="O1453" s="45" t="n">
        <v>44312.58333333334</v>
      </c>
      <c r="P1453" s="46" t="n">
        <v>44312</v>
      </c>
      <c r="Q1453" s="44" t="n">
        <v>1819</v>
      </c>
      <c r="R1453" s="44" t="inlineStr">
        <is>
          <t>No Video ID yet</t>
        </is>
      </c>
      <c r="S1453" s="46" t="n"/>
      <c r="T1453" s="46" t="n"/>
      <c r="U1453" s="44" t="n"/>
      <c r="V1453" s="44">
        <f>IF(AND(P1453&gt;=Calendar!$K$2,P1453&lt;EDATE(Calendar!$K$2,1),OR(Calendar!$K$4="*",N1453=Calendar!$K$4)),P1453*100+COUNTIFS($P$6:$P$3271,P1453,$Q$6:$Q$3271,"&lt;="&amp;Q1453,$N$6:$N$3271,Calendar!$K$4),"")</f>
        <v/>
      </c>
      <c r="W1453" s="44">
        <f>IF(AND(B1453=Queue!$C$4,OR(Queue!$K$4="*",N1453=Queue!$K$4)),Q1453,"")</f>
        <v/>
      </c>
    </row>
    <row r="1454">
      <c r="A1454" s="35">
        <f>IF(M1454="","",HYPERLINK("https://www.youtube.com/watch?v="&amp;M1454,"▶"))</f>
        <v/>
      </c>
      <c r="B1454" s="36">
        <f>IF(C1454&lt;&gt;"",C1454,IF(P1454&lt;=IFERROR(INDEX(tblChannels[Watched Through],MATCH(N1454,tblChannels[Channel ID],0)),0),"Watched","Unwatched"))</f>
        <v/>
      </c>
      <c r="C1454" s="37" t="n"/>
      <c r="D1454" s="38" t="n"/>
      <c r="E1454" s="39" t="n">
        <v>44309.4375</v>
      </c>
      <c r="F1454" s="47" t="inlineStr">
        <is>
          <t>Super Carlin Brothers</t>
        </is>
      </c>
      <c r="G1454" t="inlineStr">
        <is>
          <t>Did I Ever Actually Like Running? | Popcorn Culture</t>
        </is>
      </c>
      <c r="H1454" s="41" t="n">
        <v>0.04881944444444444</v>
      </c>
      <c r="I1454" s="42" t="n">
        <v>25770</v>
      </c>
      <c r="J1454" s="42" t="n">
        <v>1100</v>
      </c>
      <c r="K1454" s="42" t="n">
        <v>117</v>
      </c>
      <c r="L1454" s="43" t="n"/>
      <c r="M1454" s="44" t="n"/>
      <c r="N1454" s="44" t="inlineStr">
        <is>
          <t>UCKZo4N0lVPccBkSiuyVh4yg</t>
        </is>
      </c>
      <c r="O1454" s="45" t="n">
        <v>44309.60416666666</v>
      </c>
      <c r="P1454" s="46" t="n">
        <v>44309</v>
      </c>
      <c r="Q1454" s="44" t="n">
        <v>1818</v>
      </c>
      <c r="R1454" s="44" t="inlineStr">
        <is>
          <t>No Video ID yet</t>
        </is>
      </c>
      <c r="S1454" s="46" t="n"/>
      <c r="T1454" s="46" t="n"/>
      <c r="U1454" s="44" t="n"/>
      <c r="V1454" s="44">
        <f>IF(AND(P1454&gt;=Calendar!$K$2,P1454&lt;EDATE(Calendar!$K$2,1),OR(Calendar!$K$4="*",N1454=Calendar!$K$4)),P1454*100+COUNTIFS($P$6:$P$3271,P1454,$Q$6:$Q$3271,"&lt;="&amp;Q1454,$N$6:$N$3271,Calendar!$K$4),"")</f>
        <v/>
      </c>
      <c r="W1454" s="44">
        <f>IF(AND(B1454=Queue!$C$4,OR(Queue!$K$4="*",N1454=Queue!$K$4)),Q1454,"")</f>
        <v/>
      </c>
    </row>
    <row r="1455">
      <c r="A1455" s="35">
        <f>IF(M1455="","",HYPERLINK("https://www.youtube.com/watch?v="&amp;M1455,"▶"))</f>
        <v/>
      </c>
      <c r="B1455" s="36">
        <f>IF(C1455&lt;&gt;"",C1455,IF(P1455&lt;=IFERROR(INDEX(tblChannels[Watched Through],MATCH(N1455,tblChannels[Channel ID],0)),0),"Watched","Unwatched"))</f>
        <v/>
      </c>
      <c r="C1455" s="37" t="n"/>
      <c r="D1455" s="38" t="n"/>
      <c r="E1455" s="39" t="n">
        <v>44309.25</v>
      </c>
      <c r="F1455" s="40" t="inlineStr">
        <is>
          <t>Popcorn Culture</t>
        </is>
      </c>
      <c r="G1455" t="inlineStr">
        <is>
          <t>72 - Did I Ever Actually Like Running?</t>
        </is>
      </c>
      <c r="H1455" s="41" t="n">
        <v>0.04740740740740741</v>
      </c>
      <c r="I1455" s="42" t="n">
        <v>1509</v>
      </c>
      <c r="J1455" s="42" t="n">
        <v>65</v>
      </c>
      <c r="K1455" s="42" t="n">
        <v>13</v>
      </c>
      <c r="L1455" s="43" t="n"/>
      <c r="M1455" s="44" t="n"/>
      <c r="N1455" s="44" t="inlineStr">
        <is>
          <t>UCHfIbq9thHPC8yrKjAdJgDA</t>
        </is>
      </c>
      <c r="O1455" s="45" t="n">
        <v>44309.41666666666</v>
      </c>
      <c r="P1455" s="46" t="n">
        <v>44309</v>
      </c>
      <c r="Q1455" s="44" t="n">
        <v>1817</v>
      </c>
      <c r="R1455" s="44" t="inlineStr">
        <is>
          <t>No Video ID yet</t>
        </is>
      </c>
      <c r="S1455" s="46" t="n"/>
      <c r="T1455" s="46" t="n"/>
      <c r="U1455" s="44" t="n"/>
      <c r="V1455" s="44">
        <f>IF(AND(P1455&gt;=Calendar!$K$2,P1455&lt;EDATE(Calendar!$K$2,1),OR(Calendar!$K$4="*",N1455=Calendar!$K$4)),P1455*100+COUNTIFS($P$6:$P$3271,P1455,$Q$6:$Q$3271,"&lt;="&amp;Q1455,$N$6:$N$3271,Calendar!$K$4),"")</f>
        <v/>
      </c>
      <c r="W1455" s="44">
        <f>IF(AND(B1455=Queue!$C$4,OR(Queue!$K$4="*",N1455=Queue!$K$4)),Q1455,"")</f>
        <v/>
      </c>
    </row>
    <row r="1456">
      <c r="A1456" s="35">
        <f>IF(M1456="","",HYPERLINK("https://www.youtube.com/watch?v="&amp;M1456,"▶"))</f>
        <v/>
      </c>
      <c r="B1456" s="36">
        <f>IF(C1456&lt;&gt;"",C1456,IF(P1456&lt;=IFERROR(INDEX(tblChannels[Watched Through],MATCH(N1456,tblChannels[Channel ID],0)),0),"Watched","Unwatched"))</f>
        <v/>
      </c>
      <c r="C1456" s="37" t="n"/>
      <c r="D1456" s="38" t="n"/>
      <c r="E1456" s="39" t="n">
        <v>44308.63333333333</v>
      </c>
      <c r="F1456" s="47" t="inlineStr">
        <is>
          <t>Super Carlin Brothers</t>
        </is>
      </c>
      <c r="G1456" t="inlineStr">
        <is>
          <t>Could the Sword of Gryffindor Become a Horcrux? | Harry Potter Theory</t>
        </is>
      </c>
      <c r="H1456" s="41" t="n">
        <v>0.009571759259259259</v>
      </c>
      <c r="I1456" s="42" t="n">
        <v>217982</v>
      </c>
      <c r="J1456" s="42" t="n">
        <v>9864</v>
      </c>
      <c r="K1456" s="42" t="n">
        <v>1631</v>
      </c>
      <c r="L1456" s="43" t="n"/>
      <c r="M1456" s="44" t="n"/>
      <c r="N1456" s="44" t="inlineStr">
        <is>
          <t>UCKZo4N0lVPccBkSiuyVh4yg</t>
        </is>
      </c>
      <c r="O1456" s="45" t="n">
        <v>44308.8</v>
      </c>
      <c r="P1456" s="46" t="n">
        <v>44308</v>
      </c>
      <c r="Q1456" s="44" t="n">
        <v>1816</v>
      </c>
      <c r="R1456" s="44" t="inlineStr">
        <is>
          <t>No Video ID yet</t>
        </is>
      </c>
      <c r="S1456" s="46" t="n"/>
      <c r="T1456" s="46" t="n"/>
      <c r="U1456" s="44" t="n"/>
      <c r="V1456" s="44">
        <f>IF(AND(P1456&gt;=Calendar!$K$2,P1456&lt;EDATE(Calendar!$K$2,1),OR(Calendar!$K$4="*",N1456=Calendar!$K$4)),P1456*100+COUNTIFS($P$6:$P$3271,P1456,$Q$6:$Q$3271,"&lt;="&amp;Q1456,$N$6:$N$3271,Calendar!$K$4),"")</f>
        <v/>
      </c>
      <c r="W1456" s="44">
        <f>IF(AND(B1456=Queue!$C$4,OR(Queue!$K$4="*",N1456=Queue!$K$4)),Q1456,"")</f>
        <v/>
      </c>
    </row>
    <row r="1457">
      <c r="A1457" s="35">
        <f>IF(M1457="","",HYPERLINK("https://www.youtube.com/watch?v="&amp;M1457,"▶"))</f>
        <v/>
      </c>
      <c r="B1457" s="36">
        <f>IF(C1457&lt;&gt;"",C1457,IF(P1457&lt;=IFERROR(INDEX(tblChannels[Watched Through],MATCH(N1457,tblChannels[Channel ID],0)),0),"Watched","Unwatched"))</f>
        <v/>
      </c>
      <c r="C1457" s="37" t="n"/>
      <c r="D1457" s="38" t="n"/>
      <c r="E1457" s="39" t="n">
        <v>44307.72638888889</v>
      </c>
      <c r="F1457" s="47" t="inlineStr">
        <is>
          <t>Super Carlin Brothers</t>
        </is>
      </c>
      <c r="G1457" t="inlineStr">
        <is>
          <t>What Is Kvothe’s Last Name? | Name of the Wind Theory</t>
        </is>
      </c>
      <c r="H1457" s="41" t="n">
        <v>0.01189814814814815</v>
      </c>
      <c r="I1457" s="42" t="n">
        <v>80214</v>
      </c>
      <c r="J1457" s="42" t="n">
        <v>4581</v>
      </c>
      <c r="K1457" s="42" t="n">
        <v>955</v>
      </c>
      <c r="L1457" s="43" t="n"/>
      <c r="M1457" s="44" t="n"/>
      <c r="N1457" s="44" t="inlineStr">
        <is>
          <t>UCKZo4N0lVPccBkSiuyVh4yg</t>
        </is>
      </c>
      <c r="O1457" s="45" t="n">
        <v>44307.89305555556</v>
      </c>
      <c r="P1457" s="46" t="n">
        <v>44307</v>
      </c>
      <c r="Q1457" s="44" t="n">
        <v>1815</v>
      </c>
      <c r="R1457" s="44" t="inlineStr">
        <is>
          <t>No Video ID yet</t>
        </is>
      </c>
      <c r="S1457" s="46" t="n"/>
      <c r="T1457" s="46" t="n"/>
      <c r="U1457" s="44" t="n"/>
      <c r="V1457" s="44">
        <f>IF(AND(P1457&gt;=Calendar!$K$2,P1457&lt;EDATE(Calendar!$K$2,1),OR(Calendar!$K$4="*",N1457=Calendar!$K$4)),P1457*100+COUNTIFS($P$6:$P$3271,P1457,$Q$6:$Q$3271,"&lt;="&amp;Q1457,$N$6:$N$3271,Calendar!$K$4),"")</f>
        <v/>
      </c>
      <c r="W1457" s="44">
        <f>IF(AND(B1457=Queue!$C$4,OR(Queue!$K$4="*",N1457=Queue!$K$4)),Q1457,"")</f>
        <v/>
      </c>
    </row>
    <row r="1458">
      <c r="A1458" s="35">
        <f>IF(M1458="","",HYPERLINK("https://www.youtube.com/watch?v="&amp;M1458,"▶"))</f>
        <v/>
      </c>
      <c r="B1458" s="36">
        <f>IF(C1458&lt;&gt;"",C1458,IF(P1458&lt;=IFERROR(INDEX(tblChannels[Watched Through],MATCH(N1458,tblChannels[Channel ID],0)),0),"Watched","Unwatched"))</f>
        <v/>
      </c>
      <c r="C1458" s="37" t="n"/>
      <c r="D1458" s="38" t="n"/>
      <c r="E1458" s="39" t="n">
        <v>44307.41666666666</v>
      </c>
      <c r="F1458" s="49" t="inlineStr">
        <is>
          <t>Super Carlin Gaming</t>
        </is>
      </c>
      <c r="G1458" t="inlineStr">
        <is>
          <t>A True Disappointment.. |  Pokémon LeafGreen Randomizer Nuzlocke #9</t>
        </is>
      </c>
      <c r="H1458" s="41" t="n">
        <v>0.0290625</v>
      </c>
      <c r="I1458" s="42" t="n">
        <v>28830</v>
      </c>
      <c r="J1458" s="42" t="n">
        <v>1388</v>
      </c>
      <c r="K1458" s="42" t="n">
        <v>646</v>
      </c>
      <c r="L1458" s="43" t="n"/>
      <c r="M1458" s="44" t="n"/>
      <c r="N1458" s="44" t="inlineStr">
        <is>
          <t>UCor_9jRnNNZVzTuQ92PKsaQ</t>
        </is>
      </c>
      <c r="O1458" s="45" t="n">
        <v>44307.58333333334</v>
      </c>
      <c r="P1458" s="46" t="n">
        <v>44307</v>
      </c>
      <c r="Q1458" s="44" t="n">
        <v>1814</v>
      </c>
      <c r="R1458" s="44" t="inlineStr">
        <is>
          <t>No Video ID yet</t>
        </is>
      </c>
      <c r="S1458" s="46" t="n"/>
      <c r="T1458" s="46" t="n"/>
      <c r="U1458" s="44" t="n"/>
      <c r="V1458" s="44">
        <f>IF(AND(P1458&gt;=Calendar!$K$2,P1458&lt;EDATE(Calendar!$K$2,1),OR(Calendar!$K$4="*",N1458=Calendar!$K$4)),P1458*100+COUNTIFS($P$6:$P$3271,P1458,$Q$6:$Q$3271,"&lt;="&amp;Q1458,$N$6:$N$3271,Calendar!$K$4),"")</f>
        <v/>
      </c>
      <c r="W1458" s="44">
        <f>IF(AND(B1458=Queue!$C$4,OR(Queue!$K$4="*",N1458=Queue!$K$4)),Q1458,"")</f>
        <v/>
      </c>
    </row>
    <row r="1459">
      <c r="A1459" s="35">
        <f>IF(M1459="","",HYPERLINK("https://www.youtube.com/watch?v="&amp;M1459,"▶"))</f>
        <v/>
      </c>
      <c r="B1459" s="36">
        <f>IF(C1459&lt;&gt;"",C1459,IF(P1459&lt;=IFERROR(INDEX(tblChannels[Watched Through],MATCH(N1459,tblChannels[Channel ID],0)),0),"Watched","Unwatched"))</f>
        <v/>
      </c>
      <c r="C1459" s="37" t="n"/>
      <c r="D1459" s="38" t="n"/>
      <c r="E1459" s="39" t="n">
        <v>44306.67916666667</v>
      </c>
      <c r="F1459" s="47" t="inlineStr">
        <is>
          <t>Super Carlin Brothers</t>
        </is>
      </c>
      <c r="G1459" t="inlineStr">
        <is>
          <t>Who Is Pokemon’s LEAST Favorite Pokemon? | Pokemon Theory</t>
        </is>
      </c>
      <c r="H1459" s="41" t="n">
        <v>0.0128125</v>
      </c>
      <c r="I1459" s="42" t="n">
        <v>185594</v>
      </c>
      <c r="J1459" s="42" t="n">
        <v>10228</v>
      </c>
      <c r="K1459" s="42" t="n">
        <v>2653</v>
      </c>
      <c r="L1459" s="43" t="n"/>
      <c r="M1459" s="44" t="n"/>
      <c r="N1459" s="44" t="inlineStr">
        <is>
          <t>UCKZo4N0lVPccBkSiuyVh4yg</t>
        </is>
      </c>
      <c r="O1459" s="45" t="n">
        <v>44306.84583333333</v>
      </c>
      <c r="P1459" s="46" t="n">
        <v>44306</v>
      </c>
      <c r="Q1459" s="44" t="n">
        <v>1813</v>
      </c>
      <c r="R1459" s="44" t="inlineStr">
        <is>
          <t>No Video ID yet</t>
        </is>
      </c>
      <c r="S1459" s="46" t="n"/>
      <c r="T1459" s="46" t="n"/>
      <c r="U1459" s="44" t="n"/>
      <c r="V1459" s="44">
        <f>IF(AND(P1459&gt;=Calendar!$K$2,P1459&lt;EDATE(Calendar!$K$2,1),OR(Calendar!$K$4="*",N1459=Calendar!$K$4)),P1459*100+COUNTIFS($P$6:$P$3271,P1459,$Q$6:$Q$3271,"&lt;="&amp;Q1459,$N$6:$N$3271,Calendar!$K$4),"")</f>
        <v/>
      </c>
      <c r="W1459" s="44">
        <f>IF(AND(B1459=Queue!$C$4,OR(Queue!$K$4="*",N1459=Queue!$K$4)),Q1459,"")</f>
        <v/>
      </c>
    </row>
    <row r="1460">
      <c r="A1460" s="35">
        <f>IF(M1460="","",HYPERLINK("https://www.youtube.com/watch?v="&amp;M1460,"▶"))</f>
        <v/>
      </c>
      <c r="B1460" s="36">
        <f>IF(C1460&lt;&gt;"",C1460,IF(P1460&lt;=IFERROR(INDEX(tblChannels[Watched Through],MATCH(N1460,tblChannels[Channel ID],0)),0),"Watched","Unwatched"))</f>
        <v/>
      </c>
      <c r="C1460" s="37" t="n"/>
      <c r="D1460" s="38" t="n"/>
      <c r="E1460" s="39" t="n">
        <v>44305.41666666666</v>
      </c>
      <c r="F1460" s="49" t="inlineStr">
        <is>
          <t>Super Carlin Gaming</t>
        </is>
      </c>
      <c r="G1460" t="inlineStr">
        <is>
          <t>Hello Darkness My Old Friend.. |  Pokémon LeafGreen Randomizer Nuzlocke</t>
        </is>
      </c>
      <c r="H1460" s="41" t="n">
        <v>0.02733796296296296</v>
      </c>
      <c r="I1460" s="42" t="n">
        <v>32173</v>
      </c>
      <c r="J1460" s="42" t="n">
        <v>1352</v>
      </c>
      <c r="K1460" s="42" t="n">
        <v>448</v>
      </c>
      <c r="L1460" s="43" t="n"/>
      <c r="M1460" s="44" t="n"/>
      <c r="N1460" s="44" t="inlineStr">
        <is>
          <t>UCor_9jRnNNZVzTuQ92PKsaQ</t>
        </is>
      </c>
      <c r="O1460" s="45" t="n">
        <v>44305.58333333334</v>
      </c>
      <c r="P1460" s="46" t="n">
        <v>44305</v>
      </c>
      <c r="Q1460" s="44" t="n">
        <v>1812</v>
      </c>
      <c r="R1460" s="44" t="inlineStr">
        <is>
          <t>No Video ID yet</t>
        </is>
      </c>
      <c r="S1460" s="46" t="n"/>
      <c r="T1460" s="46" t="n"/>
      <c r="U1460" s="44" t="n"/>
      <c r="V1460" s="44">
        <f>IF(AND(P1460&gt;=Calendar!$K$2,P1460&lt;EDATE(Calendar!$K$2,1),OR(Calendar!$K$4="*",N1460=Calendar!$K$4)),P1460*100+COUNTIFS($P$6:$P$3271,P1460,$Q$6:$Q$3271,"&lt;="&amp;Q1460,$N$6:$N$3271,Calendar!$K$4),"")</f>
        <v/>
      </c>
      <c r="W1460" s="44">
        <f>IF(AND(B1460=Queue!$C$4,OR(Queue!$K$4="*",N1460=Queue!$K$4)),Q1460,"")</f>
        <v/>
      </c>
    </row>
    <row r="1461">
      <c r="A1461" s="35">
        <f>IF(M1461="","",HYPERLINK("https://www.youtube.com/watch?v="&amp;M1461,"▶"))</f>
        <v/>
      </c>
      <c r="B1461" s="36">
        <f>IF(C1461&lt;&gt;"",C1461,IF(P1461&lt;=IFERROR(INDEX(tblChannels[Watched Through],MATCH(N1461,tblChannels[Channel ID],0)),0),"Watched","Unwatched"))</f>
        <v/>
      </c>
      <c r="C1461" s="37" t="n"/>
      <c r="D1461" s="38" t="n"/>
      <c r="E1461" s="39" t="n">
        <v>44302.86319444444</v>
      </c>
      <c r="F1461" s="47" t="inlineStr">
        <is>
          <t>Super Carlin Brothers</t>
        </is>
      </c>
      <c r="G1461" t="inlineStr">
        <is>
          <t>ALL FANDOMS Trivia Night LIVE STREAM!</t>
        </is>
      </c>
      <c r="H1461" s="41" t="n">
        <v>0.1066550925925926</v>
      </c>
      <c r="I1461" s="42" t="n">
        <v>135902</v>
      </c>
      <c r="J1461" s="42" t="n">
        <v>2166</v>
      </c>
      <c r="K1461" s="42" t="n">
        <v>146</v>
      </c>
      <c r="L1461" s="43" t="n"/>
      <c r="M1461" s="44" t="n"/>
      <c r="N1461" s="44" t="inlineStr">
        <is>
          <t>UCKZo4N0lVPccBkSiuyVh4yg</t>
        </is>
      </c>
      <c r="O1461" s="45" t="n">
        <v>44303.02986111111</v>
      </c>
      <c r="P1461" s="46" t="n">
        <v>44302</v>
      </c>
      <c r="Q1461" s="44" t="n">
        <v>1811</v>
      </c>
      <c r="R1461" s="44" t="inlineStr">
        <is>
          <t>No Video ID yet</t>
        </is>
      </c>
      <c r="S1461" s="46" t="n"/>
      <c r="T1461" s="46" t="n"/>
      <c r="U1461" s="44" t="n"/>
      <c r="V1461" s="44">
        <f>IF(AND(P1461&gt;=Calendar!$K$2,P1461&lt;EDATE(Calendar!$K$2,1),OR(Calendar!$K$4="*",N1461=Calendar!$K$4)),P1461*100+COUNTIFS($P$6:$P$3271,P1461,$Q$6:$Q$3271,"&lt;="&amp;Q1461,$N$6:$N$3271,Calendar!$K$4),"")</f>
        <v/>
      </c>
      <c r="W1461" s="44">
        <f>IF(AND(B1461=Queue!$C$4,OR(Queue!$K$4="*",N1461=Queue!$K$4)),Q1461,"")</f>
        <v/>
      </c>
    </row>
    <row r="1462">
      <c r="A1462" s="35">
        <f>IF(M1462="","",HYPERLINK("https://www.youtube.com/watch?v="&amp;M1462,"▶"))</f>
        <v/>
      </c>
      <c r="B1462" s="36">
        <f>IF(C1462&lt;&gt;"",C1462,IF(P1462&lt;=IFERROR(INDEX(tblChannels[Watched Through],MATCH(N1462,tblChannels[Channel ID],0)),0),"Watched","Unwatched"))</f>
        <v/>
      </c>
      <c r="C1462" s="37" t="n"/>
      <c r="D1462" s="38" t="n"/>
      <c r="E1462" s="39" t="n">
        <v>44302.41666666666</v>
      </c>
      <c r="F1462" s="47" t="inlineStr">
        <is>
          <t>Super Carlin Brothers</t>
        </is>
      </c>
      <c r="G1462" t="inlineStr">
        <is>
          <t>The Just Noticeable Difference | Popcorn Culture</t>
        </is>
      </c>
      <c r="H1462" s="41" t="n">
        <v>0.04803240740740741</v>
      </c>
      <c r="I1462" s="42" t="n">
        <v>23709</v>
      </c>
      <c r="J1462" s="42" t="n">
        <v>983</v>
      </c>
      <c r="K1462" s="42" t="n">
        <v>188</v>
      </c>
      <c r="L1462" s="43" t="n"/>
      <c r="M1462" s="44" t="n"/>
      <c r="N1462" s="44" t="inlineStr">
        <is>
          <t>UCKZo4N0lVPccBkSiuyVh4yg</t>
        </is>
      </c>
      <c r="O1462" s="45" t="n">
        <v>44302.58333333334</v>
      </c>
      <c r="P1462" s="46" t="n">
        <v>44302</v>
      </c>
      <c r="Q1462" s="44" t="n">
        <v>1810</v>
      </c>
      <c r="R1462" s="44" t="inlineStr">
        <is>
          <t>No Video ID yet</t>
        </is>
      </c>
      <c r="S1462" s="46" t="n"/>
      <c r="T1462" s="46" t="n"/>
      <c r="U1462" s="44" t="n"/>
      <c r="V1462" s="44">
        <f>IF(AND(P1462&gt;=Calendar!$K$2,P1462&lt;EDATE(Calendar!$K$2,1),OR(Calendar!$K$4="*",N1462=Calendar!$K$4)),P1462*100+COUNTIFS($P$6:$P$3271,P1462,$Q$6:$Q$3271,"&lt;="&amp;Q1462,$N$6:$N$3271,Calendar!$K$4),"")</f>
        <v/>
      </c>
      <c r="W1462" s="44">
        <f>IF(AND(B1462=Queue!$C$4,OR(Queue!$K$4="*",N1462=Queue!$K$4)),Q1462,"")</f>
        <v/>
      </c>
    </row>
    <row r="1463">
      <c r="A1463" s="35">
        <f>IF(M1463="","",HYPERLINK("https://www.youtube.com/watch?v="&amp;M1463,"▶"))</f>
        <v/>
      </c>
      <c r="B1463" s="36">
        <f>IF(C1463&lt;&gt;"",C1463,IF(P1463&lt;=IFERROR(INDEX(tblChannels[Watched Through],MATCH(N1463,tblChannels[Channel ID],0)),0),"Watched","Unwatched"))</f>
        <v/>
      </c>
      <c r="C1463" s="37" t="n"/>
      <c r="D1463" s="38" t="n"/>
      <c r="E1463" s="39" t="n">
        <v>44302.25</v>
      </c>
      <c r="F1463" s="40" t="inlineStr">
        <is>
          <t>Popcorn Culture</t>
        </is>
      </c>
      <c r="G1463" t="inlineStr">
        <is>
          <t>71 - The Just Noticeable Difference</t>
        </is>
      </c>
      <c r="H1463" s="41" t="n">
        <v>0.04597222222222222</v>
      </c>
      <c r="I1463" s="42" t="n">
        <v>1378</v>
      </c>
      <c r="J1463" s="42" t="n">
        <v>71</v>
      </c>
      <c r="K1463" s="42" t="n">
        <v>7</v>
      </c>
      <c r="L1463" s="43" t="n"/>
      <c r="M1463" s="44" t="n"/>
      <c r="N1463" s="44" t="inlineStr">
        <is>
          <t>UCHfIbq9thHPC8yrKjAdJgDA</t>
        </is>
      </c>
      <c r="O1463" s="45" t="n">
        <v>44302.41666666666</v>
      </c>
      <c r="P1463" s="46" t="n">
        <v>44302</v>
      </c>
      <c r="Q1463" s="44" t="n">
        <v>1809</v>
      </c>
      <c r="R1463" s="44" t="inlineStr">
        <is>
          <t>No Video ID yet</t>
        </is>
      </c>
      <c r="S1463" s="46" t="n"/>
      <c r="T1463" s="46" t="n"/>
      <c r="U1463" s="44" t="n"/>
      <c r="V1463" s="44">
        <f>IF(AND(P1463&gt;=Calendar!$K$2,P1463&lt;EDATE(Calendar!$K$2,1),OR(Calendar!$K$4="*",N1463=Calendar!$K$4)),P1463*100+COUNTIFS($P$6:$P$3271,P1463,$Q$6:$Q$3271,"&lt;="&amp;Q1463,$N$6:$N$3271,Calendar!$K$4),"")</f>
        <v/>
      </c>
      <c r="W1463" s="44">
        <f>IF(AND(B1463=Queue!$C$4,OR(Queue!$K$4="*",N1463=Queue!$K$4)),Q1463,"")</f>
        <v/>
      </c>
    </row>
    <row r="1464">
      <c r="A1464" s="35">
        <f>IF(M1464="","",HYPERLINK("https://www.youtube.com/watch?v="&amp;M1464,"▶"))</f>
        <v/>
      </c>
      <c r="B1464" s="36">
        <f>IF(C1464&lt;&gt;"",C1464,IF(P1464&lt;=IFERROR(INDEX(tblChannels[Watched Through],MATCH(N1464,tblChannels[Channel ID],0)),0),"Watched","Unwatched"))</f>
        <v/>
      </c>
      <c r="C1464" s="37" t="n"/>
      <c r="D1464" s="38" t="n"/>
      <c r="E1464" s="39" t="n">
        <v>44301.70625</v>
      </c>
      <c r="F1464" s="47" t="inlineStr">
        <is>
          <t>Super Carlin Brothers</t>
        </is>
      </c>
      <c r="G1464" t="inlineStr">
        <is>
          <t>J vs Ben: We FAILED More Harry Potter Trivia - REDEMPTION Quiz</t>
        </is>
      </c>
      <c r="H1464" s="41" t="n">
        <v>0.021875</v>
      </c>
      <c r="I1464" s="42" t="n">
        <v>504100</v>
      </c>
      <c r="J1464" s="42" t="n">
        <v>13134</v>
      </c>
      <c r="K1464" s="42" t="n">
        <v>1258</v>
      </c>
      <c r="L1464" s="43" t="n"/>
      <c r="M1464" s="44" t="n"/>
      <c r="N1464" s="44" t="inlineStr">
        <is>
          <t>UCKZo4N0lVPccBkSiuyVh4yg</t>
        </is>
      </c>
      <c r="O1464" s="45" t="n">
        <v>44301.87291666667</v>
      </c>
      <c r="P1464" s="46" t="n">
        <v>44301</v>
      </c>
      <c r="Q1464" s="44" t="n">
        <v>1808</v>
      </c>
      <c r="R1464" s="44" t="inlineStr">
        <is>
          <t>No Video ID yet</t>
        </is>
      </c>
      <c r="S1464" s="46" t="n"/>
      <c r="T1464" s="46" t="n"/>
      <c r="U1464" s="44" t="n"/>
      <c r="V1464" s="44">
        <f>IF(AND(P1464&gt;=Calendar!$K$2,P1464&lt;EDATE(Calendar!$K$2,1),OR(Calendar!$K$4="*",N1464=Calendar!$K$4)),P1464*100+COUNTIFS($P$6:$P$3271,P1464,$Q$6:$Q$3271,"&lt;="&amp;Q1464,$N$6:$N$3271,Calendar!$K$4),"")</f>
        <v/>
      </c>
      <c r="W1464" s="44">
        <f>IF(AND(B1464=Queue!$C$4,OR(Queue!$K$4="*",N1464=Queue!$K$4)),Q1464,"")</f>
        <v/>
      </c>
    </row>
    <row r="1465">
      <c r="A1465" s="35">
        <f>IF(M1465="","",HYPERLINK("https://www.youtube.com/watch?v="&amp;M1465,"▶"))</f>
        <v/>
      </c>
      <c r="B1465" s="36">
        <f>IF(C1465&lt;&gt;"",C1465,IF(P1465&lt;=IFERROR(INDEX(tblChannels[Watched Through],MATCH(N1465,tblChannels[Channel ID],0)),0),"Watched","Unwatched"))</f>
        <v/>
      </c>
      <c r="C1465" s="37" t="n"/>
      <c r="D1465" s="38" t="n"/>
      <c r="E1465" s="39" t="n">
        <v>44300.41666666666</v>
      </c>
      <c r="F1465" s="49" t="inlineStr">
        <is>
          <t>Super Carlin Gaming</t>
        </is>
      </c>
      <c r="G1465" t="inlineStr">
        <is>
          <t>The CRITICAL Exeggutor |  Pokémon LeafGreen Randomizer Nuzlocke #7</t>
        </is>
      </c>
      <c r="H1465" s="41" t="n">
        <v>0.02744212962962963</v>
      </c>
      <c r="I1465" s="42" t="n">
        <v>30363</v>
      </c>
      <c r="J1465" s="42" t="n">
        <v>1293</v>
      </c>
      <c r="K1465" s="42" t="n">
        <v>729</v>
      </c>
      <c r="L1465" s="43" t="n"/>
      <c r="M1465" s="44" t="n"/>
      <c r="N1465" s="44" t="inlineStr">
        <is>
          <t>UCor_9jRnNNZVzTuQ92PKsaQ</t>
        </is>
      </c>
      <c r="O1465" s="45" t="n">
        <v>44300.58333333334</v>
      </c>
      <c r="P1465" s="46" t="n">
        <v>44300</v>
      </c>
      <c r="Q1465" s="44" t="n">
        <v>1807</v>
      </c>
      <c r="R1465" s="44" t="inlineStr">
        <is>
          <t>No Video ID yet</t>
        </is>
      </c>
      <c r="S1465" s="46" t="n"/>
      <c r="T1465" s="46" t="n"/>
      <c r="U1465" s="44" t="n"/>
      <c r="V1465" s="44">
        <f>IF(AND(P1465&gt;=Calendar!$K$2,P1465&lt;EDATE(Calendar!$K$2,1),OR(Calendar!$K$4="*",N1465=Calendar!$K$4)),P1465*100+COUNTIFS($P$6:$P$3271,P1465,$Q$6:$Q$3271,"&lt;="&amp;Q1465,$N$6:$N$3271,Calendar!$K$4),"")</f>
        <v/>
      </c>
      <c r="W1465" s="44">
        <f>IF(AND(B1465=Queue!$C$4,OR(Queue!$K$4="*",N1465=Queue!$K$4)),Q1465,"")</f>
        <v/>
      </c>
    </row>
    <row r="1466">
      <c r="A1466" s="35">
        <f>IF(M1466="","",HYPERLINK("https://www.youtube.com/watch?v="&amp;M1466,"▶"))</f>
        <v/>
      </c>
      <c r="B1466" s="36">
        <f>IF(C1466&lt;&gt;"",C1466,IF(P1466&lt;=IFERROR(INDEX(tblChannels[Watched Through],MATCH(N1466,tblChannels[Channel ID],0)),0),"Watched","Unwatched"))</f>
        <v/>
      </c>
      <c r="C1466" s="37" t="n"/>
      <c r="D1466" s="38" t="n"/>
      <c r="E1466" s="39" t="n">
        <v>44299.64722222222</v>
      </c>
      <c r="F1466" s="47" t="inlineStr">
        <is>
          <t>Super Carlin Brothers</t>
        </is>
      </c>
      <c r="G1466" t="inlineStr">
        <is>
          <t>The TRUTH About Polyjuice Potion | Harry Potter Theory</t>
        </is>
      </c>
      <c r="H1466" s="41" t="n">
        <v>0.01136574074074074</v>
      </c>
      <c r="I1466" s="42" t="n">
        <v>501573</v>
      </c>
      <c r="J1466" s="42" t="n">
        <v>17590</v>
      </c>
      <c r="K1466" s="42" t="n">
        <v>2748</v>
      </c>
      <c r="L1466" s="43" t="n"/>
      <c r="M1466" s="44" t="n"/>
      <c r="N1466" s="44" t="inlineStr">
        <is>
          <t>UCKZo4N0lVPccBkSiuyVh4yg</t>
        </is>
      </c>
      <c r="O1466" s="45" t="n">
        <v>44299.81388888889</v>
      </c>
      <c r="P1466" s="46" t="n">
        <v>44299</v>
      </c>
      <c r="Q1466" s="44" t="n">
        <v>1806</v>
      </c>
      <c r="R1466" s="44" t="inlineStr">
        <is>
          <t>No Video ID yet</t>
        </is>
      </c>
      <c r="S1466" s="46" t="n"/>
      <c r="T1466" s="46" t="n"/>
      <c r="U1466" s="44" t="n"/>
      <c r="V1466" s="44">
        <f>IF(AND(P1466&gt;=Calendar!$K$2,P1466&lt;EDATE(Calendar!$K$2,1),OR(Calendar!$K$4="*",N1466=Calendar!$K$4)),P1466*100+COUNTIFS($P$6:$P$3271,P1466,$Q$6:$Q$3271,"&lt;="&amp;Q1466,$N$6:$N$3271,Calendar!$K$4),"")</f>
        <v/>
      </c>
      <c r="W1466" s="44">
        <f>IF(AND(B1466=Queue!$C$4,OR(Queue!$K$4="*",N1466=Queue!$K$4)),Q1466,"")</f>
        <v/>
      </c>
    </row>
    <row r="1467">
      <c r="A1467" s="35">
        <f>IF(M1467="","",HYPERLINK("https://www.youtube.com/watch?v="&amp;M1467,"▶"))</f>
        <v/>
      </c>
      <c r="B1467" s="36">
        <f>IF(C1467&lt;&gt;"",C1467,IF(P1467&lt;=IFERROR(INDEX(tblChannels[Watched Through],MATCH(N1467,tblChannels[Channel ID],0)),0),"Watched","Unwatched"))</f>
        <v/>
      </c>
      <c r="C1467" s="37" t="n"/>
      <c r="D1467" s="38" t="n"/>
      <c r="E1467" s="39" t="n">
        <v>44298.41666666666</v>
      </c>
      <c r="F1467" s="49" t="inlineStr">
        <is>
          <t>Super Carlin Gaming</t>
        </is>
      </c>
      <c r="G1467" t="inlineStr">
        <is>
          <t>Draccus is Fast Asleep.. |  Pokémon LeafGreen Randomizer Nuzlocke #6</t>
        </is>
      </c>
      <c r="H1467" s="41" t="n">
        <v>0.02702546296296296</v>
      </c>
      <c r="I1467" s="42" t="n">
        <v>33953</v>
      </c>
      <c r="J1467" s="42" t="n">
        <v>1378</v>
      </c>
      <c r="K1467" s="42" t="n">
        <v>475</v>
      </c>
      <c r="L1467" s="43" t="n"/>
      <c r="M1467" s="44" t="n"/>
      <c r="N1467" s="44" t="inlineStr">
        <is>
          <t>UCor_9jRnNNZVzTuQ92PKsaQ</t>
        </is>
      </c>
      <c r="O1467" s="45" t="n">
        <v>44298.58333333334</v>
      </c>
      <c r="P1467" s="46" t="n">
        <v>44298</v>
      </c>
      <c r="Q1467" s="44" t="n">
        <v>1805</v>
      </c>
      <c r="R1467" s="44" t="inlineStr">
        <is>
          <t>No Video ID yet</t>
        </is>
      </c>
      <c r="S1467" s="46" t="n"/>
      <c r="T1467" s="46" t="n"/>
      <c r="U1467" s="44" t="n"/>
      <c r="V1467" s="44">
        <f>IF(AND(P1467&gt;=Calendar!$K$2,P1467&lt;EDATE(Calendar!$K$2,1),OR(Calendar!$K$4="*",N1467=Calendar!$K$4)),P1467*100+COUNTIFS($P$6:$P$3271,P1467,$Q$6:$Q$3271,"&lt;="&amp;Q1467,$N$6:$N$3271,Calendar!$K$4),"")</f>
        <v/>
      </c>
      <c r="W1467" s="44">
        <f>IF(AND(B1467=Queue!$C$4,OR(Queue!$K$4="*",N1467=Queue!$K$4)),Q1467,"")</f>
        <v/>
      </c>
    </row>
    <row r="1468">
      <c r="A1468" s="35">
        <f>IF(M1468="","",HYPERLINK("https://www.youtube.com/watch?v="&amp;M1468,"▶"))</f>
        <v/>
      </c>
      <c r="B1468" s="36">
        <f>IF(C1468&lt;&gt;"",C1468,IF(P1468&lt;=IFERROR(INDEX(tblChannels[Watched Through],MATCH(N1468,tblChannels[Channel ID],0)),0),"Watched","Unwatched"))</f>
        <v/>
      </c>
      <c r="C1468" s="37" t="n"/>
      <c r="D1468" s="38" t="n"/>
      <c r="E1468" s="39" t="n">
        <v>44295.41666666666</v>
      </c>
      <c r="F1468" s="47" t="inlineStr">
        <is>
          <t>Super Carlin Brothers</t>
        </is>
      </c>
      <c r="G1468" t="inlineStr">
        <is>
          <t>Ben Finds A SECRET Key! | Popcorn Culture</t>
        </is>
      </c>
      <c r="H1468" s="41" t="n">
        <v>0.0453125</v>
      </c>
      <c r="I1468" s="42" t="n">
        <v>24465</v>
      </c>
      <c r="J1468" s="42" t="n">
        <v>1071</v>
      </c>
      <c r="K1468" s="42" t="n">
        <v>151</v>
      </c>
      <c r="L1468" s="43" t="n"/>
      <c r="M1468" s="44" t="n"/>
      <c r="N1468" s="44" t="inlineStr">
        <is>
          <t>UCKZo4N0lVPccBkSiuyVh4yg</t>
        </is>
      </c>
      <c r="O1468" s="45" t="n">
        <v>44295.58333333334</v>
      </c>
      <c r="P1468" s="46" t="n">
        <v>44295</v>
      </c>
      <c r="Q1468" s="44" t="n">
        <v>1804</v>
      </c>
      <c r="R1468" s="44" t="inlineStr">
        <is>
          <t>No Video ID yet</t>
        </is>
      </c>
      <c r="S1468" s="46" t="n"/>
      <c r="T1468" s="46" t="n"/>
      <c r="U1468" s="44" t="n"/>
      <c r="V1468" s="44">
        <f>IF(AND(P1468&gt;=Calendar!$K$2,P1468&lt;EDATE(Calendar!$K$2,1),OR(Calendar!$K$4="*",N1468=Calendar!$K$4)),P1468*100+COUNTIFS($P$6:$P$3271,P1468,$Q$6:$Q$3271,"&lt;="&amp;Q1468,$N$6:$N$3271,Calendar!$K$4),"")</f>
        <v/>
      </c>
      <c r="W1468" s="44">
        <f>IF(AND(B1468=Queue!$C$4,OR(Queue!$K$4="*",N1468=Queue!$K$4)),Q1468,"")</f>
        <v/>
      </c>
    </row>
    <row r="1469">
      <c r="A1469" s="35">
        <f>IF(M1469="","",HYPERLINK("https://www.youtube.com/watch?v="&amp;M1469,"▶"))</f>
        <v/>
      </c>
      <c r="B1469" s="36">
        <f>IF(C1469&lt;&gt;"",C1469,IF(P1469&lt;=IFERROR(INDEX(tblChannels[Watched Through],MATCH(N1469,tblChannels[Channel ID],0)),0),"Watched","Unwatched"))</f>
        <v/>
      </c>
      <c r="C1469" s="37" t="n"/>
      <c r="D1469" s="38" t="n"/>
      <c r="E1469" s="39" t="n">
        <v>44295.25</v>
      </c>
      <c r="F1469" s="40" t="inlineStr">
        <is>
          <t>Popcorn Culture</t>
        </is>
      </c>
      <c r="G1469" t="inlineStr">
        <is>
          <t>70 - Best Thing Not Listed</t>
        </is>
      </c>
      <c r="H1469" s="41" t="n">
        <v>0.04346064814814815</v>
      </c>
      <c r="I1469" s="42" t="n">
        <v>1583</v>
      </c>
      <c r="J1469" s="42" t="n">
        <v>79</v>
      </c>
      <c r="K1469" s="42" t="n">
        <v>13</v>
      </c>
      <c r="L1469" s="43" t="n"/>
      <c r="M1469" s="44" t="n"/>
      <c r="N1469" s="44" t="inlineStr">
        <is>
          <t>UCHfIbq9thHPC8yrKjAdJgDA</t>
        </is>
      </c>
      <c r="O1469" s="45" t="n">
        <v>44295.41666666666</v>
      </c>
      <c r="P1469" s="46" t="n">
        <v>44295</v>
      </c>
      <c r="Q1469" s="44" t="n">
        <v>1803</v>
      </c>
      <c r="R1469" s="44" t="inlineStr">
        <is>
          <t>No Video ID yet</t>
        </is>
      </c>
      <c r="S1469" s="46" t="n"/>
      <c r="T1469" s="46" t="n"/>
      <c r="U1469" s="44" t="n"/>
      <c r="V1469" s="44">
        <f>IF(AND(P1469&gt;=Calendar!$K$2,P1469&lt;EDATE(Calendar!$K$2,1),OR(Calendar!$K$4="*",N1469=Calendar!$K$4)),P1469*100+COUNTIFS($P$6:$P$3271,P1469,$Q$6:$Q$3271,"&lt;="&amp;Q1469,$N$6:$N$3271,Calendar!$K$4),"")</f>
        <v/>
      </c>
      <c r="W1469" s="44">
        <f>IF(AND(B1469=Queue!$C$4,OR(Queue!$K$4="*",N1469=Queue!$K$4)),Q1469,"")</f>
        <v/>
      </c>
    </row>
    <row r="1470">
      <c r="A1470" s="35">
        <f>IF(M1470="","",HYPERLINK("https://www.youtube.com/watch?v="&amp;M1470,"▶"))</f>
        <v/>
      </c>
      <c r="B1470" s="36">
        <f>IF(C1470&lt;&gt;"",C1470,IF(P1470&lt;=IFERROR(INDEX(tblChannels[Watched Through],MATCH(N1470,tblChannels[Channel ID],0)),0),"Watched","Unwatched"))</f>
        <v/>
      </c>
      <c r="C1470" s="37" t="n"/>
      <c r="D1470" s="38" t="n"/>
      <c r="E1470" s="39" t="n">
        <v>44294.67291666667</v>
      </c>
      <c r="F1470" s="47" t="inlineStr">
        <is>
          <t>Super Carlin Brothers</t>
        </is>
      </c>
      <c r="G1470" t="inlineStr">
        <is>
          <t>Harry Is DEATH | Harry Potter Theory</t>
        </is>
      </c>
      <c r="H1470" s="41" t="n">
        <v>0.009560185185185185</v>
      </c>
      <c r="I1470" s="42" t="n">
        <v>342669</v>
      </c>
      <c r="J1470" s="42" t="n">
        <v>14526</v>
      </c>
      <c r="K1470" s="42" t="n">
        <v>1582</v>
      </c>
      <c r="L1470" s="43" t="n"/>
      <c r="M1470" s="44" t="n"/>
      <c r="N1470" s="44" t="inlineStr">
        <is>
          <t>UCKZo4N0lVPccBkSiuyVh4yg</t>
        </is>
      </c>
      <c r="O1470" s="45" t="n">
        <v>44294.83958333333</v>
      </c>
      <c r="P1470" s="46" t="n">
        <v>44294</v>
      </c>
      <c r="Q1470" s="44" t="n">
        <v>1802</v>
      </c>
      <c r="R1470" s="44" t="inlineStr">
        <is>
          <t>No Video ID yet</t>
        </is>
      </c>
      <c r="S1470" s="46" t="n"/>
      <c r="T1470" s="46" t="n"/>
      <c r="U1470" s="44" t="n"/>
      <c r="V1470" s="44">
        <f>IF(AND(P1470&gt;=Calendar!$K$2,P1470&lt;EDATE(Calendar!$K$2,1),OR(Calendar!$K$4="*",N1470=Calendar!$K$4)),P1470*100+COUNTIFS($P$6:$P$3271,P1470,$Q$6:$Q$3271,"&lt;="&amp;Q1470,$N$6:$N$3271,Calendar!$K$4),"")</f>
        <v/>
      </c>
      <c r="W1470" s="44">
        <f>IF(AND(B1470=Queue!$C$4,OR(Queue!$K$4="*",N1470=Queue!$K$4)),Q1470,"")</f>
        <v/>
      </c>
    </row>
    <row r="1471">
      <c r="A1471" s="35">
        <f>IF(M1471="","",HYPERLINK("https://www.youtube.com/watch?v="&amp;M1471,"▶"))</f>
        <v/>
      </c>
      <c r="B1471" s="36">
        <f>IF(C1471&lt;&gt;"",C1471,IF(P1471&lt;=IFERROR(INDEX(tblChannels[Watched Through],MATCH(N1471,tblChannels[Channel ID],0)),0),"Watched","Unwatched"))</f>
        <v/>
      </c>
      <c r="C1471" s="37" t="n"/>
      <c r="D1471" s="38" t="n"/>
      <c r="E1471" s="39" t="n">
        <v>44293.41666666666</v>
      </c>
      <c r="F1471" s="49" t="inlineStr">
        <is>
          <t>Super Carlin Gaming</t>
        </is>
      </c>
      <c r="G1471" t="inlineStr">
        <is>
          <t>Why Can't We Have Nice Things?! |  Pokémon LeafGreen Randomizer Nuzlocke #5</t>
        </is>
      </c>
      <c r="H1471" s="41" t="n">
        <v>0.02642361111111111</v>
      </c>
      <c r="I1471" s="42" t="n">
        <v>37451</v>
      </c>
      <c r="J1471" s="42" t="n">
        <v>1655</v>
      </c>
      <c r="K1471" s="42" t="n">
        <v>745</v>
      </c>
      <c r="L1471" s="43" t="n"/>
      <c r="M1471" s="44" t="n"/>
      <c r="N1471" s="44" t="inlineStr">
        <is>
          <t>UCor_9jRnNNZVzTuQ92PKsaQ</t>
        </is>
      </c>
      <c r="O1471" s="45" t="n">
        <v>44293.58333333334</v>
      </c>
      <c r="P1471" s="46" t="n">
        <v>44293</v>
      </c>
      <c r="Q1471" s="44" t="n">
        <v>1801</v>
      </c>
      <c r="R1471" s="44" t="inlineStr">
        <is>
          <t>No Video ID yet</t>
        </is>
      </c>
      <c r="S1471" s="46" t="n"/>
      <c r="T1471" s="46" t="n"/>
      <c r="U1471" s="44" t="n"/>
      <c r="V1471" s="44">
        <f>IF(AND(P1471&gt;=Calendar!$K$2,P1471&lt;EDATE(Calendar!$K$2,1),OR(Calendar!$K$4="*",N1471=Calendar!$K$4)),P1471*100+COUNTIFS($P$6:$P$3271,P1471,$Q$6:$Q$3271,"&lt;="&amp;Q1471,$N$6:$N$3271,Calendar!$K$4),"")</f>
        <v/>
      </c>
      <c r="W1471" s="44">
        <f>IF(AND(B1471=Queue!$C$4,OR(Queue!$K$4="*",N1471=Queue!$K$4)),Q1471,"")</f>
        <v/>
      </c>
    </row>
    <row r="1472">
      <c r="A1472" s="35">
        <f>IF(M1472="","",HYPERLINK("https://www.youtube.com/watch?v="&amp;M1472,"▶"))</f>
        <v/>
      </c>
      <c r="B1472" s="36">
        <f>IF(C1472&lt;&gt;"",C1472,IF(P1472&lt;=IFERROR(INDEX(tblChannels[Watched Through],MATCH(N1472,tblChannels[Channel ID],0)),0),"Watched","Unwatched"))</f>
        <v/>
      </c>
      <c r="C1472" s="37" t="n"/>
      <c r="D1472" s="38" t="n"/>
      <c r="E1472" s="39" t="n">
        <v>44292.69791666666</v>
      </c>
      <c r="F1472" s="47" t="inlineStr">
        <is>
          <t>Super Carlin Brothers</t>
        </is>
      </c>
      <c r="G1472" t="inlineStr">
        <is>
          <t>The TRUTH About Sokka's Space Sword | Avatar the Last Airbender Theory</t>
        </is>
      </c>
      <c r="H1472" s="41" t="n">
        <v>0.01038194444444444</v>
      </c>
      <c r="I1472" s="42" t="n">
        <v>389039</v>
      </c>
      <c r="J1472" s="42" t="n">
        <v>17446</v>
      </c>
      <c r="K1472" s="42" t="n">
        <v>1149</v>
      </c>
      <c r="L1472" s="43" t="n"/>
      <c r="M1472" s="44" t="n"/>
      <c r="N1472" s="44" t="inlineStr">
        <is>
          <t>UCKZo4N0lVPccBkSiuyVh4yg</t>
        </is>
      </c>
      <c r="O1472" s="45" t="n">
        <v>44292.86458333334</v>
      </c>
      <c r="P1472" s="46" t="n">
        <v>44292</v>
      </c>
      <c r="Q1472" s="44" t="n">
        <v>1800</v>
      </c>
      <c r="R1472" s="44" t="inlineStr">
        <is>
          <t>No Video ID yet</t>
        </is>
      </c>
      <c r="S1472" s="46" t="n"/>
      <c r="T1472" s="46" t="n"/>
      <c r="U1472" s="44" t="n"/>
      <c r="V1472" s="44">
        <f>IF(AND(P1472&gt;=Calendar!$K$2,P1472&lt;EDATE(Calendar!$K$2,1),OR(Calendar!$K$4="*",N1472=Calendar!$K$4)),P1472*100+COUNTIFS($P$6:$P$3271,P1472,$Q$6:$Q$3271,"&lt;="&amp;Q1472,$N$6:$N$3271,Calendar!$K$4),"")</f>
        <v/>
      </c>
      <c r="W1472" s="44">
        <f>IF(AND(B1472=Queue!$C$4,OR(Queue!$K$4="*",N1472=Queue!$K$4)),Q1472,"")</f>
        <v/>
      </c>
    </row>
    <row r="1473">
      <c r="A1473" s="35">
        <f>IF(M1473="","",HYPERLINK("https://www.youtube.com/watch?v="&amp;M1473,"▶"))</f>
        <v/>
      </c>
      <c r="B1473" s="36">
        <f>IF(C1473&lt;&gt;"",C1473,IF(P1473&lt;=IFERROR(INDEX(tblChannels[Watched Through],MATCH(N1473,tblChannels[Channel ID],0)),0),"Watched","Unwatched"))</f>
        <v/>
      </c>
      <c r="C1473" s="37" t="n"/>
      <c r="D1473" s="38" t="n"/>
      <c r="E1473" s="39" t="n">
        <v>44291.41666666666</v>
      </c>
      <c r="F1473" s="49" t="inlineStr">
        <is>
          <t>Super Carlin Gaming</t>
        </is>
      </c>
      <c r="G1473" t="inlineStr">
        <is>
          <t>The Battle with Misty! | Pokémon LeafGreen Randomizer Nuzlocke #4</t>
        </is>
      </c>
      <c r="H1473" s="41" t="n">
        <v>0.02712962962962963</v>
      </c>
      <c r="I1473" s="42" t="n">
        <v>39869</v>
      </c>
      <c r="J1473" s="42" t="n">
        <v>1878</v>
      </c>
      <c r="K1473" s="42" t="n">
        <v>679</v>
      </c>
      <c r="L1473" s="43" t="n"/>
      <c r="M1473" s="44" t="n"/>
      <c r="N1473" s="44" t="inlineStr">
        <is>
          <t>UCor_9jRnNNZVzTuQ92PKsaQ</t>
        </is>
      </c>
      <c r="O1473" s="45" t="n">
        <v>44291.58333333334</v>
      </c>
      <c r="P1473" s="46" t="n">
        <v>44291</v>
      </c>
      <c r="Q1473" s="44" t="n">
        <v>1799</v>
      </c>
      <c r="R1473" s="44" t="inlineStr">
        <is>
          <t>No Video ID yet</t>
        </is>
      </c>
      <c r="S1473" s="46" t="n"/>
      <c r="T1473" s="46" t="n"/>
      <c r="U1473" s="44" t="n"/>
      <c r="V1473" s="44">
        <f>IF(AND(P1473&gt;=Calendar!$K$2,P1473&lt;EDATE(Calendar!$K$2,1),OR(Calendar!$K$4="*",N1473=Calendar!$K$4)),P1473*100+COUNTIFS($P$6:$P$3271,P1473,$Q$6:$Q$3271,"&lt;="&amp;Q1473,$N$6:$N$3271,Calendar!$K$4),"")</f>
        <v/>
      </c>
      <c r="W1473" s="44">
        <f>IF(AND(B1473=Queue!$C$4,OR(Queue!$K$4="*",N1473=Queue!$K$4)),Q1473,"")</f>
        <v/>
      </c>
    </row>
    <row r="1474">
      <c r="A1474" s="35">
        <f>IF(M1474="","",HYPERLINK("https://www.youtube.com/watch?v="&amp;M1474,"▶"))</f>
        <v/>
      </c>
      <c r="B1474" s="36">
        <f>IF(C1474&lt;&gt;"",C1474,IF(P1474&lt;=IFERROR(INDEX(tblChannels[Watched Through],MATCH(N1474,tblChannels[Channel ID],0)),0),"Watched","Unwatched"))</f>
        <v/>
      </c>
      <c r="C1474" s="37" t="n"/>
      <c r="D1474" s="38" t="n"/>
      <c r="E1474" s="39" t="n">
        <v>44288.44791666666</v>
      </c>
      <c r="F1474" s="47" t="inlineStr">
        <is>
          <t>Super Carlin Brothers</t>
        </is>
      </c>
      <c r="G1474" t="inlineStr">
        <is>
          <t>The First Annual Strawberry Film Festival &amp; Spirit Bears | Popcorn Culture</t>
        </is>
      </c>
      <c r="H1474" s="41" t="n">
        <v>0.04229166666666666</v>
      </c>
      <c r="I1474" s="42" t="n">
        <v>21607</v>
      </c>
      <c r="J1474" s="42" t="n">
        <v>916</v>
      </c>
      <c r="K1474" s="42" t="n">
        <v>161</v>
      </c>
      <c r="L1474" s="43" t="n"/>
      <c r="M1474" s="44" t="n"/>
      <c r="N1474" s="44" t="inlineStr">
        <is>
          <t>UCKZo4N0lVPccBkSiuyVh4yg</t>
        </is>
      </c>
      <c r="O1474" s="45" t="n">
        <v>44288.61458333334</v>
      </c>
      <c r="P1474" s="46" t="n">
        <v>44288</v>
      </c>
      <c r="Q1474" s="44" t="n">
        <v>1798</v>
      </c>
      <c r="R1474" s="44" t="inlineStr">
        <is>
          <t>No Video ID yet</t>
        </is>
      </c>
      <c r="S1474" s="46" t="n"/>
      <c r="T1474" s="46" t="n"/>
      <c r="U1474" s="44" t="n"/>
      <c r="V1474" s="44">
        <f>IF(AND(P1474&gt;=Calendar!$K$2,P1474&lt;EDATE(Calendar!$K$2,1),OR(Calendar!$K$4="*",N1474=Calendar!$K$4)),P1474*100+COUNTIFS($P$6:$P$3271,P1474,$Q$6:$Q$3271,"&lt;="&amp;Q1474,$N$6:$N$3271,Calendar!$K$4),"")</f>
        <v/>
      </c>
      <c r="W1474" s="44">
        <f>IF(AND(B1474=Queue!$C$4,OR(Queue!$K$4="*",N1474=Queue!$K$4)),Q1474,"")</f>
        <v/>
      </c>
    </row>
    <row r="1475">
      <c r="A1475" s="35">
        <f>IF(M1475="","",HYPERLINK("https://www.youtube.com/watch?v="&amp;M1475,"▶"))</f>
        <v/>
      </c>
      <c r="B1475" s="36">
        <f>IF(C1475&lt;&gt;"",C1475,IF(P1475&lt;=IFERROR(INDEX(tblChannels[Watched Through],MATCH(N1475,tblChannels[Channel ID],0)),0),"Watched","Unwatched"))</f>
        <v/>
      </c>
      <c r="C1475" s="37" t="n"/>
      <c r="D1475" s="38" t="n"/>
      <c r="E1475" s="39" t="n">
        <v>44288.25</v>
      </c>
      <c r="F1475" s="40" t="inlineStr">
        <is>
          <t>Popcorn Culture</t>
        </is>
      </c>
      <c r="G1475" t="inlineStr">
        <is>
          <t>69 - The First Annual</t>
        </is>
      </c>
      <c r="H1475" s="41" t="n">
        <v>0.04069444444444444</v>
      </c>
      <c r="I1475" s="42" t="n">
        <v>1373</v>
      </c>
      <c r="J1475" s="42" t="n">
        <v>62</v>
      </c>
      <c r="K1475" s="42" t="n">
        <v>12</v>
      </c>
      <c r="L1475" s="43" t="n"/>
      <c r="M1475" s="44" t="n"/>
      <c r="N1475" s="44" t="inlineStr">
        <is>
          <t>UCHfIbq9thHPC8yrKjAdJgDA</t>
        </is>
      </c>
      <c r="O1475" s="45" t="n">
        <v>44288.41666666666</v>
      </c>
      <c r="P1475" s="46" t="n">
        <v>44288</v>
      </c>
      <c r="Q1475" s="44" t="n">
        <v>1797</v>
      </c>
      <c r="R1475" s="44" t="inlineStr">
        <is>
          <t>No Video ID yet</t>
        </is>
      </c>
      <c r="S1475" s="46" t="n"/>
      <c r="T1475" s="46" t="n"/>
      <c r="U1475" s="44" t="n"/>
      <c r="V1475" s="44">
        <f>IF(AND(P1475&gt;=Calendar!$K$2,P1475&lt;EDATE(Calendar!$K$2,1),OR(Calendar!$K$4="*",N1475=Calendar!$K$4)),P1475*100+COUNTIFS($P$6:$P$3271,P1475,$Q$6:$Q$3271,"&lt;="&amp;Q1475,$N$6:$N$3271,Calendar!$K$4),"")</f>
        <v/>
      </c>
      <c r="W1475" s="44">
        <f>IF(AND(B1475=Queue!$C$4,OR(Queue!$K$4="*",N1475=Queue!$K$4)),Q1475,"")</f>
        <v/>
      </c>
    </row>
    <row r="1476">
      <c r="A1476" s="35">
        <f>IF(M1476="","",HYPERLINK("https://www.youtube.com/watch?v="&amp;M1476,"▶"))</f>
        <v/>
      </c>
      <c r="B1476" s="36">
        <f>IF(C1476&lt;&gt;"",C1476,IF(P1476&lt;=IFERROR(INDEX(tblChannels[Watched Through],MATCH(N1476,tblChannels[Channel ID],0)),0),"Watched","Unwatched"))</f>
        <v/>
      </c>
      <c r="C1476" s="37" t="n"/>
      <c r="D1476" s="38" t="n"/>
      <c r="E1476" s="39" t="n">
        <v>44287.69861111111</v>
      </c>
      <c r="F1476" s="47" t="inlineStr">
        <is>
          <t>Super Carlin Brothers</t>
        </is>
      </c>
      <c r="G1476" t="inlineStr">
        <is>
          <t>J vs Ben: HARDEST Harry Potter Magical Objects Trivia Quiz</t>
        </is>
      </c>
      <c r="H1476" s="41" t="n">
        <v>0.01768518518518519</v>
      </c>
      <c r="I1476" s="42" t="n">
        <v>386852</v>
      </c>
      <c r="J1476" s="42" t="n">
        <v>12435</v>
      </c>
      <c r="K1476" s="42" t="n">
        <v>1336</v>
      </c>
      <c r="L1476" s="43" t="n"/>
      <c r="M1476" s="44" t="n"/>
      <c r="N1476" s="44" t="inlineStr">
        <is>
          <t>UCKZo4N0lVPccBkSiuyVh4yg</t>
        </is>
      </c>
      <c r="O1476" s="45" t="n">
        <v>44287.86527777778</v>
      </c>
      <c r="P1476" s="46" t="n">
        <v>44287</v>
      </c>
      <c r="Q1476" s="44" t="n">
        <v>1796</v>
      </c>
      <c r="R1476" s="44" t="inlineStr">
        <is>
          <t>No Video ID yet</t>
        </is>
      </c>
      <c r="S1476" s="46" t="n"/>
      <c r="T1476" s="46" t="n"/>
      <c r="U1476" s="44" t="n"/>
      <c r="V1476" s="44">
        <f>IF(AND(P1476&gt;=Calendar!$K$2,P1476&lt;EDATE(Calendar!$K$2,1),OR(Calendar!$K$4="*",N1476=Calendar!$K$4)),P1476*100+COUNTIFS($P$6:$P$3271,P1476,$Q$6:$Q$3271,"&lt;="&amp;Q1476,$N$6:$N$3271,Calendar!$K$4),"")</f>
        <v/>
      </c>
      <c r="W1476" s="44">
        <f>IF(AND(B1476=Queue!$C$4,OR(Queue!$K$4="*",N1476=Queue!$K$4)),Q1476,"")</f>
        <v/>
      </c>
    </row>
    <row r="1477">
      <c r="A1477" s="35">
        <f>IF(M1477="","",HYPERLINK("https://www.youtube.com/watch?v="&amp;M1477,"▶"))</f>
        <v/>
      </c>
      <c r="B1477" s="36">
        <f>IF(C1477&lt;&gt;"",C1477,IF(P1477&lt;=IFERROR(INDEX(tblChannels[Watched Through],MATCH(N1477,tblChannels[Channel ID],0)),0),"Watched","Unwatched"))</f>
        <v/>
      </c>
      <c r="C1477" s="37" t="n"/>
      <c r="D1477" s="38" t="n"/>
      <c r="E1477" s="39" t="n">
        <v>44286.41666666666</v>
      </c>
      <c r="F1477" s="49" t="inlineStr">
        <is>
          <t>Super Carlin Gaming</t>
        </is>
      </c>
      <c r="G1477" t="inlineStr">
        <is>
          <t>Enter the Dragon...  | Pokémon LeafGreen Randomizer Nuzlocke #3</t>
        </is>
      </c>
      <c r="H1477" s="41" t="n">
        <v>0.03027777777777778</v>
      </c>
      <c r="I1477" s="42" t="n">
        <v>45416</v>
      </c>
      <c r="J1477" s="42" t="n">
        <v>1956</v>
      </c>
      <c r="K1477" s="42" t="n">
        <v>857</v>
      </c>
      <c r="L1477" s="43" t="n"/>
      <c r="M1477" s="44" t="n"/>
      <c r="N1477" s="44" t="inlineStr">
        <is>
          <t>UCor_9jRnNNZVzTuQ92PKsaQ</t>
        </is>
      </c>
      <c r="O1477" s="45" t="n">
        <v>44286.58333333334</v>
      </c>
      <c r="P1477" s="46" t="n">
        <v>44286</v>
      </c>
      <c r="Q1477" s="44" t="n">
        <v>1795</v>
      </c>
      <c r="R1477" s="44" t="inlineStr">
        <is>
          <t>No Video ID yet</t>
        </is>
      </c>
      <c r="S1477" s="46" t="n"/>
      <c r="T1477" s="46" t="n"/>
      <c r="U1477" s="44" t="n"/>
      <c r="V1477" s="44">
        <f>IF(AND(P1477&gt;=Calendar!$K$2,P1477&lt;EDATE(Calendar!$K$2,1),OR(Calendar!$K$4="*",N1477=Calendar!$K$4)),P1477*100+COUNTIFS($P$6:$P$3271,P1477,$Q$6:$Q$3271,"&lt;="&amp;Q1477,$N$6:$N$3271,Calendar!$K$4),"")</f>
        <v/>
      </c>
      <c r="W1477" s="44">
        <f>IF(AND(B1477=Queue!$C$4,OR(Queue!$K$4="*",N1477=Queue!$K$4)),Q1477,"")</f>
        <v/>
      </c>
    </row>
    <row r="1478">
      <c r="A1478" s="35">
        <f>IF(M1478="","",HYPERLINK("https://www.youtube.com/watch?v="&amp;M1478,"▶"))</f>
        <v/>
      </c>
      <c r="B1478" s="36">
        <f>IF(C1478&lt;&gt;"",C1478,IF(P1478&lt;=IFERROR(INDEX(tblChannels[Watched Through],MATCH(N1478,tblChannels[Channel ID],0)),0),"Watched","Unwatched"))</f>
        <v/>
      </c>
      <c r="C1478" s="37" t="n"/>
      <c r="D1478" s="38" t="n"/>
      <c r="E1478" s="39" t="n">
        <v>44285.625</v>
      </c>
      <c r="F1478" s="47" t="inlineStr">
        <is>
          <t>Super Carlin Brothers</t>
        </is>
      </c>
      <c r="G1478" t="inlineStr">
        <is>
          <t>Could A Muggle Be Master Of The Elder Wand? | Harry Potter Theory</t>
        </is>
      </c>
      <c r="H1478" s="41" t="n">
        <v>0.009062499999999999</v>
      </c>
      <c r="I1478" s="42" t="n">
        <v>265255</v>
      </c>
      <c r="J1478" s="42" t="n">
        <v>12085</v>
      </c>
      <c r="K1478" s="42" t="n">
        <v>1675</v>
      </c>
      <c r="L1478" s="43" t="n"/>
      <c r="M1478" s="44" t="n"/>
      <c r="N1478" s="44" t="inlineStr">
        <is>
          <t>UCKZo4N0lVPccBkSiuyVh4yg</t>
        </is>
      </c>
      <c r="O1478" s="45" t="n">
        <v>44285.79166666666</v>
      </c>
      <c r="P1478" s="46" t="n">
        <v>44285</v>
      </c>
      <c r="Q1478" s="44" t="n">
        <v>1794</v>
      </c>
      <c r="R1478" s="44" t="inlineStr">
        <is>
          <t>No Video ID yet</t>
        </is>
      </c>
      <c r="S1478" s="46" t="n"/>
      <c r="T1478" s="46" t="n"/>
      <c r="U1478" s="44" t="n"/>
      <c r="V1478" s="44">
        <f>IF(AND(P1478&gt;=Calendar!$K$2,P1478&lt;EDATE(Calendar!$K$2,1),OR(Calendar!$K$4="*",N1478=Calendar!$K$4)),P1478*100+COUNTIFS($P$6:$P$3271,P1478,$Q$6:$Q$3271,"&lt;="&amp;Q1478,$N$6:$N$3271,Calendar!$K$4),"")</f>
        <v/>
      </c>
      <c r="W1478" s="44">
        <f>IF(AND(B1478=Queue!$C$4,OR(Queue!$K$4="*",N1478=Queue!$K$4)),Q1478,"")</f>
        <v/>
      </c>
    </row>
    <row r="1479">
      <c r="A1479" s="35">
        <f>IF(M1479="","",HYPERLINK("https://www.youtube.com/watch?v="&amp;M1479,"▶"))</f>
        <v/>
      </c>
      <c r="B1479" s="36">
        <f>IF(C1479&lt;&gt;"",C1479,IF(P1479&lt;=IFERROR(INDEX(tblChannels[Watched Through],MATCH(N1479,tblChannels[Channel ID],0)),0),"Watched","Unwatched"))</f>
        <v/>
      </c>
      <c r="C1479" s="37" t="n"/>
      <c r="D1479" s="38" t="n"/>
      <c r="E1479" s="39" t="n">
        <v>44284.41666666666</v>
      </c>
      <c r="F1479" s="49" t="inlineStr">
        <is>
          <t>Super Carlin Gaming</t>
        </is>
      </c>
      <c r="G1479" t="inlineStr">
        <is>
          <t>THE FIRST GYM |  Pokémon LeafGreen Randomizer Nuzlocke #2</t>
        </is>
      </c>
      <c r="H1479" s="41" t="n">
        <v>0.01864583333333333</v>
      </c>
      <c r="I1479" s="42" t="n">
        <v>40006</v>
      </c>
      <c r="J1479" s="42" t="n">
        <v>2225</v>
      </c>
      <c r="K1479" s="42" t="n">
        <v>785</v>
      </c>
      <c r="L1479" s="43" t="n"/>
      <c r="M1479" s="44" t="n"/>
      <c r="N1479" s="44" t="inlineStr">
        <is>
          <t>UCor_9jRnNNZVzTuQ92PKsaQ</t>
        </is>
      </c>
      <c r="O1479" s="45" t="n">
        <v>44284.58333333334</v>
      </c>
      <c r="P1479" s="46" t="n">
        <v>44284</v>
      </c>
      <c r="Q1479" s="44" t="n">
        <v>1793</v>
      </c>
      <c r="R1479" s="44" t="inlineStr">
        <is>
          <t>No Video ID yet</t>
        </is>
      </c>
      <c r="S1479" s="46" t="n"/>
      <c r="T1479" s="46" t="n"/>
      <c r="U1479" s="44" t="n"/>
      <c r="V1479" s="44">
        <f>IF(AND(P1479&gt;=Calendar!$K$2,P1479&lt;EDATE(Calendar!$K$2,1),OR(Calendar!$K$4="*",N1479=Calendar!$K$4)),P1479*100+COUNTIFS($P$6:$P$3271,P1479,$Q$6:$Q$3271,"&lt;="&amp;Q1479,$N$6:$N$3271,Calendar!$K$4),"")</f>
        <v/>
      </c>
      <c r="W1479" s="44">
        <f>IF(AND(B1479=Queue!$C$4,OR(Queue!$K$4="*",N1479=Queue!$K$4)),Q1479,"")</f>
        <v/>
      </c>
    </row>
    <row r="1480">
      <c r="A1480" s="35">
        <f>IF(M1480="","",HYPERLINK("https://www.youtube.com/watch?v="&amp;M1480,"▶"))</f>
        <v/>
      </c>
      <c r="B1480" s="36">
        <f>IF(C1480&lt;&gt;"",C1480,IF(P1480&lt;=IFERROR(INDEX(tblChannels[Watched Through],MATCH(N1480,tblChannels[Channel ID],0)),0),"Watched","Unwatched"))</f>
        <v/>
      </c>
      <c r="C1480" s="37" t="n"/>
      <c r="D1480" s="38" t="n"/>
      <c r="E1480" s="39" t="n">
        <v>44281.72569444445</v>
      </c>
      <c r="F1480" s="49" t="inlineStr">
        <is>
          <t>Super Carlin Gaming</t>
        </is>
      </c>
      <c r="G1480" t="inlineStr">
        <is>
          <t>Unboxing Pokemon Card Booster Boxes!</t>
        </is>
      </c>
      <c r="H1480" s="41" t="n">
        <v>0.09672453703703704</v>
      </c>
      <c r="I1480" s="42" t="n">
        <v>12507</v>
      </c>
      <c r="J1480" s="42" t="n">
        <v>397</v>
      </c>
      <c r="K1480" s="42" t="n">
        <v>41</v>
      </c>
      <c r="L1480" s="43" t="n"/>
      <c r="M1480" s="44" t="n"/>
      <c r="N1480" s="44" t="inlineStr">
        <is>
          <t>UCor_9jRnNNZVzTuQ92PKsaQ</t>
        </is>
      </c>
      <c r="O1480" s="45" t="n">
        <v>44281.89236111111</v>
      </c>
      <c r="P1480" s="46" t="n">
        <v>44281</v>
      </c>
      <c r="Q1480" s="44" t="n">
        <v>1792</v>
      </c>
      <c r="R1480" s="44" t="inlineStr">
        <is>
          <t>No Video ID yet</t>
        </is>
      </c>
      <c r="S1480" s="46" t="n"/>
      <c r="T1480" s="46" t="n"/>
      <c r="U1480" s="44" t="n"/>
      <c r="V1480" s="44">
        <f>IF(AND(P1480&gt;=Calendar!$K$2,P1480&lt;EDATE(Calendar!$K$2,1),OR(Calendar!$K$4="*",N1480=Calendar!$K$4)),P1480*100+COUNTIFS($P$6:$P$3271,P1480,$Q$6:$Q$3271,"&lt;="&amp;Q1480,$N$6:$N$3271,Calendar!$K$4),"")</f>
        <v/>
      </c>
      <c r="W1480" s="44">
        <f>IF(AND(B1480=Queue!$C$4,OR(Queue!$K$4="*",N1480=Queue!$K$4)),Q1480,"")</f>
        <v/>
      </c>
    </row>
    <row r="1481">
      <c r="A1481" s="35">
        <f>IF(M1481="","",HYPERLINK("https://www.youtube.com/watch?v="&amp;M1481,"▶"))</f>
        <v/>
      </c>
      <c r="B1481" s="36">
        <f>IF(C1481&lt;&gt;"",C1481,IF(P1481&lt;=IFERROR(INDEX(tblChannels[Watched Through],MATCH(N1481,tblChannels[Channel ID],0)),0),"Watched","Unwatched"))</f>
        <v/>
      </c>
      <c r="C1481" s="37" t="n"/>
      <c r="D1481" s="38" t="n"/>
      <c r="E1481" s="39" t="n">
        <v>44281.44791666666</v>
      </c>
      <c r="F1481" s="47" t="inlineStr">
        <is>
          <t>Super Carlin Brothers</t>
        </is>
      </c>
      <c r="G1481" t="inlineStr">
        <is>
          <t>The Hobby Phenomanon | Popcorn Culture</t>
        </is>
      </c>
      <c r="H1481" s="41" t="n">
        <v>0.04590277777777778</v>
      </c>
      <c r="I1481" s="42" t="n">
        <v>29532</v>
      </c>
      <c r="J1481" s="42" t="n">
        <v>1217</v>
      </c>
      <c r="K1481" s="42" t="n">
        <v>173</v>
      </c>
      <c r="L1481" s="43" t="n"/>
      <c r="M1481" s="44" t="n"/>
      <c r="N1481" s="44" t="inlineStr">
        <is>
          <t>UCKZo4N0lVPccBkSiuyVh4yg</t>
        </is>
      </c>
      <c r="O1481" s="45" t="n">
        <v>44281.61458333334</v>
      </c>
      <c r="P1481" s="46" t="n">
        <v>44281</v>
      </c>
      <c r="Q1481" s="44" t="n">
        <v>1791</v>
      </c>
      <c r="R1481" s="44" t="inlineStr">
        <is>
          <t>No Video ID yet</t>
        </is>
      </c>
      <c r="S1481" s="46" t="n"/>
      <c r="T1481" s="46" t="n"/>
      <c r="U1481" s="44" t="n"/>
      <c r="V1481" s="44">
        <f>IF(AND(P1481&gt;=Calendar!$K$2,P1481&lt;EDATE(Calendar!$K$2,1),OR(Calendar!$K$4="*",N1481=Calendar!$K$4)),P1481*100+COUNTIFS($P$6:$P$3271,P1481,$Q$6:$Q$3271,"&lt;="&amp;Q1481,$N$6:$N$3271,Calendar!$K$4),"")</f>
        <v/>
      </c>
      <c r="W1481" s="44">
        <f>IF(AND(B1481=Queue!$C$4,OR(Queue!$K$4="*",N1481=Queue!$K$4)),Q1481,"")</f>
        <v/>
      </c>
    </row>
    <row r="1482">
      <c r="A1482" s="35">
        <f>IF(M1482="","",HYPERLINK("https://www.youtube.com/watch?v="&amp;M1482,"▶"))</f>
        <v/>
      </c>
      <c r="B1482" s="36">
        <f>IF(C1482&lt;&gt;"",C1482,IF(P1482&lt;=IFERROR(INDEX(tblChannels[Watched Through],MATCH(N1482,tblChannels[Channel ID],0)),0),"Watched","Unwatched"))</f>
        <v/>
      </c>
      <c r="C1482" s="37" t="n"/>
      <c r="D1482" s="38" t="n"/>
      <c r="E1482" s="39" t="n">
        <v>44281.25</v>
      </c>
      <c r="F1482" s="40" t="inlineStr">
        <is>
          <t>Popcorn Culture</t>
        </is>
      </c>
      <c r="G1482" t="inlineStr">
        <is>
          <t>68 - The Hobby Phenomanon</t>
        </is>
      </c>
      <c r="H1482" s="41" t="n">
        <v>0.04472222222222222</v>
      </c>
      <c r="I1482" s="42" t="n">
        <v>1418</v>
      </c>
      <c r="J1482" s="42" t="n">
        <v>58</v>
      </c>
      <c r="K1482" s="42" t="n">
        <v>9</v>
      </c>
      <c r="L1482" s="43" t="n"/>
      <c r="M1482" s="44" t="n"/>
      <c r="N1482" s="44" t="inlineStr">
        <is>
          <t>UCHfIbq9thHPC8yrKjAdJgDA</t>
        </is>
      </c>
      <c r="O1482" s="45" t="n">
        <v>44281.41666666666</v>
      </c>
      <c r="P1482" s="46" t="n">
        <v>44281</v>
      </c>
      <c r="Q1482" s="44" t="n">
        <v>1790</v>
      </c>
      <c r="R1482" s="44" t="inlineStr">
        <is>
          <t>No Video ID yet</t>
        </is>
      </c>
      <c r="S1482" s="46" t="n"/>
      <c r="T1482" s="46" t="n"/>
      <c r="U1482" s="44" t="n"/>
      <c r="V1482" s="44">
        <f>IF(AND(P1482&gt;=Calendar!$K$2,P1482&lt;EDATE(Calendar!$K$2,1),OR(Calendar!$K$4="*",N1482=Calendar!$K$4)),P1482*100+COUNTIFS($P$6:$P$3271,P1482,$Q$6:$Q$3271,"&lt;="&amp;Q1482,$N$6:$N$3271,Calendar!$K$4),"")</f>
        <v/>
      </c>
      <c r="W1482" s="44">
        <f>IF(AND(B1482=Queue!$C$4,OR(Queue!$K$4="*",N1482=Queue!$K$4)),Q1482,"")</f>
        <v/>
      </c>
    </row>
    <row r="1483">
      <c r="A1483" s="35">
        <f>IF(M1483="","",HYPERLINK("https://www.youtube.com/watch?v="&amp;M1483,"▶"))</f>
        <v/>
      </c>
      <c r="B1483" s="36">
        <f>IF(C1483&lt;&gt;"",C1483,IF(P1483&lt;=IFERROR(INDEX(tblChannels[Watched Through],MATCH(N1483,tblChannels[Channel ID],0)),0),"Watched","Unwatched"))</f>
        <v/>
      </c>
      <c r="C1483" s="37" t="n"/>
      <c r="D1483" s="38" t="n"/>
      <c r="E1483" s="39" t="n">
        <v>44280.62013888889</v>
      </c>
      <c r="F1483" s="47" t="inlineStr">
        <is>
          <t>Super Carlin Brothers</t>
        </is>
      </c>
      <c r="G1483" t="inlineStr">
        <is>
          <t>Why You Should Read “The Name of the Wind” | GIVING AWAY 200 BOOKS</t>
        </is>
      </c>
      <c r="H1483" s="41" t="n">
        <v>0.00798611111111111</v>
      </c>
      <c r="I1483" s="42" t="n">
        <v>117628</v>
      </c>
      <c r="J1483" s="42" t="n">
        <v>7415</v>
      </c>
      <c r="K1483" s="42" t="n">
        <v>1976</v>
      </c>
      <c r="L1483" s="43" t="n"/>
      <c r="M1483" s="44" t="n"/>
      <c r="N1483" s="44" t="inlineStr">
        <is>
          <t>UCKZo4N0lVPccBkSiuyVh4yg</t>
        </is>
      </c>
      <c r="O1483" s="45" t="n">
        <v>44280.78680555556</v>
      </c>
      <c r="P1483" s="46" t="n">
        <v>44280</v>
      </c>
      <c r="Q1483" s="44" t="n">
        <v>1789</v>
      </c>
      <c r="R1483" s="44" t="inlineStr">
        <is>
          <t>No Video ID yet</t>
        </is>
      </c>
      <c r="S1483" s="46" t="n"/>
      <c r="T1483" s="46" t="n"/>
      <c r="U1483" s="44" t="n"/>
      <c r="V1483" s="44">
        <f>IF(AND(P1483&gt;=Calendar!$K$2,P1483&lt;EDATE(Calendar!$K$2,1),OR(Calendar!$K$4="*",N1483=Calendar!$K$4)),P1483*100+COUNTIFS($P$6:$P$3271,P1483,$Q$6:$Q$3271,"&lt;="&amp;Q1483,$N$6:$N$3271,Calendar!$K$4),"")</f>
        <v/>
      </c>
      <c r="W1483" s="44">
        <f>IF(AND(B1483=Queue!$C$4,OR(Queue!$K$4="*",N1483=Queue!$K$4)),Q1483,"")</f>
        <v/>
      </c>
    </row>
    <row r="1484">
      <c r="A1484" s="35">
        <f>IF(M1484="","",HYPERLINK("https://www.youtube.com/watch?v="&amp;M1484,"▶"))</f>
        <v/>
      </c>
      <c r="B1484" s="36">
        <f>IF(C1484&lt;&gt;"",C1484,IF(P1484&lt;=IFERROR(INDEX(tblChannels[Watched Through],MATCH(N1484,tblChannels[Channel ID],0)),0),"Watched","Unwatched"))</f>
        <v/>
      </c>
      <c r="C1484" s="37" t="n"/>
      <c r="D1484" s="38" t="n"/>
      <c r="E1484" s="39" t="n">
        <v>44279.41666666666</v>
      </c>
      <c r="F1484" s="49" t="inlineStr">
        <is>
          <t>Super Carlin Gaming</t>
        </is>
      </c>
      <c r="G1484" t="inlineStr">
        <is>
          <t>Choosing Our Starter! |  Pokémon LeafGreen Randomizer Nuzlocke #1</t>
        </is>
      </c>
      <c r="H1484" s="41" t="n">
        <v>0.02202546296296296</v>
      </c>
      <c r="I1484" s="42" t="n">
        <v>71290</v>
      </c>
      <c r="J1484" s="42" t="n">
        <v>3486</v>
      </c>
      <c r="K1484" s="42" t="n">
        <v>1445</v>
      </c>
      <c r="L1484" s="43" t="n"/>
      <c r="M1484" s="44" t="n"/>
      <c r="N1484" s="44" t="inlineStr">
        <is>
          <t>UCor_9jRnNNZVzTuQ92PKsaQ</t>
        </is>
      </c>
      <c r="O1484" s="45" t="n">
        <v>44279.58333333334</v>
      </c>
      <c r="P1484" s="46" t="n">
        <v>44279</v>
      </c>
      <c r="Q1484" s="44" t="n">
        <v>1788</v>
      </c>
      <c r="R1484" s="44" t="inlineStr">
        <is>
          <t>No Video ID yet</t>
        </is>
      </c>
      <c r="S1484" s="46" t="n"/>
      <c r="T1484" s="46" t="n"/>
      <c r="U1484" s="44" t="n"/>
      <c r="V1484" s="44">
        <f>IF(AND(P1484&gt;=Calendar!$K$2,P1484&lt;EDATE(Calendar!$K$2,1),OR(Calendar!$K$4="*",N1484=Calendar!$K$4)),P1484*100+COUNTIFS($P$6:$P$3271,P1484,$Q$6:$Q$3271,"&lt;="&amp;Q1484,$N$6:$N$3271,Calendar!$K$4),"")</f>
        <v/>
      </c>
      <c r="W1484" s="44">
        <f>IF(AND(B1484=Queue!$C$4,OR(Queue!$K$4="*",N1484=Queue!$K$4)),Q1484,"")</f>
        <v/>
      </c>
    </row>
    <row r="1485">
      <c r="A1485" s="35">
        <f>IF(M1485="","",HYPERLINK("https://www.youtube.com/watch?v="&amp;M1485,"▶"))</f>
        <v/>
      </c>
      <c r="B1485" s="36">
        <f>IF(C1485&lt;&gt;"",C1485,IF(P1485&lt;=IFERROR(INDEX(tblChannels[Watched Through],MATCH(N1485,tblChannels[Channel ID],0)),0),"Watched","Unwatched"))</f>
        <v/>
      </c>
      <c r="C1485" s="37" t="n"/>
      <c r="D1485" s="38" t="n"/>
      <c r="E1485" s="39" t="n">
        <v>44278.64305555556</v>
      </c>
      <c r="F1485" s="47" t="inlineStr">
        <is>
          <t>Super Carlin Brothers</t>
        </is>
      </c>
      <c r="G1485" t="inlineStr">
        <is>
          <t>Why Are Azula’s Flames Blue? | Avatar the Last Airbender Theory</t>
        </is>
      </c>
      <c r="H1485" s="41" t="n">
        <v>0.008726851851851852</v>
      </c>
      <c r="I1485" s="42" t="n">
        <v>289746</v>
      </c>
      <c r="J1485" s="42" t="n">
        <v>14769</v>
      </c>
      <c r="K1485" s="42" t="n">
        <v>1778</v>
      </c>
      <c r="L1485" s="43" t="n"/>
      <c r="M1485" s="44" t="n"/>
      <c r="N1485" s="44" t="inlineStr">
        <is>
          <t>UCKZo4N0lVPccBkSiuyVh4yg</t>
        </is>
      </c>
      <c r="O1485" s="45" t="n">
        <v>44278.80972222222</v>
      </c>
      <c r="P1485" s="46" t="n">
        <v>44278</v>
      </c>
      <c r="Q1485" s="44" t="n">
        <v>1787</v>
      </c>
      <c r="R1485" s="44" t="inlineStr">
        <is>
          <t>No Video ID yet</t>
        </is>
      </c>
      <c r="S1485" s="46" t="n"/>
      <c r="T1485" s="46" t="n"/>
      <c r="U1485" s="44" t="n"/>
      <c r="V1485" s="44">
        <f>IF(AND(P1485&gt;=Calendar!$K$2,P1485&lt;EDATE(Calendar!$K$2,1),OR(Calendar!$K$4="*",N1485=Calendar!$K$4)),P1485*100+COUNTIFS($P$6:$P$3271,P1485,$Q$6:$Q$3271,"&lt;="&amp;Q1485,$N$6:$N$3271,Calendar!$K$4),"")</f>
        <v/>
      </c>
      <c r="W1485" s="44">
        <f>IF(AND(B1485=Queue!$C$4,OR(Queue!$K$4="*",N1485=Queue!$K$4)),Q1485,"")</f>
        <v/>
      </c>
    </row>
    <row r="1486">
      <c r="A1486" s="35">
        <f>IF(M1486="","",HYPERLINK("https://www.youtube.com/watch?v="&amp;M1486,"▶"))</f>
        <v/>
      </c>
      <c r="B1486" s="36">
        <f>IF(C1486&lt;&gt;"",C1486,IF(P1486&lt;=IFERROR(INDEX(tblChannels[Watched Through],MATCH(N1486,tblChannels[Channel ID],0)),0),"Watched","Unwatched"))</f>
        <v/>
      </c>
      <c r="C1486" s="37" t="n"/>
      <c r="D1486" s="38" t="n"/>
      <c r="E1486" s="39" t="n">
        <v>44274.4375</v>
      </c>
      <c r="F1486" s="47" t="inlineStr">
        <is>
          <t>Super Carlin Brothers</t>
        </is>
      </c>
      <c r="G1486" t="inlineStr">
        <is>
          <t>What is Your Legacy? | Popcorn Culture</t>
        </is>
      </c>
      <c r="H1486" s="41" t="n">
        <v>0.04565972222222222</v>
      </c>
      <c r="I1486" s="42" t="n">
        <v>31344</v>
      </c>
      <c r="J1486" s="42" t="n">
        <v>1332</v>
      </c>
      <c r="K1486" s="42" t="n">
        <v>237</v>
      </c>
      <c r="L1486" s="43" t="n"/>
      <c r="M1486" s="44" t="n"/>
      <c r="N1486" s="44" t="inlineStr">
        <is>
          <t>UCKZo4N0lVPccBkSiuyVh4yg</t>
        </is>
      </c>
      <c r="O1486" s="45" t="n">
        <v>44274.60416666666</v>
      </c>
      <c r="P1486" s="46" t="n">
        <v>44274</v>
      </c>
      <c r="Q1486" s="44" t="n">
        <v>1786</v>
      </c>
      <c r="R1486" s="44" t="inlineStr">
        <is>
          <t>No Video ID yet</t>
        </is>
      </c>
      <c r="S1486" s="46" t="n"/>
      <c r="T1486" s="46" t="n"/>
      <c r="U1486" s="44" t="n"/>
      <c r="V1486" s="44">
        <f>IF(AND(P1486&gt;=Calendar!$K$2,P1486&lt;EDATE(Calendar!$K$2,1),OR(Calendar!$K$4="*",N1486=Calendar!$K$4)),P1486*100+COUNTIFS($P$6:$P$3271,P1486,$Q$6:$Q$3271,"&lt;="&amp;Q1486,$N$6:$N$3271,Calendar!$K$4),"")</f>
        <v/>
      </c>
      <c r="W1486" s="44">
        <f>IF(AND(B1486=Queue!$C$4,OR(Queue!$K$4="*",N1486=Queue!$K$4)),Q1486,"")</f>
        <v/>
      </c>
    </row>
    <row r="1487">
      <c r="A1487" s="35">
        <f>IF(M1487="","",HYPERLINK("https://www.youtube.com/watch?v="&amp;M1487,"▶"))</f>
        <v/>
      </c>
      <c r="B1487" s="36">
        <f>IF(C1487&lt;&gt;"",C1487,IF(P1487&lt;=IFERROR(INDEX(tblChannels[Watched Through],MATCH(N1487,tblChannels[Channel ID],0)),0),"Watched","Unwatched"))</f>
        <v/>
      </c>
      <c r="C1487" s="37" t="n"/>
      <c r="D1487" s="38" t="n"/>
      <c r="E1487" s="39" t="n">
        <v>44274.25</v>
      </c>
      <c r="F1487" s="40" t="inlineStr">
        <is>
          <t>Popcorn Culture</t>
        </is>
      </c>
      <c r="G1487" t="inlineStr">
        <is>
          <t>67 - What is Your Legacy?</t>
        </is>
      </c>
      <c r="H1487" s="41" t="n">
        <v>0.04472222222222222</v>
      </c>
      <c r="I1487" s="42" t="n">
        <v>1317</v>
      </c>
      <c r="J1487" s="42" t="n">
        <v>62</v>
      </c>
      <c r="K1487" s="42" t="n">
        <v>10</v>
      </c>
      <c r="L1487" s="43" t="n"/>
      <c r="M1487" s="44" t="n"/>
      <c r="N1487" s="44" t="inlineStr">
        <is>
          <t>UCHfIbq9thHPC8yrKjAdJgDA</t>
        </is>
      </c>
      <c r="O1487" s="45" t="n">
        <v>44274.41666666666</v>
      </c>
      <c r="P1487" s="46" t="n">
        <v>44274</v>
      </c>
      <c r="Q1487" s="44" t="n">
        <v>1785</v>
      </c>
      <c r="R1487" s="44" t="inlineStr">
        <is>
          <t>No Video ID yet</t>
        </is>
      </c>
      <c r="S1487" s="46" t="n"/>
      <c r="T1487" s="46" t="n"/>
      <c r="U1487" s="44" t="n"/>
      <c r="V1487" s="44">
        <f>IF(AND(P1487&gt;=Calendar!$K$2,P1487&lt;EDATE(Calendar!$K$2,1),OR(Calendar!$K$4="*",N1487=Calendar!$K$4)),P1487*100+COUNTIFS($P$6:$P$3271,P1487,$Q$6:$Q$3271,"&lt;="&amp;Q1487,$N$6:$N$3271,Calendar!$K$4),"")</f>
        <v/>
      </c>
      <c r="W1487" s="44">
        <f>IF(AND(B1487=Queue!$C$4,OR(Queue!$K$4="*",N1487=Queue!$K$4)),Q1487,"")</f>
        <v/>
      </c>
    </row>
    <row r="1488">
      <c r="A1488" s="35">
        <f>IF(M1488="","",HYPERLINK("https://www.youtube.com/watch?v="&amp;M1488,"▶"))</f>
        <v/>
      </c>
      <c r="B1488" s="36">
        <f>IF(C1488&lt;&gt;"",C1488,IF(P1488&lt;=IFERROR(INDEX(tblChannels[Watched Through],MATCH(N1488,tblChannels[Channel ID],0)),0),"Watched","Unwatched"))</f>
        <v/>
      </c>
      <c r="C1488" s="37" t="n"/>
      <c r="D1488" s="38" t="n"/>
      <c r="E1488" s="39" t="n">
        <v>44273.62708333333</v>
      </c>
      <c r="F1488" s="47" t="inlineStr">
        <is>
          <t>Super Carlin Brothers</t>
        </is>
      </c>
      <c r="G1488" t="inlineStr">
        <is>
          <t>J vs Ben: ULTIMATE Disney Princess Trivia Quiz</t>
        </is>
      </c>
      <c r="H1488" s="41" t="n">
        <v>0.01662037037037037</v>
      </c>
      <c r="I1488" s="42" t="n">
        <v>185305</v>
      </c>
      <c r="J1488" s="42" t="n">
        <v>7966</v>
      </c>
      <c r="K1488" s="42" t="n">
        <v>1477</v>
      </c>
      <c r="L1488" s="43" t="n"/>
      <c r="M1488" s="44" t="n"/>
      <c r="N1488" s="44" t="inlineStr">
        <is>
          <t>UCKZo4N0lVPccBkSiuyVh4yg</t>
        </is>
      </c>
      <c r="O1488" s="45" t="n">
        <v>44273.79375</v>
      </c>
      <c r="P1488" s="46" t="n">
        <v>44273</v>
      </c>
      <c r="Q1488" s="44" t="n">
        <v>1784</v>
      </c>
      <c r="R1488" s="44" t="inlineStr">
        <is>
          <t>No Video ID yet</t>
        </is>
      </c>
      <c r="S1488" s="46" t="n"/>
      <c r="T1488" s="46" t="n"/>
      <c r="U1488" s="44" t="n"/>
      <c r="V1488" s="44">
        <f>IF(AND(P1488&gt;=Calendar!$K$2,P1488&lt;EDATE(Calendar!$K$2,1),OR(Calendar!$K$4="*",N1488=Calendar!$K$4)),P1488*100+COUNTIFS($P$6:$P$3271,P1488,$Q$6:$Q$3271,"&lt;="&amp;Q1488,$N$6:$N$3271,Calendar!$K$4),"")</f>
        <v/>
      </c>
      <c r="W1488" s="44">
        <f>IF(AND(B1488=Queue!$C$4,OR(Queue!$K$4="*",N1488=Queue!$K$4)),Q1488,"")</f>
        <v/>
      </c>
    </row>
    <row r="1489">
      <c r="A1489" s="35">
        <f>IF(M1489="","",HYPERLINK("https://www.youtube.com/watch?v="&amp;M1489,"▶"))</f>
        <v/>
      </c>
      <c r="B1489" s="36">
        <f>IF(C1489&lt;&gt;"",C1489,IF(P1489&lt;=IFERROR(INDEX(tblChannels[Watched Through],MATCH(N1489,tblChannels[Channel ID],0)),0),"Watched","Unwatched"))</f>
        <v/>
      </c>
      <c r="C1489" s="37" t="n"/>
      <c r="D1489" s="38" t="n"/>
      <c r="E1489" s="39" t="n">
        <v>44272.41666666666</v>
      </c>
      <c r="F1489" s="49" t="inlineStr">
        <is>
          <t>Super Carlin Gaming</t>
        </is>
      </c>
      <c r="G1489" t="inlineStr">
        <is>
          <t>The Nuzlocke RETURNS! | Teaser Trailer</t>
        </is>
      </c>
      <c r="H1489" s="41" t="n">
        <v>0.0005902777777777778</v>
      </c>
      <c r="I1489" s="42" t="n">
        <v>8619</v>
      </c>
      <c r="J1489" s="42" t="n">
        <v>1137</v>
      </c>
      <c r="K1489" s="42" t="n">
        <v>324</v>
      </c>
      <c r="L1489" s="43" t="n"/>
      <c r="M1489" s="44" t="n"/>
      <c r="N1489" s="44" t="inlineStr">
        <is>
          <t>UCor_9jRnNNZVzTuQ92PKsaQ</t>
        </is>
      </c>
      <c r="O1489" s="45" t="n">
        <v>44272.58333333334</v>
      </c>
      <c r="P1489" s="46" t="n">
        <v>44272</v>
      </c>
      <c r="Q1489" s="44" t="n">
        <v>1783</v>
      </c>
      <c r="R1489" s="44" t="inlineStr">
        <is>
          <t>No Video ID yet</t>
        </is>
      </c>
      <c r="S1489" s="46" t="n"/>
      <c r="T1489" s="46" t="n"/>
      <c r="U1489" s="44" t="n"/>
      <c r="V1489" s="44">
        <f>IF(AND(P1489&gt;=Calendar!$K$2,P1489&lt;EDATE(Calendar!$K$2,1),OR(Calendar!$K$4="*",N1489=Calendar!$K$4)),P1489*100+COUNTIFS($P$6:$P$3271,P1489,$Q$6:$Q$3271,"&lt;="&amp;Q1489,$N$6:$N$3271,Calendar!$K$4),"")</f>
        <v/>
      </c>
      <c r="W1489" s="44">
        <f>IF(AND(B1489=Queue!$C$4,OR(Queue!$K$4="*",N1489=Queue!$K$4)),Q1489,"")</f>
        <v/>
      </c>
    </row>
    <row r="1490">
      <c r="A1490" s="35">
        <f>IF(M1490="","",HYPERLINK("https://www.youtube.com/watch?v="&amp;M1490,"▶"))</f>
        <v/>
      </c>
      <c r="B1490" s="36">
        <f>IF(C1490&lt;&gt;"",C1490,IF(P1490&lt;=IFERROR(INDEX(tblChannels[Watched Through],MATCH(N1490,tblChannels[Channel ID],0)),0),"Watched","Unwatched"))</f>
        <v/>
      </c>
      <c r="C1490" s="37" t="n"/>
      <c r="D1490" s="38" t="n"/>
      <c r="E1490" s="39" t="n">
        <v>44271.66944444444</v>
      </c>
      <c r="F1490" s="47" t="inlineStr">
        <is>
          <t>Super Carlin Brothers</t>
        </is>
      </c>
      <c r="G1490" t="inlineStr">
        <is>
          <t>Draco Deserved To Be Redeemed | Harry Potter Theory</t>
        </is>
      </c>
      <c r="H1490" s="41" t="n">
        <v>0.0103125</v>
      </c>
      <c r="I1490" s="42" t="n">
        <v>419737</v>
      </c>
      <c r="J1490" s="42" t="n">
        <v>20021</v>
      </c>
      <c r="K1490" s="42" t="n">
        <v>2294</v>
      </c>
      <c r="L1490" s="43" t="n"/>
      <c r="M1490" s="44" t="n"/>
      <c r="N1490" s="44" t="inlineStr">
        <is>
          <t>UCKZo4N0lVPccBkSiuyVh4yg</t>
        </is>
      </c>
      <c r="O1490" s="45" t="n">
        <v>44271.83611111111</v>
      </c>
      <c r="P1490" s="46" t="n">
        <v>44271</v>
      </c>
      <c r="Q1490" s="44" t="n">
        <v>1782</v>
      </c>
      <c r="R1490" s="44" t="inlineStr">
        <is>
          <t>No Video ID yet</t>
        </is>
      </c>
      <c r="S1490" s="46" t="n"/>
      <c r="T1490" s="46" t="n"/>
      <c r="U1490" s="44" t="n"/>
      <c r="V1490" s="44">
        <f>IF(AND(P1490&gt;=Calendar!$K$2,P1490&lt;EDATE(Calendar!$K$2,1),OR(Calendar!$K$4="*",N1490=Calendar!$K$4)),P1490*100+COUNTIFS($P$6:$P$3271,P1490,$Q$6:$Q$3271,"&lt;="&amp;Q1490,$N$6:$N$3271,Calendar!$K$4),"")</f>
        <v/>
      </c>
      <c r="W1490" s="44">
        <f>IF(AND(B1490=Queue!$C$4,OR(Queue!$K$4="*",N1490=Queue!$K$4)),Q1490,"")</f>
        <v/>
      </c>
    </row>
    <row r="1491">
      <c r="A1491" s="35">
        <f>IF(M1491="","",HYPERLINK("https://www.youtube.com/watch?v="&amp;M1491,"▶"))</f>
        <v/>
      </c>
      <c r="B1491" s="36">
        <f>IF(C1491&lt;&gt;"",C1491,IF(P1491&lt;=IFERROR(INDEX(tblChannels[Watched Through],MATCH(N1491,tblChannels[Channel ID],0)),0),"Watched","Unwatched"))</f>
        <v/>
      </c>
      <c r="C1491" s="37" t="n"/>
      <c r="D1491" s="38" t="n"/>
      <c r="E1491" s="39" t="n">
        <v>44267.41666666666</v>
      </c>
      <c r="F1491" s="47" t="inlineStr">
        <is>
          <t>Super Carlin Brothers</t>
        </is>
      </c>
      <c r="G1491" t="inlineStr">
        <is>
          <t>Embrace Your Spikes | Popcorn Culture</t>
        </is>
      </c>
      <c r="H1491" s="41" t="n">
        <v>0.04924768518518519</v>
      </c>
      <c r="I1491" s="42" t="n">
        <v>35402</v>
      </c>
      <c r="J1491" s="42" t="n">
        <v>1391</v>
      </c>
      <c r="K1491" s="42" t="n">
        <v>234</v>
      </c>
      <c r="L1491" s="43" t="n"/>
      <c r="M1491" s="44" t="n"/>
      <c r="N1491" s="44" t="inlineStr">
        <is>
          <t>UCKZo4N0lVPccBkSiuyVh4yg</t>
        </is>
      </c>
      <c r="O1491" s="45" t="n">
        <v>44267.625</v>
      </c>
      <c r="P1491" s="46" t="n">
        <v>44267</v>
      </c>
      <c r="Q1491" s="44" t="n">
        <v>1781</v>
      </c>
      <c r="R1491" s="44" t="inlineStr">
        <is>
          <t>No Video ID yet</t>
        </is>
      </c>
      <c r="S1491" s="46" t="n"/>
      <c r="T1491" s="46" t="n"/>
      <c r="U1491" s="44" t="n"/>
      <c r="V1491" s="44">
        <f>IF(AND(P1491&gt;=Calendar!$K$2,P1491&lt;EDATE(Calendar!$K$2,1),OR(Calendar!$K$4="*",N1491=Calendar!$K$4)),P1491*100+COUNTIFS($P$6:$P$3271,P1491,$Q$6:$Q$3271,"&lt;="&amp;Q1491,$N$6:$N$3271,Calendar!$K$4),"")</f>
        <v/>
      </c>
      <c r="W1491" s="44">
        <f>IF(AND(B1491=Queue!$C$4,OR(Queue!$K$4="*",N1491=Queue!$K$4)),Q1491,"")</f>
        <v/>
      </c>
    </row>
    <row r="1492">
      <c r="A1492" s="35">
        <f>IF(M1492="","",HYPERLINK("https://www.youtube.com/watch?v="&amp;M1492,"▶"))</f>
        <v/>
      </c>
      <c r="B1492" s="36">
        <f>IF(C1492&lt;&gt;"",C1492,IF(P1492&lt;=IFERROR(INDEX(tblChannels[Watched Through],MATCH(N1492,tblChannels[Channel ID],0)),0),"Watched","Unwatched"))</f>
        <v/>
      </c>
      <c r="C1492" s="37" t="n"/>
      <c r="D1492" s="38" t="n"/>
      <c r="E1492" s="39" t="n">
        <v>44267.40763888889</v>
      </c>
      <c r="F1492" s="40" t="inlineStr">
        <is>
          <t>Popcorn Culture</t>
        </is>
      </c>
      <c r="G1492" t="inlineStr">
        <is>
          <t>66 - Embrace Your Spikes</t>
        </is>
      </c>
      <c r="H1492" s="41" t="n">
        <v>0.04924768518518519</v>
      </c>
      <c r="I1492" s="42" t="n">
        <v>1391</v>
      </c>
      <c r="J1492" s="42" t="n">
        <v>66</v>
      </c>
      <c r="K1492" s="42" t="n">
        <v>10</v>
      </c>
      <c r="L1492" s="43" t="n"/>
      <c r="M1492" s="44" t="n"/>
      <c r="N1492" s="44" t="inlineStr">
        <is>
          <t>UCHfIbq9thHPC8yrKjAdJgDA</t>
        </is>
      </c>
      <c r="O1492" s="45" t="n">
        <v>44267.61597222222</v>
      </c>
      <c r="P1492" s="46" t="n">
        <v>44267</v>
      </c>
      <c r="Q1492" s="44" t="n">
        <v>1780</v>
      </c>
      <c r="R1492" s="44" t="inlineStr">
        <is>
          <t>No Video ID yet</t>
        </is>
      </c>
      <c r="S1492" s="46" t="n"/>
      <c r="T1492" s="46" t="n"/>
      <c r="U1492" s="44" t="n"/>
      <c r="V1492" s="44">
        <f>IF(AND(P1492&gt;=Calendar!$K$2,P1492&lt;EDATE(Calendar!$K$2,1),OR(Calendar!$K$4="*",N1492=Calendar!$K$4)),P1492*100+COUNTIFS($P$6:$P$3271,P1492,$Q$6:$Q$3271,"&lt;="&amp;Q1492,$N$6:$N$3271,Calendar!$K$4),"")</f>
        <v/>
      </c>
      <c r="W1492" s="44">
        <f>IF(AND(B1492=Queue!$C$4,OR(Queue!$K$4="*",N1492=Queue!$K$4)),Q1492,"")</f>
        <v/>
      </c>
    </row>
    <row r="1493">
      <c r="A1493" s="35">
        <f>IF(M1493="","",HYPERLINK("https://www.youtube.com/watch?v="&amp;M1493,"▶"))</f>
        <v/>
      </c>
      <c r="B1493" s="36">
        <f>IF(C1493&lt;&gt;"",C1493,IF(P1493&lt;=IFERROR(INDEX(tblChannels[Watched Through],MATCH(N1493,tblChannels[Channel ID],0)),0),"Watched","Unwatched"))</f>
        <v/>
      </c>
      <c r="C1493" s="37" t="n"/>
      <c r="D1493" s="38" t="n"/>
      <c r="E1493" s="39" t="n">
        <v>44266.62847222222</v>
      </c>
      <c r="F1493" s="47" t="inlineStr">
        <is>
          <t>Super Carlin Brothers</t>
        </is>
      </c>
      <c r="G1493" t="inlineStr">
        <is>
          <t>Will Raya Be The Next Disney Princess? | Disney Theory</t>
        </is>
      </c>
      <c r="H1493" s="41" t="n">
        <v>0.008761574074074074</v>
      </c>
      <c r="I1493" s="42" t="n">
        <v>115456</v>
      </c>
      <c r="J1493" s="42" t="n">
        <v>5690</v>
      </c>
      <c r="K1493" s="42" t="n">
        <v>1101</v>
      </c>
      <c r="L1493" s="43" t="n"/>
      <c r="M1493" s="44" t="n"/>
      <c r="N1493" s="44" t="inlineStr">
        <is>
          <t>UCKZo4N0lVPccBkSiuyVh4yg</t>
        </is>
      </c>
      <c r="O1493" s="45" t="n">
        <v>44266.83680555555</v>
      </c>
      <c r="P1493" s="46" t="n">
        <v>44266</v>
      </c>
      <c r="Q1493" s="44" t="n">
        <v>1779</v>
      </c>
      <c r="R1493" s="44" t="inlineStr">
        <is>
          <t>No Video ID yet</t>
        </is>
      </c>
      <c r="S1493" s="46" t="n"/>
      <c r="T1493" s="46" t="n"/>
      <c r="U1493" s="44" t="n"/>
      <c r="V1493" s="44">
        <f>IF(AND(P1493&gt;=Calendar!$K$2,P1493&lt;EDATE(Calendar!$K$2,1),OR(Calendar!$K$4="*",N1493=Calendar!$K$4)),P1493*100+COUNTIFS($P$6:$P$3271,P1493,$Q$6:$Q$3271,"&lt;="&amp;Q1493,$N$6:$N$3271,Calendar!$K$4),"")</f>
        <v/>
      </c>
      <c r="W1493" s="44">
        <f>IF(AND(B1493=Queue!$C$4,OR(Queue!$K$4="*",N1493=Queue!$K$4)),Q1493,"")</f>
        <v/>
      </c>
    </row>
    <row r="1494">
      <c r="A1494" s="35">
        <f>IF(M1494="","",HYPERLINK("https://www.youtube.com/watch?v="&amp;M1494,"▶"))</f>
        <v/>
      </c>
      <c r="B1494" s="36">
        <f>IF(C1494&lt;&gt;"",C1494,IF(P1494&lt;=IFERROR(INDEX(tblChannels[Watched Through],MATCH(N1494,tblChannels[Channel ID],0)),0),"Watched","Unwatched"))</f>
        <v/>
      </c>
      <c r="C1494" s="37" t="n"/>
      <c r="D1494" s="38" t="n"/>
      <c r="E1494" s="39" t="n">
        <v>44264.69444444445</v>
      </c>
      <c r="F1494" s="47" t="inlineStr">
        <is>
          <t>Super Carlin Brothers</t>
        </is>
      </c>
      <c r="G1494" t="inlineStr">
        <is>
          <t>Raya and the Last Dragon REVIEW: Is It Worth It?</t>
        </is>
      </c>
      <c r="H1494" s="41" t="n">
        <v>0.03337962962962963</v>
      </c>
      <c r="I1494" s="42" t="n">
        <v>171860</v>
      </c>
      <c r="J1494" s="42" t="n">
        <v>6250</v>
      </c>
      <c r="K1494" s="42" t="n">
        <v>1575</v>
      </c>
      <c r="L1494" s="43" t="n"/>
      <c r="M1494" s="44" t="n"/>
      <c r="N1494" s="44" t="inlineStr">
        <is>
          <t>UCKZo4N0lVPccBkSiuyVh4yg</t>
        </is>
      </c>
      <c r="O1494" s="45" t="n">
        <v>44264.90277777778</v>
      </c>
      <c r="P1494" s="46" t="n">
        <v>44264</v>
      </c>
      <c r="Q1494" s="44" t="n">
        <v>1778</v>
      </c>
      <c r="R1494" s="44" t="inlineStr">
        <is>
          <t>No Video ID yet</t>
        </is>
      </c>
      <c r="S1494" s="46" t="n"/>
      <c r="T1494" s="46" t="n"/>
      <c r="U1494" s="44" t="n"/>
      <c r="V1494" s="44">
        <f>IF(AND(P1494&gt;=Calendar!$K$2,P1494&lt;EDATE(Calendar!$K$2,1),OR(Calendar!$K$4="*",N1494=Calendar!$K$4)),P1494*100+COUNTIFS($P$6:$P$3271,P1494,$Q$6:$Q$3271,"&lt;="&amp;Q1494,$N$6:$N$3271,Calendar!$K$4),"")</f>
        <v/>
      </c>
      <c r="W1494" s="44">
        <f>IF(AND(B1494=Queue!$C$4,OR(Queue!$K$4="*",N1494=Queue!$K$4)),Q1494,"")</f>
        <v/>
      </c>
    </row>
    <row r="1495">
      <c r="A1495" s="35">
        <f>IF(M1495="","",HYPERLINK("https://www.youtube.com/watch?v="&amp;M1495,"▶"))</f>
        <v/>
      </c>
      <c r="B1495" s="36">
        <f>IF(C1495&lt;&gt;"",C1495,IF(P1495&lt;=IFERROR(INDEX(tblChannels[Watched Through],MATCH(N1495,tblChannels[Channel ID],0)),0),"Watched","Unwatched"))</f>
        <v/>
      </c>
      <c r="C1495" s="37" t="n"/>
      <c r="D1495" s="38" t="n"/>
      <c r="E1495" s="39" t="n">
        <v>44260.41666666666</v>
      </c>
      <c r="F1495" s="47" t="inlineStr">
        <is>
          <t>Super Carlin Brothers</t>
        </is>
      </c>
      <c r="G1495" t="inlineStr">
        <is>
          <t>Boredom in the Time of TikTok | Popcorn Culture</t>
        </is>
      </c>
      <c r="H1495" s="41" t="n">
        <v>0.04516203703703704</v>
      </c>
      <c r="I1495" s="42" t="n">
        <v>31436</v>
      </c>
      <c r="J1495" s="42" t="n">
        <v>1336</v>
      </c>
      <c r="K1495" s="42" t="n">
        <v>227</v>
      </c>
      <c r="L1495" s="43" t="n"/>
      <c r="M1495" s="44" t="n"/>
      <c r="N1495" s="44" t="inlineStr">
        <is>
          <t>UCKZo4N0lVPccBkSiuyVh4yg</t>
        </is>
      </c>
      <c r="O1495" s="45" t="n">
        <v>44260.625</v>
      </c>
      <c r="P1495" s="46" t="n">
        <v>44260</v>
      </c>
      <c r="Q1495" s="44" t="n">
        <v>1777</v>
      </c>
      <c r="R1495" s="44" t="inlineStr">
        <is>
          <t>No Video ID yet</t>
        </is>
      </c>
      <c r="S1495" s="46" t="n"/>
      <c r="T1495" s="46" t="n"/>
      <c r="U1495" s="44" t="n"/>
      <c r="V1495" s="44">
        <f>IF(AND(P1495&gt;=Calendar!$K$2,P1495&lt;EDATE(Calendar!$K$2,1),OR(Calendar!$K$4="*",N1495=Calendar!$K$4)),P1495*100+COUNTIFS($P$6:$P$3271,P1495,$Q$6:$Q$3271,"&lt;="&amp;Q1495,$N$6:$N$3271,Calendar!$K$4),"")</f>
        <v/>
      </c>
      <c r="W1495" s="44">
        <f>IF(AND(B1495=Queue!$C$4,OR(Queue!$K$4="*",N1495=Queue!$K$4)),Q1495,"")</f>
        <v/>
      </c>
    </row>
    <row r="1496">
      <c r="A1496" s="35">
        <f>IF(M1496="","",HYPERLINK("https://www.youtube.com/watch?v="&amp;M1496,"▶"))</f>
        <v/>
      </c>
      <c r="B1496" s="36">
        <f>IF(C1496&lt;&gt;"",C1496,IF(P1496&lt;=IFERROR(INDEX(tblChannels[Watched Through],MATCH(N1496,tblChannels[Channel ID],0)),0),"Watched","Unwatched"))</f>
        <v/>
      </c>
      <c r="C1496" s="37" t="n"/>
      <c r="D1496" s="38" t="n"/>
      <c r="E1496" s="39" t="n">
        <v>44260.25</v>
      </c>
      <c r="F1496" s="40" t="inlineStr">
        <is>
          <t>Popcorn Culture</t>
        </is>
      </c>
      <c r="G1496" t="inlineStr">
        <is>
          <t>65 - Boredom in the Time of TikTok</t>
        </is>
      </c>
      <c r="H1496" s="41" t="n">
        <v>0.04325231481481481</v>
      </c>
      <c r="I1496" s="42" t="n">
        <v>1454</v>
      </c>
      <c r="J1496" s="42" t="n">
        <v>71</v>
      </c>
      <c r="K1496" s="42" t="n">
        <v>9</v>
      </c>
      <c r="L1496" s="43" t="n"/>
      <c r="M1496" s="44" t="n"/>
      <c r="N1496" s="44" t="inlineStr">
        <is>
          <t>UCHfIbq9thHPC8yrKjAdJgDA</t>
        </is>
      </c>
      <c r="O1496" s="45" t="n">
        <v>44260.45833333334</v>
      </c>
      <c r="P1496" s="46" t="n">
        <v>44260</v>
      </c>
      <c r="Q1496" s="44" t="n">
        <v>1776</v>
      </c>
      <c r="R1496" s="44" t="inlineStr">
        <is>
          <t>No Video ID yet</t>
        </is>
      </c>
      <c r="S1496" s="46" t="n"/>
      <c r="T1496" s="46" t="n"/>
      <c r="U1496" s="44" t="n"/>
      <c r="V1496" s="44">
        <f>IF(AND(P1496&gt;=Calendar!$K$2,P1496&lt;EDATE(Calendar!$K$2,1),OR(Calendar!$K$4="*",N1496=Calendar!$K$4)),P1496*100+COUNTIFS($P$6:$P$3271,P1496,$Q$6:$Q$3271,"&lt;="&amp;Q1496,$N$6:$N$3271,Calendar!$K$4),"")</f>
        <v/>
      </c>
      <c r="W1496" s="44">
        <f>IF(AND(B1496=Queue!$C$4,OR(Queue!$K$4="*",N1496=Queue!$K$4)),Q1496,"")</f>
        <v/>
      </c>
    </row>
    <row r="1497">
      <c r="A1497" s="35">
        <f>IF(M1497="","",HYPERLINK("https://www.youtube.com/watch?v="&amp;M1497,"▶"))</f>
        <v/>
      </c>
      <c r="B1497" s="36">
        <f>IF(C1497&lt;&gt;"",C1497,IF(P1497&lt;=IFERROR(INDEX(tblChannels[Watched Through],MATCH(N1497,tblChannels[Channel ID],0)),0),"Watched","Unwatched"))</f>
        <v/>
      </c>
      <c r="C1497" s="37" t="n"/>
      <c r="D1497" s="38" t="n"/>
      <c r="E1497" s="39" t="n">
        <v>44259.68819444445</v>
      </c>
      <c r="F1497" s="47" t="inlineStr">
        <is>
          <t>Super Carlin Brothers</t>
        </is>
      </c>
      <c r="G1497" t="inlineStr">
        <is>
          <t>J vs Ben: ULTIMATE Diagon Alley Harry Potter Trivia Quiz</t>
        </is>
      </c>
      <c r="H1497" s="41" t="n">
        <v>0.01697916666666667</v>
      </c>
      <c r="I1497" s="42" t="n">
        <v>259864</v>
      </c>
      <c r="J1497" s="42" t="n">
        <v>9390</v>
      </c>
      <c r="K1497" s="42" t="n">
        <v>906</v>
      </c>
      <c r="L1497" s="43" t="n"/>
      <c r="M1497" s="44" t="n"/>
      <c r="N1497" s="44" t="inlineStr">
        <is>
          <t>UCKZo4N0lVPccBkSiuyVh4yg</t>
        </is>
      </c>
      <c r="O1497" s="45" t="n">
        <v>44259.89652777778</v>
      </c>
      <c r="P1497" s="46" t="n">
        <v>44259</v>
      </c>
      <c r="Q1497" s="44" t="n">
        <v>1775</v>
      </c>
      <c r="R1497" s="44" t="inlineStr">
        <is>
          <t>No Video ID yet</t>
        </is>
      </c>
      <c r="S1497" s="46" t="n"/>
      <c r="T1497" s="46" t="n"/>
      <c r="U1497" s="44" t="n"/>
      <c r="V1497" s="44">
        <f>IF(AND(P1497&gt;=Calendar!$K$2,P1497&lt;EDATE(Calendar!$K$2,1),OR(Calendar!$K$4="*",N1497=Calendar!$K$4)),P1497*100+COUNTIFS($P$6:$P$3271,P1497,$Q$6:$Q$3271,"&lt;="&amp;Q1497,$N$6:$N$3271,Calendar!$K$4),"")</f>
        <v/>
      </c>
      <c r="W1497" s="44">
        <f>IF(AND(B1497=Queue!$C$4,OR(Queue!$K$4="*",N1497=Queue!$K$4)),Q1497,"")</f>
        <v/>
      </c>
    </row>
    <row r="1498">
      <c r="A1498" s="35">
        <f>IF(M1498="","",HYPERLINK("https://www.youtube.com/watch?v="&amp;M1498,"▶"))</f>
        <v/>
      </c>
      <c r="B1498" s="36">
        <f>IF(C1498&lt;&gt;"",C1498,IF(P1498&lt;=IFERROR(INDEX(tblChannels[Watched Through],MATCH(N1498,tblChannels[Channel ID],0)),0),"Watched","Unwatched"))</f>
        <v/>
      </c>
      <c r="C1498" s="37" t="n"/>
      <c r="D1498" s="38" t="n"/>
      <c r="E1498" s="39" t="n">
        <v>44257.70069444444</v>
      </c>
      <c r="F1498" s="47" t="inlineStr">
        <is>
          <t>Super Carlin Brothers</t>
        </is>
      </c>
      <c r="G1498" t="inlineStr">
        <is>
          <t>White Vision Explained | WandaVision Theory</t>
        </is>
      </c>
      <c r="H1498" s="41" t="n">
        <v>0.01130787037037037</v>
      </c>
      <c r="I1498" s="42" t="n">
        <v>234435</v>
      </c>
      <c r="J1498" s="42" t="n">
        <v>13099</v>
      </c>
      <c r="K1498" s="42" t="n">
        <v>1715</v>
      </c>
      <c r="L1498" s="43" t="n"/>
      <c r="M1498" s="44" t="n"/>
      <c r="N1498" s="44" t="inlineStr">
        <is>
          <t>UCKZo4N0lVPccBkSiuyVh4yg</t>
        </is>
      </c>
      <c r="O1498" s="45" t="n">
        <v>44257.90902777778</v>
      </c>
      <c r="P1498" s="46" t="n">
        <v>44257</v>
      </c>
      <c r="Q1498" s="44" t="n">
        <v>1774</v>
      </c>
      <c r="R1498" s="44" t="inlineStr">
        <is>
          <t>No Video ID yet</t>
        </is>
      </c>
      <c r="S1498" s="46" t="n"/>
      <c r="T1498" s="46" t="n"/>
      <c r="U1498" s="44" t="n"/>
      <c r="V1498" s="44">
        <f>IF(AND(P1498&gt;=Calendar!$K$2,P1498&lt;EDATE(Calendar!$K$2,1),OR(Calendar!$K$4="*",N1498=Calendar!$K$4)),P1498*100+COUNTIFS($P$6:$P$3271,P1498,$Q$6:$Q$3271,"&lt;="&amp;Q1498,$N$6:$N$3271,Calendar!$K$4),"")</f>
        <v/>
      </c>
      <c r="W1498" s="44">
        <f>IF(AND(B1498=Queue!$C$4,OR(Queue!$K$4="*",N1498=Queue!$K$4)),Q1498,"")</f>
        <v/>
      </c>
    </row>
    <row r="1499">
      <c r="A1499" s="35">
        <f>IF(M1499="","",HYPERLINK("https://www.youtube.com/watch?v="&amp;M1499,"▶"))</f>
        <v/>
      </c>
      <c r="B1499" s="36">
        <f>IF(C1499&lt;&gt;"",C1499,IF(P1499&lt;=IFERROR(INDEX(tblChannels[Watched Through],MATCH(N1499,tblChannels[Channel ID],0)),0),"Watched","Unwatched"))</f>
        <v/>
      </c>
      <c r="C1499" s="37" t="n"/>
      <c r="D1499" s="38" t="n"/>
      <c r="E1499" s="39" t="n">
        <v>44253.44791666666</v>
      </c>
      <c r="F1499" s="47" t="inlineStr">
        <is>
          <t>Super Carlin Brothers</t>
        </is>
      </c>
      <c r="G1499" t="inlineStr">
        <is>
          <t>Did WandaVision Cure Superhero Burnout? | Popcorn Culture</t>
        </is>
      </c>
      <c r="H1499" s="41" t="n">
        <v>0.04733796296296296</v>
      </c>
      <c r="I1499" s="42" t="n">
        <v>59119</v>
      </c>
      <c r="J1499" s="42" t="n">
        <v>2438</v>
      </c>
      <c r="K1499" s="42" t="n">
        <v>312</v>
      </c>
      <c r="L1499" s="43" t="n"/>
      <c r="M1499" s="44" t="n"/>
      <c r="N1499" s="44" t="inlineStr">
        <is>
          <t>UCKZo4N0lVPccBkSiuyVh4yg</t>
        </is>
      </c>
      <c r="O1499" s="45" t="n">
        <v>44253.65625</v>
      </c>
      <c r="P1499" s="46" t="n">
        <v>44253</v>
      </c>
      <c r="Q1499" s="44" t="n">
        <v>1773</v>
      </c>
      <c r="R1499" s="44" t="inlineStr">
        <is>
          <t>No Video ID yet</t>
        </is>
      </c>
      <c r="S1499" s="46" t="n"/>
      <c r="T1499" s="46" t="n"/>
      <c r="U1499" s="44" t="n"/>
      <c r="V1499" s="44">
        <f>IF(AND(P1499&gt;=Calendar!$K$2,P1499&lt;EDATE(Calendar!$K$2,1),OR(Calendar!$K$4="*",N1499=Calendar!$K$4)),P1499*100+COUNTIFS($P$6:$P$3271,P1499,$Q$6:$Q$3271,"&lt;="&amp;Q1499,$N$6:$N$3271,Calendar!$K$4),"")</f>
        <v/>
      </c>
      <c r="W1499" s="44">
        <f>IF(AND(B1499=Queue!$C$4,OR(Queue!$K$4="*",N1499=Queue!$K$4)),Q1499,"")</f>
        <v/>
      </c>
    </row>
    <row r="1500">
      <c r="A1500" s="35">
        <f>IF(M1500="","",HYPERLINK("https://www.youtube.com/watch?v="&amp;M1500,"▶"))</f>
        <v/>
      </c>
      <c r="B1500" s="36">
        <f>IF(C1500&lt;&gt;"",C1500,IF(P1500&lt;=IFERROR(INDEX(tblChannels[Watched Through],MATCH(N1500,tblChannels[Channel ID],0)),0),"Watched","Unwatched"))</f>
        <v/>
      </c>
      <c r="C1500" s="37" t="n"/>
      <c r="D1500" s="38" t="n"/>
      <c r="E1500" s="39" t="n">
        <v>44253.25</v>
      </c>
      <c r="F1500" s="40" t="inlineStr">
        <is>
          <t>Popcorn Culture</t>
        </is>
      </c>
      <c r="G1500" t="inlineStr">
        <is>
          <t>64 - Are We Burned Out on Superheroes?</t>
        </is>
      </c>
      <c r="H1500" s="41" t="n">
        <v>0.04723379629629629</v>
      </c>
      <c r="I1500" s="42" t="n">
        <v>1822</v>
      </c>
      <c r="J1500" s="42" t="n">
        <v>93</v>
      </c>
      <c r="K1500" s="42" t="n">
        <v>13</v>
      </c>
      <c r="L1500" s="43" t="n"/>
      <c r="M1500" s="44" t="n"/>
      <c r="N1500" s="44" t="inlineStr">
        <is>
          <t>UCHfIbq9thHPC8yrKjAdJgDA</t>
        </is>
      </c>
      <c r="O1500" s="45" t="n">
        <v>44253.45833333334</v>
      </c>
      <c r="P1500" s="46" t="n">
        <v>44253</v>
      </c>
      <c r="Q1500" s="44" t="n">
        <v>1772</v>
      </c>
      <c r="R1500" s="44" t="inlineStr">
        <is>
          <t>No Video ID yet</t>
        </is>
      </c>
      <c r="S1500" s="46" t="n"/>
      <c r="T1500" s="46" t="n"/>
      <c r="U1500" s="44" t="n"/>
      <c r="V1500" s="44">
        <f>IF(AND(P1500&gt;=Calendar!$K$2,P1500&lt;EDATE(Calendar!$K$2,1),OR(Calendar!$K$4="*",N1500=Calendar!$K$4)),P1500*100+COUNTIFS($P$6:$P$3271,P1500,$Q$6:$Q$3271,"&lt;="&amp;Q1500,$N$6:$N$3271,Calendar!$K$4),"")</f>
        <v/>
      </c>
      <c r="W1500" s="44">
        <f>IF(AND(B1500=Queue!$C$4,OR(Queue!$K$4="*",N1500=Queue!$K$4)),Q1500,"")</f>
        <v/>
      </c>
    </row>
    <row r="1501">
      <c r="A1501" s="35">
        <f>IF(M1501="","",HYPERLINK("https://www.youtube.com/watch?v="&amp;M1501,"▶"))</f>
        <v/>
      </c>
      <c r="B1501" s="36">
        <f>IF(C1501&lt;&gt;"",C1501,IF(P1501&lt;=IFERROR(INDEX(tblChannels[Watched Through],MATCH(N1501,tblChannels[Channel ID],0)),0),"Watched","Unwatched"))</f>
        <v/>
      </c>
      <c r="C1501" s="37" t="n"/>
      <c r="D1501" s="38" t="n"/>
      <c r="E1501" s="39" t="n">
        <v>44252.75277777778</v>
      </c>
      <c r="F1501" s="47" t="inlineStr">
        <is>
          <t>Super Carlin Brothers</t>
        </is>
      </c>
      <c r="G1501" t="inlineStr">
        <is>
          <t>What Is Agatha’s Plan? | WandaVision Theory</t>
        </is>
      </c>
      <c r="H1501" s="41" t="n">
        <v>0.009895833333333333</v>
      </c>
      <c r="I1501" s="42" t="n">
        <v>198905</v>
      </c>
      <c r="J1501" s="42" t="n">
        <v>12399</v>
      </c>
      <c r="K1501" s="42" t="n">
        <v>1551</v>
      </c>
      <c r="L1501" s="43" t="n"/>
      <c r="M1501" s="44" t="n"/>
      <c r="N1501" s="44" t="inlineStr">
        <is>
          <t>UCKZo4N0lVPccBkSiuyVh4yg</t>
        </is>
      </c>
      <c r="O1501" s="45" t="n">
        <v>44252.96111111111</v>
      </c>
      <c r="P1501" s="46" t="n">
        <v>44252</v>
      </c>
      <c r="Q1501" s="44" t="n">
        <v>1771</v>
      </c>
      <c r="R1501" s="44" t="inlineStr">
        <is>
          <t>No Video ID yet</t>
        </is>
      </c>
      <c r="S1501" s="46" t="n"/>
      <c r="T1501" s="46" t="n"/>
      <c r="U1501" s="44" t="n"/>
      <c r="V1501" s="44">
        <f>IF(AND(P1501&gt;=Calendar!$K$2,P1501&lt;EDATE(Calendar!$K$2,1),OR(Calendar!$K$4="*",N1501=Calendar!$K$4)),P1501*100+COUNTIFS($P$6:$P$3271,P1501,$Q$6:$Q$3271,"&lt;="&amp;Q1501,$N$6:$N$3271,Calendar!$K$4),"")</f>
        <v/>
      </c>
      <c r="W1501" s="44">
        <f>IF(AND(B1501=Queue!$C$4,OR(Queue!$K$4="*",N1501=Queue!$K$4)),Q1501,"")</f>
        <v/>
      </c>
    </row>
    <row r="1502">
      <c r="A1502" s="35">
        <f>IF(M1502="","",HYPERLINK("https://www.youtube.com/watch?v="&amp;M1502,"▶"))</f>
        <v/>
      </c>
      <c r="B1502" s="36">
        <f>IF(C1502&lt;&gt;"",C1502,IF(P1502&lt;=IFERROR(INDEX(tblChannels[Watched Through],MATCH(N1502,tblChannels[Channel ID],0)),0),"Watched","Unwatched"))</f>
        <v/>
      </c>
      <c r="C1502" s="37" t="n"/>
      <c r="D1502" s="38" t="n"/>
      <c r="E1502" s="39" t="n">
        <v>44250.79236111111</v>
      </c>
      <c r="F1502" s="47" t="inlineStr">
        <is>
          <t>Super Carlin Brothers</t>
        </is>
      </c>
      <c r="G1502" t="inlineStr">
        <is>
          <t>Why Didn't James Sacrifice Protect Harry? | Harry Potter Theory</t>
        </is>
      </c>
      <c r="H1502" s="41" t="n">
        <v>0.00962962962962963</v>
      </c>
      <c r="I1502" s="42" t="n">
        <v>467501</v>
      </c>
      <c r="J1502" s="42" t="n">
        <v>20349</v>
      </c>
      <c r="K1502" s="42" t="n">
        <v>2465</v>
      </c>
      <c r="L1502" s="43" t="n"/>
      <c r="M1502" s="44" t="n"/>
      <c r="N1502" s="44" t="inlineStr">
        <is>
          <t>UCKZo4N0lVPccBkSiuyVh4yg</t>
        </is>
      </c>
      <c r="O1502" s="45" t="n">
        <v>44251.00069444445</v>
      </c>
      <c r="P1502" s="46" t="n">
        <v>44250</v>
      </c>
      <c r="Q1502" s="44" t="n">
        <v>1770</v>
      </c>
      <c r="R1502" s="44" t="inlineStr">
        <is>
          <t>No Video ID yet</t>
        </is>
      </c>
      <c r="S1502" s="46" t="n"/>
      <c r="T1502" s="46" t="n"/>
      <c r="U1502" s="44" t="n"/>
      <c r="V1502" s="44">
        <f>IF(AND(P1502&gt;=Calendar!$K$2,P1502&lt;EDATE(Calendar!$K$2,1),OR(Calendar!$K$4="*",N1502=Calendar!$K$4)),P1502*100+COUNTIFS($P$6:$P$3271,P1502,$Q$6:$Q$3271,"&lt;="&amp;Q1502,$N$6:$N$3271,Calendar!$K$4),"")</f>
        <v/>
      </c>
      <c r="W1502" s="44">
        <f>IF(AND(B1502=Queue!$C$4,OR(Queue!$K$4="*",N1502=Queue!$K$4)),Q1502,"")</f>
        <v/>
      </c>
    </row>
    <row r="1503">
      <c r="A1503" s="35">
        <f>IF(M1503="","",HYPERLINK("https://www.youtube.com/watch?v="&amp;M1503,"▶"))</f>
        <v/>
      </c>
      <c r="B1503" s="36">
        <f>IF(C1503&lt;&gt;"",C1503,IF(P1503&lt;=IFERROR(INDEX(tblChannels[Watched Through],MATCH(N1503,tblChannels[Channel ID],0)),0),"Watched","Unwatched"))</f>
        <v/>
      </c>
      <c r="C1503" s="37" t="n"/>
      <c r="D1503" s="38" t="n"/>
      <c r="E1503" s="39" t="n">
        <v>44246.58333333334</v>
      </c>
      <c r="F1503" s="47" t="inlineStr">
        <is>
          <t>Super Carlin Brothers</t>
        </is>
      </c>
      <c r="G1503" t="inlineStr">
        <is>
          <t>Ben Gets Glasses | Popcorn Culture</t>
        </is>
      </c>
      <c r="H1503" s="41" t="n">
        <v>0.04351851851851852</v>
      </c>
      <c r="I1503" s="42" t="n">
        <v>46558</v>
      </c>
      <c r="J1503" s="42" t="n">
        <v>2053</v>
      </c>
      <c r="K1503" s="42" t="n">
        <v>359</v>
      </c>
      <c r="L1503" s="43" t="n"/>
      <c r="M1503" s="44" t="n"/>
      <c r="N1503" s="44" t="inlineStr">
        <is>
          <t>UCKZo4N0lVPccBkSiuyVh4yg</t>
        </is>
      </c>
      <c r="O1503" s="45" t="n">
        <v>44246.79166666666</v>
      </c>
      <c r="P1503" s="46" t="n">
        <v>44246</v>
      </c>
      <c r="Q1503" s="44" t="n">
        <v>1769</v>
      </c>
      <c r="R1503" s="44" t="inlineStr">
        <is>
          <t>No Video ID yet</t>
        </is>
      </c>
      <c r="S1503" s="46" t="n"/>
      <c r="T1503" s="46" t="n"/>
      <c r="U1503" s="44" t="n"/>
      <c r="V1503" s="44">
        <f>IF(AND(P1503&gt;=Calendar!$K$2,P1503&lt;EDATE(Calendar!$K$2,1),OR(Calendar!$K$4="*",N1503=Calendar!$K$4)),P1503*100+COUNTIFS($P$6:$P$3271,P1503,$Q$6:$Q$3271,"&lt;="&amp;Q1503,$N$6:$N$3271,Calendar!$K$4),"")</f>
        <v/>
      </c>
      <c r="W1503" s="44">
        <f>IF(AND(B1503=Queue!$C$4,OR(Queue!$K$4="*",N1503=Queue!$K$4)),Q1503,"")</f>
        <v/>
      </c>
    </row>
    <row r="1504">
      <c r="A1504" s="35">
        <f>IF(M1504="","",HYPERLINK("https://www.youtube.com/watch?v="&amp;M1504,"▶"))</f>
        <v/>
      </c>
      <c r="B1504" s="36">
        <f>IF(C1504&lt;&gt;"",C1504,IF(P1504&lt;=IFERROR(INDEX(tblChannels[Watched Through],MATCH(N1504,tblChannels[Channel ID],0)),0),"Watched","Unwatched"))</f>
        <v/>
      </c>
      <c r="C1504" s="37" t="n"/>
      <c r="D1504" s="38" t="n"/>
      <c r="E1504" s="39" t="n">
        <v>44246.25</v>
      </c>
      <c r="F1504" s="40" t="inlineStr">
        <is>
          <t>Popcorn Culture</t>
        </is>
      </c>
      <c r="G1504" t="inlineStr">
        <is>
          <t>63 - The Summer Camp Effect</t>
        </is>
      </c>
      <c r="H1504" s="41" t="n">
        <v>0.04133101851851852</v>
      </c>
      <c r="I1504" s="42" t="n">
        <v>2048</v>
      </c>
      <c r="J1504" s="42" t="n">
        <v>106</v>
      </c>
      <c r="K1504" s="42" t="n">
        <v>25</v>
      </c>
      <c r="L1504" s="43" t="n"/>
      <c r="M1504" s="44" t="n"/>
      <c r="N1504" s="44" t="inlineStr">
        <is>
          <t>UCHfIbq9thHPC8yrKjAdJgDA</t>
        </is>
      </c>
      <c r="O1504" s="45" t="n">
        <v>44246.45833333334</v>
      </c>
      <c r="P1504" s="46" t="n">
        <v>44246</v>
      </c>
      <c r="Q1504" s="44" t="n">
        <v>1768</v>
      </c>
      <c r="R1504" s="44" t="inlineStr">
        <is>
          <t>No Video ID yet</t>
        </is>
      </c>
      <c r="S1504" s="46" t="n"/>
      <c r="T1504" s="46" t="n"/>
      <c r="U1504" s="44" t="n"/>
      <c r="V1504" s="44">
        <f>IF(AND(P1504&gt;=Calendar!$K$2,P1504&lt;EDATE(Calendar!$K$2,1),OR(Calendar!$K$4="*",N1504=Calendar!$K$4)),P1504*100+COUNTIFS($P$6:$P$3271,P1504,$Q$6:$Q$3271,"&lt;="&amp;Q1504,$N$6:$N$3271,Calendar!$K$4),"")</f>
        <v/>
      </c>
      <c r="W1504" s="44">
        <f>IF(AND(B1504=Queue!$C$4,OR(Queue!$K$4="*",N1504=Queue!$K$4)),Q1504,"")</f>
        <v/>
      </c>
    </row>
    <row r="1505">
      <c r="A1505" s="35">
        <f>IF(M1505="","",HYPERLINK("https://www.youtube.com/watch?v="&amp;M1505,"▶"))</f>
        <v/>
      </c>
      <c r="B1505" s="36">
        <f>IF(C1505&lt;&gt;"",C1505,IF(P1505&lt;=IFERROR(INDEX(tblChannels[Watched Through],MATCH(N1505,tblChannels[Channel ID],0)),0),"Watched","Unwatched"))</f>
        <v/>
      </c>
      <c r="C1505" s="37" t="n"/>
      <c r="D1505" s="38" t="n"/>
      <c r="E1505" s="39" t="n">
        <v>44245.59722222222</v>
      </c>
      <c r="F1505" s="47" t="inlineStr">
        <is>
          <t>Super Carlin Brothers</t>
        </is>
      </c>
      <c r="G1505" t="inlineStr">
        <is>
          <t>J vs Ben: EXPERT Level MCU Trivia Quiz</t>
        </is>
      </c>
      <c r="H1505" s="41" t="n">
        <v>0.02074074074074074</v>
      </c>
      <c r="I1505" s="42" t="n">
        <v>243804</v>
      </c>
      <c r="J1505" s="42" t="n">
        <v>9059</v>
      </c>
      <c r="K1505" s="42" t="n">
        <v>949</v>
      </c>
      <c r="L1505" s="43" t="n"/>
      <c r="M1505" s="44" t="n"/>
      <c r="N1505" s="44" t="inlineStr">
        <is>
          <t>UCKZo4N0lVPccBkSiuyVh4yg</t>
        </is>
      </c>
      <c r="O1505" s="45" t="n">
        <v>44245.80555555555</v>
      </c>
      <c r="P1505" s="46" t="n">
        <v>44245</v>
      </c>
      <c r="Q1505" s="44" t="n">
        <v>1767</v>
      </c>
      <c r="R1505" s="44" t="inlineStr">
        <is>
          <t>No Video ID yet</t>
        </is>
      </c>
      <c r="S1505" s="46" t="n"/>
      <c r="T1505" s="46" t="n"/>
      <c r="U1505" s="44" t="n"/>
      <c r="V1505" s="44">
        <f>IF(AND(P1505&gt;=Calendar!$K$2,P1505&lt;EDATE(Calendar!$K$2,1),OR(Calendar!$K$4="*",N1505=Calendar!$K$4)),P1505*100+COUNTIFS($P$6:$P$3271,P1505,$Q$6:$Q$3271,"&lt;="&amp;Q1505,$N$6:$N$3271,Calendar!$K$4),"")</f>
        <v/>
      </c>
      <c r="W1505" s="44">
        <f>IF(AND(B1505=Queue!$C$4,OR(Queue!$K$4="*",N1505=Queue!$K$4)),Q1505,"")</f>
        <v/>
      </c>
    </row>
    <row r="1506">
      <c r="A1506" s="35">
        <f>IF(M1506="","",HYPERLINK("https://www.youtube.com/watch?v="&amp;M1506,"▶"))</f>
        <v/>
      </c>
      <c r="B1506" s="36">
        <f>IF(C1506&lt;&gt;"",C1506,IF(P1506&lt;=IFERROR(INDEX(tblChannels[Watched Through],MATCH(N1506,tblChannels[Channel ID],0)),0),"Watched","Unwatched"))</f>
        <v/>
      </c>
      <c r="C1506" s="37" t="n"/>
      <c r="D1506" s="38" t="n"/>
      <c r="E1506" s="39" t="n">
        <v>44243.80902777778</v>
      </c>
      <c r="F1506" s="47" t="inlineStr">
        <is>
          <t>Super Carlin Brothers</t>
        </is>
      </c>
      <c r="G1506" t="inlineStr">
        <is>
          <t>Are There TWO Wandas? | Marvel Theory</t>
        </is>
      </c>
      <c r="H1506" s="41" t="n">
        <v>0.01231481481481481</v>
      </c>
      <c r="I1506" s="42" t="n">
        <v>217855</v>
      </c>
      <c r="J1506" s="42" t="n">
        <v>13731</v>
      </c>
      <c r="K1506" s="42" t="n">
        <v>1987</v>
      </c>
      <c r="L1506" s="43" t="n"/>
      <c r="M1506" s="44" t="n"/>
      <c r="N1506" s="44" t="inlineStr">
        <is>
          <t>UCKZo4N0lVPccBkSiuyVh4yg</t>
        </is>
      </c>
      <c r="O1506" s="45" t="n">
        <v>44244.01736111111</v>
      </c>
      <c r="P1506" s="46" t="n">
        <v>44243</v>
      </c>
      <c r="Q1506" s="44" t="n">
        <v>1766</v>
      </c>
      <c r="R1506" s="44" t="inlineStr">
        <is>
          <t>No Video ID yet</t>
        </is>
      </c>
      <c r="S1506" s="46" t="n"/>
      <c r="T1506" s="46" t="n"/>
      <c r="U1506" s="44" t="n"/>
      <c r="V1506" s="44">
        <f>IF(AND(P1506&gt;=Calendar!$K$2,P1506&lt;EDATE(Calendar!$K$2,1),OR(Calendar!$K$4="*",N1506=Calendar!$K$4)),P1506*100+COUNTIFS($P$6:$P$3271,P1506,$Q$6:$Q$3271,"&lt;="&amp;Q1506,$N$6:$N$3271,Calendar!$K$4),"")</f>
        <v/>
      </c>
      <c r="W1506" s="44">
        <f>IF(AND(B1506=Queue!$C$4,OR(Queue!$K$4="*",N1506=Queue!$K$4)),Q1506,"")</f>
        <v/>
      </c>
    </row>
    <row r="1507">
      <c r="A1507" s="35">
        <f>IF(M1507="","",HYPERLINK("https://www.youtube.com/watch?v="&amp;M1507,"▶"))</f>
        <v/>
      </c>
      <c r="B1507" s="36">
        <f>IF(C1507&lt;&gt;"",C1507,IF(P1507&lt;=IFERROR(INDEX(tblChannels[Watched Through],MATCH(N1507,tblChannels[Channel ID],0)),0),"Watched","Unwatched"))</f>
        <v/>
      </c>
      <c r="C1507" s="37" t="n"/>
      <c r="D1507" s="38" t="n"/>
      <c r="E1507" s="39" t="n">
        <v>44239.5</v>
      </c>
      <c r="F1507" s="47" t="inlineStr">
        <is>
          <t>Super Carlin Brothers</t>
        </is>
      </c>
      <c r="G1507" t="inlineStr">
        <is>
          <t>Popcorn Culture Podcast Video Debut!</t>
        </is>
      </c>
      <c r="H1507" s="41" t="n">
        <v>0.05466435185185185</v>
      </c>
      <c r="I1507" s="42" t="n">
        <v>84238</v>
      </c>
      <c r="J1507" s="42" t="n">
        <v>3989</v>
      </c>
      <c r="K1507" s="42" t="n">
        <v>460</v>
      </c>
      <c r="L1507" s="43" t="n"/>
      <c r="M1507" s="44" t="n"/>
      <c r="N1507" s="44" t="inlineStr">
        <is>
          <t>UCKZo4N0lVPccBkSiuyVh4yg</t>
        </is>
      </c>
      <c r="O1507" s="45" t="n">
        <v>44239.70833333334</v>
      </c>
      <c r="P1507" s="46" t="n">
        <v>44239</v>
      </c>
      <c r="Q1507" s="44" t="n">
        <v>1765</v>
      </c>
      <c r="R1507" s="44" t="inlineStr">
        <is>
          <t>No Video ID yet</t>
        </is>
      </c>
      <c r="S1507" s="46" t="n"/>
      <c r="T1507" s="46" t="n"/>
      <c r="U1507" s="44" t="n"/>
      <c r="V1507" s="44">
        <f>IF(AND(P1507&gt;=Calendar!$K$2,P1507&lt;EDATE(Calendar!$K$2,1),OR(Calendar!$K$4="*",N1507=Calendar!$K$4)),P1507*100+COUNTIFS($P$6:$P$3271,P1507,$Q$6:$Q$3271,"&lt;="&amp;Q1507,$N$6:$N$3271,Calendar!$K$4),"")</f>
        <v/>
      </c>
      <c r="W1507" s="44">
        <f>IF(AND(B1507=Queue!$C$4,OR(Queue!$K$4="*",N1507=Queue!$K$4)),Q1507,"")</f>
        <v/>
      </c>
    </row>
    <row r="1508">
      <c r="A1508" s="35">
        <f>IF(M1508="","",HYPERLINK("https://www.youtube.com/watch?v="&amp;M1508,"▶"))</f>
        <v/>
      </c>
      <c r="B1508" s="36">
        <f>IF(C1508&lt;&gt;"",C1508,IF(P1508&lt;=IFERROR(INDEX(tblChannels[Watched Through],MATCH(N1508,tblChannels[Channel ID],0)),0),"Watched","Unwatched"))</f>
        <v/>
      </c>
      <c r="C1508" s="37" t="n"/>
      <c r="D1508" s="38" t="n"/>
      <c r="E1508" s="39" t="n">
        <v>44239.45138888889</v>
      </c>
      <c r="F1508" s="40" t="inlineStr">
        <is>
          <t>Popcorn Culture</t>
        </is>
      </c>
      <c r="G1508" t="inlineStr">
        <is>
          <t>62 - Never Make a Decision Without a Whiteboard</t>
        </is>
      </c>
      <c r="H1508" s="41" t="n">
        <v>0.05028935185185185</v>
      </c>
      <c r="I1508" s="42" t="n">
        <v>2131</v>
      </c>
      <c r="J1508" s="42" t="n">
        <v>117</v>
      </c>
      <c r="K1508" s="42" t="n">
        <v>11</v>
      </c>
      <c r="L1508" s="43" t="n"/>
      <c r="M1508" s="44" t="n"/>
      <c r="N1508" s="44" t="inlineStr">
        <is>
          <t>UCHfIbq9thHPC8yrKjAdJgDA</t>
        </is>
      </c>
      <c r="O1508" s="45" t="n">
        <v>44239.65972222222</v>
      </c>
      <c r="P1508" s="46" t="n">
        <v>44239</v>
      </c>
      <c r="Q1508" s="44" t="n">
        <v>1764</v>
      </c>
      <c r="R1508" s="44" t="inlineStr">
        <is>
          <t>No Video ID yet</t>
        </is>
      </c>
      <c r="S1508" s="46" t="n"/>
      <c r="T1508" s="46" t="n"/>
      <c r="U1508" s="44" t="n"/>
      <c r="V1508" s="44">
        <f>IF(AND(P1508&gt;=Calendar!$K$2,P1508&lt;EDATE(Calendar!$K$2,1),OR(Calendar!$K$4="*",N1508=Calendar!$K$4)),P1508*100+COUNTIFS($P$6:$P$3271,P1508,$Q$6:$Q$3271,"&lt;="&amp;Q1508,$N$6:$N$3271,Calendar!$K$4),"")</f>
        <v/>
      </c>
      <c r="W1508" s="44">
        <f>IF(AND(B1508=Queue!$C$4,OR(Queue!$K$4="*",N1508=Queue!$K$4)),Q1508,"")</f>
        <v/>
      </c>
    </row>
    <row r="1509">
      <c r="A1509" s="35">
        <f>IF(M1509="","",HYPERLINK("https://www.youtube.com/watch?v="&amp;M1509,"▶"))</f>
        <v/>
      </c>
      <c r="B1509" s="36">
        <f>IF(C1509&lt;&gt;"",C1509,IF(P1509&lt;=IFERROR(INDEX(tblChannels[Watched Through],MATCH(N1509,tblChannels[Channel ID],0)),0),"Watched","Unwatched"))</f>
        <v/>
      </c>
      <c r="C1509" s="37" t="n"/>
      <c r="D1509" s="38" t="n"/>
      <c r="E1509" s="39" t="n">
        <v>44238.85416666666</v>
      </c>
      <c r="F1509" s="47" t="inlineStr">
        <is>
          <t>Super Carlin Brothers</t>
        </is>
      </c>
      <c r="G1509" t="inlineStr">
        <is>
          <t>Will Sam’s Shield Have Powers? | Marvel Theory</t>
        </is>
      </c>
      <c r="H1509" s="41" t="n">
        <v>0.01177083333333333</v>
      </c>
      <c r="I1509" s="42" t="n">
        <v>157924</v>
      </c>
      <c r="J1509" s="42" t="n">
        <v>9157</v>
      </c>
      <c r="K1509" s="42" t="n">
        <v>1006</v>
      </c>
      <c r="L1509" s="43" t="n"/>
      <c r="M1509" s="44" t="n"/>
      <c r="N1509" s="44" t="inlineStr">
        <is>
          <t>UCKZo4N0lVPccBkSiuyVh4yg</t>
        </is>
      </c>
      <c r="O1509" s="45" t="n">
        <v>44239.0625</v>
      </c>
      <c r="P1509" s="46" t="n">
        <v>44238</v>
      </c>
      <c r="Q1509" s="44" t="n">
        <v>1763</v>
      </c>
      <c r="R1509" s="44" t="inlineStr">
        <is>
          <t>No Video ID yet</t>
        </is>
      </c>
      <c r="S1509" s="46" t="n"/>
      <c r="T1509" s="46" t="n"/>
      <c r="U1509" s="44" t="n"/>
      <c r="V1509" s="44">
        <f>IF(AND(P1509&gt;=Calendar!$K$2,P1509&lt;EDATE(Calendar!$K$2,1),OR(Calendar!$K$4="*",N1509=Calendar!$K$4)),P1509*100+COUNTIFS($P$6:$P$3271,P1509,$Q$6:$Q$3271,"&lt;="&amp;Q1509,$N$6:$N$3271,Calendar!$K$4),"")</f>
        <v/>
      </c>
      <c r="W1509" s="44">
        <f>IF(AND(B1509=Queue!$C$4,OR(Queue!$K$4="*",N1509=Queue!$K$4)),Q1509,"")</f>
        <v/>
      </c>
    </row>
    <row r="1510">
      <c r="A1510" s="35">
        <f>IF(M1510="","",HYPERLINK("https://www.youtube.com/watch?v="&amp;M1510,"▶"))</f>
        <v/>
      </c>
      <c r="B1510" s="36">
        <f>IF(C1510&lt;&gt;"",C1510,IF(P1510&lt;=IFERROR(INDEX(tblChannels[Watched Through],MATCH(N1510,tblChannels[Channel ID],0)),0),"Watched","Unwatched"))</f>
        <v/>
      </c>
      <c r="C1510" s="37" t="n"/>
      <c r="D1510" s="38" t="n"/>
      <c r="E1510" s="39" t="n">
        <v>44236.88680555556</v>
      </c>
      <c r="F1510" s="47" t="inlineStr">
        <is>
          <t>Super Carlin Brothers</t>
        </is>
      </c>
      <c r="G1510" t="inlineStr">
        <is>
          <t>Did WandaVision Just Introduce the X-Men? | Marvel Theory</t>
        </is>
      </c>
      <c r="H1510" s="41" t="n">
        <v>0.01280092592592593</v>
      </c>
      <c r="I1510" s="42" t="n">
        <v>300799</v>
      </c>
      <c r="J1510" s="42" t="n">
        <v>17281</v>
      </c>
      <c r="K1510" s="42" t="n">
        <v>2476</v>
      </c>
      <c r="L1510" s="43" t="n"/>
      <c r="M1510" s="44" t="n"/>
      <c r="N1510" s="44" t="inlineStr">
        <is>
          <t>UCKZo4N0lVPccBkSiuyVh4yg</t>
        </is>
      </c>
      <c r="O1510" s="45" t="n">
        <v>44237.09513888889</v>
      </c>
      <c r="P1510" s="46" t="n">
        <v>44236</v>
      </c>
      <c r="Q1510" s="44" t="n">
        <v>1762</v>
      </c>
      <c r="R1510" s="44" t="inlineStr">
        <is>
          <t>No Video ID yet</t>
        </is>
      </c>
      <c r="S1510" s="46" t="n"/>
      <c r="T1510" s="46" t="n"/>
      <c r="U1510" s="44" t="n"/>
      <c r="V1510" s="44">
        <f>IF(AND(P1510&gt;=Calendar!$K$2,P1510&lt;EDATE(Calendar!$K$2,1),OR(Calendar!$K$4="*",N1510=Calendar!$K$4)),P1510*100+COUNTIFS($P$6:$P$3271,P1510,$Q$6:$Q$3271,"&lt;="&amp;Q1510,$N$6:$N$3271,Calendar!$K$4),"")</f>
        <v/>
      </c>
      <c r="W1510" s="44">
        <f>IF(AND(B1510=Queue!$C$4,OR(Queue!$K$4="*",N1510=Queue!$K$4)),Q1510,"")</f>
        <v/>
      </c>
    </row>
    <row r="1511">
      <c r="A1511" s="35">
        <f>IF(M1511="","",HYPERLINK("https://www.youtube.com/watch?v="&amp;M1511,"▶"))</f>
        <v/>
      </c>
      <c r="B1511" s="36">
        <f>IF(C1511&lt;&gt;"",C1511,IF(P1511&lt;=IFERROR(INDEX(tblChannels[Watched Through],MATCH(N1511,tblChannels[Channel ID],0)),0),"Watched","Unwatched"))</f>
        <v/>
      </c>
      <c r="C1511" s="37" t="n"/>
      <c r="D1511" s="38" t="n"/>
      <c r="E1511" s="39" t="n">
        <v>44232.25</v>
      </c>
      <c r="F1511" s="40" t="inlineStr">
        <is>
          <t>Popcorn Culture</t>
        </is>
      </c>
      <c r="G1511" t="inlineStr">
        <is>
          <t>61 - Jellyfish Stings and Other Things That Ruin the Moment</t>
        </is>
      </c>
      <c r="H1511" s="41" t="n">
        <v>0.04496527777777778</v>
      </c>
      <c r="I1511" s="42" t="n">
        <v>2921</v>
      </c>
      <c r="J1511" s="42" t="n">
        <v>153</v>
      </c>
      <c r="K1511" s="42" t="n">
        <v>11</v>
      </c>
      <c r="L1511" s="43" t="n"/>
      <c r="M1511" s="44" t="n"/>
      <c r="N1511" s="44" t="inlineStr">
        <is>
          <t>UCHfIbq9thHPC8yrKjAdJgDA</t>
        </is>
      </c>
      <c r="O1511" s="45" t="n">
        <v>44232.45833333334</v>
      </c>
      <c r="P1511" s="46" t="n">
        <v>44232</v>
      </c>
      <c r="Q1511" s="44" t="n">
        <v>1761</v>
      </c>
      <c r="R1511" s="44" t="inlineStr">
        <is>
          <t>No Video ID yet</t>
        </is>
      </c>
      <c r="S1511" s="46" t="n"/>
      <c r="T1511" s="46" t="n"/>
      <c r="U1511" s="44" t="n"/>
      <c r="V1511" s="44">
        <f>IF(AND(P1511&gt;=Calendar!$K$2,P1511&lt;EDATE(Calendar!$K$2,1),OR(Calendar!$K$4="*",N1511=Calendar!$K$4)),P1511*100+COUNTIFS($P$6:$P$3271,P1511,$Q$6:$Q$3271,"&lt;="&amp;Q1511,$N$6:$N$3271,Calendar!$K$4),"")</f>
        <v/>
      </c>
      <c r="W1511" s="44">
        <f>IF(AND(B1511=Queue!$C$4,OR(Queue!$K$4="*",N1511=Queue!$K$4)),Q1511,"")</f>
        <v/>
      </c>
    </row>
    <row r="1512">
      <c r="A1512" s="35">
        <f>IF(M1512="","",HYPERLINK("https://www.youtube.com/watch?v="&amp;M1512,"▶"))</f>
        <v/>
      </c>
      <c r="B1512" s="36">
        <f>IF(C1512&lt;&gt;"",C1512,IF(P1512&lt;=IFERROR(INDEX(tblChannels[Watched Through],MATCH(N1512,tblChannels[Channel ID],0)),0),"Watched","Unwatched"))</f>
        <v/>
      </c>
      <c r="C1512" s="37" t="n"/>
      <c r="D1512" s="38" t="n"/>
      <c r="E1512" s="39" t="n">
        <v>44231.9</v>
      </c>
      <c r="F1512" s="47" t="inlineStr">
        <is>
          <t>Super Carlin Brothers</t>
        </is>
      </c>
      <c r="G1512" t="inlineStr">
        <is>
          <t>J vs Ben: The HARDEST Obscure Spells Harry Potter Trivia Quiz</t>
        </is>
      </c>
      <c r="H1512" s="41" t="n">
        <v>0.01751157407407408</v>
      </c>
      <c r="I1512" s="42" t="n">
        <v>279607</v>
      </c>
      <c r="J1512" s="42" t="n">
        <v>10791</v>
      </c>
      <c r="K1512" s="42" t="n">
        <v>2033</v>
      </c>
      <c r="L1512" s="43" t="n"/>
      <c r="M1512" s="44" t="n"/>
      <c r="N1512" s="44" t="inlineStr">
        <is>
          <t>UCKZo4N0lVPccBkSiuyVh4yg</t>
        </is>
      </c>
      <c r="O1512" s="45" t="n">
        <v>44232.10833333333</v>
      </c>
      <c r="P1512" s="46" t="n">
        <v>44231</v>
      </c>
      <c r="Q1512" s="44" t="n">
        <v>1760</v>
      </c>
      <c r="R1512" s="44" t="inlineStr">
        <is>
          <t>No Video ID yet</t>
        </is>
      </c>
      <c r="S1512" s="46" t="n"/>
      <c r="T1512" s="46" t="n"/>
      <c r="U1512" s="44" t="n"/>
      <c r="V1512" s="44">
        <f>IF(AND(P1512&gt;=Calendar!$K$2,P1512&lt;EDATE(Calendar!$K$2,1),OR(Calendar!$K$4="*",N1512=Calendar!$K$4)),P1512*100+COUNTIFS($P$6:$P$3271,P1512,$Q$6:$Q$3271,"&lt;="&amp;Q1512,$N$6:$N$3271,Calendar!$K$4),"")</f>
        <v/>
      </c>
      <c r="W1512" s="44">
        <f>IF(AND(B1512=Queue!$C$4,OR(Queue!$K$4="*",N1512=Queue!$K$4)),Q1512,"")</f>
        <v/>
      </c>
    </row>
    <row r="1513">
      <c r="A1513" s="35">
        <f>IF(M1513="","",HYPERLINK("https://www.youtube.com/watch?v="&amp;M1513,"▶"))</f>
        <v/>
      </c>
      <c r="B1513" s="36">
        <f>IF(C1513&lt;&gt;"",C1513,IF(P1513&lt;=IFERROR(INDEX(tblChannels[Watched Through],MATCH(N1513,tblChannels[Channel ID],0)),0),"Watched","Unwatched"))</f>
        <v/>
      </c>
      <c r="C1513" s="37" t="n"/>
      <c r="D1513" s="38" t="n"/>
      <c r="E1513" s="39" t="n">
        <v>44231.63680555556</v>
      </c>
      <c r="F1513" s="49" t="inlineStr">
        <is>
          <t>Super Carlin Gaming</t>
        </is>
      </c>
      <c r="G1513" t="inlineStr">
        <is>
          <t>Unboxing Pokemon Card Booster Box!</t>
        </is>
      </c>
      <c r="H1513" s="41" t="n">
        <v>0.04799768518518518</v>
      </c>
      <c r="I1513" s="42" t="n">
        <v>8027</v>
      </c>
      <c r="J1513" s="42" t="n">
        <v>459</v>
      </c>
      <c r="K1513" s="42" t="n">
        <v>49</v>
      </c>
      <c r="L1513" s="43" t="n"/>
      <c r="M1513" s="44" t="n"/>
      <c r="N1513" s="44" t="inlineStr">
        <is>
          <t>UCor_9jRnNNZVzTuQ92PKsaQ</t>
        </is>
      </c>
      <c r="O1513" s="45" t="n">
        <v>44231.84513888889</v>
      </c>
      <c r="P1513" s="46" t="n">
        <v>44231</v>
      </c>
      <c r="Q1513" s="44" t="n">
        <v>1759</v>
      </c>
      <c r="R1513" s="44" t="inlineStr">
        <is>
          <t>No Video ID yet</t>
        </is>
      </c>
      <c r="S1513" s="46" t="n"/>
      <c r="T1513" s="46" t="n"/>
      <c r="U1513" s="44" t="n"/>
      <c r="V1513" s="44">
        <f>IF(AND(P1513&gt;=Calendar!$K$2,P1513&lt;EDATE(Calendar!$K$2,1),OR(Calendar!$K$4="*",N1513=Calendar!$K$4)),P1513*100+COUNTIFS($P$6:$P$3271,P1513,$Q$6:$Q$3271,"&lt;="&amp;Q1513,$N$6:$N$3271,Calendar!$K$4),"")</f>
        <v/>
      </c>
      <c r="W1513" s="44">
        <f>IF(AND(B1513=Queue!$C$4,OR(Queue!$K$4="*",N1513=Queue!$K$4)),Q1513,"")</f>
        <v/>
      </c>
    </row>
    <row r="1514">
      <c r="A1514" s="35">
        <f>IF(M1514="","",HYPERLINK("https://www.youtube.com/watch?v="&amp;M1514,"▶"))</f>
        <v/>
      </c>
      <c r="B1514" s="36">
        <f>IF(C1514&lt;&gt;"",C1514,IF(P1514&lt;=IFERROR(INDEX(tblChannels[Watched Through],MATCH(N1514,tblChannels[Channel ID],0)),0),"Watched","Unwatched"))</f>
        <v/>
      </c>
      <c r="C1514" s="37" t="n"/>
      <c r="D1514" s="38" t="n"/>
      <c r="E1514" s="39" t="n">
        <v>44229.81388888889</v>
      </c>
      <c r="F1514" s="47" t="inlineStr">
        <is>
          <t>Super Carlin Brothers</t>
        </is>
      </c>
      <c r="G1514" t="inlineStr">
        <is>
          <t>Is Vision Dead? | Marvel Theory</t>
        </is>
      </c>
      <c r="H1514" s="41" t="n">
        <v>0.01028935185185185</v>
      </c>
      <c r="I1514" s="42" t="n">
        <v>281217</v>
      </c>
      <c r="J1514" s="42" t="n">
        <v>16345</v>
      </c>
      <c r="K1514" s="42" t="n">
        <v>1897</v>
      </c>
      <c r="L1514" s="43" t="n"/>
      <c r="M1514" s="44" t="n"/>
      <c r="N1514" s="44" t="inlineStr">
        <is>
          <t>UCKZo4N0lVPccBkSiuyVh4yg</t>
        </is>
      </c>
      <c r="O1514" s="45" t="n">
        <v>44230.02222222222</v>
      </c>
      <c r="P1514" s="46" t="n">
        <v>44229</v>
      </c>
      <c r="Q1514" s="44" t="n">
        <v>1758</v>
      </c>
      <c r="R1514" s="44" t="inlineStr">
        <is>
          <t>No Video ID yet</t>
        </is>
      </c>
      <c r="S1514" s="46" t="n"/>
      <c r="T1514" s="46" t="n"/>
      <c r="U1514" s="44" t="n"/>
      <c r="V1514" s="44">
        <f>IF(AND(P1514&gt;=Calendar!$K$2,P1514&lt;EDATE(Calendar!$K$2,1),OR(Calendar!$K$4="*",N1514=Calendar!$K$4)),P1514*100+COUNTIFS($P$6:$P$3271,P1514,$Q$6:$Q$3271,"&lt;="&amp;Q1514,$N$6:$N$3271,Calendar!$K$4),"")</f>
        <v/>
      </c>
      <c r="W1514" s="44">
        <f>IF(AND(B1514=Queue!$C$4,OR(Queue!$K$4="*",N1514=Queue!$K$4)),Q1514,"")</f>
        <v/>
      </c>
    </row>
    <row r="1515">
      <c r="A1515" s="35">
        <f>IF(M1515="","",HYPERLINK("https://www.youtube.com/watch?v="&amp;M1515,"▶"))</f>
        <v/>
      </c>
      <c r="B1515" s="36">
        <f>IF(C1515&lt;&gt;"",C1515,IF(P1515&lt;=IFERROR(INDEX(tblChannels[Watched Through],MATCH(N1515,tblChannels[Channel ID],0)),0),"Watched","Unwatched"))</f>
        <v/>
      </c>
      <c r="C1515" s="37" t="n"/>
      <c r="D1515" s="38" t="n"/>
      <c r="E1515" s="39" t="n">
        <v>44225.25</v>
      </c>
      <c r="F1515" s="40" t="inlineStr">
        <is>
          <t>Popcorn Culture</t>
        </is>
      </c>
      <c r="G1515" t="inlineStr">
        <is>
          <t>60 - The Stanley Duck</t>
        </is>
      </c>
      <c r="H1515" s="41" t="n">
        <v>0.04527777777777778</v>
      </c>
      <c r="I1515" s="42" t="n">
        <v>2446</v>
      </c>
      <c r="J1515" s="42" t="n">
        <v>124</v>
      </c>
      <c r="K1515" s="42" t="n">
        <v>20</v>
      </c>
      <c r="L1515" s="43" t="n"/>
      <c r="M1515" s="44" t="n"/>
      <c r="N1515" s="44" t="inlineStr">
        <is>
          <t>UCHfIbq9thHPC8yrKjAdJgDA</t>
        </is>
      </c>
      <c r="O1515" s="45" t="n">
        <v>44225.45833333334</v>
      </c>
      <c r="P1515" s="46" t="n">
        <v>44225</v>
      </c>
      <c r="Q1515" s="44" t="n">
        <v>1757</v>
      </c>
      <c r="R1515" s="44" t="inlineStr">
        <is>
          <t>No Video ID yet</t>
        </is>
      </c>
      <c r="S1515" s="46" t="n"/>
      <c r="T1515" s="46" t="n"/>
      <c r="U1515" s="44" t="n"/>
      <c r="V1515" s="44">
        <f>IF(AND(P1515&gt;=Calendar!$K$2,P1515&lt;EDATE(Calendar!$K$2,1),OR(Calendar!$K$4="*",N1515=Calendar!$K$4)),P1515*100+COUNTIFS($P$6:$P$3271,P1515,$Q$6:$Q$3271,"&lt;="&amp;Q1515,$N$6:$N$3271,Calendar!$K$4),"")</f>
        <v/>
      </c>
      <c r="W1515" s="44">
        <f>IF(AND(B1515=Queue!$C$4,OR(Queue!$K$4="*",N1515=Queue!$K$4)),Q1515,"")</f>
        <v/>
      </c>
    </row>
    <row r="1516">
      <c r="A1516" s="35">
        <f>IF(M1516="","",HYPERLINK("https://www.youtube.com/watch?v="&amp;M1516,"▶"))</f>
        <v/>
      </c>
      <c r="B1516" s="36">
        <f>IF(C1516&lt;&gt;"",C1516,IF(P1516&lt;=IFERROR(INDEX(tblChannels[Watched Through],MATCH(N1516,tblChannels[Channel ID],0)),0),"Watched","Unwatched"))</f>
        <v/>
      </c>
      <c r="C1516" s="37" t="n"/>
      <c r="D1516" s="38" t="n"/>
      <c r="E1516" s="39" t="n">
        <v>44224.88888888889</v>
      </c>
      <c r="F1516" s="47" t="inlineStr">
        <is>
          <t>Super Carlin Brothers</t>
        </is>
      </c>
      <c r="G1516" t="inlineStr">
        <is>
          <t>New Harry Potter TV Show Predictions | Harry Potter Theory</t>
        </is>
      </c>
      <c r="H1516" s="41" t="n">
        <v>0.01178240740740741</v>
      </c>
      <c r="I1516" s="42" t="n">
        <v>281695</v>
      </c>
      <c r="J1516" s="42" t="n">
        <v>17862</v>
      </c>
      <c r="K1516" s="42" t="n">
        <v>5130</v>
      </c>
      <c r="L1516" s="43" t="n"/>
      <c r="M1516" s="44" t="n"/>
      <c r="N1516" s="44" t="inlineStr">
        <is>
          <t>UCKZo4N0lVPccBkSiuyVh4yg</t>
        </is>
      </c>
      <c r="O1516" s="45" t="n">
        <v>44225.09722222222</v>
      </c>
      <c r="P1516" s="46" t="n">
        <v>44224</v>
      </c>
      <c r="Q1516" s="44" t="n">
        <v>1756</v>
      </c>
      <c r="R1516" s="44" t="inlineStr">
        <is>
          <t>No Video ID yet</t>
        </is>
      </c>
      <c r="S1516" s="46" t="n"/>
      <c r="T1516" s="46" t="n"/>
      <c r="U1516" s="44" t="n"/>
      <c r="V1516" s="44">
        <f>IF(AND(P1516&gt;=Calendar!$K$2,P1516&lt;EDATE(Calendar!$K$2,1),OR(Calendar!$K$4="*",N1516=Calendar!$K$4)),P1516*100+COUNTIFS($P$6:$P$3271,P1516,$Q$6:$Q$3271,"&lt;="&amp;Q1516,$N$6:$N$3271,Calendar!$K$4),"")</f>
        <v/>
      </c>
      <c r="W1516" s="44">
        <f>IF(AND(B1516=Queue!$C$4,OR(Queue!$K$4="*",N1516=Queue!$K$4)),Q1516,"")</f>
        <v/>
      </c>
    </row>
    <row r="1517">
      <c r="A1517" s="35">
        <f>IF(M1517="","",HYPERLINK("https://www.youtube.com/watch?v="&amp;M1517,"▶"))</f>
        <v/>
      </c>
      <c r="B1517" s="36">
        <f>IF(C1517&lt;&gt;"",C1517,IF(P1517&lt;=IFERROR(INDEX(tblChannels[Watched Through],MATCH(N1517,tblChannels[Channel ID],0)),0),"Watched","Unwatched"))</f>
        <v/>
      </c>
      <c r="C1517" s="37" t="n"/>
      <c r="D1517" s="38" t="n"/>
      <c r="E1517" s="39" t="n">
        <v>44222.82986111111</v>
      </c>
      <c r="F1517" s="47" t="inlineStr">
        <is>
          <t>Super Carlin Brothers</t>
        </is>
      </c>
      <c r="G1517" t="inlineStr">
        <is>
          <t>Does Woody Have A Soul? | Pixar Theory</t>
        </is>
      </c>
      <c r="H1517" s="41" t="n">
        <v>0.00962962962962963</v>
      </c>
      <c r="I1517" s="42" t="n">
        <v>492336</v>
      </c>
      <c r="J1517" s="42" t="n">
        <v>19322</v>
      </c>
      <c r="K1517" s="42" t="n">
        <v>1772</v>
      </c>
      <c r="L1517" s="43" t="n"/>
      <c r="M1517" s="44" t="n"/>
      <c r="N1517" s="44" t="inlineStr">
        <is>
          <t>UCKZo4N0lVPccBkSiuyVh4yg</t>
        </is>
      </c>
      <c r="O1517" s="45" t="n">
        <v>44223.03819444445</v>
      </c>
      <c r="P1517" s="46" t="n">
        <v>44222</v>
      </c>
      <c r="Q1517" s="44" t="n">
        <v>1755</v>
      </c>
      <c r="R1517" s="44" t="inlineStr">
        <is>
          <t>No Video ID yet</t>
        </is>
      </c>
      <c r="S1517" s="46" t="n"/>
      <c r="T1517" s="46" t="n"/>
      <c r="U1517" s="44" t="n"/>
      <c r="V1517" s="44">
        <f>IF(AND(P1517&gt;=Calendar!$K$2,P1517&lt;EDATE(Calendar!$K$2,1),OR(Calendar!$K$4="*",N1517=Calendar!$K$4)),P1517*100+COUNTIFS($P$6:$P$3271,P1517,$Q$6:$Q$3271,"&lt;="&amp;Q1517,$N$6:$N$3271,Calendar!$K$4),"")</f>
        <v/>
      </c>
      <c r="W1517" s="44">
        <f>IF(AND(B1517=Queue!$C$4,OR(Queue!$K$4="*",N1517=Queue!$K$4)),Q1517,"")</f>
        <v/>
      </c>
    </row>
    <row r="1518">
      <c r="A1518" s="35">
        <f>IF(M1518="","",HYPERLINK("https://www.youtube.com/watch?v="&amp;M1518,"▶"))</f>
        <v/>
      </c>
      <c r="B1518" s="36">
        <f>IF(C1518&lt;&gt;"",C1518,IF(P1518&lt;=IFERROR(INDEX(tblChannels[Watched Through],MATCH(N1518,tblChannels[Channel ID],0)),0),"Watched","Unwatched"))</f>
        <v/>
      </c>
      <c r="C1518" s="37" t="n"/>
      <c r="D1518" s="38" t="n"/>
      <c r="E1518" s="39" t="n">
        <v>44218.25</v>
      </c>
      <c r="F1518" s="40" t="inlineStr">
        <is>
          <t>Popcorn Culture</t>
        </is>
      </c>
      <c r="G1518" t="inlineStr">
        <is>
          <t>59 - Ben Has The Cutest Dog</t>
        </is>
      </c>
      <c r="H1518" s="41" t="n">
        <v>0.04471064814814815</v>
      </c>
      <c r="I1518" s="42" t="n">
        <v>2376</v>
      </c>
      <c r="J1518" s="42" t="n">
        <v>125</v>
      </c>
      <c r="K1518" s="42" t="n">
        <v>14</v>
      </c>
      <c r="L1518" s="43" t="n"/>
      <c r="M1518" s="44" t="n"/>
      <c r="N1518" s="44" t="inlineStr">
        <is>
          <t>UCHfIbq9thHPC8yrKjAdJgDA</t>
        </is>
      </c>
      <c r="O1518" s="45" t="n">
        <v>44218.45833333334</v>
      </c>
      <c r="P1518" s="46" t="n">
        <v>44218</v>
      </c>
      <c r="Q1518" s="44" t="n">
        <v>1754</v>
      </c>
      <c r="R1518" s="44" t="inlineStr">
        <is>
          <t>No Video ID yet</t>
        </is>
      </c>
      <c r="S1518" s="46" t="n"/>
      <c r="T1518" s="46" t="n"/>
      <c r="U1518" s="44" t="n"/>
      <c r="V1518" s="44">
        <f>IF(AND(P1518&gt;=Calendar!$K$2,P1518&lt;EDATE(Calendar!$K$2,1),OR(Calendar!$K$4="*",N1518=Calendar!$K$4)),P1518*100+COUNTIFS($P$6:$P$3271,P1518,$Q$6:$Q$3271,"&lt;="&amp;Q1518,$N$6:$N$3271,Calendar!$K$4),"")</f>
        <v/>
      </c>
      <c r="W1518" s="44">
        <f>IF(AND(B1518=Queue!$C$4,OR(Queue!$K$4="*",N1518=Queue!$K$4)),Q1518,"")</f>
        <v/>
      </c>
    </row>
    <row r="1519">
      <c r="A1519" s="35">
        <f>IF(M1519="","",HYPERLINK("https://www.youtube.com/watch?v="&amp;M1519,"▶"))</f>
        <v/>
      </c>
      <c r="B1519" s="36">
        <f>IF(C1519&lt;&gt;"",C1519,IF(P1519&lt;=IFERROR(INDEX(tblChannels[Watched Through],MATCH(N1519,tblChannels[Channel ID],0)),0),"Watched","Unwatched"))</f>
        <v/>
      </c>
      <c r="C1519" s="37" t="n"/>
      <c r="D1519" s="38" t="n"/>
      <c r="E1519" s="39" t="n">
        <v>44217.88194444445</v>
      </c>
      <c r="F1519" s="47" t="inlineStr">
        <is>
          <t>Super Carlin Brothers</t>
        </is>
      </c>
      <c r="G1519" t="inlineStr">
        <is>
          <t>J vs Ben: ULTIMATE Soul Trivia Quiz</t>
        </is>
      </c>
      <c r="H1519" s="41" t="n">
        <v>0.01914351851851852</v>
      </c>
      <c r="I1519" s="42" t="n">
        <v>142579</v>
      </c>
      <c r="J1519" s="42" t="n">
        <v>6061</v>
      </c>
      <c r="K1519" s="42" t="n">
        <v>841</v>
      </c>
      <c r="L1519" s="43" t="n"/>
      <c r="M1519" s="44" t="n"/>
      <c r="N1519" s="44" t="inlineStr">
        <is>
          <t>UCKZo4N0lVPccBkSiuyVh4yg</t>
        </is>
      </c>
      <c r="O1519" s="45" t="n">
        <v>44218.09027777778</v>
      </c>
      <c r="P1519" s="46" t="n">
        <v>44217</v>
      </c>
      <c r="Q1519" s="44" t="n">
        <v>1753</v>
      </c>
      <c r="R1519" s="44" t="inlineStr">
        <is>
          <t>No Video ID yet</t>
        </is>
      </c>
      <c r="S1519" s="46" t="n"/>
      <c r="T1519" s="46" t="n"/>
      <c r="U1519" s="44" t="n"/>
      <c r="V1519" s="44">
        <f>IF(AND(P1519&gt;=Calendar!$K$2,P1519&lt;EDATE(Calendar!$K$2,1),OR(Calendar!$K$4="*",N1519=Calendar!$K$4)),P1519*100+COUNTIFS($P$6:$P$3271,P1519,$Q$6:$Q$3271,"&lt;="&amp;Q1519,$N$6:$N$3271,Calendar!$K$4),"")</f>
        <v/>
      </c>
      <c r="W1519" s="44">
        <f>IF(AND(B1519=Queue!$C$4,OR(Queue!$K$4="*",N1519=Queue!$K$4)),Q1519,"")</f>
        <v/>
      </c>
    </row>
    <row r="1520">
      <c r="A1520" s="35">
        <f>IF(M1520="","",HYPERLINK("https://www.youtube.com/watch?v="&amp;M1520,"▶"))</f>
        <v/>
      </c>
      <c r="B1520" s="36">
        <f>IF(C1520&lt;&gt;"",C1520,IF(P1520&lt;=IFERROR(INDEX(tblChannels[Watched Through],MATCH(N1520,tblChannels[Channel ID],0)),0),"Watched","Unwatched"))</f>
        <v/>
      </c>
      <c r="C1520" s="37" t="n"/>
      <c r="D1520" s="38" t="n"/>
      <c r="E1520" s="39" t="n">
        <v>44217.625</v>
      </c>
      <c r="F1520" s="50" t="inlineStr">
        <is>
          <t>Jonathan Carlin</t>
        </is>
      </c>
      <c r="G1520" t="inlineStr">
        <is>
          <t>WE NEED YOUR HELP!</t>
        </is>
      </c>
      <c r="H1520" s="41" t="n">
        <v>0.002534722222222222</v>
      </c>
      <c r="I1520" s="42" t="n">
        <v>44393</v>
      </c>
      <c r="J1520" s="42" t="n">
        <v>3221</v>
      </c>
      <c r="K1520" s="42" t="n">
        <v>460</v>
      </c>
      <c r="L1520" s="43" t="n"/>
      <c r="M1520" s="44" t="n"/>
      <c r="N1520" s="44" t="inlineStr">
        <is>
          <t>UCYPKFe86e6nm4TVUYKLsFUQ</t>
        </is>
      </c>
      <c r="O1520" s="45" t="n">
        <v>44217.83333333334</v>
      </c>
      <c r="P1520" s="46" t="n">
        <v>44217</v>
      </c>
      <c r="Q1520" s="44" t="n">
        <v>1752</v>
      </c>
      <c r="R1520" s="44" t="inlineStr">
        <is>
          <t>No Video ID yet</t>
        </is>
      </c>
      <c r="S1520" s="46" t="n"/>
      <c r="T1520" s="46" t="n"/>
      <c r="U1520" s="44" t="n"/>
      <c r="V1520" s="44">
        <f>IF(AND(P1520&gt;=Calendar!$K$2,P1520&lt;EDATE(Calendar!$K$2,1),OR(Calendar!$K$4="*",N1520=Calendar!$K$4)),P1520*100+COUNTIFS($P$6:$P$3271,P1520,$Q$6:$Q$3271,"&lt;="&amp;Q1520,$N$6:$N$3271,Calendar!$K$4),"")</f>
        <v/>
      </c>
      <c r="W1520" s="44">
        <f>IF(AND(B1520=Queue!$C$4,OR(Queue!$K$4="*",N1520=Queue!$K$4)),Q1520,"")</f>
        <v/>
      </c>
    </row>
    <row r="1521">
      <c r="A1521" s="35">
        <f>IF(M1521="","",HYPERLINK("https://www.youtube.com/watch?v="&amp;M1521,"▶"))</f>
        <v/>
      </c>
      <c r="B1521" s="36">
        <f>IF(C1521&lt;&gt;"",C1521,IF(P1521&lt;=IFERROR(INDEX(tblChannels[Watched Through],MATCH(N1521,tblChannels[Channel ID],0)),0),"Watched","Unwatched"))</f>
        <v/>
      </c>
      <c r="C1521" s="37" t="n"/>
      <c r="D1521" s="38" t="n"/>
      <c r="E1521" s="39" t="n">
        <v>44216.54166666666</v>
      </c>
      <c r="F1521" s="50" t="inlineStr">
        <is>
          <t>Jonathan Carlin</t>
        </is>
      </c>
      <c r="G1521" t="inlineStr">
        <is>
          <t>HAPPY NEW YEAR 2021!</t>
        </is>
      </c>
      <c r="H1521" s="41" t="n">
        <v>0.006319444444444444</v>
      </c>
      <c r="I1521" s="42" t="n">
        <v>22727</v>
      </c>
      <c r="J1521" s="42" t="n">
        <v>1770</v>
      </c>
      <c r="K1521" s="42" t="n">
        <v>132</v>
      </c>
      <c r="L1521" s="43" t="n"/>
      <c r="M1521" s="44" t="n"/>
      <c r="N1521" s="44" t="inlineStr">
        <is>
          <t>UCYPKFe86e6nm4TVUYKLsFUQ</t>
        </is>
      </c>
      <c r="O1521" s="45" t="n">
        <v>44216.75</v>
      </c>
      <c r="P1521" s="46" t="n">
        <v>44216</v>
      </c>
      <c r="Q1521" s="44" t="n">
        <v>1751</v>
      </c>
      <c r="R1521" s="44" t="inlineStr">
        <is>
          <t>No Video ID yet</t>
        </is>
      </c>
      <c r="S1521" s="46" t="n"/>
      <c r="T1521" s="46" t="n"/>
      <c r="U1521" s="44" t="n"/>
      <c r="V1521" s="44">
        <f>IF(AND(P1521&gt;=Calendar!$K$2,P1521&lt;EDATE(Calendar!$K$2,1),OR(Calendar!$K$4="*",N1521=Calendar!$K$4)),P1521*100+COUNTIFS($P$6:$P$3271,P1521,$Q$6:$Q$3271,"&lt;="&amp;Q1521,$N$6:$N$3271,Calendar!$K$4),"")</f>
        <v/>
      </c>
      <c r="W1521" s="44">
        <f>IF(AND(B1521=Queue!$C$4,OR(Queue!$K$4="*",N1521=Queue!$K$4)),Q1521,"")</f>
        <v/>
      </c>
    </row>
    <row r="1522">
      <c r="A1522" s="35">
        <f>IF(M1522="","",HYPERLINK("https://www.youtube.com/watch?v="&amp;M1522,"▶"))</f>
        <v/>
      </c>
      <c r="B1522" s="36">
        <f>IF(C1522&lt;&gt;"",C1522,IF(P1522&lt;=IFERROR(INDEX(tblChannels[Watched Through],MATCH(N1522,tblChannels[Channel ID],0)),0),"Watched","Unwatched"))</f>
        <v/>
      </c>
      <c r="C1522" s="37" t="n"/>
      <c r="D1522" s="38" t="n"/>
      <c r="E1522" s="39" t="n">
        <v>44215.87708333333</v>
      </c>
      <c r="F1522" s="47" t="inlineStr">
        <is>
          <t>Super Carlin Brothers</t>
        </is>
      </c>
      <c r="G1522" t="inlineStr">
        <is>
          <t>Who Is Controlling Wanda? | Marvel Theory</t>
        </is>
      </c>
      <c r="H1522" s="41" t="n">
        <v>0.01344907407407407</v>
      </c>
      <c r="I1522" s="42" t="n">
        <v>268020</v>
      </c>
      <c r="J1522" s="42" t="n">
        <v>15230</v>
      </c>
      <c r="K1522" s="42" t="n">
        <v>3197</v>
      </c>
      <c r="L1522" s="43" t="n"/>
      <c r="M1522" s="44" t="n"/>
      <c r="N1522" s="44" t="inlineStr">
        <is>
          <t>UCKZo4N0lVPccBkSiuyVh4yg</t>
        </is>
      </c>
      <c r="O1522" s="45" t="n">
        <v>44216.08541666667</v>
      </c>
      <c r="P1522" s="46" t="n">
        <v>44215</v>
      </c>
      <c r="Q1522" s="44" t="n">
        <v>1750</v>
      </c>
      <c r="R1522" s="44" t="inlineStr">
        <is>
          <t>No Video ID yet</t>
        </is>
      </c>
      <c r="S1522" s="46" t="n"/>
      <c r="T1522" s="46" t="n"/>
      <c r="U1522" s="44" t="n"/>
      <c r="V1522" s="44">
        <f>IF(AND(P1522&gt;=Calendar!$K$2,P1522&lt;EDATE(Calendar!$K$2,1),OR(Calendar!$K$4="*",N1522=Calendar!$K$4)),P1522*100+COUNTIFS($P$6:$P$3271,P1522,$Q$6:$Q$3271,"&lt;="&amp;Q1522,$N$6:$N$3271,Calendar!$K$4),"")</f>
        <v/>
      </c>
      <c r="W1522" s="44">
        <f>IF(AND(B1522=Queue!$C$4,OR(Queue!$K$4="*",N1522=Queue!$K$4)),Q1522,"")</f>
        <v/>
      </c>
    </row>
    <row r="1523">
      <c r="A1523" s="35">
        <f>IF(M1523="","",HYPERLINK("https://www.youtube.com/watch?v="&amp;M1523,"▶"))</f>
        <v/>
      </c>
      <c r="B1523" s="36">
        <f>IF(C1523&lt;&gt;"",C1523,IF(P1523&lt;=IFERROR(INDEX(tblChannels[Watched Through],MATCH(N1523,tblChannels[Channel ID],0)),0),"Watched","Unwatched"))</f>
        <v/>
      </c>
      <c r="C1523" s="37" t="n"/>
      <c r="D1523" s="38" t="n"/>
      <c r="E1523" s="39" t="n">
        <v>44211.5</v>
      </c>
      <c r="F1523" s="40" t="inlineStr">
        <is>
          <t>Popcorn Culture</t>
        </is>
      </c>
      <c r="G1523" t="inlineStr">
        <is>
          <t>58 - Cantaloupe Catapults</t>
        </is>
      </c>
      <c r="H1523" s="41" t="n">
        <v>0.04606481481481482</v>
      </c>
      <c r="I1523" s="42" t="n">
        <v>2545</v>
      </c>
      <c r="J1523" s="42" t="n">
        <v>127</v>
      </c>
      <c r="K1523" s="42" t="n">
        <v>27</v>
      </c>
      <c r="L1523" s="43" t="n"/>
      <c r="M1523" s="44" t="n"/>
      <c r="N1523" s="44" t="inlineStr">
        <is>
          <t>UCHfIbq9thHPC8yrKjAdJgDA</t>
        </is>
      </c>
      <c r="O1523" s="45" t="n">
        <v>44211.70833333334</v>
      </c>
      <c r="P1523" s="46" t="n">
        <v>44211</v>
      </c>
      <c r="Q1523" s="44" t="n">
        <v>1749</v>
      </c>
      <c r="R1523" s="44" t="inlineStr">
        <is>
          <t>No Video ID yet</t>
        </is>
      </c>
      <c r="S1523" s="46" t="n"/>
      <c r="T1523" s="46" t="n"/>
      <c r="U1523" s="44" t="n"/>
      <c r="V1523" s="44">
        <f>IF(AND(P1523&gt;=Calendar!$K$2,P1523&lt;EDATE(Calendar!$K$2,1),OR(Calendar!$K$4="*",N1523=Calendar!$K$4)),P1523*100+COUNTIFS($P$6:$P$3271,P1523,$Q$6:$Q$3271,"&lt;="&amp;Q1523,$N$6:$N$3271,Calendar!$K$4),"")</f>
        <v/>
      </c>
      <c r="W1523" s="44">
        <f>IF(AND(B1523=Queue!$C$4,OR(Queue!$K$4="*",N1523=Queue!$K$4)),Q1523,"")</f>
        <v/>
      </c>
    </row>
    <row r="1524">
      <c r="A1524" s="35">
        <f>IF(M1524="","",HYPERLINK("https://www.youtube.com/watch?v="&amp;M1524,"▶"))</f>
        <v/>
      </c>
      <c r="B1524" s="36">
        <f>IF(C1524&lt;&gt;"",C1524,IF(P1524&lt;=IFERROR(INDEX(tblChannels[Watched Through],MATCH(N1524,tblChannels[Channel ID],0)),0),"Watched","Unwatched"))</f>
        <v/>
      </c>
      <c r="C1524" s="37" t="n"/>
      <c r="D1524" s="38" t="n"/>
      <c r="E1524" s="39" t="n">
        <v>44210.84583333333</v>
      </c>
      <c r="F1524" s="47" t="inlineStr">
        <is>
          <t>Super Carlin Brothers</t>
        </is>
      </c>
      <c r="G1524" t="inlineStr">
        <is>
          <t>Who Originally Disrupted The Count? | Pixar Theory</t>
        </is>
      </c>
      <c r="H1524" s="41" t="n">
        <v>0.01085648148148148</v>
      </c>
      <c r="I1524" s="42" t="n">
        <v>1222913</v>
      </c>
      <c r="J1524" s="42" t="n">
        <v>40865</v>
      </c>
      <c r="K1524" s="42" t="n">
        <v>4166</v>
      </c>
      <c r="L1524" s="43" t="n"/>
      <c r="M1524" s="44" t="n"/>
      <c r="N1524" s="44" t="inlineStr">
        <is>
          <t>UCKZo4N0lVPccBkSiuyVh4yg</t>
        </is>
      </c>
      <c r="O1524" s="45" t="n">
        <v>44211.05416666667</v>
      </c>
      <c r="P1524" s="46" t="n">
        <v>44210</v>
      </c>
      <c r="Q1524" s="44" t="n">
        <v>1748</v>
      </c>
      <c r="R1524" s="44" t="inlineStr">
        <is>
          <t>No Video ID yet</t>
        </is>
      </c>
      <c r="S1524" s="46" t="n"/>
      <c r="T1524" s="46" t="n"/>
      <c r="U1524" s="44" t="n"/>
      <c r="V1524" s="44">
        <f>IF(AND(P1524&gt;=Calendar!$K$2,P1524&lt;EDATE(Calendar!$K$2,1),OR(Calendar!$K$4="*",N1524=Calendar!$K$4)),P1524*100+COUNTIFS($P$6:$P$3271,P1524,$Q$6:$Q$3271,"&lt;="&amp;Q1524,$N$6:$N$3271,Calendar!$K$4),"")</f>
        <v/>
      </c>
      <c r="W1524" s="44">
        <f>IF(AND(B1524=Queue!$C$4,OR(Queue!$K$4="*",N1524=Queue!$K$4)),Q1524,"")</f>
        <v/>
      </c>
    </row>
    <row r="1525">
      <c r="A1525" s="35">
        <f>IF(M1525="","",HYPERLINK("https://www.youtube.com/watch?v="&amp;M1525,"▶"))</f>
        <v/>
      </c>
      <c r="B1525" s="36">
        <f>IF(C1525&lt;&gt;"",C1525,IF(P1525&lt;=IFERROR(INDEX(tblChannels[Watched Through],MATCH(N1525,tblChannels[Channel ID],0)),0),"Watched","Unwatched"))</f>
        <v/>
      </c>
      <c r="C1525" s="37" t="n"/>
      <c r="D1525" s="38" t="n"/>
      <c r="E1525" s="39" t="n">
        <v>44209.60416666666</v>
      </c>
      <c r="F1525" s="50" t="inlineStr">
        <is>
          <t>Jonathan Carlin</t>
        </is>
      </c>
      <c r="G1525" t="inlineStr">
        <is>
          <t>The Twins First Christmas!</t>
        </is>
      </c>
      <c r="H1525" s="41" t="n">
        <v>0.008287037037037037</v>
      </c>
      <c r="I1525" s="42" t="n">
        <v>35306</v>
      </c>
      <c r="J1525" s="42" t="n">
        <v>2218</v>
      </c>
      <c r="K1525" s="42" t="n">
        <v>221</v>
      </c>
      <c r="L1525" s="43" t="n"/>
      <c r="M1525" s="44" t="n"/>
      <c r="N1525" s="44" t="inlineStr">
        <is>
          <t>UCYPKFe86e6nm4TVUYKLsFUQ</t>
        </is>
      </c>
      <c r="O1525" s="45" t="n">
        <v>44209.8125</v>
      </c>
      <c r="P1525" s="46" t="n">
        <v>44209</v>
      </c>
      <c r="Q1525" s="44" t="n">
        <v>1747</v>
      </c>
      <c r="R1525" s="44" t="inlineStr">
        <is>
          <t>No Video ID yet</t>
        </is>
      </c>
      <c r="S1525" s="46" t="n"/>
      <c r="T1525" s="46" t="n"/>
      <c r="U1525" s="44" t="n"/>
      <c r="V1525" s="44">
        <f>IF(AND(P1525&gt;=Calendar!$K$2,P1525&lt;EDATE(Calendar!$K$2,1),OR(Calendar!$K$4="*",N1525=Calendar!$K$4)),P1525*100+COUNTIFS($P$6:$P$3271,P1525,$Q$6:$Q$3271,"&lt;="&amp;Q1525,$N$6:$N$3271,Calendar!$K$4),"")</f>
        <v/>
      </c>
      <c r="W1525" s="44">
        <f>IF(AND(B1525=Queue!$C$4,OR(Queue!$K$4="*",N1525=Queue!$K$4)),Q1525,"")</f>
        <v/>
      </c>
    </row>
    <row r="1526">
      <c r="A1526" s="35">
        <f>IF(M1526="","",HYPERLINK("https://www.youtube.com/watch?v="&amp;M1526,"▶"))</f>
        <v/>
      </c>
      <c r="B1526" s="36">
        <f>IF(C1526&lt;&gt;"",C1526,IF(P1526&lt;=IFERROR(INDEX(tblChannels[Watched Through],MATCH(N1526,tblChannels[Channel ID],0)),0),"Watched","Unwatched"))</f>
        <v/>
      </c>
      <c r="C1526" s="37" t="n"/>
      <c r="D1526" s="38" t="n"/>
      <c r="E1526" s="39" t="n">
        <v>44208.84097222222</v>
      </c>
      <c r="F1526" s="47" t="inlineStr">
        <is>
          <t>Super Carlin Brothers</t>
        </is>
      </c>
      <c r="G1526" t="inlineStr">
        <is>
          <t>Who Does 22 Become? | Pixar Theory</t>
        </is>
      </c>
      <c r="H1526" s="41" t="n">
        <v>0.01158564814814815</v>
      </c>
      <c r="I1526" s="42" t="n">
        <v>3372811</v>
      </c>
      <c r="J1526" s="42" t="n">
        <v>82879</v>
      </c>
      <c r="K1526" s="42" t="n">
        <v>7981</v>
      </c>
      <c r="L1526" s="43" t="n"/>
      <c r="M1526" s="44" t="n"/>
      <c r="N1526" s="44" t="inlineStr">
        <is>
          <t>UCKZo4N0lVPccBkSiuyVh4yg</t>
        </is>
      </c>
      <c r="O1526" s="45" t="n">
        <v>44209.04930555556</v>
      </c>
      <c r="P1526" s="46" t="n">
        <v>44208</v>
      </c>
      <c r="Q1526" s="44" t="n">
        <v>1746</v>
      </c>
      <c r="R1526" s="44" t="inlineStr">
        <is>
          <t>No Video ID yet</t>
        </is>
      </c>
      <c r="S1526" s="46" t="n"/>
      <c r="T1526" s="46" t="n"/>
      <c r="U1526" s="44" t="n"/>
      <c r="V1526" s="44">
        <f>IF(AND(P1526&gt;=Calendar!$K$2,P1526&lt;EDATE(Calendar!$K$2,1),OR(Calendar!$K$4="*",N1526=Calendar!$K$4)),P1526*100+COUNTIFS($P$6:$P$3271,P1526,$Q$6:$Q$3271,"&lt;="&amp;Q1526,$N$6:$N$3271,Calendar!$K$4),"")</f>
        <v/>
      </c>
      <c r="W1526" s="44">
        <f>IF(AND(B1526=Queue!$C$4,OR(Queue!$K$4="*",N1526=Queue!$K$4)),Q1526,"")</f>
        <v/>
      </c>
    </row>
    <row r="1527">
      <c r="A1527" s="35">
        <f>IF(M1527="","",HYPERLINK("https://www.youtube.com/watch?v="&amp;M1527,"▶"))</f>
        <v/>
      </c>
      <c r="B1527" s="36">
        <f>IF(C1527&lt;&gt;"",C1527,IF(P1527&lt;=IFERROR(INDEX(tblChannels[Watched Through],MATCH(N1527,tblChannels[Channel ID],0)),0),"Watched","Unwatched"))</f>
        <v/>
      </c>
      <c r="C1527" s="37" t="n"/>
      <c r="D1527" s="38" t="n"/>
      <c r="E1527" s="39" t="n">
        <v>44204.62777777778</v>
      </c>
      <c r="F1527" s="40" t="inlineStr">
        <is>
          <t>Popcorn Culture</t>
        </is>
      </c>
      <c r="G1527" t="inlineStr">
        <is>
          <t>57 - Throwing the Game</t>
        </is>
      </c>
      <c r="H1527" s="41" t="n">
        <v>0.04931712962962963</v>
      </c>
      <c r="I1527" s="42" t="n">
        <v>2644</v>
      </c>
      <c r="J1527" s="42" t="n">
        <v>119</v>
      </c>
      <c r="K1527" s="42" t="n">
        <v>16</v>
      </c>
      <c r="L1527" s="43" t="n"/>
      <c r="M1527" s="44" t="n"/>
      <c r="N1527" s="44" t="inlineStr">
        <is>
          <t>UCHfIbq9thHPC8yrKjAdJgDA</t>
        </is>
      </c>
      <c r="O1527" s="45" t="n">
        <v>44204.83611111111</v>
      </c>
      <c r="P1527" s="46" t="n">
        <v>44204</v>
      </c>
      <c r="Q1527" s="44" t="n">
        <v>1745</v>
      </c>
      <c r="R1527" s="44" t="inlineStr">
        <is>
          <t>No Video ID yet</t>
        </is>
      </c>
      <c r="S1527" s="46" t="n"/>
      <c r="T1527" s="46" t="n"/>
      <c r="U1527" s="44" t="n"/>
      <c r="V1527" s="44">
        <f>IF(AND(P1527&gt;=Calendar!$K$2,P1527&lt;EDATE(Calendar!$K$2,1),OR(Calendar!$K$4="*",N1527=Calendar!$K$4)),P1527*100+COUNTIFS($P$6:$P$3271,P1527,$Q$6:$Q$3271,"&lt;="&amp;Q1527,$N$6:$N$3271,Calendar!$K$4),"")</f>
        <v/>
      </c>
      <c r="W1527" s="44">
        <f>IF(AND(B1527=Queue!$C$4,OR(Queue!$K$4="*",N1527=Queue!$K$4)),Q1527,"")</f>
        <v/>
      </c>
    </row>
    <row r="1528">
      <c r="A1528" s="35">
        <f>IF(M1528="","",HYPERLINK("https://www.youtube.com/watch?v="&amp;M1528,"▶"))</f>
        <v/>
      </c>
      <c r="B1528" s="36">
        <f>IF(C1528&lt;&gt;"",C1528,IF(P1528&lt;=IFERROR(INDEX(tblChannels[Watched Through],MATCH(N1528,tblChannels[Channel ID],0)),0),"Watched","Unwatched"))</f>
        <v/>
      </c>
      <c r="C1528" s="37" t="n"/>
      <c r="D1528" s="38" t="n"/>
      <c r="E1528" s="39" t="n">
        <v>44203.87777777778</v>
      </c>
      <c r="F1528" s="47" t="inlineStr">
        <is>
          <t>Super Carlin Brothers</t>
        </is>
      </c>
      <c r="G1528" t="inlineStr">
        <is>
          <t>How Soul Fits Into The Pixar Theory</t>
        </is>
      </c>
      <c r="H1528" s="41" t="n">
        <v>0.01168981481481481</v>
      </c>
      <c r="I1528" s="42" t="n">
        <v>871608</v>
      </c>
      <c r="J1528" s="42" t="n">
        <v>35939</v>
      </c>
      <c r="K1528" s="42" t="n">
        <v>3528</v>
      </c>
      <c r="L1528" s="43" t="n"/>
      <c r="M1528" s="44" t="n"/>
      <c r="N1528" s="44" t="inlineStr">
        <is>
          <t>UCKZo4N0lVPccBkSiuyVh4yg</t>
        </is>
      </c>
      <c r="O1528" s="45" t="n">
        <v>44204.08611111111</v>
      </c>
      <c r="P1528" s="46" t="n">
        <v>44203</v>
      </c>
      <c r="Q1528" s="44" t="n">
        <v>1744</v>
      </c>
      <c r="R1528" s="44" t="inlineStr">
        <is>
          <t>No Video ID yet</t>
        </is>
      </c>
      <c r="S1528" s="46" t="n"/>
      <c r="T1528" s="46" t="n"/>
      <c r="U1528" s="44" t="n"/>
      <c r="V1528" s="44">
        <f>IF(AND(P1528&gt;=Calendar!$K$2,P1528&lt;EDATE(Calendar!$K$2,1),OR(Calendar!$K$4="*",N1528=Calendar!$K$4)),P1528*100+COUNTIFS($P$6:$P$3271,P1528,$Q$6:$Q$3271,"&lt;="&amp;Q1528,$N$6:$N$3271,Calendar!$K$4),"")</f>
        <v/>
      </c>
      <c r="W1528" s="44">
        <f>IF(AND(B1528=Queue!$C$4,OR(Queue!$K$4="*",N1528=Queue!$K$4)),Q1528,"")</f>
        <v/>
      </c>
    </row>
    <row r="1529">
      <c r="A1529" s="35">
        <f>IF(M1529="","",HYPERLINK("https://www.youtube.com/watch?v="&amp;M1529,"▶"))</f>
        <v/>
      </c>
      <c r="B1529" s="36">
        <f>IF(C1529&lt;&gt;"",C1529,IF(P1529&lt;=IFERROR(INDEX(tblChannels[Watched Through],MATCH(N1529,tblChannels[Channel ID],0)),0),"Watched","Unwatched"))</f>
        <v/>
      </c>
      <c r="C1529" s="37" t="n"/>
      <c r="D1529" s="38" t="n"/>
      <c r="E1529" s="39" t="n">
        <v>44201.8375</v>
      </c>
      <c r="F1529" s="47" t="inlineStr">
        <is>
          <t>Super Carlin Brothers</t>
        </is>
      </c>
      <c r="G1529" t="inlineStr">
        <is>
          <t>Soul Review: Is it LIFE CHANGING? [J vs Ben]</t>
        </is>
      </c>
      <c r="H1529" s="41" t="n">
        <v>0.02826388888888889</v>
      </c>
      <c r="I1529" s="42" t="n">
        <v>220376</v>
      </c>
      <c r="J1529" s="42" t="n">
        <v>9773</v>
      </c>
      <c r="K1529" s="42" t="n">
        <v>2332</v>
      </c>
      <c r="L1529" s="43" t="n"/>
      <c r="M1529" s="44" t="n"/>
      <c r="N1529" s="44" t="inlineStr">
        <is>
          <t>UCKZo4N0lVPccBkSiuyVh4yg</t>
        </is>
      </c>
      <c r="O1529" s="45" t="n">
        <v>44202.04583333333</v>
      </c>
      <c r="P1529" s="46" t="n">
        <v>44201</v>
      </c>
      <c r="Q1529" s="44" t="n">
        <v>1743</v>
      </c>
      <c r="R1529" s="44" t="inlineStr">
        <is>
          <t>No Video ID yet</t>
        </is>
      </c>
      <c r="S1529" s="46" t="n"/>
      <c r="T1529" s="46" t="n"/>
      <c r="U1529" s="44" t="n"/>
      <c r="V1529" s="44">
        <f>IF(AND(P1529&gt;=Calendar!$K$2,P1529&lt;EDATE(Calendar!$K$2,1),OR(Calendar!$K$4="*",N1529=Calendar!$K$4)),P1529*100+COUNTIFS($P$6:$P$3271,P1529,$Q$6:$Q$3271,"&lt;="&amp;Q1529,$N$6:$N$3271,Calendar!$K$4),"")</f>
        <v/>
      </c>
      <c r="W1529" s="44">
        <f>IF(AND(B1529=Queue!$C$4,OR(Queue!$K$4="*",N1529=Queue!$K$4)),Q1529,"")</f>
        <v/>
      </c>
    </row>
    <row r="1530">
      <c r="A1530" s="35">
        <f>IF(M1530="","",HYPERLINK("https://www.youtube.com/watch?v="&amp;M1530,"▶"))</f>
        <v/>
      </c>
      <c r="B1530" s="36">
        <f>IF(C1530&lt;&gt;"",C1530,IF(P1530&lt;=IFERROR(INDEX(tblChannels[Watched Through],MATCH(N1530,tblChannels[Channel ID],0)),0),"Watched","Unwatched"))</f>
        <v/>
      </c>
      <c r="C1530" s="37" t="n"/>
      <c r="D1530" s="38" t="n"/>
      <c r="E1530" s="39" t="n">
        <v>44200.64930555555</v>
      </c>
      <c r="F1530" s="40" t="inlineStr">
        <is>
          <t>Popcorn Culture</t>
        </is>
      </c>
      <c r="G1530" t="inlineStr">
        <is>
          <t>56 - New Year's Resolutions</t>
        </is>
      </c>
      <c r="H1530" s="41" t="n">
        <v>0.04427083333333334</v>
      </c>
      <c r="I1530" s="42" t="n">
        <v>3207</v>
      </c>
      <c r="J1530" s="42" t="n">
        <v>123</v>
      </c>
      <c r="K1530" s="42" t="n">
        <v>14</v>
      </c>
      <c r="L1530" s="43" t="n"/>
      <c r="M1530" s="44" t="n"/>
      <c r="N1530" s="44" t="inlineStr">
        <is>
          <t>UCHfIbq9thHPC8yrKjAdJgDA</t>
        </is>
      </c>
      <c r="O1530" s="45" t="n">
        <v>44200.85763888889</v>
      </c>
      <c r="P1530" s="46" t="n">
        <v>44200</v>
      </c>
      <c r="Q1530" s="44" t="n">
        <v>1742</v>
      </c>
      <c r="R1530" s="44" t="inlineStr">
        <is>
          <t>No Video ID yet</t>
        </is>
      </c>
      <c r="S1530" s="46" t="n"/>
      <c r="T1530" s="46" t="n"/>
      <c r="U1530" s="44" t="n"/>
      <c r="V1530" s="44">
        <f>IF(AND(P1530&gt;=Calendar!$K$2,P1530&lt;EDATE(Calendar!$K$2,1),OR(Calendar!$K$4="*",N1530=Calendar!$K$4)),P1530*100+COUNTIFS($P$6:$P$3271,P1530,$Q$6:$Q$3271,"&lt;="&amp;Q1530,$N$6:$N$3271,Calendar!$K$4),"")</f>
        <v/>
      </c>
      <c r="W1530" s="44">
        <f>IF(AND(B1530=Queue!$C$4,OR(Queue!$K$4="*",N1530=Queue!$K$4)),Q1530,"")</f>
        <v/>
      </c>
    </row>
    <row r="1531">
      <c r="A1531" s="35">
        <f>IF(M1531="","",HYPERLINK("https://www.youtube.com/watch?v="&amp;M1531,"▶"))</f>
        <v/>
      </c>
      <c r="B1531" s="36">
        <f>IF(C1531&lt;&gt;"",C1531,IF(P1531&lt;=IFERROR(INDEX(tblChannels[Watched Through],MATCH(N1531,tblChannels[Channel ID],0)),0),"Watched","Unwatched"))</f>
        <v/>
      </c>
      <c r="C1531" s="37" t="n"/>
      <c r="D1531" s="38" t="n"/>
      <c r="E1531" s="39" t="n">
        <v>44200.41666666666</v>
      </c>
      <c r="F1531" s="50" t="inlineStr">
        <is>
          <t>Jonathan Carlin</t>
        </is>
      </c>
      <c r="G1531" t="inlineStr">
        <is>
          <t>Insane Gift Wrapping Challenge</t>
        </is>
      </c>
      <c r="H1531" s="41" t="n">
        <v>0.01142361111111111</v>
      </c>
      <c r="I1531" s="42" t="n">
        <v>28726</v>
      </c>
      <c r="J1531" s="42" t="n">
        <v>2140</v>
      </c>
      <c r="K1531" s="42" t="n">
        <v>180</v>
      </c>
      <c r="L1531" s="43" t="n"/>
      <c r="M1531" s="44" t="n"/>
      <c r="N1531" s="44" t="inlineStr">
        <is>
          <t>UCYPKFe86e6nm4TVUYKLsFUQ</t>
        </is>
      </c>
      <c r="O1531" s="45" t="n">
        <v>44200.625</v>
      </c>
      <c r="P1531" s="46" t="n">
        <v>44200</v>
      </c>
      <c r="Q1531" s="44" t="n">
        <v>1741</v>
      </c>
      <c r="R1531" s="44" t="inlineStr">
        <is>
          <t>No Video ID yet</t>
        </is>
      </c>
      <c r="S1531" s="46" t="n"/>
      <c r="T1531" s="46" t="n"/>
      <c r="U1531" s="44" t="n"/>
      <c r="V1531" s="44">
        <f>IF(AND(P1531&gt;=Calendar!$K$2,P1531&lt;EDATE(Calendar!$K$2,1),OR(Calendar!$K$4="*",N1531=Calendar!$K$4)),P1531*100+COUNTIFS($P$6:$P$3271,P1531,$Q$6:$Q$3271,"&lt;="&amp;Q1531,$N$6:$N$3271,Calendar!$K$4),"")</f>
        <v/>
      </c>
      <c r="W1531" s="44">
        <f>IF(AND(B1531=Queue!$C$4,OR(Queue!$K$4="*",N1531=Queue!$K$4)),Q1531,"")</f>
        <v/>
      </c>
    </row>
    <row r="1532">
      <c r="A1532" s="35">
        <f>IF(M1532="","",HYPERLINK("https://www.youtube.com/watch?v="&amp;M1532,"▶"))</f>
        <v/>
      </c>
      <c r="B1532" s="36">
        <f>IF(C1532&lt;&gt;"",C1532,IF(P1532&lt;=IFERROR(INDEX(tblChannels[Watched Through],MATCH(N1532,tblChannels[Channel ID],0)),0),"Watched","Unwatched"))</f>
        <v/>
      </c>
      <c r="C1532" s="37" t="n"/>
      <c r="D1532" s="38" t="n"/>
      <c r="E1532" s="39" t="n">
        <v>44190.25</v>
      </c>
      <c r="F1532" s="40" t="inlineStr">
        <is>
          <t>Popcorn Culture</t>
        </is>
      </c>
      <c r="G1532" t="inlineStr">
        <is>
          <t>55 - GMA Christmas Special</t>
        </is>
      </c>
      <c r="H1532" s="41" t="n">
        <v>0.05392361111111111</v>
      </c>
      <c r="I1532" s="42" t="n">
        <v>4489</v>
      </c>
      <c r="J1532" s="42" t="n">
        <v>210</v>
      </c>
      <c r="K1532" s="42" t="n">
        <v>16</v>
      </c>
      <c r="L1532" s="43" t="n"/>
      <c r="M1532" s="44" t="n"/>
      <c r="N1532" s="44" t="inlineStr">
        <is>
          <t>UCHfIbq9thHPC8yrKjAdJgDA</t>
        </is>
      </c>
      <c r="O1532" s="45" t="n">
        <v>44190.45833333334</v>
      </c>
      <c r="P1532" s="46" t="n">
        <v>44190</v>
      </c>
      <c r="Q1532" s="44" t="n">
        <v>1740</v>
      </c>
      <c r="R1532" s="44" t="inlineStr">
        <is>
          <t>No Video ID yet</t>
        </is>
      </c>
      <c r="S1532" s="46" t="n"/>
      <c r="T1532" s="46" t="n"/>
      <c r="U1532" s="44" t="n"/>
      <c r="V1532" s="44">
        <f>IF(AND(P1532&gt;=Calendar!$K$2,P1532&lt;EDATE(Calendar!$K$2,1),OR(Calendar!$K$4="*",N1532=Calendar!$K$4)),P1532*100+COUNTIFS($P$6:$P$3271,P1532,$Q$6:$Q$3271,"&lt;="&amp;Q1532,$N$6:$N$3271,Calendar!$K$4),"")</f>
        <v/>
      </c>
      <c r="W1532" s="44">
        <f>IF(AND(B1532=Queue!$C$4,OR(Queue!$K$4="*",N1532=Queue!$K$4)),Q1532,"")</f>
        <v/>
      </c>
    </row>
    <row r="1533">
      <c r="A1533" s="35">
        <f>IF(M1533="","",HYPERLINK("https://www.youtube.com/watch?v="&amp;M1533,"▶"))</f>
        <v/>
      </c>
      <c r="B1533" s="36">
        <f>IF(C1533&lt;&gt;"",C1533,IF(P1533&lt;=IFERROR(INDEX(tblChannels[Watched Through],MATCH(N1533,tblChannels[Channel ID],0)),0),"Watched","Unwatched"))</f>
        <v/>
      </c>
      <c r="C1533" s="37" t="n"/>
      <c r="D1533" s="38" t="n"/>
      <c r="E1533" s="39" t="n">
        <v>44189.61458333334</v>
      </c>
      <c r="F1533" s="47" t="inlineStr">
        <is>
          <t>Super Carlin Brothers</t>
        </is>
      </c>
      <c r="G1533" t="inlineStr">
        <is>
          <t>We Try EVERY Harry Potter Candy from Honeydukes [J vs Ben]</t>
        </is>
      </c>
      <c r="H1533" s="41" t="n">
        <v>0.02815972222222222</v>
      </c>
      <c r="I1533" s="42" t="n">
        <v>608605</v>
      </c>
      <c r="J1533" s="42" t="n">
        <v>20817</v>
      </c>
      <c r="K1533" s="42" t="n">
        <v>3012</v>
      </c>
      <c r="L1533" s="43" t="n"/>
      <c r="M1533" s="44" t="n"/>
      <c r="N1533" s="44" t="inlineStr">
        <is>
          <t>UCKZo4N0lVPccBkSiuyVh4yg</t>
        </is>
      </c>
      <c r="O1533" s="45" t="n">
        <v>44189.82291666666</v>
      </c>
      <c r="P1533" s="46" t="n">
        <v>44189</v>
      </c>
      <c r="Q1533" s="44" t="n">
        <v>1739</v>
      </c>
      <c r="R1533" s="44" t="inlineStr">
        <is>
          <t>No Video ID yet</t>
        </is>
      </c>
      <c r="S1533" s="46" t="n"/>
      <c r="T1533" s="46" t="n"/>
      <c r="U1533" s="44" t="n"/>
      <c r="V1533" s="44">
        <f>IF(AND(P1533&gt;=Calendar!$K$2,P1533&lt;EDATE(Calendar!$K$2,1),OR(Calendar!$K$4="*",N1533=Calendar!$K$4)),P1533*100+COUNTIFS($P$6:$P$3271,P1533,$Q$6:$Q$3271,"&lt;="&amp;Q1533,$N$6:$N$3271,Calendar!$K$4),"")</f>
        <v/>
      </c>
      <c r="W1533" s="44">
        <f>IF(AND(B1533=Queue!$C$4,OR(Queue!$K$4="*",N1533=Queue!$K$4)),Q1533,"")</f>
        <v/>
      </c>
    </row>
    <row r="1534">
      <c r="A1534" s="35">
        <f>IF(M1534="","",HYPERLINK("https://www.youtube.com/watch?v="&amp;M1534,"▶"))</f>
        <v/>
      </c>
      <c r="B1534" s="36">
        <f>IF(C1534&lt;&gt;"",C1534,IF(P1534&lt;=IFERROR(INDEX(tblChannels[Watched Through],MATCH(N1534,tblChannels[Channel ID],0)),0),"Watched","Unwatched"))</f>
        <v/>
      </c>
      <c r="C1534" s="37" t="n"/>
      <c r="D1534" s="38" t="n"/>
      <c r="E1534" s="39" t="n">
        <v>44189.25</v>
      </c>
      <c r="F1534" s="40" t="inlineStr">
        <is>
          <t>Popcorn Culture</t>
        </is>
      </c>
      <c r="G1534" t="inlineStr">
        <is>
          <t>54 - What is the Point of Sports?</t>
        </is>
      </c>
      <c r="H1534" s="41" t="n">
        <v>0.04974537037037037</v>
      </c>
      <c r="I1534" s="42" t="n">
        <v>2466</v>
      </c>
      <c r="J1534" s="42" t="n">
        <v>105</v>
      </c>
      <c r="K1534" s="42" t="n">
        <v>10</v>
      </c>
      <c r="L1534" s="43" t="n"/>
      <c r="M1534" s="44" t="n"/>
      <c r="N1534" s="44" t="inlineStr">
        <is>
          <t>UCHfIbq9thHPC8yrKjAdJgDA</t>
        </is>
      </c>
      <c r="O1534" s="45" t="n">
        <v>44189.45833333334</v>
      </c>
      <c r="P1534" s="46" t="n">
        <v>44189</v>
      </c>
      <c r="Q1534" s="44" t="n">
        <v>1738</v>
      </c>
      <c r="R1534" s="44" t="inlineStr">
        <is>
          <t>No Video ID yet</t>
        </is>
      </c>
      <c r="S1534" s="46" t="n"/>
      <c r="T1534" s="46" t="n"/>
      <c r="U1534" s="44" t="n"/>
      <c r="V1534" s="44">
        <f>IF(AND(P1534&gt;=Calendar!$K$2,P1534&lt;EDATE(Calendar!$K$2,1),OR(Calendar!$K$4="*",N1534=Calendar!$K$4)),P1534*100+COUNTIFS($P$6:$P$3271,P1534,$Q$6:$Q$3271,"&lt;="&amp;Q1534,$N$6:$N$3271,Calendar!$K$4),"")</f>
        <v/>
      </c>
      <c r="W1534" s="44">
        <f>IF(AND(B1534=Queue!$C$4,OR(Queue!$K$4="*",N1534=Queue!$K$4)),Q1534,"")</f>
        <v/>
      </c>
    </row>
    <row r="1535">
      <c r="A1535" s="35">
        <f>IF(M1535="","",HYPERLINK("https://www.youtube.com/watch?v="&amp;M1535,"▶"))</f>
        <v/>
      </c>
      <c r="B1535" s="36">
        <f>IF(C1535&lt;&gt;"",C1535,IF(P1535&lt;=IFERROR(INDEX(tblChannels[Watched Through],MATCH(N1535,tblChannels[Channel ID],0)),0),"Watched","Unwatched"))</f>
        <v/>
      </c>
      <c r="C1535" s="37" t="n"/>
      <c r="D1535" s="38" t="n"/>
      <c r="E1535" s="39" t="n">
        <v>44188.25</v>
      </c>
      <c r="F1535" s="40" t="inlineStr">
        <is>
          <t>Popcorn Culture</t>
        </is>
      </c>
      <c r="G1535" t="inlineStr">
        <is>
          <t>53 - It’s Always Better Live</t>
        </is>
      </c>
      <c r="H1535" s="41" t="n">
        <v>0.04898148148148148</v>
      </c>
      <c r="I1535" s="42" t="n">
        <v>2132</v>
      </c>
      <c r="J1535" s="42" t="n">
        <v>109</v>
      </c>
      <c r="K1535" s="42" t="n">
        <v>13</v>
      </c>
      <c r="L1535" s="43" t="n"/>
      <c r="M1535" s="44" t="n"/>
      <c r="N1535" s="44" t="inlineStr">
        <is>
          <t>UCHfIbq9thHPC8yrKjAdJgDA</t>
        </is>
      </c>
      <c r="O1535" s="45" t="n">
        <v>44188.45833333334</v>
      </c>
      <c r="P1535" s="46" t="n">
        <v>44188</v>
      </c>
      <c r="Q1535" s="44" t="n">
        <v>1737</v>
      </c>
      <c r="R1535" s="44" t="inlineStr">
        <is>
          <t>No Video ID yet</t>
        </is>
      </c>
      <c r="S1535" s="46" t="n"/>
      <c r="T1535" s="46" t="n"/>
      <c r="U1535" s="44" t="n"/>
      <c r="V1535" s="44">
        <f>IF(AND(P1535&gt;=Calendar!$K$2,P1535&lt;EDATE(Calendar!$K$2,1),OR(Calendar!$K$4="*",N1535=Calendar!$K$4)),P1535*100+COUNTIFS($P$6:$P$3271,P1535,$Q$6:$Q$3271,"&lt;="&amp;Q1535,$N$6:$N$3271,Calendar!$K$4),"")</f>
        <v/>
      </c>
      <c r="W1535" s="44">
        <f>IF(AND(B1535=Queue!$C$4,OR(Queue!$K$4="*",N1535=Queue!$K$4)),Q1535,"")</f>
        <v/>
      </c>
    </row>
    <row r="1536">
      <c r="A1536" s="35">
        <f>IF(M1536="","",HYPERLINK("https://www.youtube.com/watch?v="&amp;M1536,"▶"))</f>
        <v/>
      </c>
      <c r="B1536" s="36">
        <f>IF(C1536&lt;&gt;"",C1536,IF(P1536&lt;=IFERROR(INDEX(tblChannels[Watched Through],MATCH(N1536,tblChannels[Channel ID],0)),0),"Watched","Unwatched"))</f>
        <v/>
      </c>
      <c r="C1536" s="37" t="n"/>
      <c r="D1536" s="38" t="n"/>
      <c r="E1536" s="39" t="n">
        <v>44187.86597222222</v>
      </c>
      <c r="F1536" s="47" t="inlineStr">
        <is>
          <t>Super Carlin Brothers</t>
        </is>
      </c>
      <c r="G1536" t="inlineStr">
        <is>
          <t>Top 7 Unanswered Questions From The Mandalorian</t>
        </is>
      </c>
      <c r="H1536" s="41" t="n">
        <v>0.01193287037037037</v>
      </c>
      <c r="I1536" s="42" t="n">
        <v>148064</v>
      </c>
      <c r="J1536" s="42" t="n">
        <v>8249</v>
      </c>
      <c r="K1536" s="42" t="n">
        <v>2602</v>
      </c>
      <c r="L1536" s="43" t="n"/>
      <c r="M1536" s="44" t="n"/>
      <c r="N1536" s="44" t="inlineStr">
        <is>
          <t>UCKZo4N0lVPccBkSiuyVh4yg</t>
        </is>
      </c>
      <c r="O1536" s="45" t="n">
        <v>44188.07430555556</v>
      </c>
      <c r="P1536" s="46" t="n">
        <v>44187</v>
      </c>
      <c r="Q1536" s="44" t="n">
        <v>1736</v>
      </c>
      <c r="R1536" s="44" t="inlineStr">
        <is>
          <t>No Video ID yet</t>
        </is>
      </c>
      <c r="S1536" s="46" t="n"/>
      <c r="T1536" s="46" t="n"/>
      <c r="U1536" s="44" t="n"/>
      <c r="V1536" s="44">
        <f>IF(AND(P1536&gt;=Calendar!$K$2,P1536&lt;EDATE(Calendar!$K$2,1),OR(Calendar!$K$4="*",N1536=Calendar!$K$4)),P1536*100+COUNTIFS($P$6:$P$3271,P1536,$Q$6:$Q$3271,"&lt;="&amp;Q1536,$N$6:$N$3271,Calendar!$K$4),"")</f>
        <v/>
      </c>
      <c r="W1536" s="44">
        <f>IF(AND(B1536=Queue!$C$4,OR(Queue!$K$4="*",N1536=Queue!$K$4)),Q1536,"")</f>
        <v/>
      </c>
    </row>
    <row r="1537">
      <c r="A1537" s="35">
        <f>IF(M1537="","",HYPERLINK("https://www.youtube.com/watch?v="&amp;M1537,"▶"))</f>
        <v/>
      </c>
      <c r="B1537" s="36">
        <f>IF(C1537&lt;&gt;"",C1537,IF(P1537&lt;=IFERROR(INDEX(tblChannels[Watched Through],MATCH(N1537,tblChannels[Channel ID],0)),0),"Watched","Unwatched"))</f>
        <v/>
      </c>
      <c r="C1537" s="37" t="n"/>
      <c r="D1537" s="38" t="n"/>
      <c r="E1537" s="39" t="n">
        <v>44187.25</v>
      </c>
      <c r="F1537" s="40" t="inlineStr">
        <is>
          <t>Popcorn Culture</t>
        </is>
      </c>
      <c r="G1537" t="inlineStr">
        <is>
          <t>52 - At the Center of Your Universe</t>
        </is>
      </c>
      <c r="H1537" s="41" t="n">
        <v>0.05100694444444445</v>
      </c>
      <c r="I1537" s="42" t="n">
        <v>2468</v>
      </c>
      <c r="J1537" s="42" t="n">
        <v>109</v>
      </c>
      <c r="K1537" s="42" t="n">
        <v>15</v>
      </c>
      <c r="L1537" s="43" t="n"/>
      <c r="M1537" s="44" t="n"/>
      <c r="N1537" s="44" t="inlineStr">
        <is>
          <t>UCHfIbq9thHPC8yrKjAdJgDA</t>
        </is>
      </c>
      <c r="O1537" s="45" t="n">
        <v>44187.45833333334</v>
      </c>
      <c r="P1537" s="46" t="n">
        <v>44187</v>
      </c>
      <c r="Q1537" s="44" t="n">
        <v>1735</v>
      </c>
      <c r="R1537" s="44" t="inlineStr">
        <is>
          <t>No Video ID yet</t>
        </is>
      </c>
      <c r="S1537" s="46" t="n"/>
      <c r="T1537" s="46" t="n"/>
      <c r="U1537" s="44" t="n"/>
      <c r="V1537" s="44">
        <f>IF(AND(P1537&gt;=Calendar!$K$2,P1537&lt;EDATE(Calendar!$K$2,1),OR(Calendar!$K$4="*",N1537=Calendar!$K$4)),P1537*100+COUNTIFS($P$6:$P$3271,P1537,$Q$6:$Q$3271,"&lt;="&amp;Q1537,$N$6:$N$3271,Calendar!$K$4),"")</f>
        <v/>
      </c>
      <c r="W1537" s="44">
        <f>IF(AND(B1537=Queue!$C$4,OR(Queue!$K$4="*",N1537=Queue!$K$4)),Q1537,"")</f>
        <v/>
      </c>
    </row>
    <row r="1538">
      <c r="A1538" s="35">
        <f>IF(M1538="","",HYPERLINK("https://www.youtube.com/watch?v="&amp;M1538,"▶"))</f>
        <v/>
      </c>
      <c r="B1538" s="36">
        <f>IF(C1538&lt;&gt;"",C1538,IF(P1538&lt;=IFERROR(INDEX(tblChannels[Watched Through],MATCH(N1538,tblChannels[Channel ID],0)),0),"Watched","Unwatched"))</f>
        <v/>
      </c>
      <c r="C1538" s="37" t="n"/>
      <c r="D1538" s="38" t="n"/>
      <c r="E1538" s="39" t="n">
        <v>44186.42708333334</v>
      </c>
      <c r="F1538" s="50" t="inlineStr">
        <is>
          <t>Jonathan Carlin</t>
        </is>
      </c>
      <c r="G1538" t="inlineStr">
        <is>
          <t>Decorating the NEW Set!</t>
        </is>
      </c>
      <c r="H1538" s="41" t="n">
        <v>0.006296296296296296</v>
      </c>
      <c r="I1538" s="42" t="n">
        <v>34060</v>
      </c>
      <c r="J1538" s="42" t="n">
        <v>2314</v>
      </c>
      <c r="K1538" s="42" t="n">
        <v>213</v>
      </c>
      <c r="L1538" s="43" t="n"/>
      <c r="M1538" s="44" t="n"/>
      <c r="N1538" s="44" t="inlineStr">
        <is>
          <t>UCYPKFe86e6nm4TVUYKLsFUQ</t>
        </is>
      </c>
      <c r="O1538" s="45" t="n">
        <v>44186.63541666666</v>
      </c>
      <c r="P1538" s="46" t="n">
        <v>44186</v>
      </c>
      <c r="Q1538" s="44" t="n">
        <v>1734</v>
      </c>
      <c r="R1538" s="44" t="inlineStr">
        <is>
          <t>No Video ID yet</t>
        </is>
      </c>
      <c r="S1538" s="46" t="n"/>
      <c r="T1538" s="46" t="n"/>
      <c r="U1538" s="44" t="n"/>
      <c r="V1538" s="44">
        <f>IF(AND(P1538&gt;=Calendar!$K$2,P1538&lt;EDATE(Calendar!$K$2,1),OR(Calendar!$K$4="*",N1538=Calendar!$K$4)),P1538*100+COUNTIFS($P$6:$P$3271,P1538,$Q$6:$Q$3271,"&lt;="&amp;Q1538,$N$6:$N$3271,Calendar!$K$4),"")</f>
        <v/>
      </c>
      <c r="W1538" s="44">
        <f>IF(AND(B1538=Queue!$C$4,OR(Queue!$K$4="*",N1538=Queue!$K$4)),Q1538,"")</f>
        <v/>
      </c>
    </row>
    <row r="1539">
      <c r="A1539" s="35">
        <f>IF(M1539="","",HYPERLINK("https://www.youtube.com/watch?v="&amp;M1539,"▶"))</f>
        <v/>
      </c>
      <c r="B1539" s="36">
        <f>IF(C1539&lt;&gt;"",C1539,IF(P1539&lt;=IFERROR(INDEX(tblChannels[Watched Through],MATCH(N1539,tblChannels[Channel ID],0)),0),"Watched","Unwatched"))</f>
        <v/>
      </c>
      <c r="C1539" s="37" t="n"/>
      <c r="D1539" s="38" t="n"/>
      <c r="E1539" s="39" t="n">
        <v>44186.25</v>
      </c>
      <c r="F1539" s="40" t="inlineStr">
        <is>
          <t>Popcorn Culture</t>
        </is>
      </c>
      <c r="G1539" t="inlineStr">
        <is>
          <t>51 - Pizza Parties are the Best Reward</t>
        </is>
      </c>
      <c r="H1539" s="41" t="n">
        <v>0.04605324074074074</v>
      </c>
      <c r="I1539" s="42" t="n">
        <v>2282</v>
      </c>
      <c r="J1539" s="42" t="n">
        <v>109</v>
      </c>
      <c r="K1539" s="42" t="n">
        <v>10</v>
      </c>
      <c r="L1539" s="43" t="n"/>
      <c r="M1539" s="44" t="n"/>
      <c r="N1539" s="44" t="inlineStr">
        <is>
          <t>UCHfIbq9thHPC8yrKjAdJgDA</t>
        </is>
      </c>
      <c r="O1539" s="45" t="n">
        <v>44186.45833333334</v>
      </c>
      <c r="P1539" s="46" t="n">
        <v>44186</v>
      </c>
      <c r="Q1539" s="44" t="n">
        <v>1733</v>
      </c>
      <c r="R1539" s="44" t="inlineStr">
        <is>
          <t>No Video ID yet</t>
        </is>
      </c>
      <c r="S1539" s="46" t="n"/>
      <c r="T1539" s="46" t="n"/>
      <c r="U1539" s="44" t="n"/>
      <c r="V1539" s="44">
        <f>IF(AND(P1539&gt;=Calendar!$K$2,P1539&lt;EDATE(Calendar!$K$2,1),OR(Calendar!$K$4="*",N1539=Calendar!$K$4)),P1539*100+COUNTIFS($P$6:$P$3271,P1539,$Q$6:$Q$3271,"&lt;="&amp;Q1539,$N$6:$N$3271,Calendar!$K$4),"")</f>
        <v/>
      </c>
      <c r="W1539" s="44">
        <f>IF(AND(B1539=Queue!$C$4,OR(Queue!$K$4="*",N1539=Queue!$K$4)),Q1539,"")</f>
        <v/>
      </c>
    </row>
    <row r="1540">
      <c r="A1540" s="35">
        <f>IF(M1540="","",HYPERLINK("https://www.youtube.com/watch?v="&amp;M1540,"▶"))</f>
        <v/>
      </c>
      <c r="B1540" s="36">
        <f>IF(C1540&lt;&gt;"",C1540,IF(P1540&lt;=IFERROR(INDEX(tblChannels[Watched Through],MATCH(N1540,tblChannels[Channel ID],0)),0),"Watched","Unwatched"))</f>
        <v/>
      </c>
      <c r="C1540" s="37" t="n"/>
      <c r="D1540" s="38" t="n"/>
      <c r="E1540" s="39" t="n">
        <v>44183.25</v>
      </c>
      <c r="F1540" s="40" t="inlineStr">
        <is>
          <t>Popcorn Culture</t>
        </is>
      </c>
      <c r="G1540" t="inlineStr">
        <is>
          <t>50 - Ben Give's (Bad) Examples</t>
        </is>
      </c>
      <c r="H1540" s="41" t="n">
        <v>0.04788194444444444</v>
      </c>
      <c r="I1540" s="42" t="n">
        <v>2476</v>
      </c>
      <c r="J1540" s="42" t="n">
        <v>116</v>
      </c>
      <c r="K1540" s="42" t="n">
        <v>8</v>
      </c>
      <c r="L1540" s="43" t="n"/>
      <c r="M1540" s="44" t="n"/>
      <c r="N1540" s="44" t="inlineStr">
        <is>
          <t>UCHfIbq9thHPC8yrKjAdJgDA</t>
        </is>
      </c>
      <c r="O1540" s="45" t="n">
        <v>44183.45833333334</v>
      </c>
      <c r="P1540" s="46" t="n">
        <v>44183</v>
      </c>
      <c r="Q1540" s="44" t="n">
        <v>1732</v>
      </c>
      <c r="R1540" s="44" t="inlineStr">
        <is>
          <t>No Video ID yet</t>
        </is>
      </c>
      <c r="S1540" s="46" t="n"/>
      <c r="T1540" s="46" t="n"/>
      <c r="U1540" s="44" t="n"/>
      <c r="V1540" s="44">
        <f>IF(AND(P1540&gt;=Calendar!$K$2,P1540&lt;EDATE(Calendar!$K$2,1),OR(Calendar!$K$4="*",N1540=Calendar!$K$4)),P1540*100+COUNTIFS($P$6:$P$3271,P1540,$Q$6:$Q$3271,"&lt;="&amp;Q1540,$N$6:$N$3271,Calendar!$K$4),"")</f>
        <v/>
      </c>
      <c r="W1540" s="44">
        <f>IF(AND(B1540=Queue!$C$4,OR(Queue!$K$4="*",N1540=Queue!$K$4)),Q1540,"")</f>
        <v/>
      </c>
    </row>
    <row r="1541">
      <c r="A1541" s="35">
        <f>IF(M1541="","",HYPERLINK("https://www.youtube.com/watch?v="&amp;M1541,"▶"))</f>
        <v/>
      </c>
      <c r="B1541" s="36">
        <f>IF(C1541&lt;&gt;"",C1541,IF(P1541&lt;=IFERROR(INDEX(tblChannels[Watched Through],MATCH(N1541,tblChannels[Channel ID],0)),0),"Watched","Unwatched"))</f>
        <v/>
      </c>
      <c r="C1541" s="37" t="n"/>
      <c r="D1541" s="38" t="n"/>
      <c r="E1541" s="39" t="n">
        <v>44182.78541666667</v>
      </c>
      <c r="F1541" s="47" t="inlineStr">
        <is>
          <t>Super Carlin Brothers</t>
        </is>
      </c>
      <c r="G1541" t="inlineStr">
        <is>
          <t>How To Block Avada Kedavra [Harry Potter Theory]</t>
        </is>
      </c>
      <c r="H1541" s="41" t="n">
        <v>0.01141203703703704</v>
      </c>
      <c r="I1541" s="42" t="n">
        <v>584189</v>
      </c>
      <c r="J1541" s="42" t="n">
        <v>21054</v>
      </c>
      <c r="K1541" s="42" t="n">
        <v>3222</v>
      </c>
      <c r="L1541" s="43" t="n"/>
      <c r="M1541" s="44" t="n"/>
      <c r="N1541" s="44" t="inlineStr">
        <is>
          <t>UCKZo4N0lVPccBkSiuyVh4yg</t>
        </is>
      </c>
      <c r="O1541" s="45" t="n">
        <v>44182.99375</v>
      </c>
      <c r="P1541" s="46" t="n">
        <v>44182</v>
      </c>
      <c r="Q1541" s="44" t="n">
        <v>1731</v>
      </c>
      <c r="R1541" s="44" t="inlineStr">
        <is>
          <t>No Video ID yet</t>
        </is>
      </c>
      <c r="S1541" s="46" t="n"/>
      <c r="T1541" s="46" t="n"/>
      <c r="U1541" s="44" t="n"/>
      <c r="V1541" s="44">
        <f>IF(AND(P1541&gt;=Calendar!$K$2,P1541&lt;EDATE(Calendar!$K$2,1),OR(Calendar!$K$4="*",N1541=Calendar!$K$4)),P1541*100+COUNTIFS($P$6:$P$3271,P1541,$Q$6:$Q$3271,"&lt;="&amp;Q1541,$N$6:$N$3271,Calendar!$K$4),"")</f>
        <v/>
      </c>
      <c r="W1541" s="44">
        <f>IF(AND(B1541=Queue!$C$4,OR(Queue!$K$4="*",N1541=Queue!$K$4)),Q1541,"")</f>
        <v/>
      </c>
    </row>
    <row r="1542">
      <c r="A1542" s="35">
        <f>IF(M1542="","",HYPERLINK("https://www.youtube.com/watch?v="&amp;M1542,"▶"))</f>
        <v/>
      </c>
      <c r="B1542" s="36">
        <f>IF(C1542&lt;&gt;"",C1542,IF(P1542&lt;=IFERROR(INDEX(tblChannels[Watched Through],MATCH(N1542,tblChannels[Channel ID],0)),0),"Watched","Unwatched"))</f>
        <v/>
      </c>
      <c r="C1542" s="37" t="n"/>
      <c r="D1542" s="38" t="n"/>
      <c r="E1542" s="39" t="n">
        <v>44182.25</v>
      </c>
      <c r="F1542" s="40" t="inlineStr">
        <is>
          <t>Popcorn Culture</t>
        </is>
      </c>
      <c r="G1542" t="inlineStr">
        <is>
          <t>49 - Braincrack</t>
        </is>
      </c>
      <c r="H1542" s="41" t="n">
        <v>0.04248842592592592</v>
      </c>
      <c r="I1542" s="42" t="n">
        <v>2013</v>
      </c>
      <c r="J1542" s="42" t="n">
        <v>107</v>
      </c>
      <c r="K1542" s="42" t="n">
        <v>12</v>
      </c>
      <c r="L1542" s="43" t="n"/>
      <c r="M1542" s="44" t="n"/>
      <c r="N1542" s="44" t="inlineStr">
        <is>
          <t>UCHfIbq9thHPC8yrKjAdJgDA</t>
        </is>
      </c>
      <c r="O1542" s="45" t="n">
        <v>44182.45833333334</v>
      </c>
      <c r="P1542" s="46" t="n">
        <v>44182</v>
      </c>
      <c r="Q1542" s="44" t="n">
        <v>1730</v>
      </c>
      <c r="R1542" s="44" t="inlineStr">
        <is>
          <t>No Video ID yet</t>
        </is>
      </c>
      <c r="S1542" s="46" t="n"/>
      <c r="T1542" s="46" t="n"/>
      <c r="U1542" s="44" t="n"/>
      <c r="V1542" s="44">
        <f>IF(AND(P1542&gt;=Calendar!$K$2,P1542&lt;EDATE(Calendar!$K$2,1),OR(Calendar!$K$4="*",N1542=Calendar!$K$4)),P1542*100+COUNTIFS($P$6:$P$3271,P1542,$Q$6:$Q$3271,"&lt;="&amp;Q1542,$N$6:$N$3271,Calendar!$K$4),"")</f>
        <v/>
      </c>
      <c r="W1542" s="44">
        <f>IF(AND(B1542=Queue!$C$4,OR(Queue!$K$4="*",N1542=Queue!$K$4)),Q1542,"")</f>
        <v/>
      </c>
    </row>
    <row r="1543">
      <c r="A1543" s="35">
        <f>IF(M1543="","",HYPERLINK("https://www.youtube.com/watch?v="&amp;M1543,"▶"))</f>
        <v/>
      </c>
      <c r="B1543" s="36">
        <f>IF(C1543&lt;&gt;"",C1543,IF(P1543&lt;=IFERROR(INDEX(tblChannels[Watched Through],MATCH(N1543,tblChannels[Channel ID],0)),0),"Watched","Unwatched"))</f>
        <v/>
      </c>
      <c r="C1543" s="37" t="n"/>
      <c r="D1543" s="38" t="n"/>
      <c r="E1543" s="39" t="n">
        <v>44181.25</v>
      </c>
      <c r="F1543" s="40" t="inlineStr">
        <is>
          <t>Popcorn Culture</t>
        </is>
      </c>
      <c r="G1543" t="inlineStr">
        <is>
          <t>48 - Pulling off the En Passant</t>
        </is>
      </c>
      <c r="H1543" s="41" t="n">
        <v>0.05016203703703704</v>
      </c>
      <c r="I1543" s="42" t="n">
        <v>2229</v>
      </c>
      <c r="J1543" s="42" t="n">
        <v>90</v>
      </c>
      <c r="K1543" s="42" t="n">
        <v>10</v>
      </c>
      <c r="L1543" s="43" t="n"/>
      <c r="M1543" s="44" t="n"/>
      <c r="N1543" s="44" t="inlineStr">
        <is>
          <t>UCHfIbq9thHPC8yrKjAdJgDA</t>
        </is>
      </c>
      <c r="O1543" s="45" t="n">
        <v>44181.45833333334</v>
      </c>
      <c r="P1543" s="46" t="n">
        <v>44181</v>
      </c>
      <c r="Q1543" s="44" t="n">
        <v>1729</v>
      </c>
      <c r="R1543" s="44" t="inlineStr">
        <is>
          <t>No Video ID yet</t>
        </is>
      </c>
      <c r="S1543" s="46" t="n"/>
      <c r="T1543" s="46" t="n"/>
      <c r="U1543" s="44" t="n"/>
      <c r="V1543" s="44">
        <f>IF(AND(P1543&gt;=Calendar!$K$2,P1543&lt;EDATE(Calendar!$K$2,1),OR(Calendar!$K$4="*",N1543=Calendar!$K$4)),P1543*100+COUNTIFS($P$6:$P$3271,P1543,$Q$6:$Q$3271,"&lt;="&amp;Q1543,$N$6:$N$3271,Calendar!$K$4),"")</f>
        <v/>
      </c>
      <c r="W1543" s="44">
        <f>IF(AND(B1543=Queue!$C$4,OR(Queue!$K$4="*",N1543=Queue!$K$4)),Q1543,"")</f>
        <v/>
      </c>
    </row>
    <row r="1544">
      <c r="A1544" s="35">
        <f>IF(M1544="","",HYPERLINK("https://www.youtube.com/watch?v="&amp;M1544,"▶"))</f>
        <v/>
      </c>
      <c r="B1544" s="36">
        <f>IF(C1544&lt;&gt;"",C1544,IF(P1544&lt;=IFERROR(INDEX(tblChannels[Watched Through],MATCH(N1544,tblChannels[Channel ID],0)),0),"Watched","Unwatched"))</f>
        <v/>
      </c>
      <c r="C1544" s="37" t="n"/>
      <c r="D1544" s="38" t="n"/>
      <c r="E1544" s="39" t="n">
        <v>44180.65902777778</v>
      </c>
      <c r="F1544" s="47" t="inlineStr">
        <is>
          <t>Super Carlin Brothers</t>
        </is>
      </c>
      <c r="G1544" t="inlineStr">
        <is>
          <t>Buzz Lightyear’s Origin Story [Pixar Theory]</t>
        </is>
      </c>
      <c r="H1544" s="41" t="n">
        <v>0.00986111111111111</v>
      </c>
      <c r="I1544" s="42" t="n">
        <v>430179</v>
      </c>
      <c r="J1544" s="42" t="n">
        <v>18135</v>
      </c>
      <c r="K1544" s="42" t="n">
        <v>2188</v>
      </c>
      <c r="L1544" s="43" t="n"/>
      <c r="M1544" s="44" t="n"/>
      <c r="N1544" s="44" t="inlineStr">
        <is>
          <t>UCKZo4N0lVPccBkSiuyVh4yg</t>
        </is>
      </c>
      <c r="O1544" s="45" t="n">
        <v>44180.86736111111</v>
      </c>
      <c r="P1544" s="46" t="n">
        <v>44180</v>
      </c>
      <c r="Q1544" s="44" t="n">
        <v>1728</v>
      </c>
      <c r="R1544" s="44" t="inlineStr">
        <is>
          <t>No Video ID yet</t>
        </is>
      </c>
      <c r="S1544" s="46" t="n"/>
      <c r="T1544" s="46" t="n"/>
      <c r="U1544" s="44" t="n"/>
      <c r="V1544" s="44">
        <f>IF(AND(P1544&gt;=Calendar!$K$2,P1544&lt;EDATE(Calendar!$K$2,1),OR(Calendar!$K$4="*",N1544=Calendar!$K$4)),P1544*100+COUNTIFS($P$6:$P$3271,P1544,$Q$6:$Q$3271,"&lt;="&amp;Q1544,$N$6:$N$3271,Calendar!$K$4),"")</f>
        <v/>
      </c>
      <c r="W1544" s="44">
        <f>IF(AND(B1544=Queue!$C$4,OR(Queue!$K$4="*",N1544=Queue!$K$4)),Q1544,"")</f>
        <v/>
      </c>
    </row>
    <row r="1545">
      <c r="A1545" s="35">
        <f>IF(M1545="","",HYPERLINK("https://www.youtube.com/watch?v="&amp;M1545,"▶"))</f>
        <v/>
      </c>
      <c r="B1545" s="36">
        <f>IF(C1545&lt;&gt;"",C1545,IF(P1545&lt;=IFERROR(INDEX(tblChannels[Watched Through],MATCH(N1545,tblChannels[Channel ID],0)),0),"Watched","Unwatched"))</f>
        <v/>
      </c>
      <c r="C1545" s="37" t="n"/>
      <c r="D1545" s="38" t="n"/>
      <c r="E1545" s="39" t="n">
        <v>44180.25</v>
      </c>
      <c r="F1545" s="40" t="inlineStr">
        <is>
          <t>Popcorn Culture</t>
        </is>
      </c>
      <c r="G1545" t="inlineStr">
        <is>
          <t>47 - A Helix of Condiments</t>
        </is>
      </c>
      <c r="H1545" s="41" t="n">
        <v>0.04388888888888889</v>
      </c>
      <c r="I1545" s="42" t="n">
        <v>2073</v>
      </c>
      <c r="J1545" s="42" t="n">
        <v>93</v>
      </c>
      <c r="K1545" s="42" t="n">
        <v>18</v>
      </c>
      <c r="L1545" s="43" t="n"/>
      <c r="M1545" s="44" t="n"/>
      <c r="N1545" s="44" t="inlineStr">
        <is>
          <t>UCHfIbq9thHPC8yrKjAdJgDA</t>
        </is>
      </c>
      <c r="O1545" s="45" t="n">
        <v>44180.45833333334</v>
      </c>
      <c r="P1545" s="46" t="n">
        <v>44180</v>
      </c>
      <c r="Q1545" s="44" t="n">
        <v>1727</v>
      </c>
      <c r="R1545" s="44" t="inlineStr">
        <is>
          <t>No Video ID yet</t>
        </is>
      </c>
      <c r="S1545" s="46" t="n"/>
      <c r="T1545" s="46" t="n"/>
      <c r="U1545" s="44" t="n"/>
      <c r="V1545" s="44">
        <f>IF(AND(P1545&gt;=Calendar!$K$2,P1545&lt;EDATE(Calendar!$K$2,1),OR(Calendar!$K$4="*",N1545=Calendar!$K$4)),P1545*100+COUNTIFS($P$6:$P$3271,P1545,$Q$6:$Q$3271,"&lt;="&amp;Q1545,$N$6:$N$3271,Calendar!$K$4),"")</f>
        <v/>
      </c>
      <c r="W1545" s="44">
        <f>IF(AND(B1545=Queue!$C$4,OR(Queue!$K$4="*",N1545=Queue!$K$4)),Q1545,"")</f>
        <v/>
      </c>
    </row>
    <row r="1546">
      <c r="A1546" s="35">
        <f>IF(M1546="","",HYPERLINK("https://www.youtube.com/watch?v="&amp;M1546,"▶"))</f>
        <v/>
      </c>
      <c r="B1546" s="36">
        <f>IF(C1546&lt;&gt;"",C1546,IF(P1546&lt;=IFERROR(INDEX(tblChannels[Watched Through],MATCH(N1546,tblChannels[Channel ID],0)),0),"Watched","Unwatched"))</f>
        <v/>
      </c>
      <c r="C1546" s="37" t="n"/>
      <c r="D1546" s="38" t="n"/>
      <c r="E1546" s="39" t="n">
        <v>44179.42708333334</v>
      </c>
      <c r="F1546" s="50" t="inlineStr">
        <is>
          <t>Jonathan Carlin</t>
        </is>
      </c>
      <c r="G1546" t="inlineStr">
        <is>
          <t>Carlin Family Christmas Tree!</t>
        </is>
      </c>
      <c r="H1546" s="41" t="n">
        <v>0.007453703703703704</v>
      </c>
      <c r="I1546" s="42" t="n">
        <v>26772</v>
      </c>
      <c r="J1546" s="42" t="n">
        <v>1936</v>
      </c>
      <c r="K1546" s="42" t="n">
        <v>191</v>
      </c>
      <c r="L1546" s="43" t="n"/>
      <c r="M1546" s="44" t="n"/>
      <c r="N1546" s="44" t="inlineStr">
        <is>
          <t>UCYPKFe86e6nm4TVUYKLsFUQ</t>
        </is>
      </c>
      <c r="O1546" s="45" t="n">
        <v>44179.63541666666</v>
      </c>
      <c r="P1546" s="46" t="n">
        <v>44179</v>
      </c>
      <c r="Q1546" s="44" t="n">
        <v>1726</v>
      </c>
      <c r="R1546" s="44" t="inlineStr">
        <is>
          <t>No Video ID yet</t>
        </is>
      </c>
      <c r="S1546" s="46" t="n"/>
      <c r="T1546" s="46" t="n"/>
      <c r="U1546" s="44" t="n"/>
      <c r="V1546" s="44">
        <f>IF(AND(P1546&gt;=Calendar!$K$2,P1546&lt;EDATE(Calendar!$K$2,1),OR(Calendar!$K$4="*",N1546=Calendar!$K$4)),P1546*100+COUNTIFS($P$6:$P$3271,P1546,$Q$6:$Q$3271,"&lt;="&amp;Q1546,$N$6:$N$3271,Calendar!$K$4),"")</f>
        <v/>
      </c>
      <c r="W1546" s="44">
        <f>IF(AND(B1546=Queue!$C$4,OR(Queue!$K$4="*",N1546=Queue!$K$4)),Q1546,"")</f>
        <v/>
      </c>
    </row>
    <row r="1547">
      <c r="A1547" s="35">
        <f>IF(M1547="","",HYPERLINK("https://www.youtube.com/watch?v="&amp;M1547,"▶"))</f>
        <v/>
      </c>
      <c r="B1547" s="36">
        <f>IF(C1547&lt;&gt;"",C1547,IF(P1547&lt;=IFERROR(INDEX(tblChannels[Watched Through],MATCH(N1547,tblChannels[Channel ID],0)),0),"Watched","Unwatched"))</f>
        <v/>
      </c>
      <c r="C1547" s="37" t="n"/>
      <c r="D1547" s="38" t="n"/>
      <c r="E1547" s="39" t="n">
        <v>44179.25</v>
      </c>
      <c r="F1547" s="40" t="inlineStr">
        <is>
          <t>Popcorn Culture</t>
        </is>
      </c>
      <c r="G1547" t="inlineStr">
        <is>
          <t>46 - The Element of Surprise</t>
        </is>
      </c>
      <c r="H1547" s="41" t="n">
        <v>0.04258101851851852</v>
      </c>
      <c r="I1547" s="42" t="n">
        <v>2153</v>
      </c>
      <c r="J1547" s="42" t="n">
        <v>103</v>
      </c>
      <c r="K1547" s="42" t="n">
        <v>17</v>
      </c>
      <c r="L1547" s="43" t="n"/>
      <c r="M1547" s="44" t="n"/>
      <c r="N1547" s="44" t="inlineStr">
        <is>
          <t>UCHfIbq9thHPC8yrKjAdJgDA</t>
        </is>
      </c>
      <c r="O1547" s="45" t="n">
        <v>44179.45833333334</v>
      </c>
      <c r="P1547" s="46" t="n">
        <v>44179</v>
      </c>
      <c r="Q1547" s="44" t="n">
        <v>1725</v>
      </c>
      <c r="R1547" s="44" t="inlineStr">
        <is>
          <t>No Video ID yet</t>
        </is>
      </c>
      <c r="S1547" s="46" t="n"/>
      <c r="T1547" s="46" t="n"/>
      <c r="U1547" s="44" t="n"/>
      <c r="V1547" s="44">
        <f>IF(AND(P1547&gt;=Calendar!$K$2,P1547&lt;EDATE(Calendar!$K$2,1),OR(Calendar!$K$4="*",N1547=Calendar!$K$4)),P1547*100+COUNTIFS($P$6:$P$3271,P1547,$Q$6:$Q$3271,"&lt;="&amp;Q1547,$N$6:$N$3271,Calendar!$K$4),"")</f>
        <v/>
      </c>
      <c r="W1547" s="44">
        <f>IF(AND(B1547=Queue!$C$4,OR(Queue!$K$4="*",N1547=Queue!$K$4)),Q1547,"")</f>
        <v/>
      </c>
    </row>
    <row r="1548">
      <c r="A1548" s="35">
        <f>IF(M1548="","",HYPERLINK("https://www.youtube.com/watch?v="&amp;M1548,"▶"))</f>
        <v/>
      </c>
      <c r="B1548" s="36">
        <f>IF(C1548&lt;&gt;"",C1548,IF(P1548&lt;=IFERROR(INDEX(tblChannels[Watched Through],MATCH(N1548,tblChannels[Channel ID],0)),0),"Watched","Unwatched"))</f>
        <v/>
      </c>
      <c r="C1548" s="37" t="n"/>
      <c r="D1548" s="38" t="n"/>
      <c r="E1548" s="39" t="n">
        <v>44176.25</v>
      </c>
      <c r="F1548" s="40" t="inlineStr">
        <is>
          <t>Popcorn Culture</t>
        </is>
      </c>
      <c r="G1548" t="inlineStr">
        <is>
          <t>45 - Do People Eat Gingerbread Houses?</t>
        </is>
      </c>
      <c r="H1548" s="41" t="n">
        <v>0.04585648148148148</v>
      </c>
      <c r="I1548" s="42" t="n">
        <v>2445</v>
      </c>
      <c r="J1548" s="42" t="n">
        <v>104</v>
      </c>
      <c r="K1548" s="42" t="n">
        <v>14</v>
      </c>
      <c r="L1548" s="43" t="n"/>
      <c r="M1548" s="44" t="n"/>
      <c r="N1548" s="44" t="inlineStr">
        <is>
          <t>UCHfIbq9thHPC8yrKjAdJgDA</t>
        </is>
      </c>
      <c r="O1548" s="45" t="n">
        <v>44176.45833333334</v>
      </c>
      <c r="P1548" s="46" t="n">
        <v>44176</v>
      </c>
      <c r="Q1548" s="44" t="n">
        <v>1724</v>
      </c>
      <c r="R1548" s="44" t="inlineStr">
        <is>
          <t>No Video ID yet</t>
        </is>
      </c>
      <c r="S1548" s="46" t="n"/>
      <c r="T1548" s="46" t="n"/>
      <c r="U1548" s="44" t="n"/>
      <c r="V1548" s="44">
        <f>IF(AND(P1548&gt;=Calendar!$K$2,P1548&lt;EDATE(Calendar!$K$2,1),OR(Calendar!$K$4="*",N1548=Calendar!$K$4)),P1548*100+COUNTIFS($P$6:$P$3271,P1548,$Q$6:$Q$3271,"&lt;="&amp;Q1548,$N$6:$N$3271,Calendar!$K$4),"")</f>
        <v/>
      </c>
      <c r="W1548" s="44">
        <f>IF(AND(B1548=Queue!$C$4,OR(Queue!$K$4="*",N1548=Queue!$K$4)),Q1548,"")</f>
        <v/>
      </c>
    </row>
    <row r="1549">
      <c r="A1549" s="35">
        <f>IF(M1549="","",HYPERLINK("https://www.youtube.com/watch?v="&amp;M1549,"▶"))</f>
        <v/>
      </c>
      <c r="B1549" s="36">
        <f>IF(C1549&lt;&gt;"",C1549,IF(P1549&lt;=IFERROR(INDEX(tblChannels[Watched Through],MATCH(N1549,tblChannels[Channel ID],0)),0),"Watched","Unwatched"))</f>
        <v/>
      </c>
      <c r="C1549" s="37" t="n"/>
      <c r="D1549" s="38" t="n"/>
      <c r="E1549" s="39" t="n">
        <v>44175.70555555556</v>
      </c>
      <c r="F1549" s="47" t="inlineStr">
        <is>
          <t>Super Carlin Brothers</t>
        </is>
      </c>
      <c r="G1549" t="inlineStr">
        <is>
          <t>J vs Ben: HARDEST Frozen Trivia Quiz</t>
        </is>
      </c>
      <c r="H1549" s="41" t="n">
        <v>0.01439814814814815</v>
      </c>
      <c r="I1549" s="42" t="n">
        <v>155718</v>
      </c>
      <c r="J1549" s="42" t="n">
        <v>6612</v>
      </c>
      <c r="K1549" s="42" t="n">
        <v>653</v>
      </c>
      <c r="L1549" s="43" t="n"/>
      <c r="M1549" s="44" t="n"/>
      <c r="N1549" s="44" t="inlineStr">
        <is>
          <t>UCKZo4N0lVPccBkSiuyVh4yg</t>
        </is>
      </c>
      <c r="O1549" s="45" t="n">
        <v>44175.91388888889</v>
      </c>
      <c r="P1549" s="46" t="n">
        <v>44175</v>
      </c>
      <c r="Q1549" s="44" t="n">
        <v>1723</v>
      </c>
      <c r="R1549" s="44" t="inlineStr">
        <is>
          <t>No Video ID yet</t>
        </is>
      </c>
      <c r="S1549" s="46" t="n"/>
      <c r="T1549" s="46" t="n"/>
      <c r="U1549" s="44" t="n"/>
      <c r="V1549" s="44">
        <f>IF(AND(P1549&gt;=Calendar!$K$2,P1549&lt;EDATE(Calendar!$K$2,1),OR(Calendar!$K$4="*",N1549=Calendar!$K$4)),P1549*100+COUNTIFS($P$6:$P$3271,P1549,$Q$6:$Q$3271,"&lt;="&amp;Q1549,$N$6:$N$3271,Calendar!$K$4),"")</f>
        <v/>
      </c>
      <c r="W1549" s="44">
        <f>IF(AND(B1549=Queue!$C$4,OR(Queue!$K$4="*",N1549=Queue!$K$4)),Q1549,"")</f>
        <v/>
      </c>
    </row>
    <row r="1550">
      <c r="A1550" s="35">
        <f>IF(M1550="","",HYPERLINK("https://www.youtube.com/watch?v="&amp;M1550,"▶"))</f>
        <v/>
      </c>
      <c r="B1550" s="36">
        <f>IF(C1550&lt;&gt;"",C1550,IF(P1550&lt;=IFERROR(INDEX(tblChannels[Watched Through],MATCH(N1550,tblChannels[Channel ID],0)),0),"Watched","Unwatched"))</f>
        <v/>
      </c>
      <c r="C1550" s="37" t="n"/>
      <c r="D1550" s="38" t="n"/>
      <c r="E1550" s="39" t="n">
        <v>44175.25</v>
      </c>
      <c r="F1550" s="40" t="inlineStr">
        <is>
          <t>Popcorn Culture</t>
        </is>
      </c>
      <c r="G1550" t="inlineStr">
        <is>
          <t>44 - We Know Literally Nothing About Music</t>
        </is>
      </c>
      <c r="H1550" s="41" t="n">
        <v>0.05074074074074074</v>
      </c>
      <c r="I1550" s="42" t="n">
        <v>2500</v>
      </c>
      <c r="J1550" s="42" t="n">
        <v>118</v>
      </c>
      <c r="K1550" s="42" t="n">
        <v>27</v>
      </c>
      <c r="L1550" s="43" t="n"/>
      <c r="M1550" s="44" t="n"/>
      <c r="N1550" s="44" t="inlineStr">
        <is>
          <t>UCHfIbq9thHPC8yrKjAdJgDA</t>
        </is>
      </c>
      <c r="O1550" s="45" t="n">
        <v>44175.45833333334</v>
      </c>
      <c r="P1550" s="46" t="n">
        <v>44175</v>
      </c>
      <c r="Q1550" s="44" t="n">
        <v>1722</v>
      </c>
      <c r="R1550" s="44" t="inlineStr">
        <is>
          <t>No Video ID yet</t>
        </is>
      </c>
      <c r="S1550" s="46" t="n"/>
      <c r="T1550" s="46" t="n"/>
      <c r="U1550" s="44" t="n"/>
      <c r="V1550" s="44">
        <f>IF(AND(P1550&gt;=Calendar!$K$2,P1550&lt;EDATE(Calendar!$K$2,1),OR(Calendar!$K$4="*",N1550=Calendar!$K$4)),P1550*100+COUNTIFS($P$6:$P$3271,P1550,$Q$6:$Q$3271,"&lt;="&amp;Q1550,$N$6:$N$3271,Calendar!$K$4),"")</f>
        <v/>
      </c>
      <c r="W1550" s="44">
        <f>IF(AND(B1550=Queue!$C$4,OR(Queue!$K$4="*",N1550=Queue!$K$4)),Q1550,"")</f>
        <v/>
      </c>
    </row>
    <row r="1551">
      <c r="A1551" s="35">
        <f>IF(M1551="","",HYPERLINK("https://www.youtube.com/watch?v="&amp;M1551,"▶"))</f>
        <v/>
      </c>
      <c r="B1551" s="36">
        <f>IF(C1551&lt;&gt;"",C1551,IF(P1551&lt;=IFERROR(INDEX(tblChannels[Watched Through],MATCH(N1551,tblChannels[Channel ID],0)),0),"Watched","Unwatched"))</f>
        <v/>
      </c>
      <c r="C1551" s="37" t="n"/>
      <c r="D1551" s="38" t="n"/>
      <c r="E1551" s="39" t="n">
        <v>44174.25</v>
      </c>
      <c r="F1551" s="40" t="inlineStr">
        <is>
          <t>Popcorn Culture</t>
        </is>
      </c>
      <c r="G1551" t="inlineStr">
        <is>
          <t>43 - How To Start A New Idea</t>
        </is>
      </c>
      <c r="H1551" s="41" t="n">
        <v>0.04479166666666667</v>
      </c>
      <c r="I1551" s="42" t="n">
        <v>2290</v>
      </c>
      <c r="J1551" s="42" t="n">
        <v>113</v>
      </c>
      <c r="K1551" s="42" t="n">
        <v>10</v>
      </c>
      <c r="L1551" s="43" t="n"/>
      <c r="M1551" s="44" t="n"/>
      <c r="N1551" s="44" t="inlineStr">
        <is>
          <t>UCHfIbq9thHPC8yrKjAdJgDA</t>
        </is>
      </c>
      <c r="O1551" s="45" t="n">
        <v>44174.45833333334</v>
      </c>
      <c r="P1551" s="46" t="n">
        <v>44174</v>
      </c>
      <c r="Q1551" s="44" t="n">
        <v>1721</v>
      </c>
      <c r="R1551" s="44" t="inlineStr">
        <is>
          <t>No Video ID yet</t>
        </is>
      </c>
      <c r="S1551" s="46" t="n"/>
      <c r="T1551" s="46" t="n"/>
      <c r="U1551" s="44" t="n"/>
      <c r="V1551" s="44">
        <f>IF(AND(P1551&gt;=Calendar!$K$2,P1551&lt;EDATE(Calendar!$K$2,1),OR(Calendar!$K$4="*",N1551=Calendar!$K$4)),P1551*100+COUNTIFS($P$6:$P$3271,P1551,$Q$6:$Q$3271,"&lt;="&amp;Q1551,$N$6:$N$3271,Calendar!$K$4),"")</f>
        <v/>
      </c>
      <c r="W1551" s="44">
        <f>IF(AND(B1551=Queue!$C$4,OR(Queue!$K$4="*",N1551=Queue!$K$4)),Q1551,"")</f>
        <v/>
      </c>
    </row>
    <row r="1552">
      <c r="A1552" s="35">
        <f>IF(M1552="","",HYPERLINK("https://www.youtube.com/watch?v="&amp;M1552,"▶"))</f>
        <v/>
      </c>
      <c r="B1552" s="36">
        <f>IF(C1552&lt;&gt;"",C1552,IF(P1552&lt;=IFERROR(INDEX(tblChannels[Watched Through],MATCH(N1552,tblChannels[Channel ID],0)),0),"Watched","Unwatched"))</f>
        <v/>
      </c>
      <c r="C1552" s="37" t="n"/>
      <c r="D1552" s="38" t="n"/>
      <c r="E1552" s="39" t="n">
        <v>44173.78958333333</v>
      </c>
      <c r="F1552" s="47" t="inlineStr">
        <is>
          <t>Super Carlin Brothers</t>
        </is>
      </c>
      <c r="G1552" t="inlineStr">
        <is>
          <t>Rey and Grogu’s SECRET Connection! [Star Wars Theory]</t>
        </is>
      </c>
      <c r="H1552" s="41" t="n">
        <v>0.009212962962962963</v>
      </c>
      <c r="I1552" s="42" t="n">
        <v>116227</v>
      </c>
      <c r="J1552" s="42" t="n">
        <v>6709</v>
      </c>
      <c r="K1552" s="42" t="n">
        <v>1014</v>
      </c>
      <c r="L1552" s="43" t="n"/>
      <c r="M1552" s="44" t="n"/>
      <c r="N1552" s="44" t="inlineStr">
        <is>
          <t>UCKZo4N0lVPccBkSiuyVh4yg</t>
        </is>
      </c>
      <c r="O1552" s="45" t="n">
        <v>44173.99791666667</v>
      </c>
      <c r="P1552" s="46" t="n">
        <v>44173</v>
      </c>
      <c r="Q1552" s="44" t="n">
        <v>1720</v>
      </c>
      <c r="R1552" s="44" t="inlineStr">
        <is>
          <t>No Video ID yet</t>
        </is>
      </c>
      <c r="S1552" s="46" t="n"/>
      <c r="T1552" s="46" t="n"/>
      <c r="U1552" s="44" t="n"/>
      <c r="V1552" s="44">
        <f>IF(AND(P1552&gt;=Calendar!$K$2,P1552&lt;EDATE(Calendar!$K$2,1),OR(Calendar!$K$4="*",N1552=Calendar!$K$4)),P1552*100+COUNTIFS($P$6:$P$3271,P1552,$Q$6:$Q$3271,"&lt;="&amp;Q1552,$N$6:$N$3271,Calendar!$K$4),"")</f>
        <v/>
      </c>
      <c r="W1552" s="44">
        <f>IF(AND(B1552=Queue!$C$4,OR(Queue!$K$4="*",N1552=Queue!$K$4)),Q1552,"")</f>
        <v/>
      </c>
    </row>
    <row r="1553">
      <c r="A1553" s="35">
        <f>IF(M1553="","",HYPERLINK("https://www.youtube.com/watch?v="&amp;M1553,"▶"))</f>
        <v/>
      </c>
      <c r="B1553" s="36">
        <f>IF(C1553&lt;&gt;"",C1553,IF(P1553&lt;=IFERROR(INDEX(tblChannels[Watched Through],MATCH(N1553,tblChannels[Channel ID],0)),0),"Watched","Unwatched"))</f>
        <v/>
      </c>
      <c r="C1553" s="37" t="n"/>
      <c r="D1553" s="38" t="n"/>
      <c r="E1553" s="39" t="n">
        <v>44173.25</v>
      </c>
      <c r="F1553" s="40" t="inlineStr">
        <is>
          <t>Popcorn Culture</t>
        </is>
      </c>
      <c r="G1553" t="inlineStr">
        <is>
          <t>42 -  Best Ways to Wrap a Present</t>
        </is>
      </c>
      <c r="H1553" s="41" t="n">
        <v>0.04833333333333333</v>
      </c>
      <c r="I1553" s="42" t="n">
        <v>2441</v>
      </c>
      <c r="J1553" s="42" t="n">
        <v>118</v>
      </c>
      <c r="K1553" s="42" t="n">
        <v>17</v>
      </c>
      <c r="L1553" s="43" t="n"/>
      <c r="M1553" s="44" t="n"/>
      <c r="N1553" s="44" t="inlineStr">
        <is>
          <t>UCHfIbq9thHPC8yrKjAdJgDA</t>
        </is>
      </c>
      <c r="O1553" s="45" t="n">
        <v>44173.45833333334</v>
      </c>
      <c r="P1553" s="46" t="n">
        <v>44173</v>
      </c>
      <c r="Q1553" s="44" t="n">
        <v>1719</v>
      </c>
      <c r="R1553" s="44" t="inlineStr">
        <is>
          <t>No Video ID yet</t>
        </is>
      </c>
      <c r="S1553" s="46" t="n"/>
      <c r="T1553" s="46" t="n"/>
      <c r="U1553" s="44" t="n"/>
      <c r="V1553" s="44">
        <f>IF(AND(P1553&gt;=Calendar!$K$2,P1553&lt;EDATE(Calendar!$K$2,1),OR(Calendar!$K$4="*",N1553=Calendar!$K$4)),P1553*100+COUNTIFS($P$6:$P$3271,P1553,$Q$6:$Q$3271,"&lt;="&amp;Q1553,$N$6:$N$3271,Calendar!$K$4),"")</f>
        <v/>
      </c>
      <c r="W1553" s="44">
        <f>IF(AND(B1553=Queue!$C$4,OR(Queue!$K$4="*",N1553=Queue!$K$4)),Q1553,"")</f>
        <v/>
      </c>
    </row>
    <row r="1554">
      <c r="A1554" s="35">
        <f>IF(M1554="","",HYPERLINK("https://www.youtube.com/watch?v="&amp;M1554,"▶"))</f>
        <v/>
      </c>
      <c r="B1554" s="36">
        <f>IF(C1554&lt;&gt;"",C1554,IF(P1554&lt;=IFERROR(INDEX(tblChannels[Watched Through],MATCH(N1554,tblChannels[Channel ID],0)),0),"Watched","Unwatched"))</f>
        <v/>
      </c>
      <c r="C1554" s="37" t="n"/>
      <c r="D1554" s="38" t="n"/>
      <c r="E1554" s="39" t="n">
        <v>44172.41666666666</v>
      </c>
      <c r="F1554" s="50" t="inlineStr">
        <is>
          <t>Jonathan Carlin</t>
        </is>
      </c>
      <c r="G1554" t="inlineStr">
        <is>
          <t>LUKE'S THIRD BIRTHDAY!</t>
        </is>
      </c>
      <c r="H1554" s="41" t="n">
        <v>0.00712962962962963</v>
      </c>
      <c r="I1554" s="42" t="n">
        <v>39060</v>
      </c>
      <c r="J1554" s="42" t="n">
        <v>2916</v>
      </c>
      <c r="K1554" s="42" t="n">
        <v>420</v>
      </c>
      <c r="L1554" s="43" t="n"/>
      <c r="M1554" s="44" t="n"/>
      <c r="N1554" s="44" t="inlineStr">
        <is>
          <t>UCYPKFe86e6nm4TVUYKLsFUQ</t>
        </is>
      </c>
      <c r="O1554" s="45" t="n">
        <v>44172.625</v>
      </c>
      <c r="P1554" s="46" t="n">
        <v>44172</v>
      </c>
      <c r="Q1554" s="44" t="n">
        <v>1718</v>
      </c>
      <c r="R1554" s="44" t="inlineStr">
        <is>
          <t>No Video ID yet</t>
        </is>
      </c>
      <c r="S1554" s="46" t="n"/>
      <c r="T1554" s="46" t="n"/>
      <c r="U1554" s="44" t="n"/>
      <c r="V1554" s="44">
        <f>IF(AND(P1554&gt;=Calendar!$K$2,P1554&lt;EDATE(Calendar!$K$2,1),OR(Calendar!$K$4="*",N1554=Calendar!$K$4)),P1554*100+COUNTIFS($P$6:$P$3271,P1554,$Q$6:$Q$3271,"&lt;="&amp;Q1554,$N$6:$N$3271,Calendar!$K$4),"")</f>
        <v/>
      </c>
      <c r="W1554" s="44">
        <f>IF(AND(B1554=Queue!$C$4,OR(Queue!$K$4="*",N1554=Queue!$K$4)),Q1554,"")</f>
        <v/>
      </c>
    </row>
    <row r="1555">
      <c r="A1555" s="35">
        <f>IF(M1555="","",HYPERLINK("https://www.youtube.com/watch?v="&amp;M1555,"▶"))</f>
        <v/>
      </c>
      <c r="B1555" s="36">
        <f>IF(C1555&lt;&gt;"",C1555,IF(P1555&lt;=IFERROR(INDEX(tblChannels[Watched Through],MATCH(N1555,tblChannels[Channel ID],0)),0),"Watched","Unwatched"))</f>
        <v/>
      </c>
      <c r="C1555" s="37" t="n"/>
      <c r="D1555" s="38" t="n"/>
      <c r="E1555" s="39" t="n">
        <v>44172.25</v>
      </c>
      <c r="F1555" s="40" t="inlineStr">
        <is>
          <t>Popcorn Culture</t>
        </is>
      </c>
      <c r="G1555" t="inlineStr">
        <is>
          <t>41 - How To Dance Like No One’s Watching</t>
        </is>
      </c>
      <c r="H1555" s="41" t="n">
        <v>0.04653935185185185</v>
      </c>
      <c r="I1555" s="42" t="n">
        <v>1572</v>
      </c>
      <c r="J1555" s="42" t="n">
        <v>100</v>
      </c>
      <c r="K1555" s="42" t="n">
        <v>30</v>
      </c>
      <c r="L1555" s="43" t="n"/>
      <c r="M1555" s="44" t="n"/>
      <c r="N1555" s="44" t="inlineStr">
        <is>
          <t>UCHfIbq9thHPC8yrKjAdJgDA</t>
        </is>
      </c>
      <c r="O1555" s="45" t="n">
        <v>44172.45833333334</v>
      </c>
      <c r="P1555" s="46" t="n">
        <v>44172</v>
      </c>
      <c r="Q1555" s="44" t="n">
        <v>1717</v>
      </c>
      <c r="R1555" s="44" t="inlineStr">
        <is>
          <t>No Video ID yet</t>
        </is>
      </c>
      <c r="S1555" s="46" t="n"/>
      <c r="T1555" s="46" t="n"/>
      <c r="U1555" s="44" t="n"/>
      <c r="V1555" s="44">
        <f>IF(AND(P1555&gt;=Calendar!$K$2,P1555&lt;EDATE(Calendar!$K$2,1),OR(Calendar!$K$4="*",N1555=Calendar!$K$4)),P1555*100+COUNTIFS($P$6:$P$3271,P1555,$Q$6:$Q$3271,"&lt;="&amp;Q1555,$N$6:$N$3271,Calendar!$K$4),"")</f>
        <v/>
      </c>
      <c r="W1555" s="44">
        <f>IF(AND(B1555=Queue!$C$4,OR(Queue!$K$4="*",N1555=Queue!$K$4)),Q1555,"")</f>
        <v/>
      </c>
    </row>
    <row r="1556">
      <c r="A1556" s="35">
        <f>IF(M1556="","",HYPERLINK("https://www.youtube.com/watch?v="&amp;M1556,"▶"))</f>
        <v/>
      </c>
      <c r="B1556" s="36">
        <f>IF(C1556&lt;&gt;"",C1556,IF(P1556&lt;=IFERROR(INDEX(tblChannels[Watched Through],MATCH(N1556,tblChannels[Channel ID],0)),0),"Watched","Unwatched"))</f>
        <v/>
      </c>
      <c r="C1556" s="37" t="n"/>
      <c r="D1556" s="38" t="n"/>
      <c r="E1556" s="39" t="n">
        <v>44171.25</v>
      </c>
      <c r="F1556" s="40" t="inlineStr">
        <is>
          <t>Popcorn Culture</t>
        </is>
      </c>
      <c r="G1556" t="inlineStr">
        <is>
          <t>40 - Living During Interesting Times</t>
        </is>
      </c>
      <c r="H1556" s="41" t="n">
        <v>0.04603009259259259</v>
      </c>
      <c r="I1556" s="42" t="n">
        <v>2533</v>
      </c>
      <c r="J1556" s="42" t="n">
        <v>124</v>
      </c>
      <c r="K1556" s="42" t="n">
        <v>14</v>
      </c>
      <c r="L1556" s="43" t="n"/>
      <c r="M1556" s="44" t="n"/>
      <c r="N1556" s="44" t="inlineStr">
        <is>
          <t>UCHfIbq9thHPC8yrKjAdJgDA</t>
        </is>
      </c>
      <c r="O1556" s="45" t="n">
        <v>44171.45833333334</v>
      </c>
      <c r="P1556" s="46" t="n">
        <v>44171</v>
      </c>
      <c r="Q1556" s="44" t="n">
        <v>1716</v>
      </c>
      <c r="R1556" s="44" t="inlineStr">
        <is>
          <t>No Video ID yet</t>
        </is>
      </c>
      <c r="S1556" s="46" t="n"/>
      <c r="T1556" s="46" t="n"/>
      <c r="U1556" s="44" t="n"/>
      <c r="V1556" s="44">
        <f>IF(AND(P1556&gt;=Calendar!$K$2,P1556&lt;EDATE(Calendar!$K$2,1),OR(Calendar!$K$4="*",N1556=Calendar!$K$4)),P1556*100+COUNTIFS($P$6:$P$3271,P1556,$Q$6:$Q$3271,"&lt;="&amp;Q1556,$N$6:$N$3271,Calendar!$K$4),"")</f>
        <v/>
      </c>
      <c r="W1556" s="44">
        <f>IF(AND(B1556=Queue!$C$4,OR(Queue!$K$4="*",N1556=Queue!$K$4)),Q1556,"")</f>
        <v/>
      </c>
    </row>
    <row r="1557">
      <c r="A1557" s="35">
        <f>IF(M1557="","",HYPERLINK("https://www.youtube.com/watch?v="&amp;M1557,"▶"))</f>
        <v/>
      </c>
      <c r="B1557" s="36">
        <f>IF(C1557&lt;&gt;"",C1557,IF(P1557&lt;=IFERROR(INDEX(tblChannels[Watched Through],MATCH(N1557,tblChannels[Channel ID],0)),0),"Watched","Unwatched"))</f>
        <v/>
      </c>
      <c r="C1557" s="37" t="n"/>
      <c r="D1557" s="38" t="n"/>
      <c r="E1557" s="39" t="n">
        <v>44170.25</v>
      </c>
      <c r="F1557" s="40" t="inlineStr">
        <is>
          <t>Popcorn Culture</t>
        </is>
      </c>
      <c r="G1557" t="inlineStr">
        <is>
          <t>39 -  The Quest for the Yeard</t>
        </is>
      </c>
      <c r="H1557" s="41" t="n">
        <v>0.04670138888888889</v>
      </c>
      <c r="I1557" s="42" t="n">
        <v>1784</v>
      </c>
      <c r="J1557" s="42" t="n">
        <v>108</v>
      </c>
      <c r="K1557" s="42" t="n">
        <v>14</v>
      </c>
      <c r="L1557" s="43" t="n"/>
      <c r="M1557" s="44" t="n"/>
      <c r="N1557" s="44" t="inlineStr">
        <is>
          <t>UCHfIbq9thHPC8yrKjAdJgDA</t>
        </is>
      </c>
      <c r="O1557" s="45" t="n">
        <v>44170.45833333334</v>
      </c>
      <c r="P1557" s="46" t="n">
        <v>44170</v>
      </c>
      <c r="Q1557" s="44" t="n">
        <v>1715</v>
      </c>
      <c r="R1557" s="44" t="inlineStr">
        <is>
          <t>No Video ID yet</t>
        </is>
      </c>
      <c r="S1557" s="46" t="n"/>
      <c r="T1557" s="46" t="n"/>
      <c r="U1557" s="44" t="n"/>
      <c r="V1557" s="44">
        <f>IF(AND(P1557&gt;=Calendar!$K$2,P1557&lt;EDATE(Calendar!$K$2,1),OR(Calendar!$K$4="*",N1557=Calendar!$K$4)),P1557*100+COUNTIFS($P$6:$P$3271,P1557,$Q$6:$Q$3271,"&lt;="&amp;Q1557,$N$6:$N$3271,Calendar!$K$4),"")</f>
        <v/>
      </c>
      <c r="W1557" s="44">
        <f>IF(AND(B1557=Queue!$C$4,OR(Queue!$K$4="*",N1557=Queue!$K$4)),Q1557,"")</f>
        <v/>
      </c>
    </row>
    <row r="1558">
      <c r="A1558" s="35">
        <f>IF(M1558="","",HYPERLINK("https://www.youtube.com/watch?v="&amp;M1558,"▶"))</f>
        <v/>
      </c>
      <c r="B1558" s="36">
        <f>IF(C1558&lt;&gt;"",C1558,IF(P1558&lt;=IFERROR(INDEX(tblChannels[Watched Through],MATCH(N1558,tblChannels[Channel ID],0)),0),"Watched","Unwatched"))</f>
        <v/>
      </c>
      <c r="C1558" s="37" t="n"/>
      <c r="D1558" s="38" t="n"/>
      <c r="E1558" s="39" t="n">
        <v>44169.25</v>
      </c>
      <c r="F1558" s="40" t="inlineStr">
        <is>
          <t>Popcorn Culture</t>
        </is>
      </c>
      <c r="G1558" t="inlineStr">
        <is>
          <t>38 - Why it’s hard to change someone’s mind</t>
        </is>
      </c>
      <c r="H1558" s="41" t="n">
        <v>0.04534722222222222</v>
      </c>
      <c r="I1558" s="42" t="n">
        <v>2621</v>
      </c>
      <c r="J1558" s="42" t="n">
        <v>132</v>
      </c>
      <c r="K1558" s="42" t="n">
        <v>24</v>
      </c>
      <c r="L1558" s="43" t="n"/>
      <c r="M1558" s="44" t="n"/>
      <c r="N1558" s="44" t="inlineStr">
        <is>
          <t>UCHfIbq9thHPC8yrKjAdJgDA</t>
        </is>
      </c>
      <c r="O1558" s="45" t="n">
        <v>44169.45833333334</v>
      </c>
      <c r="P1558" s="46" t="n">
        <v>44169</v>
      </c>
      <c r="Q1558" s="44" t="n">
        <v>1714</v>
      </c>
      <c r="R1558" s="44" t="inlineStr">
        <is>
          <t>No Video ID yet</t>
        </is>
      </c>
      <c r="S1558" s="46" t="n"/>
      <c r="T1558" s="46" t="n"/>
      <c r="U1558" s="44" t="n"/>
      <c r="V1558" s="44">
        <f>IF(AND(P1558&gt;=Calendar!$K$2,P1558&lt;EDATE(Calendar!$K$2,1),OR(Calendar!$K$4="*",N1558=Calendar!$K$4)),P1558*100+COUNTIFS($P$6:$P$3271,P1558,$Q$6:$Q$3271,"&lt;="&amp;Q1558,$N$6:$N$3271,Calendar!$K$4),"")</f>
        <v/>
      </c>
      <c r="W1558" s="44">
        <f>IF(AND(B1558=Queue!$C$4,OR(Queue!$K$4="*",N1558=Queue!$K$4)),Q1558,"")</f>
        <v/>
      </c>
    </row>
    <row r="1559">
      <c r="A1559" s="35">
        <f>IF(M1559="","",HYPERLINK("https://www.youtube.com/watch?v="&amp;M1559,"▶"))</f>
        <v/>
      </c>
      <c r="B1559" s="36">
        <f>IF(C1559&lt;&gt;"",C1559,IF(P1559&lt;=IFERROR(INDEX(tblChannels[Watched Through],MATCH(N1559,tblChannels[Channel ID],0)),0),"Watched","Unwatched"))</f>
        <v/>
      </c>
      <c r="C1559" s="37" t="n"/>
      <c r="D1559" s="38" t="n"/>
      <c r="E1559" s="39" t="n">
        <v>44168.81736111111</v>
      </c>
      <c r="F1559" s="47" t="inlineStr">
        <is>
          <t>Super Carlin Brothers</t>
        </is>
      </c>
      <c r="G1559" t="inlineStr">
        <is>
          <t>Top 10 Scenes Left OUT of the Harry Potter Movies</t>
        </is>
      </c>
      <c r="H1559" s="41" t="n">
        <v>0.01310185185185185</v>
      </c>
      <c r="I1559" s="42" t="n">
        <v>662934</v>
      </c>
      <c r="J1559" s="42" t="n">
        <v>22364</v>
      </c>
      <c r="K1559" s="42" t="n">
        <v>3555</v>
      </c>
      <c r="L1559" s="43" t="n"/>
      <c r="M1559" s="44" t="n"/>
      <c r="N1559" s="44" t="inlineStr">
        <is>
          <t>UCKZo4N0lVPccBkSiuyVh4yg</t>
        </is>
      </c>
      <c r="O1559" s="45" t="n">
        <v>44169.02569444444</v>
      </c>
      <c r="P1559" s="46" t="n">
        <v>44168</v>
      </c>
      <c r="Q1559" s="44" t="n">
        <v>1713</v>
      </c>
      <c r="R1559" s="44" t="inlineStr">
        <is>
          <t>No Video ID yet</t>
        </is>
      </c>
      <c r="S1559" s="46" t="n"/>
      <c r="T1559" s="46" t="n"/>
      <c r="U1559" s="44" t="n"/>
      <c r="V1559" s="44">
        <f>IF(AND(P1559&gt;=Calendar!$K$2,P1559&lt;EDATE(Calendar!$K$2,1),OR(Calendar!$K$4="*",N1559=Calendar!$K$4)),P1559*100+COUNTIFS($P$6:$P$3271,P1559,$Q$6:$Q$3271,"&lt;="&amp;Q1559,$N$6:$N$3271,Calendar!$K$4),"")</f>
        <v/>
      </c>
      <c r="W1559" s="44">
        <f>IF(AND(B1559=Queue!$C$4,OR(Queue!$K$4="*",N1559=Queue!$K$4)),Q1559,"")</f>
        <v/>
      </c>
    </row>
    <row r="1560">
      <c r="A1560" s="35">
        <f>IF(M1560="","",HYPERLINK("https://www.youtube.com/watch?v="&amp;M1560,"▶"))</f>
        <v/>
      </c>
      <c r="B1560" s="36">
        <f>IF(C1560&lt;&gt;"",C1560,IF(P1560&lt;=IFERROR(INDEX(tblChannels[Watched Through],MATCH(N1560,tblChannels[Channel ID],0)),0),"Watched","Unwatched"))</f>
        <v/>
      </c>
      <c r="C1560" s="37" t="n"/>
      <c r="D1560" s="38" t="n"/>
      <c r="E1560" s="39" t="n">
        <v>44168.25</v>
      </c>
      <c r="F1560" s="40" t="inlineStr">
        <is>
          <t>Popcorn Culture</t>
        </is>
      </c>
      <c r="G1560" t="inlineStr">
        <is>
          <t>37 - Am I the Chosen One?</t>
        </is>
      </c>
      <c r="H1560" s="41" t="n">
        <v>0.04221064814814815</v>
      </c>
      <c r="I1560" s="42" t="n">
        <v>2679</v>
      </c>
      <c r="J1560" s="42" t="n">
        <v>151</v>
      </c>
      <c r="K1560" s="42" t="n">
        <v>27</v>
      </c>
      <c r="L1560" s="43" t="n"/>
      <c r="M1560" s="44" t="n"/>
      <c r="N1560" s="44" t="inlineStr">
        <is>
          <t>UCHfIbq9thHPC8yrKjAdJgDA</t>
        </is>
      </c>
      <c r="O1560" s="45" t="n">
        <v>44168.45833333334</v>
      </c>
      <c r="P1560" s="46" t="n">
        <v>44168</v>
      </c>
      <c r="Q1560" s="44" t="n">
        <v>1712</v>
      </c>
      <c r="R1560" s="44" t="inlineStr">
        <is>
          <t>No Video ID yet</t>
        </is>
      </c>
      <c r="S1560" s="46" t="n"/>
      <c r="T1560" s="46" t="n"/>
      <c r="U1560" s="44" t="n"/>
      <c r="V1560" s="44">
        <f>IF(AND(P1560&gt;=Calendar!$K$2,P1560&lt;EDATE(Calendar!$K$2,1),OR(Calendar!$K$4="*",N1560=Calendar!$K$4)),P1560*100+COUNTIFS($P$6:$P$3271,P1560,$Q$6:$Q$3271,"&lt;="&amp;Q1560,$N$6:$N$3271,Calendar!$K$4),"")</f>
        <v/>
      </c>
      <c r="W1560" s="44">
        <f>IF(AND(B1560=Queue!$C$4,OR(Queue!$K$4="*",N1560=Queue!$K$4)),Q1560,"")</f>
        <v/>
      </c>
    </row>
    <row r="1561">
      <c r="A1561" s="35">
        <f>IF(M1561="","",HYPERLINK("https://www.youtube.com/watch?v="&amp;M1561,"▶"))</f>
        <v/>
      </c>
      <c r="B1561" s="36">
        <f>IF(C1561&lt;&gt;"",C1561,IF(P1561&lt;=IFERROR(INDEX(tblChannels[Watched Through],MATCH(N1561,tblChannels[Channel ID],0)),0),"Watched","Unwatched"))</f>
        <v/>
      </c>
      <c r="C1561" s="37" t="n"/>
      <c r="D1561" s="38" t="n"/>
      <c r="E1561" s="39" t="n">
        <v>44166.81458333333</v>
      </c>
      <c r="F1561" s="47" t="inlineStr">
        <is>
          <t>Super Carlin Brothers</t>
        </is>
      </c>
      <c r="G1561" t="inlineStr">
        <is>
          <t>Could The Veil Destroy A Horcrux? [Harry Potter Theory]</t>
        </is>
      </c>
      <c r="H1561" s="41" t="n">
        <v>0.009398148148148149</v>
      </c>
      <c r="I1561" s="42" t="n">
        <v>384472</v>
      </c>
      <c r="J1561" s="42" t="n">
        <v>15777</v>
      </c>
      <c r="K1561" s="42" t="n">
        <v>1498</v>
      </c>
      <c r="L1561" s="43" t="n"/>
      <c r="M1561" s="44" t="n"/>
      <c r="N1561" s="44" t="inlineStr">
        <is>
          <t>UCKZo4N0lVPccBkSiuyVh4yg</t>
        </is>
      </c>
      <c r="O1561" s="45" t="n">
        <v>44167.02291666667</v>
      </c>
      <c r="P1561" s="46" t="n">
        <v>44166</v>
      </c>
      <c r="Q1561" s="44" t="n">
        <v>1711</v>
      </c>
      <c r="R1561" s="44" t="inlineStr">
        <is>
          <t>No Video ID yet</t>
        </is>
      </c>
      <c r="S1561" s="46" t="n"/>
      <c r="T1561" s="46" t="n"/>
      <c r="U1561" s="44" t="n"/>
      <c r="V1561" s="44">
        <f>IF(AND(P1561&gt;=Calendar!$K$2,P1561&lt;EDATE(Calendar!$K$2,1),OR(Calendar!$K$4="*",N1561=Calendar!$K$4)),P1561*100+COUNTIFS($P$6:$P$3271,P1561,$Q$6:$Q$3271,"&lt;="&amp;Q1561,$N$6:$N$3271,Calendar!$K$4),"")</f>
        <v/>
      </c>
      <c r="W1561" s="44">
        <f>IF(AND(B1561=Queue!$C$4,OR(Queue!$K$4="*",N1561=Queue!$K$4)),Q1561,"")</f>
        <v/>
      </c>
    </row>
    <row r="1562">
      <c r="A1562" s="35">
        <f>IF(M1562="","",HYPERLINK("https://www.youtube.com/watch?v="&amp;M1562,"▶"))</f>
        <v/>
      </c>
      <c r="B1562" s="36">
        <f>IF(C1562&lt;&gt;"",C1562,IF(P1562&lt;=IFERROR(INDEX(tblChannels[Watched Through],MATCH(N1562,tblChannels[Channel ID],0)),0),"Watched","Unwatched"))</f>
        <v/>
      </c>
      <c r="C1562" s="37" t="n"/>
      <c r="D1562" s="38" t="n"/>
      <c r="E1562" s="39" t="n">
        <v>44165.41666666666</v>
      </c>
      <c r="F1562" s="50" t="inlineStr">
        <is>
          <t>Jonathan Carlin</t>
        </is>
      </c>
      <c r="G1562" t="inlineStr">
        <is>
          <t>WE GOT A NEW OFFICE!</t>
        </is>
      </c>
      <c r="H1562" s="41" t="n">
        <v>0.01009259259259259</v>
      </c>
      <c r="I1562" s="42" t="n">
        <v>61588</v>
      </c>
      <c r="J1562" s="42" t="n">
        <v>4420</v>
      </c>
      <c r="K1562" s="42" t="n">
        <v>495</v>
      </c>
      <c r="L1562" s="43" t="n"/>
      <c r="M1562" s="44" t="n"/>
      <c r="N1562" s="44" t="inlineStr">
        <is>
          <t>UCYPKFe86e6nm4TVUYKLsFUQ</t>
        </is>
      </c>
      <c r="O1562" s="45" t="n">
        <v>44165.625</v>
      </c>
      <c r="P1562" s="46" t="n">
        <v>44165</v>
      </c>
      <c r="Q1562" s="44" t="n">
        <v>1710</v>
      </c>
      <c r="R1562" s="44" t="inlineStr">
        <is>
          <t>No Video ID yet</t>
        </is>
      </c>
      <c r="S1562" s="46" t="n"/>
      <c r="T1562" s="46" t="n"/>
      <c r="U1562" s="44" t="n"/>
      <c r="V1562" s="44">
        <f>IF(AND(P1562&gt;=Calendar!$K$2,P1562&lt;EDATE(Calendar!$K$2,1),OR(Calendar!$K$4="*",N1562=Calendar!$K$4)),P1562*100+COUNTIFS($P$6:$P$3271,P1562,$Q$6:$Q$3271,"&lt;="&amp;Q1562,$N$6:$N$3271,Calendar!$K$4),"")</f>
        <v/>
      </c>
      <c r="W1562" s="44">
        <f>IF(AND(B1562=Queue!$C$4,OR(Queue!$K$4="*",N1562=Queue!$K$4)),Q1562,"")</f>
        <v/>
      </c>
    </row>
    <row r="1563">
      <c r="A1563" s="35">
        <f>IF(M1563="","",HYPERLINK("https://www.youtube.com/watch?v="&amp;M1563,"▶"))</f>
        <v/>
      </c>
      <c r="B1563" s="36">
        <f>IF(C1563&lt;&gt;"",C1563,IF(P1563&lt;=IFERROR(INDEX(tblChannels[Watched Through],MATCH(N1563,tblChannels[Channel ID],0)),0),"Watched","Unwatched"))</f>
        <v/>
      </c>
      <c r="C1563" s="37" t="n"/>
      <c r="D1563" s="38" t="n"/>
      <c r="E1563" s="39" t="n">
        <v>44161.58333333334</v>
      </c>
      <c r="F1563" s="47" t="inlineStr">
        <is>
          <t>Super Carlin Brothers</t>
        </is>
      </c>
      <c r="G1563" t="inlineStr">
        <is>
          <t>J vs Ben: ULTIMATE Harry Potter Feast TRIVIA Quiz</t>
        </is>
      </c>
      <c r="H1563" s="41" t="n">
        <v>0.0190625</v>
      </c>
      <c r="I1563" s="42" t="n">
        <v>290997</v>
      </c>
      <c r="J1563" s="42" t="n">
        <v>10041</v>
      </c>
      <c r="K1563" s="42" t="n">
        <v>1796</v>
      </c>
      <c r="L1563" s="43" t="n"/>
      <c r="M1563" s="44" t="n"/>
      <c r="N1563" s="44" t="inlineStr">
        <is>
          <t>UCKZo4N0lVPccBkSiuyVh4yg</t>
        </is>
      </c>
      <c r="O1563" s="45" t="n">
        <v>44161.79166666666</v>
      </c>
      <c r="P1563" s="46" t="n">
        <v>44161</v>
      </c>
      <c r="Q1563" s="44" t="n">
        <v>1709</v>
      </c>
      <c r="R1563" s="44" t="inlineStr">
        <is>
          <t>No Video ID yet</t>
        </is>
      </c>
      <c r="S1563" s="46" t="n"/>
      <c r="T1563" s="46" t="n"/>
      <c r="U1563" s="44" t="n"/>
      <c r="V1563" s="44">
        <f>IF(AND(P1563&gt;=Calendar!$K$2,P1563&lt;EDATE(Calendar!$K$2,1),OR(Calendar!$K$4="*",N1563=Calendar!$K$4)),P1563*100+COUNTIFS($P$6:$P$3271,P1563,$Q$6:$Q$3271,"&lt;="&amp;Q1563,$N$6:$N$3271,Calendar!$K$4),"")</f>
        <v/>
      </c>
      <c r="W1563" s="44">
        <f>IF(AND(B1563=Queue!$C$4,OR(Queue!$K$4="*",N1563=Queue!$K$4)),Q1563,"")</f>
        <v/>
      </c>
    </row>
    <row r="1564">
      <c r="A1564" s="35">
        <f>IF(M1564="","",HYPERLINK("https://www.youtube.com/watch?v="&amp;M1564,"▶"))</f>
        <v/>
      </c>
      <c r="B1564" s="36">
        <f>IF(C1564&lt;&gt;"",C1564,IF(P1564&lt;=IFERROR(INDEX(tblChannels[Watched Through],MATCH(N1564,tblChannels[Channel ID],0)),0),"Watched","Unwatched"))</f>
        <v/>
      </c>
      <c r="C1564" s="37" t="n"/>
      <c r="D1564" s="38" t="n"/>
      <c r="E1564" s="39" t="n">
        <v>44159.74375</v>
      </c>
      <c r="F1564" s="47" t="inlineStr">
        <is>
          <t>Super Carlin Brothers</t>
        </is>
      </c>
      <c r="G1564" t="inlineStr">
        <is>
          <t>Why Does Korra Look Like Katara [Avatar: The Last Airbender Theory]</t>
        </is>
      </c>
      <c r="H1564" s="41" t="n">
        <v>0.009062499999999999</v>
      </c>
      <c r="I1564" s="42" t="n">
        <v>497574</v>
      </c>
      <c r="J1564" s="42" t="n">
        <v>20782</v>
      </c>
      <c r="K1564" s="42" t="n">
        <v>2543</v>
      </c>
      <c r="L1564" s="43" t="n"/>
      <c r="M1564" s="44" t="n"/>
      <c r="N1564" s="44" t="inlineStr">
        <is>
          <t>UCKZo4N0lVPccBkSiuyVh4yg</t>
        </is>
      </c>
      <c r="O1564" s="45" t="n">
        <v>44159.95208333333</v>
      </c>
      <c r="P1564" s="46" t="n">
        <v>44159</v>
      </c>
      <c r="Q1564" s="44" t="n">
        <v>1708</v>
      </c>
      <c r="R1564" s="44" t="inlineStr">
        <is>
          <t>No Video ID yet</t>
        </is>
      </c>
      <c r="S1564" s="46" t="n"/>
      <c r="T1564" s="46" t="n"/>
      <c r="U1564" s="44" t="n"/>
      <c r="V1564" s="44">
        <f>IF(AND(P1564&gt;=Calendar!$K$2,P1564&lt;EDATE(Calendar!$K$2,1),OR(Calendar!$K$4="*",N1564=Calendar!$K$4)),P1564*100+COUNTIFS($P$6:$P$3271,P1564,$Q$6:$Q$3271,"&lt;="&amp;Q1564,$N$6:$N$3271,Calendar!$K$4),"")</f>
        <v/>
      </c>
      <c r="W1564" s="44">
        <f>IF(AND(B1564=Queue!$C$4,OR(Queue!$K$4="*",N1564=Queue!$K$4)),Q1564,"")</f>
        <v/>
      </c>
    </row>
    <row r="1565">
      <c r="A1565" s="35">
        <f>IF(M1565="","",HYPERLINK("https://www.youtube.com/watch?v="&amp;M1565,"▶"))</f>
        <v/>
      </c>
      <c r="B1565" s="36">
        <f>IF(C1565&lt;&gt;"",C1565,IF(P1565&lt;=IFERROR(INDEX(tblChannels[Watched Through],MATCH(N1565,tblChannels[Channel ID],0)),0),"Watched","Unwatched"))</f>
        <v/>
      </c>
      <c r="C1565" s="37" t="n"/>
      <c r="D1565" s="38" t="n"/>
      <c r="E1565" s="39" t="n">
        <v>44155.85902777778</v>
      </c>
      <c r="F1565" s="47" t="inlineStr">
        <is>
          <t>Super Carlin Brothers</t>
        </is>
      </c>
      <c r="G1565" t="inlineStr">
        <is>
          <t>ALL FANDOMS Trivia Night LIVE STREAM!</t>
        </is>
      </c>
      <c r="H1565" s="41" t="n">
        <v>0.104375</v>
      </c>
      <c r="I1565" s="42" t="n">
        <v>110350</v>
      </c>
      <c r="J1565" s="42" t="n">
        <v>2598</v>
      </c>
      <c r="K1565" s="42" t="n">
        <v>189</v>
      </c>
      <c r="L1565" s="43" t="n"/>
      <c r="M1565" s="44" t="n"/>
      <c r="N1565" s="44" t="inlineStr">
        <is>
          <t>UCKZo4N0lVPccBkSiuyVh4yg</t>
        </is>
      </c>
      <c r="O1565" s="45" t="n">
        <v>44156.06736111111</v>
      </c>
      <c r="P1565" s="46" t="n">
        <v>44155</v>
      </c>
      <c r="Q1565" s="44" t="n">
        <v>1707</v>
      </c>
      <c r="R1565" s="44" t="inlineStr">
        <is>
          <t>No Video ID yet</t>
        </is>
      </c>
      <c r="S1565" s="46" t="n"/>
      <c r="T1565" s="46" t="n"/>
      <c r="U1565" s="44" t="n"/>
      <c r="V1565" s="44">
        <f>IF(AND(P1565&gt;=Calendar!$K$2,P1565&lt;EDATE(Calendar!$K$2,1),OR(Calendar!$K$4="*",N1565=Calendar!$K$4)),P1565*100+COUNTIFS($P$6:$P$3271,P1565,$Q$6:$Q$3271,"&lt;="&amp;Q1565,$N$6:$N$3271,Calendar!$K$4),"")</f>
        <v/>
      </c>
      <c r="W1565" s="44">
        <f>IF(AND(B1565=Queue!$C$4,OR(Queue!$K$4="*",N1565=Queue!$K$4)),Q1565,"")</f>
        <v/>
      </c>
    </row>
    <row r="1566">
      <c r="A1566" s="35">
        <f>IF(M1566="","",HYPERLINK("https://www.youtube.com/watch?v="&amp;M1566,"▶"))</f>
        <v/>
      </c>
      <c r="B1566" s="36">
        <f>IF(C1566&lt;&gt;"",C1566,IF(P1566&lt;=IFERROR(INDEX(tblChannels[Watched Through],MATCH(N1566,tblChannels[Channel ID],0)),0),"Watched","Unwatched"))</f>
        <v/>
      </c>
      <c r="C1566" s="37" t="n"/>
      <c r="D1566" s="38" t="n"/>
      <c r="E1566" s="39" t="n">
        <v>44154.71041666667</v>
      </c>
      <c r="F1566" s="47" t="inlineStr">
        <is>
          <t>Super Carlin Brothers</t>
        </is>
      </c>
      <c r="G1566" t="inlineStr">
        <is>
          <t>Is Snape Still Alive? [Harry Potter Theory]</t>
        </is>
      </c>
      <c r="H1566" s="41" t="n">
        <v>0.01175925925925926</v>
      </c>
      <c r="I1566" s="42" t="n">
        <v>652163</v>
      </c>
      <c r="J1566" s="42" t="n">
        <v>23785</v>
      </c>
      <c r="K1566" s="42" t="n">
        <v>3416</v>
      </c>
      <c r="L1566" s="43" t="n"/>
      <c r="M1566" s="44" t="n"/>
      <c r="N1566" s="44" t="inlineStr">
        <is>
          <t>UCKZo4N0lVPccBkSiuyVh4yg</t>
        </is>
      </c>
      <c r="O1566" s="45" t="n">
        <v>44154.91875</v>
      </c>
      <c r="P1566" s="46" t="n">
        <v>44154</v>
      </c>
      <c r="Q1566" s="44" t="n">
        <v>1706</v>
      </c>
      <c r="R1566" s="44" t="inlineStr">
        <is>
          <t>No Video ID yet</t>
        </is>
      </c>
      <c r="S1566" s="46" t="n"/>
      <c r="T1566" s="46" t="n"/>
      <c r="U1566" s="44" t="n"/>
      <c r="V1566" s="44">
        <f>IF(AND(P1566&gt;=Calendar!$K$2,P1566&lt;EDATE(Calendar!$K$2,1),OR(Calendar!$K$4="*",N1566=Calendar!$K$4)),P1566*100+COUNTIFS($P$6:$P$3271,P1566,$Q$6:$Q$3271,"&lt;="&amp;Q1566,$N$6:$N$3271,Calendar!$K$4),"")</f>
        <v/>
      </c>
      <c r="W1566" s="44">
        <f>IF(AND(B1566=Queue!$C$4,OR(Queue!$K$4="*",N1566=Queue!$K$4)),Q1566,"")</f>
        <v/>
      </c>
    </row>
    <row r="1567">
      <c r="A1567" s="35">
        <f>IF(M1567="","",HYPERLINK("https://www.youtube.com/watch?v="&amp;M1567,"▶"))</f>
        <v/>
      </c>
      <c r="B1567" s="36">
        <f>IF(C1567&lt;&gt;"",C1567,IF(P1567&lt;=IFERROR(INDEX(tblChannels[Watched Through],MATCH(N1567,tblChannels[Channel ID],0)),0),"Watched","Unwatched"))</f>
        <v/>
      </c>
      <c r="C1567" s="37" t="n"/>
      <c r="D1567" s="38" t="n"/>
      <c r="E1567" s="39" t="n">
        <v>44152.72083333333</v>
      </c>
      <c r="F1567" s="47" t="inlineStr">
        <is>
          <t>Super Carlin Brothers</t>
        </is>
      </c>
      <c r="G1567" t="inlineStr">
        <is>
          <t>Why Is Lightning Bending So Common In Korra? [Avatar: The Last Airbender Theory]</t>
        </is>
      </c>
      <c r="H1567" s="41" t="n">
        <v>0.01012731481481481</v>
      </c>
      <c r="I1567" s="42" t="n">
        <v>362056</v>
      </c>
      <c r="J1567" s="42" t="n">
        <v>15620</v>
      </c>
      <c r="K1567" s="42" t="n">
        <v>1525</v>
      </c>
      <c r="L1567" s="43" t="n"/>
      <c r="M1567" s="44" t="n"/>
      <c r="N1567" s="44" t="inlineStr">
        <is>
          <t>UCKZo4N0lVPccBkSiuyVh4yg</t>
        </is>
      </c>
      <c r="O1567" s="45" t="n">
        <v>44152.92916666667</v>
      </c>
      <c r="P1567" s="46" t="n">
        <v>44152</v>
      </c>
      <c r="Q1567" s="44" t="n">
        <v>1705</v>
      </c>
      <c r="R1567" s="44" t="inlineStr">
        <is>
          <t>No Video ID yet</t>
        </is>
      </c>
      <c r="S1567" s="46" t="n"/>
      <c r="T1567" s="46" t="n"/>
      <c r="U1567" s="44" t="n"/>
      <c r="V1567" s="44">
        <f>IF(AND(P1567&gt;=Calendar!$K$2,P1567&lt;EDATE(Calendar!$K$2,1),OR(Calendar!$K$4="*",N1567=Calendar!$K$4)),P1567*100+COUNTIFS($P$6:$P$3271,P1567,$Q$6:$Q$3271,"&lt;="&amp;Q1567,$N$6:$N$3271,Calendar!$K$4),"")</f>
        <v/>
      </c>
      <c r="W1567" s="44">
        <f>IF(AND(B1567=Queue!$C$4,OR(Queue!$K$4="*",N1567=Queue!$K$4)),Q1567,"")</f>
        <v/>
      </c>
    </row>
    <row r="1568">
      <c r="A1568" s="35">
        <f>IF(M1568="","",HYPERLINK("https://www.youtube.com/watch?v="&amp;M1568,"▶"))</f>
        <v/>
      </c>
      <c r="B1568" s="36">
        <f>IF(C1568&lt;&gt;"",C1568,IF(P1568&lt;=IFERROR(INDEX(tblChannels[Watched Through],MATCH(N1568,tblChannels[Channel ID],0)),0),"Watched","Unwatched"))</f>
        <v/>
      </c>
      <c r="C1568" s="37" t="n"/>
      <c r="D1568" s="38" t="n"/>
      <c r="E1568" s="39" t="n">
        <v>44147.95763888889</v>
      </c>
      <c r="F1568" s="47" t="inlineStr">
        <is>
          <t>Super Carlin Brothers</t>
        </is>
      </c>
      <c r="G1568" t="inlineStr">
        <is>
          <t>J vs Ben: ULTIMATE Star Wars TRIVIA Quiz</t>
        </is>
      </c>
      <c r="H1568" s="41" t="n">
        <v>0.01878472222222222</v>
      </c>
      <c r="I1568" s="42" t="n">
        <v>144087</v>
      </c>
      <c r="J1568" s="42" t="n">
        <v>5948</v>
      </c>
      <c r="K1568" s="42" t="n">
        <v>988</v>
      </c>
      <c r="L1568" s="43" t="n"/>
      <c r="M1568" s="44" t="n"/>
      <c r="N1568" s="44" t="inlineStr">
        <is>
          <t>UCKZo4N0lVPccBkSiuyVh4yg</t>
        </is>
      </c>
      <c r="O1568" s="45" t="n">
        <v>44148.16597222222</v>
      </c>
      <c r="P1568" s="46" t="n">
        <v>44147</v>
      </c>
      <c r="Q1568" s="44" t="n">
        <v>1704</v>
      </c>
      <c r="R1568" s="44" t="inlineStr">
        <is>
          <t>No Video ID yet</t>
        </is>
      </c>
      <c r="S1568" s="46" t="n"/>
      <c r="T1568" s="46" t="n"/>
      <c r="U1568" s="44" t="n"/>
      <c r="V1568" s="44">
        <f>IF(AND(P1568&gt;=Calendar!$K$2,P1568&lt;EDATE(Calendar!$K$2,1),OR(Calendar!$K$4="*",N1568=Calendar!$K$4)),P1568*100+COUNTIFS($P$6:$P$3271,P1568,$Q$6:$Q$3271,"&lt;="&amp;Q1568,$N$6:$N$3271,Calendar!$K$4),"")</f>
        <v/>
      </c>
      <c r="W1568" s="44">
        <f>IF(AND(B1568=Queue!$C$4,OR(Queue!$K$4="*",N1568=Queue!$K$4)),Q1568,"")</f>
        <v/>
      </c>
    </row>
    <row r="1569">
      <c r="A1569" s="35">
        <f>IF(M1569="","",HYPERLINK("https://www.youtube.com/watch?v="&amp;M1569,"▶"))</f>
        <v/>
      </c>
      <c r="B1569" s="36">
        <f>IF(C1569&lt;&gt;"",C1569,IF(P1569&lt;=IFERROR(INDEX(tblChannels[Watched Through],MATCH(N1569,tblChannels[Channel ID],0)),0),"Watched","Unwatched"))</f>
        <v/>
      </c>
      <c r="C1569" s="37" t="n"/>
      <c r="D1569" s="38" t="n"/>
      <c r="E1569" s="39" t="n">
        <v>44145.86736111111</v>
      </c>
      <c r="F1569" s="47" t="inlineStr">
        <is>
          <t>Super Carlin Brothers</t>
        </is>
      </c>
      <c r="G1569" t="inlineStr">
        <is>
          <t>Is Dumbledore the Heir of Gryffindor? [Harry Potter Theory]</t>
        </is>
      </c>
      <c r="H1569" s="41" t="n">
        <v>0.01068287037037037</v>
      </c>
      <c r="I1569" s="42" t="n">
        <v>721087</v>
      </c>
      <c r="J1569" s="42" t="n">
        <v>24332</v>
      </c>
      <c r="K1569" s="42" t="n">
        <v>2715</v>
      </c>
      <c r="L1569" s="43" t="n"/>
      <c r="M1569" s="44" t="n"/>
      <c r="N1569" s="44" t="inlineStr">
        <is>
          <t>UCKZo4N0lVPccBkSiuyVh4yg</t>
        </is>
      </c>
      <c r="O1569" s="45" t="n">
        <v>44146.07569444444</v>
      </c>
      <c r="P1569" s="46" t="n">
        <v>44145</v>
      </c>
      <c r="Q1569" s="44" t="n">
        <v>1703</v>
      </c>
      <c r="R1569" s="44" t="inlineStr">
        <is>
          <t>No Video ID yet</t>
        </is>
      </c>
      <c r="S1569" s="46" t="n"/>
      <c r="T1569" s="46" t="n"/>
      <c r="U1569" s="44" t="n"/>
      <c r="V1569" s="44">
        <f>IF(AND(P1569&gt;=Calendar!$K$2,P1569&lt;EDATE(Calendar!$K$2,1),OR(Calendar!$K$4="*",N1569=Calendar!$K$4)),P1569*100+COUNTIFS($P$6:$P$3271,P1569,$Q$6:$Q$3271,"&lt;="&amp;Q1569,$N$6:$N$3271,Calendar!$K$4),"")</f>
        <v/>
      </c>
      <c r="W1569" s="44">
        <f>IF(AND(B1569=Queue!$C$4,OR(Queue!$K$4="*",N1569=Queue!$K$4)),Q1569,"")</f>
        <v/>
      </c>
    </row>
    <row r="1570">
      <c r="A1570" s="35">
        <f>IF(M1570="","",HYPERLINK("https://www.youtube.com/watch?v="&amp;M1570,"▶"))</f>
        <v/>
      </c>
      <c r="B1570" s="36">
        <f>IF(C1570&lt;&gt;"",C1570,IF(P1570&lt;=IFERROR(INDEX(tblChannels[Watched Through],MATCH(N1570,tblChannels[Channel ID],0)),0),"Watched","Unwatched"))</f>
        <v/>
      </c>
      <c r="C1570" s="37" t="n"/>
      <c r="D1570" s="38" t="n"/>
      <c r="E1570" s="39" t="n">
        <v>44140.81319444445</v>
      </c>
      <c r="F1570" s="47" t="inlineStr">
        <is>
          <t>Super Carlin Brothers</t>
        </is>
      </c>
      <c r="G1570" t="inlineStr">
        <is>
          <t>Where Does The Sword Of Gryffindor Hide? [Harry Potter Theory]</t>
        </is>
      </c>
      <c r="H1570" s="41" t="n">
        <v>0.01056712962962963</v>
      </c>
      <c r="I1570" s="42" t="n">
        <v>376724</v>
      </c>
      <c r="J1570" s="42" t="n">
        <v>16507</v>
      </c>
      <c r="K1570" s="42" t="n">
        <v>2679</v>
      </c>
      <c r="L1570" s="43" t="n"/>
      <c r="M1570" s="44" t="n"/>
      <c r="N1570" s="44" t="inlineStr">
        <is>
          <t>UCKZo4N0lVPccBkSiuyVh4yg</t>
        </is>
      </c>
      <c r="O1570" s="45" t="n">
        <v>44141.02152777778</v>
      </c>
      <c r="P1570" s="46" t="n">
        <v>44140</v>
      </c>
      <c r="Q1570" s="44" t="n">
        <v>1702</v>
      </c>
      <c r="R1570" s="44" t="inlineStr">
        <is>
          <t>No Video ID yet</t>
        </is>
      </c>
      <c r="S1570" s="46" t="n"/>
      <c r="T1570" s="46" t="n"/>
      <c r="U1570" s="44" t="n"/>
      <c r="V1570" s="44">
        <f>IF(AND(P1570&gt;=Calendar!$K$2,P1570&lt;EDATE(Calendar!$K$2,1),OR(Calendar!$K$4="*",N1570=Calendar!$K$4)),P1570*100+COUNTIFS($P$6:$P$3271,P1570,$Q$6:$Q$3271,"&lt;="&amp;Q1570,$N$6:$N$3271,Calendar!$K$4),"")</f>
        <v/>
      </c>
      <c r="W1570" s="44">
        <f>IF(AND(B1570=Queue!$C$4,OR(Queue!$K$4="*",N1570=Queue!$K$4)),Q1570,"")</f>
        <v/>
      </c>
    </row>
    <row r="1571">
      <c r="A1571" s="35">
        <f>IF(M1571="","",HYPERLINK("https://www.youtube.com/watch?v="&amp;M1571,"▶"))</f>
        <v/>
      </c>
      <c r="B1571" s="36">
        <f>IF(C1571&lt;&gt;"",C1571,IF(P1571&lt;=IFERROR(INDEX(tblChannels[Watched Through],MATCH(N1571,tblChannels[Channel ID],0)),0),"Watched","Unwatched"))</f>
        <v/>
      </c>
      <c r="C1571" s="37" t="n"/>
      <c r="D1571" s="38" t="n"/>
      <c r="E1571" s="39" t="n">
        <v>44138.76388888889</v>
      </c>
      <c r="F1571" s="47" t="inlineStr">
        <is>
          <t>Super Carlin Brothers</t>
        </is>
      </c>
      <c r="G1571" t="inlineStr">
        <is>
          <t>The Mandalorian Is Getting a Lightsaber! [Star Wars Theory]</t>
        </is>
      </c>
      <c r="H1571" s="41" t="n">
        <v>0.009918981481481482</v>
      </c>
      <c r="I1571" s="42" t="n">
        <v>245709</v>
      </c>
      <c r="J1571" s="42" t="n">
        <v>11513</v>
      </c>
      <c r="K1571" s="42" t="n">
        <v>2224</v>
      </c>
      <c r="L1571" s="43" t="n"/>
      <c r="M1571" s="44" t="n"/>
      <c r="N1571" s="44" t="inlineStr">
        <is>
          <t>UCKZo4N0lVPccBkSiuyVh4yg</t>
        </is>
      </c>
      <c r="O1571" s="45" t="n">
        <v>44138.97222222222</v>
      </c>
      <c r="P1571" s="46" t="n">
        <v>44138</v>
      </c>
      <c r="Q1571" s="44" t="n">
        <v>1701</v>
      </c>
      <c r="R1571" s="44" t="inlineStr">
        <is>
          <t>No Video ID yet</t>
        </is>
      </c>
      <c r="S1571" s="46" t="n"/>
      <c r="T1571" s="46" t="n"/>
      <c r="U1571" s="44" t="n"/>
      <c r="V1571" s="44">
        <f>IF(AND(P1571&gt;=Calendar!$K$2,P1571&lt;EDATE(Calendar!$K$2,1),OR(Calendar!$K$4="*",N1571=Calendar!$K$4)),P1571*100+COUNTIFS($P$6:$P$3271,P1571,$Q$6:$Q$3271,"&lt;="&amp;Q1571,$N$6:$N$3271,Calendar!$K$4),"")</f>
        <v/>
      </c>
      <c r="W1571" s="44">
        <f>IF(AND(B1571=Queue!$C$4,OR(Queue!$K$4="*",N1571=Queue!$K$4)),Q1571,"")</f>
        <v/>
      </c>
    </row>
    <row r="1572">
      <c r="A1572" s="35">
        <f>IF(M1572="","",HYPERLINK("https://www.youtube.com/watch?v="&amp;M1572,"▶"))</f>
        <v/>
      </c>
      <c r="B1572" s="36">
        <f>IF(C1572&lt;&gt;"",C1572,IF(P1572&lt;=IFERROR(INDEX(tblChannels[Watched Through],MATCH(N1572,tblChannels[Channel ID],0)),0),"Watched","Unwatched"))</f>
        <v/>
      </c>
      <c r="C1572" s="37" t="n"/>
      <c r="D1572" s="38" t="n"/>
      <c r="E1572" s="39" t="n">
        <v>44133.78263888889</v>
      </c>
      <c r="F1572" s="47" t="inlineStr">
        <is>
          <t>Super Carlin Brothers</t>
        </is>
      </c>
      <c r="G1572" t="inlineStr">
        <is>
          <t>J vs Ben: HARDEST Harry Potter Halloween Trivia Quiz</t>
        </is>
      </c>
      <c r="H1572" s="41" t="n">
        <v>0.01954861111111111</v>
      </c>
      <c r="I1572" s="42" t="n">
        <v>270316</v>
      </c>
      <c r="J1572" s="42" t="n">
        <v>10169</v>
      </c>
      <c r="K1572" s="42" t="n">
        <v>1653</v>
      </c>
      <c r="L1572" s="43" t="n"/>
      <c r="M1572" s="44" t="n"/>
      <c r="N1572" s="44" t="inlineStr">
        <is>
          <t>UCKZo4N0lVPccBkSiuyVh4yg</t>
        </is>
      </c>
      <c r="O1572" s="45" t="n">
        <v>44133.94930555556</v>
      </c>
      <c r="P1572" s="46" t="n">
        <v>44133</v>
      </c>
      <c r="Q1572" s="44" t="n">
        <v>1700</v>
      </c>
      <c r="R1572" s="44" t="inlineStr">
        <is>
          <t>No Video ID yet</t>
        </is>
      </c>
      <c r="S1572" s="46" t="n"/>
      <c r="T1572" s="46" t="n"/>
      <c r="U1572" s="44" t="n"/>
      <c r="V1572" s="44">
        <f>IF(AND(P1572&gt;=Calendar!$K$2,P1572&lt;EDATE(Calendar!$K$2,1),OR(Calendar!$K$4="*",N1572=Calendar!$K$4)),P1572*100+COUNTIFS($P$6:$P$3271,P1572,$Q$6:$Q$3271,"&lt;="&amp;Q1572,$N$6:$N$3271,Calendar!$K$4),"")</f>
        <v/>
      </c>
      <c r="W1572" s="44">
        <f>IF(AND(B1572=Queue!$C$4,OR(Queue!$K$4="*",N1572=Queue!$K$4)),Q1572,"")</f>
        <v/>
      </c>
    </row>
    <row r="1573">
      <c r="A1573" s="35">
        <f>IF(M1573="","",HYPERLINK("https://www.youtube.com/watch?v="&amp;M1573,"▶"))</f>
        <v/>
      </c>
      <c r="B1573" s="36">
        <f>IF(C1573&lt;&gt;"",C1573,IF(P1573&lt;=IFERROR(INDEX(tblChannels[Watched Through],MATCH(N1573,tblChannels[Channel ID],0)),0),"Watched","Unwatched"))</f>
        <v/>
      </c>
      <c r="C1573" s="37" t="n"/>
      <c r="D1573" s="38" t="n"/>
      <c r="E1573" s="39" t="n">
        <v>44131.65</v>
      </c>
      <c r="F1573" s="47" t="inlineStr">
        <is>
          <t>Super Carlin Brothers</t>
        </is>
      </c>
      <c r="G1573" t="inlineStr">
        <is>
          <t>Did Voldemort CURSE Halloween? [Harry Potter Theory]</t>
        </is>
      </c>
      <c r="H1573" s="41" t="n">
        <v>0.009918981481481482</v>
      </c>
      <c r="I1573" s="42" t="n">
        <v>400478</v>
      </c>
      <c r="J1573" s="42" t="n">
        <v>17130</v>
      </c>
      <c r="K1573" s="42" t="n">
        <v>2512</v>
      </c>
      <c r="L1573" s="43" t="n"/>
      <c r="M1573" s="44" t="n"/>
      <c r="N1573" s="44" t="inlineStr">
        <is>
          <t>UCKZo4N0lVPccBkSiuyVh4yg</t>
        </is>
      </c>
      <c r="O1573" s="45" t="n">
        <v>44131.81666666667</v>
      </c>
      <c r="P1573" s="46" t="n">
        <v>44131</v>
      </c>
      <c r="Q1573" s="44" t="n">
        <v>1699</v>
      </c>
      <c r="R1573" s="44" t="inlineStr">
        <is>
          <t>No Video ID yet</t>
        </is>
      </c>
      <c r="S1573" s="46" t="n"/>
      <c r="T1573" s="46" t="n"/>
      <c r="U1573" s="44" t="n"/>
      <c r="V1573" s="44">
        <f>IF(AND(P1573&gt;=Calendar!$K$2,P1573&lt;EDATE(Calendar!$K$2,1),OR(Calendar!$K$4="*",N1573=Calendar!$K$4)),P1573*100+COUNTIFS($P$6:$P$3271,P1573,$Q$6:$Q$3271,"&lt;="&amp;Q1573,$N$6:$N$3271,Calendar!$K$4),"")</f>
        <v/>
      </c>
      <c r="W1573" s="44">
        <f>IF(AND(B1573=Queue!$C$4,OR(Queue!$K$4="*",N1573=Queue!$K$4)),Q1573,"")</f>
        <v/>
      </c>
    </row>
    <row r="1574">
      <c r="A1574" s="35">
        <f>IF(M1574="","",HYPERLINK("https://www.youtube.com/watch?v="&amp;M1574,"▶"))</f>
        <v/>
      </c>
      <c r="B1574" s="36">
        <f>IF(C1574&lt;&gt;"",C1574,IF(P1574&lt;=IFERROR(INDEX(tblChannels[Watched Through],MATCH(N1574,tblChannels[Channel ID],0)),0),"Watched","Unwatched"))</f>
        <v/>
      </c>
      <c r="C1574" s="37" t="n"/>
      <c r="D1574" s="38" t="n"/>
      <c r="E1574" s="39" t="n">
        <v>44126.67361111111</v>
      </c>
      <c r="F1574" s="47" t="inlineStr">
        <is>
          <t>Super Carlin Brothers</t>
        </is>
      </c>
      <c r="G1574" t="inlineStr">
        <is>
          <t>How Does Harry Resist The Imperius Curse? [Harry Potter Theory]</t>
        </is>
      </c>
      <c r="H1574" s="41" t="n">
        <v>0.01173611111111111</v>
      </c>
      <c r="I1574" s="42" t="n">
        <v>1154834</v>
      </c>
      <c r="J1574" s="42" t="n">
        <v>34821</v>
      </c>
      <c r="K1574" s="42" t="n">
        <v>3217</v>
      </c>
      <c r="L1574" s="43" t="n"/>
      <c r="M1574" s="44" t="n"/>
      <c r="N1574" s="44" t="inlineStr">
        <is>
          <t>UCKZo4N0lVPccBkSiuyVh4yg</t>
        </is>
      </c>
      <c r="O1574" s="45" t="n">
        <v>44126.84027777778</v>
      </c>
      <c r="P1574" s="46" t="n">
        <v>44126</v>
      </c>
      <c r="Q1574" s="44" t="n">
        <v>1698</v>
      </c>
      <c r="R1574" s="44" t="inlineStr">
        <is>
          <t>No Video ID yet</t>
        </is>
      </c>
      <c r="S1574" s="46" t="n"/>
      <c r="T1574" s="46" t="n"/>
      <c r="U1574" s="44" t="n"/>
      <c r="V1574" s="44">
        <f>IF(AND(P1574&gt;=Calendar!$K$2,P1574&lt;EDATE(Calendar!$K$2,1),OR(Calendar!$K$4="*",N1574=Calendar!$K$4)),P1574*100+COUNTIFS($P$6:$P$3271,P1574,$Q$6:$Q$3271,"&lt;="&amp;Q1574,$N$6:$N$3271,Calendar!$K$4),"")</f>
        <v/>
      </c>
      <c r="W1574" s="44">
        <f>IF(AND(B1574=Queue!$C$4,OR(Queue!$K$4="*",N1574=Queue!$K$4)),Q1574,"")</f>
        <v/>
      </c>
    </row>
    <row r="1575">
      <c r="A1575" s="35">
        <f>IF(M1575="","",HYPERLINK("https://www.youtube.com/watch?v="&amp;M1575,"▶"))</f>
        <v/>
      </c>
      <c r="B1575" s="36">
        <f>IF(C1575&lt;&gt;"",C1575,IF(P1575&lt;=IFERROR(INDEX(tblChannels[Watched Through],MATCH(N1575,tblChannels[Channel ID],0)),0),"Watched","Unwatched"))</f>
        <v/>
      </c>
      <c r="C1575" s="37" t="n"/>
      <c r="D1575" s="38" t="n"/>
      <c r="E1575" s="39" t="n">
        <v>44124.66111111111</v>
      </c>
      <c r="F1575" s="47" t="inlineStr">
        <is>
          <t>Super Carlin Brothers</t>
        </is>
      </c>
      <c r="G1575" t="inlineStr">
        <is>
          <t>How Do Avatar Ghosts Work? [Avatar: The Last Airbender Theory]</t>
        </is>
      </c>
      <c r="H1575" s="41" t="n">
        <v>0.01178240740740741</v>
      </c>
      <c r="I1575" s="42" t="n">
        <v>276556</v>
      </c>
      <c r="J1575" s="42" t="n">
        <v>12010</v>
      </c>
      <c r="K1575" s="42" t="n">
        <v>1155</v>
      </c>
      <c r="L1575" s="43" t="n"/>
      <c r="M1575" s="44" t="n"/>
      <c r="N1575" s="44" t="inlineStr">
        <is>
          <t>UCKZo4N0lVPccBkSiuyVh4yg</t>
        </is>
      </c>
      <c r="O1575" s="45" t="n">
        <v>44124.82777777778</v>
      </c>
      <c r="P1575" s="46" t="n">
        <v>44124</v>
      </c>
      <c r="Q1575" s="44" t="n">
        <v>1697</v>
      </c>
      <c r="R1575" s="44" t="inlineStr">
        <is>
          <t>No Video ID yet</t>
        </is>
      </c>
      <c r="S1575" s="46" t="n"/>
      <c r="T1575" s="46" t="n"/>
      <c r="U1575" s="44" t="n"/>
      <c r="V1575" s="44">
        <f>IF(AND(P1575&gt;=Calendar!$K$2,P1575&lt;EDATE(Calendar!$K$2,1),OR(Calendar!$K$4="*",N1575=Calendar!$K$4)),P1575*100+COUNTIFS($P$6:$P$3271,P1575,$Q$6:$Q$3271,"&lt;="&amp;Q1575,$N$6:$N$3271,Calendar!$K$4),"")</f>
        <v/>
      </c>
      <c r="W1575" s="44">
        <f>IF(AND(B1575=Queue!$C$4,OR(Queue!$K$4="*",N1575=Queue!$K$4)),Q1575,"")</f>
        <v/>
      </c>
    </row>
    <row r="1576">
      <c r="A1576" s="35">
        <f>IF(M1576="","",HYPERLINK("https://www.youtube.com/watch?v="&amp;M1576,"▶"))</f>
        <v/>
      </c>
      <c r="B1576" s="36">
        <f>IF(C1576&lt;&gt;"",C1576,IF(P1576&lt;=IFERROR(INDEX(tblChannels[Watched Through],MATCH(N1576,tblChannels[Channel ID],0)),0),"Watched","Unwatched"))</f>
        <v/>
      </c>
      <c r="C1576" s="37" t="n"/>
      <c r="D1576" s="38" t="n"/>
      <c r="E1576" s="39" t="n">
        <v>44119.90555555555</v>
      </c>
      <c r="F1576" s="47" t="inlineStr">
        <is>
          <t>Super Carlin Brothers</t>
        </is>
      </c>
      <c r="G1576" t="inlineStr">
        <is>
          <t>J vs Ben: The Pixar Quiz That Just Keeps Getting Harder</t>
        </is>
      </c>
      <c r="H1576" s="41" t="n">
        <v>0.01546296296296296</v>
      </c>
      <c r="I1576" s="42" t="n">
        <v>187833</v>
      </c>
      <c r="J1576" s="42" t="n">
        <v>7932</v>
      </c>
      <c r="K1576" s="42" t="n">
        <v>1447</v>
      </c>
      <c r="L1576" s="43" t="n"/>
      <c r="M1576" s="44" t="n"/>
      <c r="N1576" s="44" t="inlineStr">
        <is>
          <t>UCKZo4N0lVPccBkSiuyVh4yg</t>
        </is>
      </c>
      <c r="O1576" s="45" t="n">
        <v>44120.07222222222</v>
      </c>
      <c r="P1576" s="46" t="n">
        <v>44119</v>
      </c>
      <c r="Q1576" s="44" t="n">
        <v>1696</v>
      </c>
      <c r="R1576" s="44" t="inlineStr">
        <is>
          <t>No Video ID yet</t>
        </is>
      </c>
      <c r="S1576" s="46" t="n"/>
      <c r="T1576" s="46" t="n"/>
      <c r="U1576" s="44" t="n"/>
      <c r="V1576" s="44">
        <f>IF(AND(P1576&gt;=Calendar!$K$2,P1576&lt;EDATE(Calendar!$K$2,1),OR(Calendar!$K$4="*",N1576=Calendar!$K$4)),P1576*100+COUNTIFS($P$6:$P$3271,P1576,$Q$6:$Q$3271,"&lt;="&amp;Q1576,$N$6:$N$3271,Calendar!$K$4),"")</f>
        <v/>
      </c>
      <c r="W1576" s="44">
        <f>IF(AND(B1576=Queue!$C$4,OR(Queue!$K$4="*",N1576=Queue!$K$4)),Q1576,"")</f>
        <v/>
      </c>
    </row>
    <row r="1577">
      <c r="A1577" s="35">
        <f>IF(M1577="","",HYPERLINK("https://www.youtube.com/watch?v="&amp;M1577,"▶"))</f>
        <v/>
      </c>
      <c r="B1577" s="36">
        <f>IF(C1577&lt;&gt;"",C1577,IF(P1577&lt;=IFERROR(INDEX(tblChannels[Watched Through],MATCH(N1577,tblChannels[Channel ID],0)),0),"Watched","Unwatched"))</f>
        <v/>
      </c>
      <c r="C1577" s="37" t="n"/>
      <c r="D1577" s="38" t="n"/>
      <c r="E1577" s="39" t="n">
        <v>44117.81458333333</v>
      </c>
      <c r="F1577" s="47" t="inlineStr">
        <is>
          <t>Super Carlin Brothers</t>
        </is>
      </c>
      <c r="G1577" t="inlineStr">
        <is>
          <t>The Painted Lady's TRUE Identity [Avatar The Last Airbender Theory]</t>
        </is>
      </c>
      <c r="H1577" s="41" t="n">
        <v>0.009166666666666667</v>
      </c>
      <c r="I1577" s="42" t="n">
        <v>398658</v>
      </c>
      <c r="J1577" s="42" t="n">
        <v>19236</v>
      </c>
      <c r="K1577" s="42" t="n">
        <v>1885</v>
      </c>
      <c r="L1577" s="43" t="n"/>
      <c r="M1577" s="44" t="n"/>
      <c r="N1577" s="44" t="inlineStr">
        <is>
          <t>UCKZo4N0lVPccBkSiuyVh4yg</t>
        </is>
      </c>
      <c r="O1577" s="45" t="n">
        <v>44117.98125</v>
      </c>
      <c r="P1577" s="46" t="n">
        <v>44117</v>
      </c>
      <c r="Q1577" s="44" t="n">
        <v>1695</v>
      </c>
      <c r="R1577" s="44" t="inlineStr">
        <is>
          <t>No Video ID yet</t>
        </is>
      </c>
      <c r="S1577" s="46" t="n"/>
      <c r="T1577" s="46" t="n"/>
      <c r="U1577" s="44" t="n"/>
      <c r="V1577" s="44">
        <f>IF(AND(P1577&gt;=Calendar!$K$2,P1577&lt;EDATE(Calendar!$K$2,1),OR(Calendar!$K$4="*",N1577=Calendar!$K$4)),P1577*100+COUNTIFS($P$6:$P$3271,P1577,$Q$6:$Q$3271,"&lt;="&amp;Q1577,$N$6:$N$3271,Calendar!$K$4),"")</f>
        <v/>
      </c>
      <c r="W1577" s="44">
        <f>IF(AND(B1577=Queue!$C$4,OR(Queue!$K$4="*",N1577=Queue!$K$4)),Q1577,"")</f>
        <v/>
      </c>
    </row>
    <row r="1578">
      <c r="A1578" s="35">
        <f>IF(M1578="","",HYPERLINK("https://www.youtube.com/watch?v="&amp;M1578,"▶"))</f>
        <v/>
      </c>
      <c r="B1578" s="36">
        <f>IF(C1578&lt;&gt;"",C1578,IF(P1578&lt;=IFERROR(INDEX(tblChannels[Watched Through],MATCH(N1578,tblChannels[Channel ID],0)),0),"Watched","Unwatched"))</f>
        <v/>
      </c>
      <c r="C1578" s="37" t="n"/>
      <c r="D1578" s="38" t="n"/>
      <c r="E1578" s="39" t="n">
        <v>44112.82847222222</v>
      </c>
      <c r="F1578" s="47" t="inlineStr">
        <is>
          <t>Super Carlin Brothers</t>
        </is>
      </c>
      <c r="G1578" t="inlineStr">
        <is>
          <t>Why Didn’t Quirrell Kill Fluffy? [Harry Potter Theory]</t>
        </is>
      </c>
      <c r="H1578" s="41" t="n">
        <v>0.008194444444444445</v>
      </c>
      <c r="I1578" s="42" t="n">
        <v>473004</v>
      </c>
      <c r="J1578" s="42" t="n">
        <v>17720</v>
      </c>
      <c r="K1578" s="42" t="n">
        <v>1678</v>
      </c>
      <c r="L1578" s="43" t="n"/>
      <c r="M1578" s="44" t="n"/>
      <c r="N1578" s="44" t="inlineStr">
        <is>
          <t>UCKZo4N0lVPccBkSiuyVh4yg</t>
        </is>
      </c>
      <c r="O1578" s="45" t="n">
        <v>44112.99513888889</v>
      </c>
      <c r="P1578" s="46" t="n">
        <v>44112</v>
      </c>
      <c r="Q1578" s="44" t="n">
        <v>1694</v>
      </c>
      <c r="R1578" s="44" t="inlineStr">
        <is>
          <t>No Video ID yet</t>
        </is>
      </c>
      <c r="S1578" s="46" t="n"/>
      <c r="T1578" s="46" t="n"/>
      <c r="U1578" s="44" t="n"/>
      <c r="V1578" s="44">
        <f>IF(AND(P1578&gt;=Calendar!$K$2,P1578&lt;EDATE(Calendar!$K$2,1),OR(Calendar!$K$4="*",N1578=Calendar!$K$4)),P1578*100+COUNTIFS($P$6:$P$3271,P1578,$Q$6:$Q$3271,"&lt;="&amp;Q1578,$N$6:$N$3271,Calendar!$K$4),"")</f>
        <v/>
      </c>
      <c r="W1578" s="44">
        <f>IF(AND(B1578=Queue!$C$4,OR(Queue!$K$4="*",N1578=Queue!$K$4)),Q1578,"")</f>
        <v/>
      </c>
    </row>
    <row r="1579">
      <c r="A1579" s="35">
        <f>IF(M1579="","",HYPERLINK("https://www.youtube.com/watch?v="&amp;M1579,"▶"))</f>
        <v/>
      </c>
      <c r="B1579" s="36">
        <f>IF(C1579&lt;&gt;"",C1579,IF(P1579&lt;=IFERROR(INDEX(tblChannels[Watched Through],MATCH(N1579,tblChannels[Channel ID],0)),0),"Watched","Unwatched"))</f>
        <v/>
      </c>
      <c r="C1579" s="37" t="n"/>
      <c r="D1579" s="38" t="n"/>
      <c r="E1579" s="39" t="n">
        <v>44110.66388888889</v>
      </c>
      <c r="F1579" s="47" t="inlineStr">
        <is>
          <t>Super Carlin Brothers</t>
        </is>
      </c>
      <c r="G1579" t="inlineStr">
        <is>
          <t>Why The Fire Nation Killed Katara's Mom [Avatar: The Last Airbender Theory]</t>
        </is>
      </c>
      <c r="H1579" s="41" t="n">
        <v>0.007939814814814814</v>
      </c>
      <c r="I1579" s="42" t="n">
        <v>434955</v>
      </c>
      <c r="J1579" s="42" t="n">
        <v>19884</v>
      </c>
      <c r="K1579" s="42" t="n">
        <v>1882</v>
      </c>
      <c r="L1579" s="43" t="n"/>
      <c r="M1579" s="44" t="n"/>
      <c r="N1579" s="44" t="inlineStr">
        <is>
          <t>UCKZo4N0lVPccBkSiuyVh4yg</t>
        </is>
      </c>
      <c r="O1579" s="45" t="n">
        <v>44110.83055555556</v>
      </c>
      <c r="P1579" s="46" t="n">
        <v>44110</v>
      </c>
      <c r="Q1579" s="44" t="n">
        <v>1693</v>
      </c>
      <c r="R1579" s="44" t="inlineStr">
        <is>
          <t>No Video ID yet</t>
        </is>
      </c>
      <c r="S1579" s="46" t="n"/>
      <c r="T1579" s="46" t="n"/>
      <c r="U1579" s="44" t="n"/>
      <c r="V1579" s="44">
        <f>IF(AND(P1579&gt;=Calendar!$K$2,P1579&lt;EDATE(Calendar!$K$2,1),OR(Calendar!$K$4="*",N1579=Calendar!$K$4)),P1579*100+COUNTIFS($P$6:$P$3271,P1579,$Q$6:$Q$3271,"&lt;="&amp;Q1579,$N$6:$N$3271,Calendar!$K$4),"")</f>
        <v/>
      </c>
      <c r="W1579" s="44">
        <f>IF(AND(B1579=Queue!$C$4,OR(Queue!$K$4="*",N1579=Queue!$K$4)),Q1579,"")</f>
        <v/>
      </c>
    </row>
    <row r="1580">
      <c r="A1580" s="35">
        <f>IF(M1580="","",HYPERLINK("https://www.youtube.com/watch?v="&amp;M1580,"▶"))</f>
        <v/>
      </c>
      <c r="B1580" s="36">
        <f>IF(C1580&lt;&gt;"",C1580,IF(P1580&lt;=IFERROR(INDEX(tblChannels[Watched Through],MATCH(N1580,tblChannels[Channel ID],0)),0),"Watched","Unwatched"))</f>
        <v/>
      </c>
      <c r="C1580" s="37" t="n"/>
      <c r="D1580" s="38" t="n"/>
      <c r="E1580" s="39" t="n">
        <v>44105.57222222222</v>
      </c>
      <c r="F1580" s="47" t="inlineStr">
        <is>
          <t>Super Carlin Brothers</t>
        </is>
      </c>
      <c r="G1580" t="inlineStr">
        <is>
          <t>J vs Ben: The ULTIMATE Ministry of Magic TRIVIA Quiz</t>
        </is>
      </c>
      <c r="H1580" s="41" t="n">
        <v>0.01711805555555556</v>
      </c>
      <c r="I1580" s="42" t="n">
        <v>286654</v>
      </c>
      <c r="J1580" s="42" t="n">
        <v>10221</v>
      </c>
      <c r="K1580" s="42" t="n">
        <v>952</v>
      </c>
      <c r="L1580" s="43" t="n"/>
      <c r="M1580" s="44" t="n"/>
      <c r="N1580" s="44" t="inlineStr">
        <is>
          <t>UCKZo4N0lVPccBkSiuyVh4yg</t>
        </is>
      </c>
      <c r="O1580" s="45" t="n">
        <v>44105.73888888889</v>
      </c>
      <c r="P1580" s="46" t="n">
        <v>44105</v>
      </c>
      <c r="Q1580" s="44" t="n">
        <v>1692</v>
      </c>
      <c r="R1580" s="44" t="inlineStr">
        <is>
          <t>No Video ID yet</t>
        </is>
      </c>
      <c r="S1580" s="46" t="n"/>
      <c r="T1580" s="46" t="n"/>
      <c r="U1580" s="44" t="n"/>
      <c r="V1580" s="44">
        <f>IF(AND(P1580&gt;=Calendar!$K$2,P1580&lt;EDATE(Calendar!$K$2,1),OR(Calendar!$K$4="*",N1580=Calendar!$K$4)),P1580*100+COUNTIFS($P$6:$P$3271,P1580,$Q$6:$Q$3271,"&lt;="&amp;Q1580,$N$6:$N$3271,Calendar!$K$4),"")</f>
        <v/>
      </c>
      <c r="W1580" s="44">
        <f>IF(AND(B1580=Queue!$C$4,OR(Queue!$K$4="*",N1580=Queue!$K$4)),Q1580,"")</f>
        <v/>
      </c>
    </row>
    <row r="1581">
      <c r="A1581" s="35">
        <f>IF(M1581="","",HYPERLINK("https://www.youtube.com/watch?v="&amp;M1581,"▶"))</f>
        <v/>
      </c>
      <c r="B1581" s="36">
        <f>IF(C1581&lt;&gt;"",C1581,IF(P1581&lt;=IFERROR(INDEX(tblChannels[Watched Through],MATCH(N1581,tblChannels[Channel ID],0)),0),"Watched","Unwatched"))</f>
        <v/>
      </c>
      <c r="C1581" s="37" t="n"/>
      <c r="D1581" s="38" t="n"/>
      <c r="E1581" s="39" t="n">
        <v>44103.77291666667</v>
      </c>
      <c r="F1581" s="47" t="inlineStr">
        <is>
          <t>Super Carlin Brothers</t>
        </is>
      </c>
      <c r="G1581" t="inlineStr">
        <is>
          <t>Arthur Weasley Is A Corrupt Employee? [Harry Potter Theory]</t>
        </is>
      </c>
      <c r="H1581" s="41" t="n">
        <v>0.01037037037037037</v>
      </c>
      <c r="I1581" s="42" t="n">
        <v>690413</v>
      </c>
      <c r="J1581" s="42" t="n">
        <v>25973</v>
      </c>
      <c r="K1581" s="42" t="n">
        <v>2991</v>
      </c>
      <c r="L1581" s="43" t="n"/>
      <c r="M1581" s="44" t="n"/>
      <c r="N1581" s="44" t="inlineStr">
        <is>
          <t>UCKZo4N0lVPccBkSiuyVh4yg</t>
        </is>
      </c>
      <c r="O1581" s="45" t="n">
        <v>44103.93958333333</v>
      </c>
      <c r="P1581" s="46" t="n">
        <v>44103</v>
      </c>
      <c r="Q1581" s="44" t="n">
        <v>1691</v>
      </c>
      <c r="R1581" s="44" t="inlineStr">
        <is>
          <t>No Video ID yet</t>
        </is>
      </c>
      <c r="S1581" s="46" t="n"/>
      <c r="T1581" s="46" t="n"/>
      <c r="U1581" s="44" t="n"/>
      <c r="V1581" s="44">
        <f>IF(AND(P1581&gt;=Calendar!$K$2,P1581&lt;EDATE(Calendar!$K$2,1),OR(Calendar!$K$4="*",N1581=Calendar!$K$4)),P1581*100+COUNTIFS($P$6:$P$3271,P1581,$Q$6:$Q$3271,"&lt;="&amp;Q1581,$N$6:$N$3271,Calendar!$K$4),"")</f>
        <v/>
      </c>
      <c r="W1581" s="44">
        <f>IF(AND(B1581=Queue!$C$4,OR(Queue!$K$4="*",N1581=Queue!$K$4)),Q1581,"")</f>
        <v/>
      </c>
    </row>
    <row r="1582">
      <c r="A1582" s="35">
        <f>IF(M1582="","",HYPERLINK("https://www.youtube.com/watch?v="&amp;M1582,"▶"))</f>
        <v/>
      </c>
      <c r="B1582" s="36">
        <f>IF(C1582&lt;&gt;"",C1582,IF(P1582&lt;=IFERROR(INDEX(tblChannels[Watched Through],MATCH(N1582,tblChannels[Channel ID],0)),0),"Watched","Unwatched"))</f>
        <v/>
      </c>
      <c r="C1582" s="37" t="n"/>
      <c r="D1582" s="38" t="n"/>
      <c r="E1582" s="39" t="n">
        <v>44098.725</v>
      </c>
      <c r="F1582" s="47" t="inlineStr">
        <is>
          <t>Super Carlin Brothers</t>
        </is>
      </c>
      <c r="G1582" t="inlineStr">
        <is>
          <t>Wormtail Has A Son? [Harry Potter Theory]</t>
        </is>
      </c>
      <c r="H1582" s="41" t="n">
        <v>0.003935185185185185</v>
      </c>
      <c r="I1582" s="42" t="n">
        <v>237397</v>
      </c>
      <c r="J1582" s="42" t="n">
        <v>17068</v>
      </c>
      <c r="K1582" s="42" t="n">
        <v>2242</v>
      </c>
      <c r="L1582" s="43" t="n"/>
      <c r="M1582" s="44" t="n"/>
      <c r="N1582" s="44" t="inlineStr">
        <is>
          <t>UCKZo4N0lVPccBkSiuyVh4yg</t>
        </is>
      </c>
      <c r="O1582" s="45" t="n">
        <v>44098.89166666667</v>
      </c>
      <c r="P1582" s="46" t="n">
        <v>44098</v>
      </c>
      <c r="Q1582" s="44" t="n">
        <v>1690</v>
      </c>
      <c r="R1582" s="44" t="inlineStr">
        <is>
          <t>No Video ID yet</t>
        </is>
      </c>
      <c r="S1582" s="46" t="n"/>
      <c r="T1582" s="46" t="n"/>
      <c r="U1582" s="44" t="n"/>
      <c r="V1582" s="44">
        <f>IF(AND(P1582&gt;=Calendar!$K$2,P1582&lt;EDATE(Calendar!$K$2,1),OR(Calendar!$K$4="*",N1582=Calendar!$K$4)),P1582*100+COUNTIFS($P$6:$P$3271,P1582,$Q$6:$Q$3271,"&lt;="&amp;Q1582,$N$6:$N$3271,Calendar!$K$4),"")</f>
        <v/>
      </c>
      <c r="W1582" s="44">
        <f>IF(AND(B1582=Queue!$C$4,OR(Queue!$K$4="*",N1582=Queue!$K$4)),Q1582,"")</f>
        <v/>
      </c>
    </row>
    <row r="1583">
      <c r="A1583" s="35">
        <f>IF(M1583="","",HYPERLINK("https://www.youtube.com/watch?v="&amp;M1583,"▶"))</f>
        <v/>
      </c>
      <c r="B1583" s="36">
        <f>IF(C1583&lt;&gt;"",C1583,IF(P1583&lt;=IFERROR(INDEX(tblChannels[Watched Through],MATCH(N1583,tblChannels[Channel ID],0)),0),"Watched","Unwatched"))</f>
        <v/>
      </c>
      <c r="C1583" s="37" t="n"/>
      <c r="D1583" s="38" t="n"/>
      <c r="E1583" s="39" t="n">
        <v>44096.84583333333</v>
      </c>
      <c r="F1583" s="47" t="inlineStr">
        <is>
          <t>Super Carlin Brothers</t>
        </is>
      </c>
      <c r="G1583" t="inlineStr">
        <is>
          <t>The Tragedy of Snow White's Voice Actress</t>
        </is>
      </c>
      <c r="H1583" s="41" t="n">
        <v>0.0103125</v>
      </c>
      <c r="I1583" s="42" t="n">
        <v>282568</v>
      </c>
      <c r="J1583" s="42" t="n">
        <v>17139</v>
      </c>
      <c r="K1583" s="42" t="n">
        <v>1066</v>
      </c>
      <c r="L1583" s="43" t="n"/>
      <c r="M1583" s="44" t="n"/>
      <c r="N1583" s="44" t="inlineStr">
        <is>
          <t>UCKZo4N0lVPccBkSiuyVh4yg</t>
        </is>
      </c>
      <c r="O1583" s="45" t="n">
        <v>44097.0125</v>
      </c>
      <c r="P1583" s="46" t="n">
        <v>44096</v>
      </c>
      <c r="Q1583" s="44" t="n">
        <v>1689</v>
      </c>
      <c r="R1583" s="44" t="inlineStr">
        <is>
          <t>No Video ID yet</t>
        </is>
      </c>
      <c r="S1583" s="46" t="n"/>
      <c r="T1583" s="46" t="n"/>
      <c r="U1583" s="44" t="n"/>
      <c r="V1583" s="44">
        <f>IF(AND(P1583&gt;=Calendar!$K$2,P1583&lt;EDATE(Calendar!$K$2,1),OR(Calendar!$K$4="*",N1583=Calendar!$K$4)),P1583*100+COUNTIFS($P$6:$P$3271,P1583,$Q$6:$Q$3271,"&lt;="&amp;Q1583,$N$6:$N$3271,Calendar!$K$4),"")</f>
        <v/>
      </c>
      <c r="W1583" s="44">
        <f>IF(AND(B1583=Queue!$C$4,OR(Queue!$K$4="*",N1583=Queue!$K$4)),Q1583,"")</f>
        <v/>
      </c>
    </row>
    <row r="1584">
      <c r="A1584" s="35">
        <f>IF(M1584="","",HYPERLINK("https://www.youtube.com/watch?v="&amp;M1584,"▶"))</f>
        <v/>
      </c>
      <c r="B1584" s="36">
        <f>IF(C1584&lt;&gt;"",C1584,IF(P1584&lt;=IFERROR(INDEX(tblChannels[Watched Through],MATCH(N1584,tblChannels[Channel ID],0)),0),"Watched","Unwatched"))</f>
        <v/>
      </c>
      <c r="C1584" s="37" t="n"/>
      <c r="D1584" s="38" t="n"/>
      <c r="E1584" s="39" t="n">
        <v>44091.77638888889</v>
      </c>
      <c r="F1584" s="47" t="inlineStr">
        <is>
          <t>Super Carlin Brothers</t>
        </is>
      </c>
      <c r="G1584" t="inlineStr">
        <is>
          <t>THRAWN IS COMING [Mandalorian Theory]</t>
        </is>
      </c>
      <c r="H1584" s="41" t="n">
        <v>0.009988425925925927</v>
      </c>
      <c r="I1584" s="42" t="n">
        <v>143996</v>
      </c>
      <c r="J1584" s="42" t="n">
        <v>7063</v>
      </c>
      <c r="K1584" s="42" t="n">
        <v>1291</v>
      </c>
      <c r="L1584" s="43" t="n"/>
      <c r="M1584" s="44" t="n"/>
      <c r="N1584" s="44" t="inlineStr">
        <is>
          <t>UCKZo4N0lVPccBkSiuyVh4yg</t>
        </is>
      </c>
      <c r="O1584" s="45" t="n">
        <v>44091.94305555556</v>
      </c>
      <c r="P1584" s="46" t="n">
        <v>44091</v>
      </c>
      <c r="Q1584" s="44" t="n">
        <v>1688</v>
      </c>
      <c r="R1584" s="44" t="inlineStr">
        <is>
          <t>No Video ID yet</t>
        </is>
      </c>
      <c r="S1584" s="46" t="n"/>
      <c r="T1584" s="46" t="n"/>
      <c r="U1584" s="44" t="n"/>
      <c r="V1584" s="44">
        <f>IF(AND(P1584&gt;=Calendar!$K$2,P1584&lt;EDATE(Calendar!$K$2,1),OR(Calendar!$K$4="*",N1584=Calendar!$K$4)),P1584*100+COUNTIFS($P$6:$P$3271,P1584,$Q$6:$Q$3271,"&lt;="&amp;Q1584,$N$6:$N$3271,Calendar!$K$4),"")</f>
        <v/>
      </c>
      <c r="W1584" s="44">
        <f>IF(AND(B1584=Queue!$C$4,OR(Queue!$K$4="*",N1584=Queue!$K$4)),Q1584,"")</f>
        <v/>
      </c>
    </row>
    <row r="1585">
      <c r="A1585" s="35">
        <f>IF(M1585="","",HYPERLINK("https://www.youtube.com/watch?v="&amp;M1585,"▶"))</f>
        <v/>
      </c>
      <c r="B1585" s="36">
        <f>IF(C1585&lt;&gt;"",C1585,IF(P1585&lt;=IFERROR(INDEX(tblChannels[Watched Through],MATCH(N1585,tblChannels[Channel ID],0)),0),"Watched","Unwatched"))</f>
        <v/>
      </c>
      <c r="C1585" s="37" t="n"/>
      <c r="D1585" s="38" t="n"/>
      <c r="E1585" s="39" t="n">
        <v>44089.83819444444</v>
      </c>
      <c r="F1585" s="47" t="inlineStr">
        <is>
          <t>Super Carlin Brothers</t>
        </is>
      </c>
      <c r="G1585" t="inlineStr">
        <is>
          <t>J vs Ben: MOST Expensive Marvel Merch | GAME</t>
        </is>
      </c>
      <c r="H1585" s="41" t="n">
        <v>0.02127314814814815</v>
      </c>
      <c r="I1585" s="42" t="n">
        <v>183405</v>
      </c>
      <c r="J1585" s="42" t="n">
        <v>7235</v>
      </c>
      <c r="K1585" s="42" t="n">
        <v>811</v>
      </c>
      <c r="L1585" s="43" t="n"/>
      <c r="M1585" s="44" t="n"/>
      <c r="N1585" s="44" t="inlineStr">
        <is>
          <t>UCKZo4N0lVPccBkSiuyVh4yg</t>
        </is>
      </c>
      <c r="O1585" s="45" t="n">
        <v>44090.00486111111</v>
      </c>
      <c r="P1585" s="46" t="n">
        <v>44089</v>
      </c>
      <c r="Q1585" s="44" t="n">
        <v>1687</v>
      </c>
      <c r="R1585" s="44" t="inlineStr">
        <is>
          <t>No Video ID yet</t>
        </is>
      </c>
      <c r="S1585" s="46" t="n"/>
      <c r="T1585" s="46" t="n"/>
      <c r="U1585" s="44" t="n"/>
      <c r="V1585" s="44">
        <f>IF(AND(P1585&gt;=Calendar!$K$2,P1585&lt;EDATE(Calendar!$K$2,1),OR(Calendar!$K$4="*",N1585=Calendar!$K$4)),P1585*100+COUNTIFS($P$6:$P$3271,P1585,$Q$6:$Q$3271,"&lt;="&amp;Q1585,$N$6:$N$3271,Calendar!$K$4),"")</f>
        <v/>
      </c>
      <c r="W1585" s="44">
        <f>IF(AND(B1585=Queue!$C$4,OR(Queue!$K$4="*",N1585=Queue!$K$4)),Q1585,"")</f>
        <v/>
      </c>
    </row>
    <row r="1586">
      <c r="A1586" s="35">
        <f>IF(M1586="","",HYPERLINK("https://www.youtube.com/watch?v="&amp;M1586,"▶"))</f>
        <v/>
      </c>
      <c r="B1586" s="36">
        <f>IF(C1586&lt;&gt;"",C1586,IF(P1586&lt;=IFERROR(INDEX(tblChannels[Watched Through],MATCH(N1586,tblChannels[Channel ID],0)),0),"Watched","Unwatched"))</f>
        <v/>
      </c>
      <c r="C1586" s="37" t="n"/>
      <c r="D1586" s="38" t="n"/>
      <c r="E1586" s="39" t="n">
        <v>44084.72777777778</v>
      </c>
      <c r="F1586" s="47" t="inlineStr">
        <is>
          <t>Super Carlin Brothers</t>
        </is>
      </c>
      <c r="G1586" t="inlineStr">
        <is>
          <t>Why Does The Elder Wand Keep Losing? [Harry Potter Theory]</t>
        </is>
      </c>
      <c r="H1586" s="41" t="n">
        <v>0.01267361111111111</v>
      </c>
      <c r="I1586" s="42" t="n">
        <v>1087092</v>
      </c>
      <c r="J1586" s="42" t="n">
        <v>36549</v>
      </c>
      <c r="K1586" s="42" t="n">
        <v>4999</v>
      </c>
      <c r="L1586" s="43" t="n"/>
      <c r="M1586" s="44" t="n"/>
      <c r="N1586" s="44" t="inlineStr">
        <is>
          <t>UCKZo4N0lVPccBkSiuyVh4yg</t>
        </is>
      </c>
      <c r="O1586" s="45" t="n">
        <v>44084.89444444444</v>
      </c>
      <c r="P1586" s="46" t="n">
        <v>44084</v>
      </c>
      <c r="Q1586" s="44" t="n">
        <v>1686</v>
      </c>
      <c r="R1586" s="44" t="inlineStr">
        <is>
          <t>No Video ID yet</t>
        </is>
      </c>
      <c r="S1586" s="46" t="n"/>
      <c r="T1586" s="46" t="n"/>
      <c r="U1586" s="44" t="n"/>
      <c r="V1586" s="44">
        <f>IF(AND(P1586&gt;=Calendar!$K$2,P1586&lt;EDATE(Calendar!$K$2,1),OR(Calendar!$K$4="*",N1586=Calendar!$K$4)),P1586*100+COUNTIFS($P$6:$P$3271,P1586,$Q$6:$Q$3271,"&lt;="&amp;Q1586,$N$6:$N$3271,Calendar!$K$4),"")</f>
        <v/>
      </c>
      <c r="W1586" s="44">
        <f>IF(AND(B1586=Queue!$C$4,OR(Queue!$K$4="*",N1586=Queue!$K$4)),Q1586,"")</f>
        <v/>
      </c>
    </row>
    <row r="1587">
      <c r="A1587" s="35">
        <f>IF(M1587="","",HYPERLINK("https://www.youtube.com/watch?v="&amp;M1587,"▶"))</f>
        <v/>
      </c>
      <c r="B1587" s="36">
        <f>IF(C1587&lt;&gt;"",C1587,IF(P1587&lt;=IFERROR(INDEX(tblChannels[Watched Through],MATCH(N1587,tblChannels[Channel ID],0)),0),"Watched","Unwatched"))</f>
        <v/>
      </c>
      <c r="C1587" s="37" t="n"/>
      <c r="D1587" s="38" t="n"/>
      <c r="E1587" s="39" t="n">
        <v>44082.67708333334</v>
      </c>
      <c r="F1587" s="47" t="inlineStr">
        <is>
          <t>Super Carlin Brothers</t>
        </is>
      </c>
      <c r="G1587" t="inlineStr">
        <is>
          <t>MULAN REVIEW - Is It Worth It?</t>
        </is>
      </c>
      <c r="H1587" s="41" t="n">
        <v>0.03501157407407408</v>
      </c>
      <c r="I1587" s="42" t="n">
        <v>205344</v>
      </c>
      <c r="J1587" s="42" t="n">
        <v>7880</v>
      </c>
      <c r="K1587" s="42" t="n">
        <v>2514</v>
      </c>
      <c r="L1587" s="43" t="n"/>
      <c r="M1587" s="44" t="n"/>
      <c r="N1587" s="44" t="inlineStr">
        <is>
          <t>UCKZo4N0lVPccBkSiuyVh4yg</t>
        </is>
      </c>
      <c r="O1587" s="45" t="n">
        <v>44082.84375</v>
      </c>
      <c r="P1587" s="46" t="n">
        <v>44082</v>
      </c>
      <c r="Q1587" s="44" t="n">
        <v>1685</v>
      </c>
      <c r="R1587" s="44" t="inlineStr">
        <is>
          <t>No Video ID yet</t>
        </is>
      </c>
      <c r="S1587" s="46" t="n"/>
      <c r="T1587" s="46" t="n"/>
      <c r="U1587" s="44" t="n"/>
      <c r="V1587" s="44">
        <f>IF(AND(P1587&gt;=Calendar!$K$2,P1587&lt;EDATE(Calendar!$K$2,1),OR(Calendar!$K$4="*",N1587=Calendar!$K$4)),P1587*100+COUNTIFS($P$6:$P$3271,P1587,$Q$6:$Q$3271,"&lt;="&amp;Q1587,$N$6:$N$3271,Calendar!$K$4),"")</f>
        <v/>
      </c>
      <c r="W1587" s="44">
        <f>IF(AND(B1587=Queue!$C$4,OR(Queue!$K$4="*",N1587=Queue!$K$4)),Q1587,"")</f>
        <v/>
      </c>
    </row>
    <row r="1588">
      <c r="A1588" s="35">
        <f>IF(M1588="","",HYPERLINK("https://www.youtube.com/watch?v="&amp;M1588,"▶"))</f>
        <v/>
      </c>
      <c r="B1588" s="36">
        <f>IF(C1588&lt;&gt;"",C1588,IF(P1588&lt;=IFERROR(INDEX(tblChannels[Watched Through],MATCH(N1588,tblChannels[Channel ID],0)),0),"Watched","Unwatched"))</f>
        <v/>
      </c>
      <c r="C1588" s="37" t="n"/>
      <c r="D1588" s="38" t="n"/>
      <c r="E1588" s="39" t="n">
        <v>44077.84722222222</v>
      </c>
      <c r="F1588" s="47" t="inlineStr">
        <is>
          <t>Super Carlin Brothers</t>
        </is>
      </c>
      <c r="G1588" t="inlineStr">
        <is>
          <t>J vs Ben: We FAILED All These Questions - REDEMPTION Edition</t>
        </is>
      </c>
      <c r="H1588" s="41" t="n">
        <v>0.01765046296296296</v>
      </c>
      <c r="I1588" s="42" t="n">
        <v>374758</v>
      </c>
      <c r="J1588" s="42" t="n">
        <v>14372</v>
      </c>
      <c r="K1588" s="42" t="n">
        <v>1468</v>
      </c>
      <c r="L1588" s="43" t="n"/>
      <c r="M1588" s="44" t="n"/>
      <c r="N1588" s="44" t="inlineStr">
        <is>
          <t>UCKZo4N0lVPccBkSiuyVh4yg</t>
        </is>
      </c>
      <c r="O1588" s="45" t="n">
        <v>44078.01388888889</v>
      </c>
      <c r="P1588" s="46" t="n">
        <v>44077</v>
      </c>
      <c r="Q1588" s="44" t="n">
        <v>1684</v>
      </c>
      <c r="R1588" s="44" t="inlineStr">
        <is>
          <t>No Video ID yet</t>
        </is>
      </c>
      <c r="S1588" s="46" t="n"/>
      <c r="T1588" s="46" t="n"/>
      <c r="U1588" s="44" t="n"/>
      <c r="V1588" s="44">
        <f>IF(AND(P1588&gt;=Calendar!$K$2,P1588&lt;EDATE(Calendar!$K$2,1),OR(Calendar!$K$4="*",N1588=Calendar!$K$4)),P1588*100+COUNTIFS($P$6:$P$3271,P1588,$Q$6:$Q$3271,"&lt;="&amp;Q1588,$N$6:$N$3271,Calendar!$K$4),"")</f>
        <v/>
      </c>
      <c r="W1588" s="44">
        <f>IF(AND(B1588=Queue!$C$4,OR(Queue!$K$4="*",N1588=Queue!$K$4)),Q1588,"")</f>
        <v/>
      </c>
    </row>
    <row r="1589">
      <c r="A1589" s="35">
        <f>IF(M1589="","",HYPERLINK("https://www.youtube.com/watch?v="&amp;M1589,"▶"))</f>
        <v/>
      </c>
      <c r="B1589" s="36">
        <f>IF(C1589&lt;&gt;"",C1589,IF(P1589&lt;=IFERROR(INDEX(tblChannels[Watched Through],MATCH(N1589,tblChannels[Channel ID],0)),0),"Watched","Unwatched"))</f>
        <v/>
      </c>
      <c r="C1589" s="37" t="n"/>
      <c r="D1589" s="38" t="n"/>
      <c r="E1589" s="39" t="n">
        <v>44075.89444444444</v>
      </c>
      <c r="F1589" s="47" t="inlineStr">
        <is>
          <t>Super Carlin Brothers</t>
        </is>
      </c>
      <c r="G1589" t="inlineStr">
        <is>
          <t>Elsa Is A Goddess [Frozen Theory]</t>
        </is>
      </c>
      <c r="H1589" s="41" t="n">
        <v>0.009490740740740741</v>
      </c>
      <c r="I1589" s="42" t="n">
        <v>332227</v>
      </c>
      <c r="J1589" s="42" t="n">
        <v>15626</v>
      </c>
      <c r="K1589" s="42" t="n">
        <v>1585</v>
      </c>
      <c r="L1589" s="43" t="n"/>
      <c r="M1589" s="44" t="n"/>
      <c r="N1589" s="44" t="inlineStr">
        <is>
          <t>UCKZo4N0lVPccBkSiuyVh4yg</t>
        </is>
      </c>
      <c r="O1589" s="45" t="n">
        <v>44076.06111111111</v>
      </c>
      <c r="P1589" s="46" t="n">
        <v>44075</v>
      </c>
      <c r="Q1589" s="44" t="n">
        <v>1683</v>
      </c>
      <c r="R1589" s="44" t="inlineStr">
        <is>
          <t>No Video ID yet</t>
        </is>
      </c>
      <c r="S1589" s="46" t="n"/>
      <c r="T1589" s="46" t="n"/>
      <c r="U1589" s="44" t="n"/>
      <c r="V1589" s="44">
        <f>IF(AND(P1589&gt;=Calendar!$K$2,P1589&lt;EDATE(Calendar!$K$2,1),OR(Calendar!$K$4="*",N1589=Calendar!$K$4)),P1589*100+COUNTIFS($P$6:$P$3271,P1589,$Q$6:$Q$3271,"&lt;="&amp;Q1589,$N$6:$N$3271,Calendar!$K$4),"")</f>
        <v/>
      </c>
      <c r="W1589" s="44">
        <f>IF(AND(B1589=Queue!$C$4,OR(Queue!$K$4="*",N1589=Queue!$K$4)),Q1589,"")</f>
        <v/>
      </c>
    </row>
    <row r="1590">
      <c r="A1590" s="35">
        <f>IF(M1590="","",HYPERLINK("https://www.youtube.com/watch?v="&amp;M1590,"▶"))</f>
        <v/>
      </c>
      <c r="B1590" s="36">
        <f>IF(C1590&lt;&gt;"",C1590,IF(P1590&lt;=IFERROR(INDEX(tblChannels[Watched Through],MATCH(N1590,tblChannels[Channel ID],0)),0),"Watched","Unwatched"))</f>
        <v/>
      </c>
      <c r="C1590" s="37" t="n"/>
      <c r="D1590" s="38" t="n"/>
      <c r="E1590" s="39" t="n">
        <v>44070.75</v>
      </c>
      <c r="F1590" s="40" t="inlineStr">
        <is>
          <t>Popcorn Culture</t>
        </is>
      </c>
      <c r="G1590" t="inlineStr">
        <is>
          <t>36 - Knives are Mini Swords</t>
        </is>
      </c>
      <c r="H1590" s="41" t="n">
        <v>0.04400462962962963</v>
      </c>
      <c r="I1590" s="42" t="n">
        <v>4075</v>
      </c>
      <c r="J1590" s="42" t="n">
        <v>199</v>
      </c>
      <c r="K1590" s="42" t="n">
        <v>47</v>
      </c>
      <c r="L1590" s="43" t="n"/>
      <c r="M1590" s="44" t="n"/>
      <c r="N1590" s="44" t="inlineStr">
        <is>
          <t>UCHfIbq9thHPC8yrKjAdJgDA</t>
        </is>
      </c>
      <c r="O1590" s="45" t="n">
        <v>44070.91666666666</v>
      </c>
      <c r="P1590" s="46" t="n">
        <v>44070</v>
      </c>
      <c r="Q1590" s="44" t="n">
        <v>1682</v>
      </c>
      <c r="R1590" s="44" t="inlineStr">
        <is>
          <t>No Video ID yet</t>
        </is>
      </c>
      <c r="S1590" s="46" t="n"/>
      <c r="T1590" s="46" t="n"/>
      <c r="U1590" s="44" t="n"/>
      <c r="V1590" s="44">
        <f>IF(AND(P1590&gt;=Calendar!$K$2,P1590&lt;EDATE(Calendar!$K$2,1),OR(Calendar!$K$4="*",N1590=Calendar!$K$4)),P1590*100+COUNTIFS($P$6:$P$3271,P1590,$Q$6:$Q$3271,"&lt;="&amp;Q1590,$N$6:$N$3271,Calendar!$K$4),"")</f>
        <v/>
      </c>
      <c r="W1590" s="44">
        <f>IF(AND(B1590=Queue!$C$4,OR(Queue!$K$4="*",N1590=Queue!$K$4)),Q1590,"")</f>
        <v/>
      </c>
    </row>
    <row r="1591">
      <c r="A1591" s="35">
        <f>IF(M1591="","",HYPERLINK("https://www.youtube.com/watch?v="&amp;M1591,"▶"))</f>
        <v/>
      </c>
      <c r="B1591" s="36">
        <f>IF(C1591&lt;&gt;"",C1591,IF(P1591&lt;=IFERROR(INDEX(tblChannels[Watched Through],MATCH(N1591,tblChannels[Channel ID],0)),0),"Watched","Unwatched"))</f>
        <v/>
      </c>
      <c r="C1591" s="37" t="n"/>
      <c r="D1591" s="38" t="n"/>
      <c r="E1591" s="39" t="n">
        <v>44070.67916666667</v>
      </c>
      <c r="F1591" s="47" t="inlineStr">
        <is>
          <t>Super Carlin Brothers</t>
        </is>
      </c>
      <c r="G1591" t="inlineStr">
        <is>
          <t>Ginny Should Have Been In Slytherin | Harry Potter Film Theory</t>
        </is>
      </c>
      <c r="H1591" s="41" t="n">
        <v>0.009479166666666667</v>
      </c>
      <c r="I1591" s="42" t="n">
        <v>868525</v>
      </c>
      <c r="J1591" s="42" t="n">
        <v>31901</v>
      </c>
      <c r="K1591" s="42" t="n">
        <v>5516</v>
      </c>
      <c r="L1591" s="43" t="n"/>
      <c r="M1591" s="44" t="n"/>
      <c r="N1591" s="44" t="inlineStr">
        <is>
          <t>UCKZo4N0lVPccBkSiuyVh4yg</t>
        </is>
      </c>
      <c r="O1591" s="45" t="n">
        <v>44070.84583333333</v>
      </c>
      <c r="P1591" s="46" t="n">
        <v>44070</v>
      </c>
      <c r="Q1591" s="44" t="n">
        <v>1681</v>
      </c>
      <c r="R1591" s="44" t="inlineStr">
        <is>
          <t>No Video ID yet</t>
        </is>
      </c>
      <c r="S1591" s="46" t="n"/>
      <c r="T1591" s="46" t="n"/>
      <c r="U1591" s="44" t="n"/>
      <c r="V1591" s="44">
        <f>IF(AND(P1591&gt;=Calendar!$K$2,P1591&lt;EDATE(Calendar!$K$2,1),OR(Calendar!$K$4="*",N1591=Calendar!$K$4)),P1591*100+COUNTIFS($P$6:$P$3271,P1591,$Q$6:$Q$3271,"&lt;="&amp;Q1591,$N$6:$N$3271,Calendar!$K$4),"")</f>
        <v/>
      </c>
      <c r="W1591" s="44">
        <f>IF(AND(B1591=Queue!$C$4,OR(Queue!$K$4="*",N1591=Queue!$K$4)),Q1591,"")</f>
        <v/>
      </c>
    </row>
    <row r="1592">
      <c r="A1592" s="35">
        <f>IF(M1592="","",HYPERLINK("https://www.youtube.com/watch?v="&amp;M1592,"▶"))</f>
        <v/>
      </c>
      <c r="B1592" s="36">
        <f>IF(C1592&lt;&gt;"",C1592,IF(P1592&lt;=IFERROR(INDEX(tblChannels[Watched Through],MATCH(N1592,tblChannels[Channel ID],0)),0),"Watched","Unwatched"))</f>
        <v/>
      </c>
      <c r="C1592" s="37" t="n"/>
      <c r="D1592" s="38" t="n"/>
      <c r="E1592" s="39" t="n">
        <v>44070.25</v>
      </c>
      <c r="F1592" s="40" t="inlineStr">
        <is>
          <t>Popcorn Culture</t>
        </is>
      </c>
      <c r="G1592" t="inlineStr">
        <is>
          <t>35 - Doomedt</t>
        </is>
      </c>
      <c r="H1592" s="41" t="n">
        <v>0.04206018518518519</v>
      </c>
      <c r="I1592" s="42" t="n">
        <v>3098</v>
      </c>
      <c r="J1592" s="42" t="n">
        <v>147</v>
      </c>
      <c r="K1592" s="42" t="n">
        <v>29</v>
      </c>
      <c r="L1592" s="43" t="n"/>
      <c r="M1592" s="44" t="n"/>
      <c r="N1592" s="44" t="inlineStr">
        <is>
          <t>UCHfIbq9thHPC8yrKjAdJgDA</t>
        </is>
      </c>
      <c r="O1592" s="45" t="n">
        <v>44070.41666666666</v>
      </c>
      <c r="P1592" s="46" t="n">
        <v>44070</v>
      </c>
      <c r="Q1592" s="44" t="n">
        <v>1680</v>
      </c>
      <c r="R1592" s="44" t="inlineStr">
        <is>
          <t>No Video ID yet</t>
        </is>
      </c>
      <c r="S1592" s="46" t="n"/>
      <c r="T1592" s="46" t="n"/>
      <c r="U1592" s="44" t="n"/>
      <c r="V1592" s="44">
        <f>IF(AND(P1592&gt;=Calendar!$K$2,P1592&lt;EDATE(Calendar!$K$2,1),OR(Calendar!$K$4="*",N1592=Calendar!$K$4)),P1592*100+COUNTIFS($P$6:$P$3271,P1592,$Q$6:$Q$3271,"&lt;="&amp;Q1592,$N$6:$N$3271,Calendar!$K$4),"")</f>
        <v/>
      </c>
      <c r="W1592" s="44">
        <f>IF(AND(B1592=Queue!$C$4,OR(Queue!$K$4="*",N1592=Queue!$K$4)),Q1592,"")</f>
        <v/>
      </c>
    </row>
    <row r="1593">
      <c r="A1593" s="35">
        <f>IF(M1593="","",HYPERLINK("https://www.youtube.com/watch?v="&amp;M1593,"▶"))</f>
        <v/>
      </c>
      <c r="B1593" s="36">
        <f>IF(C1593&lt;&gt;"",C1593,IF(P1593&lt;=IFERROR(INDEX(tblChannels[Watched Through],MATCH(N1593,tblChannels[Channel ID],0)),0),"Watched","Unwatched"))</f>
        <v/>
      </c>
      <c r="C1593" s="37" t="n"/>
      <c r="D1593" s="38" t="n"/>
      <c r="E1593" s="39" t="n">
        <v>44069.75</v>
      </c>
      <c r="F1593" s="40" t="inlineStr">
        <is>
          <t>Popcorn Culture</t>
        </is>
      </c>
      <c r="G1593" t="inlineStr">
        <is>
          <t>34 - Is Milk a Dinner Beverage?</t>
        </is>
      </c>
      <c r="H1593" s="41" t="n">
        <v>0.03299768518518519</v>
      </c>
      <c r="I1593" s="42" t="n">
        <v>2865</v>
      </c>
      <c r="J1593" s="42" t="n">
        <v>153</v>
      </c>
      <c r="K1593" s="42" t="n">
        <v>37</v>
      </c>
      <c r="L1593" s="43" t="n"/>
      <c r="M1593" s="44" t="n"/>
      <c r="N1593" s="44" t="inlineStr">
        <is>
          <t>UCHfIbq9thHPC8yrKjAdJgDA</t>
        </is>
      </c>
      <c r="O1593" s="45" t="n">
        <v>44069.91666666666</v>
      </c>
      <c r="P1593" s="46" t="n">
        <v>44069</v>
      </c>
      <c r="Q1593" s="44" t="n">
        <v>1679</v>
      </c>
      <c r="R1593" s="44" t="inlineStr">
        <is>
          <t>No Video ID yet</t>
        </is>
      </c>
      <c r="S1593" s="46" t="n"/>
      <c r="T1593" s="46" t="n"/>
      <c r="U1593" s="44" t="n"/>
      <c r="V1593" s="44">
        <f>IF(AND(P1593&gt;=Calendar!$K$2,P1593&lt;EDATE(Calendar!$K$2,1),OR(Calendar!$K$4="*",N1593=Calendar!$K$4)),P1593*100+COUNTIFS($P$6:$P$3271,P1593,$Q$6:$Q$3271,"&lt;="&amp;Q1593,$N$6:$N$3271,Calendar!$K$4),"")</f>
        <v/>
      </c>
      <c r="W1593" s="44">
        <f>IF(AND(B1593=Queue!$C$4,OR(Queue!$K$4="*",N1593=Queue!$K$4)),Q1593,"")</f>
        <v/>
      </c>
    </row>
    <row r="1594">
      <c r="A1594" s="35">
        <f>IF(M1594="","",HYPERLINK("https://www.youtube.com/watch?v="&amp;M1594,"▶"))</f>
        <v/>
      </c>
      <c r="B1594" s="36">
        <f>IF(C1594&lt;&gt;"",C1594,IF(P1594&lt;=IFERROR(INDEX(tblChannels[Watched Through],MATCH(N1594,tblChannels[Channel ID],0)),0),"Watched","Unwatched"))</f>
        <v/>
      </c>
      <c r="C1594" s="37" t="n"/>
      <c r="D1594" s="38" t="n"/>
      <c r="E1594" s="39" t="n">
        <v>44069.25</v>
      </c>
      <c r="F1594" s="40" t="inlineStr">
        <is>
          <t>Popcorn Culture</t>
        </is>
      </c>
      <c r="G1594" t="inlineStr">
        <is>
          <t>33 - Is a Cup a Hole?</t>
        </is>
      </c>
      <c r="H1594" s="41" t="n">
        <v>0.04420138888888889</v>
      </c>
      <c r="I1594" s="42" t="n">
        <v>3146</v>
      </c>
      <c r="J1594" s="42" t="n">
        <v>163</v>
      </c>
      <c r="K1594" s="42" t="n">
        <v>34</v>
      </c>
      <c r="L1594" s="43" t="n"/>
      <c r="M1594" s="44" t="n"/>
      <c r="N1594" s="44" t="inlineStr">
        <is>
          <t>UCHfIbq9thHPC8yrKjAdJgDA</t>
        </is>
      </c>
      <c r="O1594" s="45" t="n">
        <v>44069.41666666666</v>
      </c>
      <c r="P1594" s="46" t="n">
        <v>44069</v>
      </c>
      <c r="Q1594" s="44" t="n">
        <v>1678</v>
      </c>
      <c r="R1594" s="44" t="inlineStr">
        <is>
          <t>No Video ID yet</t>
        </is>
      </c>
      <c r="S1594" s="46" t="n"/>
      <c r="T1594" s="46" t="n"/>
      <c r="U1594" s="44" t="n"/>
      <c r="V1594" s="44">
        <f>IF(AND(P1594&gt;=Calendar!$K$2,P1594&lt;EDATE(Calendar!$K$2,1),OR(Calendar!$K$4="*",N1594=Calendar!$K$4)),P1594*100+COUNTIFS($P$6:$P$3271,P1594,$Q$6:$Q$3271,"&lt;="&amp;Q1594,$N$6:$N$3271,Calendar!$K$4),"")</f>
        <v/>
      </c>
      <c r="W1594" s="44">
        <f>IF(AND(B1594=Queue!$C$4,OR(Queue!$K$4="*",N1594=Queue!$K$4)),Q1594,"")</f>
        <v/>
      </c>
    </row>
    <row r="1595">
      <c r="A1595" s="35">
        <f>IF(M1595="","",HYPERLINK("https://www.youtube.com/watch?v="&amp;M1595,"▶"))</f>
        <v/>
      </c>
      <c r="B1595" s="36">
        <f>IF(C1595&lt;&gt;"",C1595,IF(P1595&lt;=IFERROR(INDEX(tblChannels[Watched Through],MATCH(N1595,tblChannels[Channel ID],0)),0),"Watched","Unwatched"))</f>
        <v/>
      </c>
      <c r="C1595" s="37" t="n"/>
      <c r="D1595" s="38" t="n"/>
      <c r="E1595" s="39" t="n">
        <v>44068.75</v>
      </c>
      <c r="F1595" s="40" t="inlineStr">
        <is>
          <t>Popcorn Culture</t>
        </is>
      </c>
      <c r="G1595" t="inlineStr">
        <is>
          <t>32 - Bread is my new love language</t>
        </is>
      </c>
      <c r="H1595" s="41" t="n">
        <v>0.04038194444444444</v>
      </c>
      <c r="I1595" s="42" t="n">
        <v>3317</v>
      </c>
      <c r="J1595" s="42" t="n">
        <v>168</v>
      </c>
      <c r="K1595" s="42" t="n">
        <v>32</v>
      </c>
      <c r="L1595" s="43" t="n"/>
      <c r="M1595" s="44" t="n"/>
      <c r="N1595" s="44" t="inlineStr">
        <is>
          <t>UCHfIbq9thHPC8yrKjAdJgDA</t>
        </is>
      </c>
      <c r="O1595" s="45" t="n">
        <v>44068.91666666666</v>
      </c>
      <c r="P1595" s="46" t="n">
        <v>44068</v>
      </c>
      <c r="Q1595" s="44" t="n">
        <v>1677</v>
      </c>
      <c r="R1595" s="44" t="inlineStr">
        <is>
          <t>No Video ID yet</t>
        </is>
      </c>
      <c r="S1595" s="46" t="n"/>
      <c r="T1595" s="46" t="n"/>
      <c r="U1595" s="44" t="n"/>
      <c r="V1595" s="44">
        <f>IF(AND(P1595&gt;=Calendar!$K$2,P1595&lt;EDATE(Calendar!$K$2,1),OR(Calendar!$K$4="*",N1595=Calendar!$K$4)),P1595*100+COUNTIFS($P$6:$P$3271,P1595,$Q$6:$Q$3271,"&lt;="&amp;Q1595,$N$6:$N$3271,Calendar!$K$4),"")</f>
        <v/>
      </c>
      <c r="W1595" s="44">
        <f>IF(AND(B1595=Queue!$C$4,OR(Queue!$K$4="*",N1595=Queue!$K$4)),Q1595,"")</f>
        <v/>
      </c>
    </row>
    <row r="1596">
      <c r="A1596" s="35">
        <f>IF(M1596="","",HYPERLINK("https://www.youtube.com/watch?v="&amp;M1596,"▶"))</f>
        <v/>
      </c>
      <c r="B1596" s="36">
        <f>IF(C1596&lt;&gt;"",C1596,IF(P1596&lt;=IFERROR(INDEX(tblChannels[Watched Through],MATCH(N1596,tblChannels[Channel ID],0)),0),"Watched","Unwatched"))</f>
        <v/>
      </c>
      <c r="C1596" s="37" t="n"/>
      <c r="D1596" s="38" t="n"/>
      <c r="E1596" s="39" t="n">
        <v>44068.66180555556</v>
      </c>
      <c r="F1596" s="47" t="inlineStr">
        <is>
          <t>Super Carlin Brothers</t>
        </is>
      </c>
      <c r="G1596" t="inlineStr">
        <is>
          <t>How FAST Is Elsa's Horse? [Frozen Theory]</t>
        </is>
      </c>
      <c r="H1596" s="41" t="n">
        <v>0.007673611111111111</v>
      </c>
      <c r="I1596" s="42" t="n">
        <v>161347</v>
      </c>
      <c r="J1596" s="42" t="n">
        <v>8922</v>
      </c>
      <c r="K1596" s="42" t="n">
        <v>1021</v>
      </c>
      <c r="L1596" s="43" t="n"/>
      <c r="M1596" s="44" t="n"/>
      <c r="N1596" s="44" t="inlineStr">
        <is>
          <t>UCKZo4N0lVPccBkSiuyVh4yg</t>
        </is>
      </c>
      <c r="O1596" s="45" t="n">
        <v>44068.82847222222</v>
      </c>
      <c r="P1596" s="46" t="n">
        <v>44068</v>
      </c>
      <c r="Q1596" s="44" t="n">
        <v>1676</v>
      </c>
      <c r="R1596" s="44" t="inlineStr">
        <is>
          <t>No Video ID yet</t>
        </is>
      </c>
      <c r="S1596" s="46" t="n"/>
      <c r="T1596" s="46" t="n"/>
      <c r="U1596" s="44" t="n"/>
      <c r="V1596" s="44">
        <f>IF(AND(P1596&gt;=Calendar!$K$2,P1596&lt;EDATE(Calendar!$K$2,1),OR(Calendar!$K$4="*",N1596=Calendar!$K$4)),P1596*100+COUNTIFS($P$6:$P$3271,P1596,$Q$6:$Q$3271,"&lt;="&amp;Q1596,$N$6:$N$3271,Calendar!$K$4),"")</f>
        <v/>
      </c>
      <c r="W1596" s="44">
        <f>IF(AND(B1596=Queue!$C$4,OR(Queue!$K$4="*",N1596=Queue!$K$4)),Q1596,"")</f>
        <v/>
      </c>
    </row>
    <row r="1597">
      <c r="A1597" s="35">
        <f>IF(M1597="","",HYPERLINK("https://www.youtube.com/watch?v="&amp;M1597,"▶"))</f>
        <v/>
      </c>
      <c r="B1597" s="36">
        <f>IF(C1597&lt;&gt;"",C1597,IF(P1597&lt;=IFERROR(INDEX(tblChannels[Watched Through],MATCH(N1597,tblChannels[Channel ID],0)),0),"Watched","Unwatched"))</f>
        <v/>
      </c>
      <c r="C1597" s="37" t="n"/>
      <c r="D1597" s="38" t="n"/>
      <c r="E1597" s="39" t="n">
        <v>44064.75</v>
      </c>
      <c r="F1597" s="40" t="inlineStr">
        <is>
          <t>Popcorn Culture</t>
        </is>
      </c>
      <c r="G1597" t="inlineStr">
        <is>
          <t>31 - We Could Own a Castle</t>
        </is>
      </c>
      <c r="H1597" s="41" t="n">
        <v>0.0433912037037037</v>
      </c>
      <c r="I1597" s="42" t="n">
        <v>3188</v>
      </c>
      <c r="J1597" s="42" t="n">
        <v>173</v>
      </c>
      <c r="K1597" s="42" t="n">
        <v>61</v>
      </c>
      <c r="L1597" s="43" t="n"/>
      <c r="M1597" s="44" t="n"/>
      <c r="N1597" s="44" t="inlineStr">
        <is>
          <t>UCHfIbq9thHPC8yrKjAdJgDA</t>
        </is>
      </c>
      <c r="O1597" s="45" t="n">
        <v>44064.91666666666</v>
      </c>
      <c r="P1597" s="46" t="n">
        <v>44064</v>
      </c>
      <c r="Q1597" s="44" t="n">
        <v>1675</v>
      </c>
      <c r="R1597" s="44" t="inlineStr">
        <is>
          <t>No Video ID yet</t>
        </is>
      </c>
      <c r="S1597" s="46" t="n"/>
      <c r="T1597" s="46" t="n"/>
      <c r="U1597" s="44" t="n"/>
      <c r="V1597" s="44">
        <f>IF(AND(P1597&gt;=Calendar!$K$2,P1597&lt;EDATE(Calendar!$K$2,1),OR(Calendar!$K$4="*",N1597=Calendar!$K$4)),P1597*100+COUNTIFS($P$6:$P$3271,P1597,$Q$6:$Q$3271,"&lt;="&amp;Q1597,$N$6:$N$3271,Calendar!$K$4),"")</f>
        <v/>
      </c>
      <c r="W1597" s="44">
        <f>IF(AND(B1597=Queue!$C$4,OR(Queue!$K$4="*",N1597=Queue!$K$4)),Q1597,"")</f>
        <v/>
      </c>
    </row>
    <row r="1598">
      <c r="A1598" s="35">
        <f>IF(M1598="","",HYPERLINK("https://www.youtube.com/watch?v="&amp;M1598,"▶"))</f>
        <v/>
      </c>
      <c r="B1598" s="36">
        <f>IF(C1598&lt;&gt;"",C1598,IF(P1598&lt;=IFERROR(INDEX(tblChannels[Watched Through],MATCH(N1598,tblChannels[Channel ID],0)),0),"Watched","Unwatched"))</f>
        <v/>
      </c>
      <c r="C1598" s="37" t="n"/>
      <c r="D1598" s="38" t="n"/>
      <c r="E1598" s="39" t="n">
        <v>44063.79375</v>
      </c>
      <c r="F1598" s="47" t="inlineStr">
        <is>
          <t>Super Carlin Brothers</t>
        </is>
      </c>
      <c r="G1598" t="inlineStr">
        <is>
          <t>The TRUTH About The Dam In Frozen 2</t>
        </is>
      </c>
      <c r="H1598" s="41" t="n">
        <v>0.008611111111111111</v>
      </c>
      <c r="I1598" s="42" t="n">
        <v>302849</v>
      </c>
      <c r="J1598" s="42" t="n">
        <v>13358</v>
      </c>
      <c r="K1598" s="42" t="n">
        <v>977</v>
      </c>
      <c r="L1598" s="43" t="n"/>
      <c r="M1598" s="44" t="n"/>
      <c r="N1598" s="44" t="inlineStr">
        <is>
          <t>UCKZo4N0lVPccBkSiuyVh4yg</t>
        </is>
      </c>
      <c r="O1598" s="45" t="n">
        <v>44063.96041666667</v>
      </c>
      <c r="P1598" s="46" t="n">
        <v>44063</v>
      </c>
      <c r="Q1598" s="44" t="n">
        <v>1674</v>
      </c>
      <c r="R1598" s="44" t="inlineStr">
        <is>
          <t>No Video ID yet</t>
        </is>
      </c>
      <c r="S1598" s="46" t="n"/>
      <c r="T1598" s="46" t="n"/>
      <c r="U1598" s="44" t="n"/>
      <c r="V1598" s="44">
        <f>IF(AND(P1598&gt;=Calendar!$K$2,P1598&lt;EDATE(Calendar!$K$2,1),OR(Calendar!$K$4="*",N1598=Calendar!$K$4)),P1598*100+COUNTIFS($P$6:$P$3271,P1598,$Q$6:$Q$3271,"&lt;="&amp;Q1598,$N$6:$N$3271,Calendar!$K$4),"")</f>
        <v/>
      </c>
      <c r="W1598" s="44">
        <f>IF(AND(B1598=Queue!$C$4,OR(Queue!$K$4="*",N1598=Queue!$K$4)),Q1598,"")</f>
        <v/>
      </c>
    </row>
    <row r="1599">
      <c r="A1599" s="35">
        <f>IF(M1599="","",HYPERLINK("https://www.youtube.com/watch?v="&amp;M1599,"▶"))</f>
        <v/>
      </c>
      <c r="B1599" s="36">
        <f>IF(C1599&lt;&gt;"",C1599,IF(P1599&lt;=IFERROR(INDEX(tblChannels[Watched Through],MATCH(N1599,tblChannels[Channel ID],0)),0),"Watched","Unwatched"))</f>
        <v/>
      </c>
      <c r="C1599" s="37" t="n"/>
      <c r="D1599" s="38" t="n"/>
      <c r="E1599" s="39" t="n">
        <v>44061.82361111111</v>
      </c>
      <c r="F1599" s="47" t="inlineStr">
        <is>
          <t>Super Carlin Brothers</t>
        </is>
      </c>
      <c r="G1599" t="inlineStr">
        <is>
          <t>J vs Ben: ULTIMATE Marvel Cinematic Universe TRIVIA Quiz</t>
        </is>
      </c>
      <c r="H1599" s="41" t="n">
        <v>0.0153587962962963</v>
      </c>
      <c r="I1599" s="42" t="n">
        <v>234557</v>
      </c>
      <c r="J1599" s="42" t="n">
        <v>10370</v>
      </c>
      <c r="K1599" s="42" t="n">
        <v>1209</v>
      </c>
      <c r="L1599" s="43" t="n"/>
      <c r="M1599" s="44" t="n"/>
      <c r="N1599" s="44" t="inlineStr">
        <is>
          <t>UCKZo4N0lVPccBkSiuyVh4yg</t>
        </is>
      </c>
      <c r="O1599" s="45" t="n">
        <v>44061.99027777778</v>
      </c>
      <c r="P1599" s="46" t="n">
        <v>44061</v>
      </c>
      <c r="Q1599" s="44" t="n">
        <v>1673</v>
      </c>
      <c r="R1599" s="44" t="inlineStr">
        <is>
          <t>No Video ID yet</t>
        </is>
      </c>
      <c r="S1599" s="46" t="n"/>
      <c r="T1599" s="46" t="n"/>
      <c r="U1599" s="44" t="n"/>
      <c r="V1599" s="44">
        <f>IF(AND(P1599&gt;=Calendar!$K$2,P1599&lt;EDATE(Calendar!$K$2,1),OR(Calendar!$K$4="*",N1599=Calendar!$K$4)),P1599*100+COUNTIFS($P$6:$P$3271,P1599,$Q$6:$Q$3271,"&lt;="&amp;Q1599,$N$6:$N$3271,Calendar!$K$4),"")</f>
        <v/>
      </c>
      <c r="W1599" s="44">
        <f>IF(AND(B1599=Queue!$C$4,OR(Queue!$K$4="*",N1599=Queue!$K$4)),Q1599,"")</f>
        <v/>
      </c>
    </row>
    <row r="1600">
      <c r="A1600" s="35">
        <f>IF(M1600="","",HYPERLINK("https://www.youtube.com/watch?v="&amp;M1600,"▶"))</f>
        <v/>
      </c>
      <c r="B1600" s="36">
        <f>IF(C1600&lt;&gt;"",C1600,IF(P1600&lt;=IFERROR(INDEX(tblChannels[Watched Through],MATCH(N1600,tblChannels[Channel ID],0)),0),"Watched","Unwatched"))</f>
        <v/>
      </c>
      <c r="C1600" s="37" t="n"/>
      <c r="D1600" s="38" t="n"/>
      <c r="E1600" s="39" t="n">
        <v>44057.86527777778</v>
      </c>
      <c r="F1600" s="47" t="inlineStr">
        <is>
          <t>Super Carlin Brothers</t>
        </is>
      </c>
      <c r="G1600" t="inlineStr">
        <is>
          <t>ALL FANDOMS Trivia Night LIVE STREAM!</t>
        </is>
      </c>
      <c r="H1600" s="41" t="n">
        <v>0.105162037037037</v>
      </c>
      <c r="I1600" s="42" t="n">
        <v>146436</v>
      </c>
      <c r="J1600" s="42" t="n">
        <v>2715</v>
      </c>
      <c r="K1600" s="42" t="n">
        <v>215</v>
      </c>
      <c r="L1600" s="43" t="n"/>
      <c r="M1600" s="44" t="n"/>
      <c r="N1600" s="44" t="inlineStr">
        <is>
          <t>UCKZo4N0lVPccBkSiuyVh4yg</t>
        </is>
      </c>
      <c r="O1600" s="45" t="n">
        <v>44058.03194444445</v>
      </c>
      <c r="P1600" s="46" t="n">
        <v>44057</v>
      </c>
      <c r="Q1600" s="44" t="n">
        <v>1672</v>
      </c>
      <c r="R1600" s="44" t="inlineStr">
        <is>
          <t>No Video ID yet</t>
        </is>
      </c>
      <c r="S1600" s="46" t="n"/>
      <c r="T1600" s="46" t="n"/>
      <c r="U1600" s="44" t="n"/>
      <c r="V1600" s="44">
        <f>IF(AND(P1600&gt;=Calendar!$K$2,P1600&lt;EDATE(Calendar!$K$2,1),OR(Calendar!$K$4="*",N1600=Calendar!$K$4)),P1600*100+COUNTIFS($P$6:$P$3271,P1600,$Q$6:$Q$3271,"&lt;="&amp;Q1600,$N$6:$N$3271,Calendar!$K$4),"")</f>
        <v/>
      </c>
      <c r="W1600" s="44">
        <f>IF(AND(B1600=Queue!$C$4,OR(Queue!$K$4="*",N1600=Queue!$K$4)),Q1600,"")</f>
        <v/>
      </c>
    </row>
    <row r="1601">
      <c r="A1601" s="35">
        <f>IF(M1601="","",HYPERLINK("https://www.youtube.com/watch?v="&amp;M1601,"▶"))</f>
        <v/>
      </c>
      <c r="B1601" s="36">
        <f>IF(C1601&lt;&gt;"",C1601,IF(P1601&lt;=IFERROR(INDEX(tblChannels[Watched Through],MATCH(N1601,tblChannels[Channel ID],0)),0),"Watched","Unwatched"))</f>
        <v/>
      </c>
      <c r="C1601" s="37" t="n"/>
      <c r="D1601" s="38" t="n"/>
      <c r="E1601" s="39" t="n">
        <v>44056.66527777778</v>
      </c>
      <c r="F1601" s="47" t="inlineStr">
        <is>
          <t>Super Carlin Brothers</t>
        </is>
      </c>
      <c r="G1601" t="inlineStr">
        <is>
          <t>Frozen Theory: The Trolls Are The Real Villains</t>
        </is>
      </c>
      <c r="H1601" s="41" t="n">
        <v>0.01128472222222222</v>
      </c>
      <c r="I1601" s="42" t="n">
        <v>411516</v>
      </c>
      <c r="J1601" s="42" t="n">
        <v>17601</v>
      </c>
      <c r="K1601" s="42" t="n">
        <v>1911</v>
      </c>
      <c r="L1601" s="43" t="n"/>
      <c r="M1601" s="44" t="n"/>
      <c r="N1601" s="44" t="inlineStr">
        <is>
          <t>UCKZo4N0lVPccBkSiuyVh4yg</t>
        </is>
      </c>
      <c r="O1601" s="45" t="n">
        <v>44056.83194444444</v>
      </c>
      <c r="P1601" s="46" t="n">
        <v>44056</v>
      </c>
      <c r="Q1601" s="44" t="n">
        <v>1671</v>
      </c>
      <c r="R1601" s="44" t="inlineStr">
        <is>
          <t>No Video ID yet</t>
        </is>
      </c>
      <c r="S1601" s="46" t="n"/>
      <c r="T1601" s="46" t="n"/>
      <c r="U1601" s="44" t="n"/>
      <c r="V1601" s="44">
        <f>IF(AND(P1601&gt;=Calendar!$K$2,P1601&lt;EDATE(Calendar!$K$2,1),OR(Calendar!$K$4="*",N1601=Calendar!$K$4)),P1601*100+COUNTIFS($P$6:$P$3271,P1601,$Q$6:$Q$3271,"&lt;="&amp;Q1601,$N$6:$N$3271,Calendar!$K$4),"")</f>
        <v/>
      </c>
      <c r="W1601" s="44">
        <f>IF(AND(B1601=Queue!$C$4,OR(Queue!$K$4="*",N1601=Queue!$K$4)),Q1601,"")</f>
        <v/>
      </c>
    </row>
    <row r="1602">
      <c r="A1602" s="35">
        <f>IF(M1602="","",HYPERLINK("https://www.youtube.com/watch?v="&amp;M1602,"▶"))</f>
        <v/>
      </c>
      <c r="B1602" s="36">
        <f>IF(C1602&lt;&gt;"",C1602,IF(P1602&lt;=IFERROR(INDEX(tblChannels[Watched Through],MATCH(N1602,tblChannels[Channel ID],0)),0),"Watched","Unwatched"))</f>
        <v/>
      </c>
      <c r="C1602" s="37" t="n"/>
      <c r="D1602" s="38" t="n"/>
      <c r="E1602" s="39" t="n">
        <v>44054.51944444444</v>
      </c>
      <c r="F1602" s="47" t="inlineStr">
        <is>
          <t>Super Carlin Brothers</t>
        </is>
      </c>
      <c r="G1602" t="inlineStr">
        <is>
          <t>Natasha is ALIVE [Marvel Theory]</t>
        </is>
      </c>
      <c r="H1602" s="41" t="n">
        <v>0.01222222222222222</v>
      </c>
      <c r="I1602" s="42" t="n">
        <v>305381</v>
      </c>
      <c r="J1602" s="42" t="n">
        <v>15094</v>
      </c>
      <c r="K1602" s="42" t="n">
        <v>2257</v>
      </c>
      <c r="L1602" s="43" t="n"/>
      <c r="M1602" s="44" t="n"/>
      <c r="N1602" s="44" t="inlineStr">
        <is>
          <t>UCKZo4N0lVPccBkSiuyVh4yg</t>
        </is>
      </c>
      <c r="O1602" s="45" t="n">
        <v>44054.68611111111</v>
      </c>
      <c r="P1602" s="46" t="n">
        <v>44054</v>
      </c>
      <c r="Q1602" s="44" t="n">
        <v>1670</v>
      </c>
      <c r="R1602" s="44" t="inlineStr">
        <is>
          <t>No Video ID yet</t>
        </is>
      </c>
      <c r="S1602" s="46" t="n"/>
      <c r="T1602" s="46" t="n"/>
      <c r="U1602" s="44" t="n"/>
      <c r="V1602" s="44">
        <f>IF(AND(P1602&gt;=Calendar!$K$2,P1602&lt;EDATE(Calendar!$K$2,1),OR(Calendar!$K$4="*",N1602=Calendar!$K$4)),P1602*100+COUNTIFS($P$6:$P$3271,P1602,$Q$6:$Q$3271,"&lt;="&amp;Q1602,$N$6:$N$3271,Calendar!$K$4),"")</f>
        <v/>
      </c>
      <c r="W1602" s="44">
        <f>IF(AND(B1602=Queue!$C$4,OR(Queue!$K$4="*",N1602=Queue!$K$4)),Q1602,"")</f>
        <v/>
      </c>
    </row>
    <row r="1603">
      <c r="A1603" s="35">
        <f>IF(M1603="","",HYPERLINK("https://www.youtube.com/watch?v="&amp;M1603,"▶"))</f>
        <v/>
      </c>
      <c r="B1603" s="36">
        <f>IF(C1603&lt;&gt;"",C1603,IF(P1603&lt;=IFERROR(INDEX(tblChannels[Watched Through],MATCH(N1603,tblChannels[Channel ID],0)),0),"Watched","Unwatched"))</f>
        <v/>
      </c>
      <c r="C1603" s="37" t="n"/>
      <c r="D1603" s="38" t="n"/>
      <c r="E1603" s="39" t="n">
        <v>44049.6875</v>
      </c>
      <c r="F1603" s="47" t="inlineStr">
        <is>
          <t>Super Carlin Brothers</t>
        </is>
      </c>
      <c r="G1603" t="inlineStr">
        <is>
          <t>J vs Ben: HARDEST Harry Potter Trivia Quiz EVER [Quiz Master Edition]</t>
        </is>
      </c>
      <c r="H1603" s="41" t="n">
        <v>0.0156712962962963</v>
      </c>
      <c r="I1603" s="42" t="n">
        <v>384376</v>
      </c>
      <c r="J1603" s="42" t="n">
        <v>12852</v>
      </c>
      <c r="K1603" s="42" t="n">
        <v>1098</v>
      </c>
      <c r="L1603" s="43" t="n"/>
      <c r="M1603" s="44" t="n"/>
      <c r="N1603" s="44" t="inlineStr">
        <is>
          <t>UCKZo4N0lVPccBkSiuyVh4yg</t>
        </is>
      </c>
      <c r="O1603" s="45" t="n">
        <v>44049.85416666666</v>
      </c>
      <c r="P1603" s="46" t="n">
        <v>44049</v>
      </c>
      <c r="Q1603" s="44" t="n">
        <v>1669</v>
      </c>
      <c r="R1603" s="44" t="inlineStr">
        <is>
          <t>No Video ID yet</t>
        </is>
      </c>
      <c r="S1603" s="46" t="n"/>
      <c r="T1603" s="46" t="n"/>
      <c r="U1603" s="44" t="n"/>
      <c r="V1603" s="44">
        <f>IF(AND(P1603&gt;=Calendar!$K$2,P1603&lt;EDATE(Calendar!$K$2,1),OR(Calendar!$K$4="*",N1603=Calendar!$K$4)),P1603*100+COUNTIFS($P$6:$P$3271,P1603,$Q$6:$Q$3271,"&lt;="&amp;Q1603,$N$6:$N$3271,Calendar!$K$4),"")</f>
        <v/>
      </c>
      <c r="W1603" s="44">
        <f>IF(AND(B1603=Queue!$C$4,OR(Queue!$K$4="*",N1603=Queue!$K$4)),Q1603,"")</f>
        <v/>
      </c>
    </row>
    <row r="1604">
      <c r="A1604" s="35">
        <f>IF(M1604="","",HYPERLINK("https://www.youtube.com/watch?v="&amp;M1604,"▶"))</f>
        <v/>
      </c>
      <c r="B1604" s="36">
        <f>IF(C1604&lt;&gt;"",C1604,IF(P1604&lt;=IFERROR(INDEX(tblChannels[Watched Through],MATCH(N1604,tblChannels[Channel ID],0)),0),"Watched","Unwatched"))</f>
        <v/>
      </c>
      <c r="C1604" s="37" t="n"/>
      <c r="D1604" s="38" t="n"/>
      <c r="E1604" s="39" t="n">
        <v>44047.66458333333</v>
      </c>
      <c r="F1604" s="47" t="inlineStr">
        <is>
          <t>Super Carlin Brothers</t>
        </is>
      </c>
      <c r="G1604" t="inlineStr">
        <is>
          <t>Who Are The TRUE Original Benders? [Avatar: The Last Airbender Theory]</t>
        </is>
      </c>
      <c r="H1604" s="41" t="n">
        <v>0.009583333333333333</v>
      </c>
      <c r="I1604" s="42" t="n">
        <v>350060</v>
      </c>
      <c r="J1604" s="42" t="n">
        <v>16378</v>
      </c>
      <c r="K1604" s="42" t="n">
        <v>2002</v>
      </c>
      <c r="L1604" s="43" t="n"/>
      <c r="M1604" s="44" t="n"/>
      <c r="N1604" s="44" t="inlineStr">
        <is>
          <t>UCKZo4N0lVPccBkSiuyVh4yg</t>
        </is>
      </c>
      <c r="O1604" s="45" t="n">
        <v>44047.83125</v>
      </c>
      <c r="P1604" s="46" t="n">
        <v>44047</v>
      </c>
      <c r="Q1604" s="44" t="n">
        <v>1668</v>
      </c>
      <c r="R1604" s="44" t="inlineStr">
        <is>
          <t>No Video ID yet</t>
        </is>
      </c>
      <c r="S1604" s="46" t="n"/>
      <c r="T1604" s="46" t="n"/>
      <c r="U1604" s="44" t="n"/>
      <c r="V1604" s="44">
        <f>IF(AND(P1604&gt;=Calendar!$K$2,P1604&lt;EDATE(Calendar!$K$2,1),OR(Calendar!$K$4="*",N1604=Calendar!$K$4)),P1604*100+COUNTIFS($P$6:$P$3271,P1604,$Q$6:$Q$3271,"&lt;="&amp;Q1604,$N$6:$N$3271,Calendar!$K$4),"")</f>
        <v/>
      </c>
      <c r="W1604" s="44">
        <f>IF(AND(B1604=Queue!$C$4,OR(Queue!$K$4="*",N1604=Queue!$K$4)),Q1604,"")</f>
        <v/>
      </c>
    </row>
    <row r="1605">
      <c r="A1605" s="35">
        <f>IF(M1605="","",HYPERLINK("https://www.youtube.com/watch?v="&amp;M1605,"▶"))</f>
        <v/>
      </c>
      <c r="B1605" s="36">
        <f>IF(C1605&lt;&gt;"",C1605,IF(P1605&lt;=IFERROR(INDEX(tblChannels[Watched Through],MATCH(N1605,tblChannels[Channel ID],0)),0),"Watched","Unwatched"))</f>
        <v/>
      </c>
      <c r="C1605" s="37" t="n"/>
      <c r="D1605" s="38" t="n"/>
      <c r="E1605" s="39" t="n">
        <v>44042.68194444444</v>
      </c>
      <c r="F1605" s="47" t="inlineStr">
        <is>
          <t>Super Carlin Brothers</t>
        </is>
      </c>
      <c r="G1605" t="inlineStr">
        <is>
          <t>Newt’s Kelpie Is The Key To Victory [Fantastic Beast Theory]</t>
        </is>
      </c>
      <c r="H1605" s="41" t="n">
        <v>0.01259259259259259</v>
      </c>
      <c r="I1605" s="42" t="n">
        <v>296828</v>
      </c>
      <c r="J1605" s="42" t="n">
        <v>17141</v>
      </c>
      <c r="K1605" s="42" t="n">
        <v>2520</v>
      </c>
      <c r="L1605" s="43" t="n"/>
      <c r="M1605" s="44" t="n"/>
      <c r="N1605" s="44" t="inlineStr">
        <is>
          <t>UCKZo4N0lVPccBkSiuyVh4yg</t>
        </is>
      </c>
      <c r="O1605" s="45" t="n">
        <v>44042.84861111111</v>
      </c>
      <c r="P1605" s="46" t="n">
        <v>44042</v>
      </c>
      <c r="Q1605" s="44" t="n">
        <v>1667</v>
      </c>
      <c r="R1605" s="44" t="inlineStr">
        <is>
          <t>No Video ID yet</t>
        </is>
      </c>
      <c r="S1605" s="46" t="n"/>
      <c r="T1605" s="46" t="n"/>
      <c r="U1605" s="44" t="n"/>
      <c r="V1605" s="44">
        <f>IF(AND(P1605&gt;=Calendar!$K$2,P1605&lt;EDATE(Calendar!$K$2,1),OR(Calendar!$K$4="*",N1605=Calendar!$K$4)),P1605*100+COUNTIFS($P$6:$P$3271,P1605,$Q$6:$Q$3271,"&lt;="&amp;Q1605,$N$6:$N$3271,Calendar!$K$4),"")</f>
        <v/>
      </c>
      <c r="W1605" s="44">
        <f>IF(AND(B1605=Queue!$C$4,OR(Queue!$K$4="*",N1605=Queue!$K$4)),Q1605,"")</f>
        <v/>
      </c>
    </row>
    <row r="1606">
      <c r="A1606" s="35">
        <f>IF(M1606="","",HYPERLINK("https://www.youtube.com/watch?v="&amp;M1606,"▶"))</f>
        <v/>
      </c>
      <c r="B1606" s="36">
        <f>IF(C1606&lt;&gt;"",C1606,IF(P1606&lt;=IFERROR(INDEX(tblChannels[Watched Through],MATCH(N1606,tblChannels[Channel ID],0)),0),"Watched","Unwatched"))</f>
        <v/>
      </c>
      <c r="C1606" s="37" t="n"/>
      <c r="D1606" s="38" t="n"/>
      <c r="E1606" s="39" t="n">
        <v>44040.79166666666</v>
      </c>
      <c r="F1606" s="47" t="inlineStr">
        <is>
          <t>Super Carlin Brothers</t>
        </is>
      </c>
      <c r="G1606" t="inlineStr">
        <is>
          <t>What Happened to Zuko’s Mom [Avatar The Last Airbender Explained]</t>
        </is>
      </c>
      <c r="H1606" s="41" t="n">
        <v>0.01203703703703704</v>
      </c>
      <c r="I1606" s="42" t="n">
        <v>354274</v>
      </c>
      <c r="J1606" s="42" t="n">
        <v>15782</v>
      </c>
      <c r="K1606" s="42" t="n">
        <v>1776</v>
      </c>
      <c r="L1606" s="43" t="n"/>
      <c r="M1606" s="44" t="n"/>
      <c r="N1606" s="44" t="inlineStr">
        <is>
          <t>UCKZo4N0lVPccBkSiuyVh4yg</t>
        </is>
      </c>
      <c r="O1606" s="45" t="n">
        <v>44040.95833333334</v>
      </c>
      <c r="P1606" s="46" t="n">
        <v>44040</v>
      </c>
      <c r="Q1606" s="44" t="n">
        <v>1666</v>
      </c>
      <c r="R1606" s="44" t="inlineStr">
        <is>
          <t>No Video ID yet</t>
        </is>
      </c>
      <c r="S1606" s="46" t="n"/>
      <c r="T1606" s="46" t="n"/>
      <c r="U1606" s="44" t="n"/>
      <c r="V1606" s="44">
        <f>IF(AND(P1606&gt;=Calendar!$K$2,P1606&lt;EDATE(Calendar!$K$2,1),OR(Calendar!$K$4="*",N1606=Calendar!$K$4)),P1606*100+COUNTIFS($P$6:$P$3271,P1606,$Q$6:$Q$3271,"&lt;="&amp;Q1606,$N$6:$N$3271,Calendar!$K$4),"")</f>
        <v/>
      </c>
      <c r="W1606" s="44">
        <f>IF(AND(B1606=Queue!$C$4,OR(Queue!$K$4="*",N1606=Queue!$K$4)),Q1606,"")</f>
        <v/>
      </c>
    </row>
    <row r="1607">
      <c r="A1607" s="35">
        <f>IF(M1607="","",HYPERLINK("https://www.youtube.com/watch?v="&amp;M1607,"▶"))</f>
        <v/>
      </c>
      <c r="B1607" s="36">
        <f>IF(C1607&lt;&gt;"",C1607,IF(P1607&lt;=IFERROR(INDEX(tblChannels[Watched Through],MATCH(N1607,tblChannels[Channel ID],0)),0),"Watched","Unwatched"))</f>
        <v/>
      </c>
      <c r="C1607" s="37" t="n"/>
      <c r="D1607" s="38" t="n"/>
      <c r="E1607" s="39" t="n">
        <v>44036.75</v>
      </c>
      <c r="F1607" s="40" t="inlineStr">
        <is>
          <t>Popcorn Culture</t>
        </is>
      </c>
      <c r="G1607" t="inlineStr">
        <is>
          <t>30 - Times Ben Almost Was Remarkable</t>
        </is>
      </c>
      <c r="H1607" s="41" t="n">
        <v>0.0446875</v>
      </c>
      <c r="I1607" s="42" t="n">
        <v>4342</v>
      </c>
      <c r="J1607" s="42" t="n">
        <v>191</v>
      </c>
      <c r="K1607" s="42" t="n">
        <v>32</v>
      </c>
      <c r="L1607" s="43" t="n"/>
      <c r="M1607" s="44" t="n"/>
      <c r="N1607" s="44" t="inlineStr">
        <is>
          <t>UCHfIbq9thHPC8yrKjAdJgDA</t>
        </is>
      </c>
      <c r="O1607" s="45" t="n">
        <v>44036.91666666666</v>
      </c>
      <c r="P1607" s="46" t="n">
        <v>44036</v>
      </c>
      <c r="Q1607" s="44" t="n">
        <v>1665</v>
      </c>
      <c r="R1607" s="44" t="inlineStr">
        <is>
          <t>No Video ID yet</t>
        </is>
      </c>
      <c r="S1607" s="46" t="n"/>
      <c r="T1607" s="46" t="n"/>
      <c r="U1607" s="44" t="n"/>
      <c r="V1607" s="44">
        <f>IF(AND(P1607&gt;=Calendar!$K$2,P1607&lt;EDATE(Calendar!$K$2,1),OR(Calendar!$K$4="*",N1607=Calendar!$K$4)),P1607*100+COUNTIFS($P$6:$P$3271,P1607,$Q$6:$Q$3271,"&lt;="&amp;Q1607,$N$6:$N$3271,Calendar!$K$4),"")</f>
        <v/>
      </c>
      <c r="W1607" s="44">
        <f>IF(AND(B1607=Queue!$C$4,OR(Queue!$K$4="*",N1607=Queue!$K$4)),Q1607,"")</f>
        <v/>
      </c>
    </row>
    <row r="1608">
      <c r="A1608" s="35">
        <f>IF(M1608="","",HYPERLINK("https://www.youtube.com/watch?v="&amp;M1608,"▶"))</f>
        <v/>
      </c>
      <c r="B1608" s="36">
        <f>IF(C1608&lt;&gt;"",C1608,IF(P1608&lt;=IFERROR(INDEX(tblChannels[Watched Through],MATCH(N1608,tblChannels[Channel ID],0)),0),"Watched","Unwatched"))</f>
        <v/>
      </c>
      <c r="C1608" s="37" t="n"/>
      <c r="D1608" s="38" t="n"/>
      <c r="E1608" s="39" t="n">
        <v>44035.88541666666</v>
      </c>
      <c r="F1608" s="47" t="inlineStr">
        <is>
          <t>Super Carlin Brothers</t>
        </is>
      </c>
      <c r="G1608" t="inlineStr">
        <is>
          <t>J vs Ben: The ULTIMATE Disney Trivia Quiz</t>
        </is>
      </c>
      <c r="H1608" s="41" t="n">
        <v>0.02180555555555556</v>
      </c>
      <c r="I1608" s="42" t="n">
        <v>345218</v>
      </c>
      <c r="J1608" s="42" t="n">
        <v>11203</v>
      </c>
      <c r="K1608" s="42" t="n">
        <v>1626</v>
      </c>
      <c r="L1608" s="43" t="n"/>
      <c r="M1608" s="44" t="n"/>
      <c r="N1608" s="44" t="inlineStr">
        <is>
          <t>UCKZo4N0lVPccBkSiuyVh4yg</t>
        </is>
      </c>
      <c r="O1608" s="45" t="n">
        <v>44036.05208333334</v>
      </c>
      <c r="P1608" s="46" t="n">
        <v>44035</v>
      </c>
      <c r="Q1608" s="44" t="n">
        <v>1664</v>
      </c>
      <c r="R1608" s="44" t="inlineStr">
        <is>
          <t>No Video ID yet</t>
        </is>
      </c>
      <c r="S1608" s="46" t="n"/>
      <c r="T1608" s="46" t="n"/>
      <c r="U1608" s="44" t="n"/>
      <c r="V1608" s="44">
        <f>IF(AND(P1608&gt;=Calendar!$K$2,P1608&lt;EDATE(Calendar!$K$2,1),OR(Calendar!$K$4="*",N1608=Calendar!$K$4)),P1608*100+COUNTIFS($P$6:$P$3271,P1608,$Q$6:$Q$3271,"&lt;="&amp;Q1608,$N$6:$N$3271,Calendar!$K$4),"")</f>
        <v/>
      </c>
      <c r="W1608" s="44">
        <f>IF(AND(B1608=Queue!$C$4,OR(Queue!$K$4="*",N1608=Queue!$K$4)),Q1608,"")</f>
        <v/>
      </c>
    </row>
    <row r="1609">
      <c r="A1609" s="35">
        <f>IF(M1609="","",HYPERLINK("https://www.youtube.com/watch?v="&amp;M1609,"▶"))</f>
        <v/>
      </c>
      <c r="B1609" s="36">
        <f>IF(C1609&lt;&gt;"",C1609,IF(P1609&lt;=IFERROR(INDEX(tblChannels[Watched Through],MATCH(N1609,tblChannels[Channel ID],0)),0),"Watched","Unwatched"))</f>
        <v/>
      </c>
      <c r="C1609" s="37" t="n"/>
      <c r="D1609" s="38" t="n"/>
      <c r="E1609" s="39" t="n">
        <v>44033.6875</v>
      </c>
      <c r="F1609" s="47" t="inlineStr">
        <is>
          <t>Super Carlin Brothers</t>
        </is>
      </c>
      <c r="G1609" t="inlineStr">
        <is>
          <t>Ty Lee Is An Air Nomad [Avatar: The Last Airbender Theory]</t>
        </is>
      </c>
      <c r="H1609" s="41" t="n">
        <v>0.01008101851851852</v>
      </c>
      <c r="I1609" s="42" t="n">
        <v>1666534</v>
      </c>
      <c r="J1609" s="42" t="n">
        <v>63733</v>
      </c>
      <c r="K1609" s="42" t="n">
        <v>7184</v>
      </c>
      <c r="L1609" s="43" t="n"/>
      <c r="M1609" s="44" t="n"/>
      <c r="N1609" s="44" t="inlineStr">
        <is>
          <t>UCKZo4N0lVPccBkSiuyVh4yg</t>
        </is>
      </c>
      <c r="O1609" s="45" t="n">
        <v>44033.85416666666</v>
      </c>
      <c r="P1609" s="46" t="n">
        <v>44033</v>
      </c>
      <c r="Q1609" s="44" t="n">
        <v>1663</v>
      </c>
      <c r="R1609" s="44" t="inlineStr">
        <is>
          <t>No Video ID yet</t>
        </is>
      </c>
      <c r="S1609" s="46" t="n"/>
      <c r="T1609" s="46" t="n"/>
      <c r="U1609" s="44" t="n"/>
      <c r="V1609" s="44">
        <f>IF(AND(P1609&gt;=Calendar!$K$2,P1609&lt;EDATE(Calendar!$K$2,1),OR(Calendar!$K$4="*",N1609=Calendar!$K$4)),P1609*100+COUNTIFS($P$6:$P$3271,P1609,$Q$6:$Q$3271,"&lt;="&amp;Q1609,$N$6:$N$3271,Calendar!$K$4),"")</f>
        <v/>
      </c>
      <c r="W1609" s="44">
        <f>IF(AND(B1609=Queue!$C$4,OR(Queue!$K$4="*",N1609=Queue!$K$4)),Q1609,"")</f>
        <v/>
      </c>
    </row>
    <row r="1610">
      <c r="A1610" s="35">
        <f>IF(M1610="","",HYPERLINK("https://www.youtube.com/watch?v="&amp;M1610,"▶"))</f>
        <v/>
      </c>
      <c r="B1610" s="36">
        <f>IF(C1610&lt;&gt;"",C1610,IF(P1610&lt;=IFERROR(INDEX(tblChannels[Watched Through],MATCH(N1610,tblChannels[Channel ID],0)),0),"Watched","Unwatched"))</f>
        <v/>
      </c>
      <c r="C1610" s="37" t="n"/>
      <c r="D1610" s="38" t="n"/>
      <c r="E1610" s="39" t="n">
        <v>44028.77916666667</v>
      </c>
      <c r="F1610" s="47" t="inlineStr">
        <is>
          <t>Super Carlin Brothers</t>
        </is>
      </c>
      <c r="G1610" t="inlineStr">
        <is>
          <t>Draco Malfoy's Patronus [Harry Potter Theory]</t>
        </is>
      </c>
      <c r="H1610" s="41" t="n">
        <v>0.0112037037037037</v>
      </c>
      <c r="I1610" s="42" t="n">
        <v>722573</v>
      </c>
      <c r="J1610" s="42" t="n">
        <v>27134</v>
      </c>
      <c r="K1610" s="42" t="n">
        <v>3840</v>
      </c>
      <c r="L1610" s="43" t="n"/>
      <c r="M1610" s="44" t="n"/>
      <c r="N1610" s="44" t="inlineStr">
        <is>
          <t>UCKZo4N0lVPccBkSiuyVh4yg</t>
        </is>
      </c>
      <c r="O1610" s="45" t="n">
        <v>44028.94583333333</v>
      </c>
      <c r="P1610" s="46" t="n">
        <v>44028</v>
      </c>
      <c r="Q1610" s="44" t="n">
        <v>1662</v>
      </c>
      <c r="R1610" s="44" t="inlineStr">
        <is>
          <t>No Video ID yet</t>
        </is>
      </c>
      <c r="S1610" s="46" t="n"/>
      <c r="T1610" s="46" t="n"/>
      <c r="U1610" s="44" t="n"/>
      <c r="V1610" s="44">
        <f>IF(AND(P1610&gt;=Calendar!$K$2,P1610&lt;EDATE(Calendar!$K$2,1),OR(Calendar!$K$4="*",N1610=Calendar!$K$4)),P1610*100+COUNTIFS($P$6:$P$3271,P1610,$Q$6:$Q$3271,"&lt;="&amp;Q1610,$N$6:$N$3271,Calendar!$K$4),"")</f>
        <v/>
      </c>
      <c r="W1610" s="44">
        <f>IF(AND(B1610=Queue!$C$4,OR(Queue!$K$4="*",N1610=Queue!$K$4)),Q1610,"")</f>
        <v/>
      </c>
    </row>
    <row r="1611">
      <c r="A1611" s="35">
        <f>IF(M1611="","",HYPERLINK("https://www.youtube.com/watch?v="&amp;M1611,"▶"))</f>
        <v/>
      </c>
      <c r="B1611" s="36">
        <f>IF(C1611&lt;&gt;"",C1611,IF(P1611&lt;=IFERROR(INDEX(tblChannels[Watched Through],MATCH(N1611,tblChannels[Channel ID],0)),0),"Watched","Unwatched"))</f>
        <v/>
      </c>
      <c r="C1611" s="37" t="n"/>
      <c r="D1611" s="38" t="n"/>
      <c r="E1611" s="39" t="n">
        <v>44026.68125</v>
      </c>
      <c r="F1611" s="47" t="inlineStr">
        <is>
          <t>Super Carlin Brothers</t>
        </is>
      </c>
      <c r="G1611" t="inlineStr">
        <is>
          <t>Why The Fire Nation Killed The Dragons [Avatar Theory]</t>
        </is>
      </c>
      <c r="H1611" s="41" t="n">
        <v>0.0106712962962963</v>
      </c>
      <c r="I1611" s="42" t="n">
        <v>783423</v>
      </c>
      <c r="J1611" s="42" t="n">
        <v>40609</v>
      </c>
      <c r="K1611" s="42" t="n">
        <v>8664</v>
      </c>
      <c r="L1611" s="43" t="n"/>
      <c r="M1611" s="44" t="n"/>
      <c r="N1611" s="44" t="inlineStr">
        <is>
          <t>UCKZo4N0lVPccBkSiuyVh4yg</t>
        </is>
      </c>
      <c r="O1611" s="45" t="n">
        <v>44026.84791666667</v>
      </c>
      <c r="P1611" s="46" t="n">
        <v>44026</v>
      </c>
      <c r="Q1611" s="44" t="n">
        <v>1661</v>
      </c>
      <c r="R1611" s="44" t="inlineStr">
        <is>
          <t>No Video ID yet</t>
        </is>
      </c>
      <c r="S1611" s="46" t="n"/>
      <c r="T1611" s="46" t="n"/>
      <c r="U1611" s="44" t="n"/>
      <c r="V1611" s="44">
        <f>IF(AND(P1611&gt;=Calendar!$K$2,P1611&lt;EDATE(Calendar!$K$2,1),OR(Calendar!$K$4="*",N1611=Calendar!$K$4)),P1611*100+COUNTIFS($P$6:$P$3271,P1611,$Q$6:$Q$3271,"&lt;="&amp;Q1611,$N$6:$N$3271,Calendar!$K$4),"")</f>
        <v/>
      </c>
      <c r="W1611" s="44">
        <f>IF(AND(B1611=Queue!$C$4,OR(Queue!$K$4="*",N1611=Queue!$K$4)),Q1611,"")</f>
        <v/>
      </c>
    </row>
    <row r="1612">
      <c r="A1612" s="35">
        <f>IF(M1612="","",HYPERLINK("https://www.youtube.com/watch?v="&amp;M1612,"▶"))</f>
        <v/>
      </c>
      <c r="B1612" s="36">
        <f>IF(C1612&lt;&gt;"",C1612,IF(P1612&lt;=IFERROR(INDEX(tblChannels[Watched Through],MATCH(N1612,tblChannels[Channel ID],0)),0),"Watched","Unwatched"))</f>
        <v/>
      </c>
      <c r="C1612" s="37" t="n"/>
      <c r="D1612" s="38" t="n"/>
      <c r="E1612" s="39" t="n">
        <v>44022.87847222222</v>
      </c>
      <c r="F1612" s="47" t="inlineStr">
        <is>
          <t>Super Carlin Brothers</t>
        </is>
      </c>
      <c r="G1612" t="inlineStr">
        <is>
          <t>ALL FANDOMS Trivia Night LIVE STREAM!</t>
        </is>
      </c>
      <c r="H1612" s="41" t="n">
        <v>0.1182175925925926</v>
      </c>
      <c r="I1612" s="42" t="n">
        <v>523285</v>
      </c>
      <c r="J1612" s="42" t="n">
        <v>3851</v>
      </c>
      <c r="K1612" s="42" t="n">
        <v>302</v>
      </c>
      <c r="L1612" s="43" t="n"/>
      <c r="M1612" s="44" t="n"/>
      <c r="N1612" s="44" t="inlineStr">
        <is>
          <t>UCKZo4N0lVPccBkSiuyVh4yg</t>
        </is>
      </c>
      <c r="O1612" s="45" t="n">
        <v>44023.04513888889</v>
      </c>
      <c r="P1612" s="46" t="n">
        <v>44022</v>
      </c>
      <c r="Q1612" s="44" t="n">
        <v>1660</v>
      </c>
      <c r="R1612" s="44" t="inlineStr">
        <is>
          <t>No Video ID yet</t>
        </is>
      </c>
      <c r="S1612" s="46" t="n"/>
      <c r="T1612" s="46" t="n"/>
      <c r="U1612" s="44" t="n"/>
      <c r="V1612" s="44">
        <f>IF(AND(P1612&gt;=Calendar!$K$2,P1612&lt;EDATE(Calendar!$K$2,1),OR(Calendar!$K$4="*",N1612=Calendar!$K$4)),P1612*100+COUNTIFS($P$6:$P$3271,P1612,$Q$6:$Q$3271,"&lt;="&amp;Q1612,$N$6:$N$3271,Calendar!$K$4),"")</f>
        <v/>
      </c>
      <c r="W1612" s="44">
        <f>IF(AND(B1612=Queue!$C$4,OR(Queue!$K$4="*",N1612=Queue!$K$4)),Q1612,"")</f>
        <v/>
      </c>
    </row>
    <row r="1613">
      <c r="A1613" s="35">
        <f>IF(M1613="","",HYPERLINK("https://www.youtube.com/watch?v="&amp;M1613,"▶"))</f>
        <v/>
      </c>
      <c r="B1613" s="36">
        <f>IF(C1613&lt;&gt;"",C1613,IF(P1613&lt;=IFERROR(INDEX(tblChannels[Watched Through],MATCH(N1613,tblChannels[Channel ID],0)),0),"Watched","Unwatched"))</f>
        <v/>
      </c>
      <c r="C1613" s="37" t="n"/>
      <c r="D1613" s="38" t="n"/>
      <c r="E1613" s="39" t="n">
        <v>44021.81319444445</v>
      </c>
      <c r="F1613" s="47" t="inlineStr">
        <is>
          <t>Super Carlin Brothers</t>
        </is>
      </c>
      <c r="G1613" t="inlineStr">
        <is>
          <t>J vs Ben: The HARDEST Death Eater Trivia Quiz EVER [Harry Potter Trivia]</t>
        </is>
      </c>
      <c r="H1613" s="41" t="n">
        <v>0.01480324074074074</v>
      </c>
      <c r="I1613" s="42" t="n">
        <v>474563</v>
      </c>
      <c r="J1613" s="42" t="n">
        <v>14421</v>
      </c>
      <c r="K1613" s="42" t="n">
        <v>1362</v>
      </c>
      <c r="L1613" s="43" t="n"/>
      <c r="M1613" s="44" t="n"/>
      <c r="N1613" s="44" t="inlineStr">
        <is>
          <t>UCKZo4N0lVPccBkSiuyVh4yg</t>
        </is>
      </c>
      <c r="O1613" s="45" t="n">
        <v>44021.97986111111</v>
      </c>
      <c r="P1613" s="46" t="n">
        <v>44021</v>
      </c>
      <c r="Q1613" s="44" t="n">
        <v>1659</v>
      </c>
      <c r="R1613" s="44" t="inlineStr">
        <is>
          <t>No Video ID yet</t>
        </is>
      </c>
      <c r="S1613" s="46" t="n"/>
      <c r="T1613" s="46" t="n"/>
      <c r="U1613" s="44" t="n"/>
      <c r="V1613" s="44">
        <f>IF(AND(P1613&gt;=Calendar!$K$2,P1613&lt;EDATE(Calendar!$K$2,1),OR(Calendar!$K$4="*",N1613=Calendar!$K$4)),P1613*100+COUNTIFS($P$6:$P$3271,P1613,$Q$6:$Q$3271,"&lt;="&amp;Q1613,$N$6:$N$3271,Calendar!$K$4),"")</f>
        <v/>
      </c>
      <c r="W1613" s="44">
        <f>IF(AND(B1613=Queue!$C$4,OR(Queue!$K$4="*",N1613=Queue!$K$4)),Q1613,"")</f>
        <v/>
      </c>
    </row>
    <row r="1614">
      <c r="A1614" s="35">
        <f>IF(M1614="","",HYPERLINK("https://www.youtube.com/watch?v="&amp;M1614,"▶"))</f>
        <v/>
      </c>
      <c r="B1614" s="36">
        <f>IF(C1614&lt;&gt;"",C1614,IF(P1614&lt;=IFERROR(INDEX(tblChannels[Watched Through],MATCH(N1614,tblChannels[Channel ID],0)),0),"Watched","Unwatched"))</f>
        <v/>
      </c>
      <c r="C1614" s="37" t="n"/>
      <c r="D1614" s="38" t="n"/>
      <c r="E1614" s="39" t="n">
        <v>44019.67916666667</v>
      </c>
      <c r="F1614" s="47" t="inlineStr">
        <is>
          <t>Super Carlin Brothers</t>
        </is>
      </c>
      <c r="G1614" t="inlineStr">
        <is>
          <t>The Truth About Disney’s Splash Mountain</t>
        </is>
      </c>
      <c r="H1614" s="41" t="n">
        <v>0.00832175925925926</v>
      </c>
      <c r="I1614" s="42" t="n">
        <v>263540</v>
      </c>
      <c r="J1614" s="42" t="n">
        <v>13446</v>
      </c>
      <c r="K1614" s="42" t="n">
        <v>2365</v>
      </c>
      <c r="L1614" s="43" t="n"/>
      <c r="M1614" s="44" t="n"/>
      <c r="N1614" s="44" t="inlineStr">
        <is>
          <t>UCKZo4N0lVPccBkSiuyVh4yg</t>
        </is>
      </c>
      <c r="O1614" s="45" t="n">
        <v>44019.84583333333</v>
      </c>
      <c r="P1614" s="46" t="n">
        <v>44019</v>
      </c>
      <c r="Q1614" s="44" t="n">
        <v>1658</v>
      </c>
      <c r="R1614" s="44" t="inlineStr">
        <is>
          <t>No Video ID yet</t>
        </is>
      </c>
      <c r="S1614" s="46" t="n"/>
      <c r="T1614" s="46" t="n"/>
      <c r="U1614" s="44" t="n"/>
      <c r="V1614" s="44">
        <f>IF(AND(P1614&gt;=Calendar!$K$2,P1614&lt;EDATE(Calendar!$K$2,1),OR(Calendar!$K$4="*",N1614=Calendar!$K$4)),P1614*100+COUNTIFS($P$6:$P$3271,P1614,$Q$6:$Q$3271,"&lt;="&amp;Q1614,$N$6:$N$3271,Calendar!$K$4),"")</f>
        <v/>
      </c>
      <c r="W1614" s="44">
        <f>IF(AND(B1614=Queue!$C$4,OR(Queue!$K$4="*",N1614=Queue!$K$4)),Q1614,"")</f>
        <v/>
      </c>
    </row>
    <row r="1615">
      <c r="A1615" s="35">
        <f>IF(M1615="","",HYPERLINK("https://www.youtube.com/watch?v="&amp;M1615,"▶"))</f>
        <v/>
      </c>
      <c r="B1615" s="36">
        <f>IF(C1615&lt;&gt;"",C1615,IF(P1615&lt;=IFERROR(INDEX(tblChannels[Watched Through],MATCH(N1615,tblChannels[Channel ID],0)),0),"Watched","Unwatched"))</f>
        <v/>
      </c>
      <c r="C1615" s="37" t="n"/>
      <c r="D1615" s="38" t="n"/>
      <c r="E1615" s="39" t="n">
        <v>44014.79861111111</v>
      </c>
      <c r="F1615" s="47" t="inlineStr">
        <is>
          <t>Super Carlin Brothers</t>
        </is>
      </c>
      <c r="G1615" t="inlineStr">
        <is>
          <t>Why Harry &amp; Hermione Should Be Together [Harry Potter Theory]</t>
        </is>
      </c>
      <c r="H1615" s="41" t="n">
        <v>0.01203703703703704</v>
      </c>
      <c r="I1615" s="42" t="n">
        <v>958742</v>
      </c>
      <c r="J1615" s="42" t="n">
        <v>36346</v>
      </c>
      <c r="K1615" s="42" t="n">
        <v>8491</v>
      </c>
      <c r="L1615" s="43" t="n"/>
      <c r="M1615" s="44" t="n"/>
      <c r="N1615" s="44" t="inlineStr">
        <is>
          <t>UCKZo4N0lVPccBkSiuyVh4yg</t>
        </is>
      </c>
      <c r="O1615" s="45" t="n">
        <v>44014.96527777778</v>
      </c>
      <c r="P1615" s="46" t="n">
        <v>44014</v>
      </c>
      <c r="Q1615" s="44" t="n">
        <v>1657</v>
      </c>
      <c r="R1615" s="44" t="inlineStr">
        <is>
          <t>No Video ID yet</t>
        </is>
      </c>
      <c r="S1615" s="46" t="n"/>
      <c r="T1615" s="46" t="n"/>
      <c r="U1615" s="44" t="n"/>
      <c r="V1615" s="44">
        <f>IF(AND(P1615&gt;=Calendar!$K$2,P1615&lt;EDATE(Calendar!$K$2,1),OR(Calendar!$K$4="*",N1615=Calendar!$K$4)),P1615*100+COUNTIFS($P$6:$P$3271,P1615,$Q$6:$Q$3271,"&lt;="&amp;Q1615,$N$6:$N$3271,Calendar!$K$4),"")</f>
        <v/>
      </c>
      <c r="W1615" s="44">
        <f>IF(AND(B1615=Queue!$C$4,OR(Queue!$K$4="*",N1615=Queue!$K$4)),Q1615,"")</f>
        <v/>
      </c>
    </row>
    <row r="1616">
      <c r="A1616" s="35">
        <f>IF(M1616="","",HYPERLINK("https://www.youtube.com/watch?v="&amp;M1616,"▶"))</f>
        <v/>
      </c>
      <c r="B1616" s="36">
        <f>IF(C1616&lt;&gt;"",C1616,IF(P1616&lt;=IFERROR(INDEX(tblChannels[Watched Through],MATCH(N1616,tblChannels[Channel ID],0)),0),"Watched","Unwatched"))</f>
        <v/>
      </c>
      <c r="C1616" s="37" t="n"/>
      <c r="D1616" s="38" t="n"/>
      <c r="E1616" s="39" t="n">
        <v>44012.71180555555</v>
      </c>
      <c r="F1616" s="47" t="inlineStr">
        <is>
          <t>Super Carlin Brothers</t>
        </is>
      </c>
      <c r="G1616" t="inlineStr">
        <is>
          <t>Did Yzma Kill Kuzco’s Parents? [Disney Theory]</t>
        </is>
      </c>
      <c r="H1616" s="41" t="n">
        <v>0.009409722222222222</v>
      </c>
      <c r="I1616" s="42" t="n">
        <v>437350</v>
      </c>
      <c r="J1616" s="42" t="n">
        <v>19927</v>
      </c>
      <c r="K1616" s="42" t="n">
        <v>1904</v>
      </c>
      <c r="L1616" s="43" t="n"/>
      <c r="M1616" s="44" t="n"/>
      <c r="N1616" s="44" t="inlineStr">
        <is>
          <t>UCKZo4N0lVPccBkSiuyVh4yg</t>
        </is>
      </c>
      <c r="O1616" s="45" t="n">
        <v>44012.87847222222</v>
      </c>
      <c r="P1616" s="46" t="n">
        <v>44012</v>
      </c>
      <c r="Q1616" s="44" t="n">
        <v>1656</v>
      </c>
      <c r="R1616" s="44" t="inlineStr">
        <is>
          <t>No Video ID yet</t>
        </is>
      </c>
      <c r="S1616" s="46" t="n"/>
      <c r="T1616" s="46" t="n"/>
      <c r="U1616" s="44" t="n"/>
      <c r="V1616" s="44">
        <f>IF(AND(P1616&gt;=Calendar!$K$2,P1616&lt;EDATE(Calendar!$K$2,1),OR(Calendar!$K$4="*",N1616=Calendar!$K$4)),P1616*100+COUNTIFS($P$6:$P$3271,P1616,$Q$6:$Q$3271,"&lt;="&amp;Q1616,$N$6:$N$3271,Calendar!$K$4),"")</f>
        <v/>
      </c>
      <c r="W1616" s="44">
        <f>IF(AND(B1616=Queue!$C$4,OR(Queue!$K$4="*",N1616=Queue!$K$4)),Q1616,"")</f>
        <v/>
      </c>
    </row>
    <row r="1617">
      <c r="A1617" s="35">
        <f>IF(M1617="","",HYPERLINK("https://www.youtube.com/watch?v="&amp;M1617,"▶"))</f>
        <v/>
      </c>
      <c r="B1617" s="36">
        <f>IF(C1617&lt;&gt;"",C1617,IF(P1617&lt;=IFERROR(INDEX(tblChannels[Watched Through],MATCH(N1617,tblChannels[Channel ID],0)),0),"Watched","Unwatched"))</f>
        <v/>
      </c>
      <c r="C1617" s="37" t="n"/>
      <c r="D1617" s="38" t="n"/>
      <c r="E1617" s="39" t="n">
        <v>44011.61180555556</v>
      </c>
      <c r="F1617" s="40" t="inlineStr">
        <is>
          <t>Popcorn Culture</t>
        </is>
      </c>
      <c r="G1617" t="inlineStr">
        <is>
          <t>29 - Duck in a Cup</t>
        </is>
      </c>
      <c r="H1617" s="41" t="n">
        <v>0.04722222222222222</v>
      </c>
      <c r="I1617" s="42" t="n">
        <v>4944</v>
      </c>
      <c r="J1617" s="42" t="n">
        <v>219</v>
      </c>
      <c r="K1617" s="42" t="n">
        <v>54</v>
      </c>
      <c r="L1617" s="43" t="n"/>
      <c r="M1617" s="44" t="n"/>
      <c r="N1617" s="44" t="inlineStr">
        <is>
          <t>UCHfIbq9thHPC8yrKjAdJgDA</t>
        </is>
      </c>
      <c r="O1617" s="45" t="n">
        <v>44011.77847222222</v>
      </c>
      <c r="P1617" s="46" t="n">
        <v>44011</v>
      </c>
      <c r="Q1617" s="44" t="n">
        <v>1655</v>
      </c>
      <c r="R1617" s="44" t="inlineStr">
        <is>
          <t>No Video ID yet</t>
        </is>
      </c>
      <c r="S1617" s="46" t="n"/>
      <c r="T1617" s="46" t="n"/>
      <c r="U1617" s="44" t="n"/>
      <c r="V1617" s="44">
        <f>IF(AND(P1617&gt;=Calendar!$K$2,P1617&lt;EDATE(Calendar!$K$2,1),OR(Calendar!$K$4="*",N1617=Calendar!$K$4)),P1617*100+COUNTIFS($P$6:$P$3271,P1617,$Q$6:$Q$3271,"&lt;="&amp;Q1617,$N$6:$N$3271,Calendar!$K$4),"")</f>
        <v/>
      </c>
      <c r="W1617" s="44">
        <f>IF(AND(B1617=Queue!$C$4,OR(Queue!$K$4="*",N1617=Queue!$K$4)),Q1617,"")</f>
        <v/>
      </c>
    </row>
    <row r="1618">
      <c r="A1618" s="35">
        <f>IF(M1618="","",HYPERLINK("https://www.youtube.com/watch?v="&amp;M1618,"▶"))</f>
        <v/>
      </c>
      <c r="B1618" s="36">
        <f>IF(C1618&lt;&gt;"",C1618,IF(P1618&lt;=IFERROR(INDEX(tblChannels[Watched Through],MATCH(N1618,tblChannels[Channel ID],0)),0),"Watched","Unwatched"))</f>
        <v/>
      </c>
      <c r="C1618" s="37" t="n"/>
      <c r="D1618" s="38" t="n"/>
      <c r="E1618" s="39" t="n">
        <v>44008.86875</v>
      </c>
      <c r="F1618" s="47" t="inlineStr">
        <is>
          <t>Super Carlin Brothers</t>
        </is>
      </c>
      <c r="G1618" t="inlineStr">
        <is>
          <t>Our thoughts on JK Rowling &amp; Harry Potter Trivia Night LIVE STREAM!</t>
        </is>
      </c>
      <c r="H1618" s="41" t="n">
        <v>0.1048726851851852</v>
      </c>
      <c r="I1618" s="42" t="n">
        <v>291777</v>
      </c>
      <c r="J1618" s="42" t="n">
        <v>3525</v>
      </c>
      <c r="K1618" s="42" t="n">
        <v>433</v>
      </c>
      <c r="L1618" s="43" t="n"/>
      <c r="M1618" s="44" t="n"/>
      <c r="N1618" s="44" t="inlineStr">
        <is>
          <t>UCKZo4N0lVPccBkSiuyVh4yg</t>
        </is>
      </c>
      <c r="O1618" s="45" t="n">
        <v>44009.03541666667</v>
      </c>
      <c r="P1618" s="46" t="n">
        <v>44008</v>
      </c>
      <c r="Q1618" s="44" t="n">
        <v>1654</v>
      </c>
      <c r="R1618" s="44" t="inlineStr">
        <is>
          <t>No Video ID yet</t>
        </is>
      </c>
      <c r="S1618" s="46" t="n"/>
      <c r="T1618" s="46" t="n"/>
      <c r="U1618" s="44" t="n"/>
      <c r="V1618" s="44">
        <f>IF(AND(P1618&gt;=Calendar!$K$2,P1618&lt;EDATE(Calendar!$K$2,1),OR(Calendar!$K$4="*",N1618=Calendar!$K$4)),P1618*100+COUNTIFS($P$6:$P$3271,P1618,$Q$6:$Q$3271,"&lt;="&amp;Q1618,$N$6:$N$3271,Calendar!$K$4),"")</f>
        <v/>
      </c>
      <c r="W1618" s="44">
        <f>IF(AND(B1618=Queue!$C$4,OR(Queue!$K$4="*",N1618=Queue!$K$4)),Q1618,"")</f>
        <v/>
      </c>
    </row>
    <row r="1619">
      <c r="A1619" s="35">
        <f>IF(M1619="","",HYPERLINK("https://www.youtube.com/watch?v="&amp;M1619,"▶"))</f>
        <v/>
      </c>
      <c r="B1619" s="36">
        <f>IF(C1619&lt;&gt;"",C1619,IF(P1619&lt;=IFERROR(INDEX(tblChannels[Watched Through],MATCH(N1619,tblChannels[Channel ID],0)),0),"Watched","Unwatched"))</f>
        <v/>
      </c>
      <c r="C1619" s="37" t="n"/>
      <c r="D1619" s="38" t="n"/>
      <c r="E1619" s="39" t="n">
        <v>44007.81388888889</v>
      </c>
      <c r="F1619" s="47" t="inlineStr">
        <is>
          <t>Super Carlin Brothers</t>
        </is>
      </c>
      <c r="G1619" t="inlineStr">
        <is>
          <t>J vs Ben: ULTIMATE Malfoy Family Trivia Quiz [Harry Potter Trivia]</t>
        </is>
      </c>
      <c r="H1619" s="41" t="n">
        <v>0.01341435185185185</v>
      </c>
      <c r="I1619" s="42" t="n">
        <v>180297</v>
      </c>
      <c r="J1619" s="42" t="n">
        <v>8429</v>
      </c>
      <c r="K1619" s="42" t="n">
        <v>1457</v>
      </c>
      <c r="L1619" s="43" t="n"/>
      <c r="M1619" s="44" t="n"/>
      <c r="N1619" s="44" t="inlineStr">
        <is>
          <t>UCKZo4N0lVPccBkSiuyVh4yg</t>
        </is>
      </c>
      <c r="O1619" s="45" t="n">
        <v>44007.98055555556</v>
      </c>
      <c r="P1619" s="46" t="n">
        <v>44007</v>
      </c>
      <c r="Q1619" s="44" t="n">
        <v>1653</v>
      </c>
      <c r="R1619" s="44" t="inlineStr">
        <is>
          <t>No Video ID yet</t>
        </is>
      </c>
      <c r="S1619" s="46" t="n"/>
      <c r="T1619" s="46" t="n"/>
      <c r="U1619" s="44" t="n"/>
      <c r="V1619" s="44">
        <f>IF(AND(P1619&gt;=Calendar!$K$2,P1619&lt;EDATE(Calendar!$K$2,1),OR(Calendar!$K$4="*",N1619=Calendar!$K$4)),P1619*100+COUNTIFS($P$6:$P$3271,P1619,$Q$6:$Q$3271,"&lt;="&amp;Q1619,$N$6:$N$3271,Calendar!$K$4),"")</f>
        <v/>
      </c>
      <c r="W1619" s="44">
        <f>IF(AND(B1619=Queue!$C$4,OR(Queue!$K$4="*",N1619=Queue!$K$4)),Q1619,"")</f>
        <v/>
      </c>
    </row>
    <row r="1620">
      <c r="A1620" s="35">
        <f>IF(M1620="","",HYPERLINK("https://www.youtube.com/watch?v="&amp;M1620,"▶"))</f>
        <v/>
      </c>
      <c r="B1620" s="36">
        <f>IF(C1620&lt;&gt;"",C1620,IF(P1620&lt;=IFERROR(INDEX(tblChannels[Watched Through],MATCH(N1620,tblChannels[Channel ID],0)),0),"Watched","Unwatched"))</f>
        <v/>
      </c>
      <c r="C1620" s="37" t="n"/>
      <c r="D1620" s="38" t="n"/>
      <c r="E1620" s="39" t="n">
        <v>44005.66666666666</v>
      </c>
      <c r="F1620" s="47" t="inlineStr">
        <is>
          <t>Super Carlin Brothers</t>
        </is>
      </c>
      <c r="G1620" t="inlineStr">
        <is>
          <t>Tina Is Master Of The Elder Wand [Harry Potter Theory]</t>
        </is>
      </c>
      <c r="H1620" s="41" t="n">
        <v>0.009456018518518518</v>
      </c>
      <c r="I1620" s="42" t="n">
        <v>318668</v>
      </c>
      <c r="J1620" s="42" t="n">
        <v>13199</v>
      </c>
      <c r="K1620" s="42" t="n">
        <v>2223</v>
      </c>
      <c r="L1620" s="43" t="n"/>
      <c r="M1620" s="44" t="n"/>
      <c r="N1620" s="44" t="inlineStr">
        <is>
          <t>UCKZo4N0lVPccBkSiuyVh4yg</t>
        </is>
      </c>
      <c r="O1620" s="45" t="n">
        <v>44005.83333333334</v>
      </c>
      <c r="P1620" s="46" t="n">
        <v>44005</v>
      </c>
      <c r="Q1620" s="44" t="n">
        <v>1652</v>
      </c>
      <c r="R1620" s="44" t="inlineStr">
        <is>
          <t>No Video ID yet</t>
        </is>
      </c>
      <c r="S1620" s="46" t="n"/>
      <c r="T1620" s="46" t="n"/>
      <c r="U1620" s="44" t="n"/>
      <c r="V1620" s="44">
        <f>IF(AND(P1620&gt;=Calendar!$K$2,P1620&lt;EDATE(Calendar!$K$2,1),OR(Calendar!$K$4="*",N1620=Calendar!$K$4)),P1620*100+COUNTIFS($P$6:$P$3271,P1620,$Q$6:$Q$3271,"&lt;="&amp;Q1620,$N$6:$N$3271,Calendar!$K$4),"")</f>
        <v/>
      </c>
      <c r="W1620" s="44">
        <f>IF(AND(B1620=Queue!$C$4,OR(Queue!$K$4="*",N1620=Queue!$K$4)),Q1620,"")</f>
        <v/>
      </c>
    </row>
    <row r="1621">
      <c r="A1621" s="35">
        <f>IF(M1621="","",HYPERLINK("https://www.youtube.com/watch?v="&amp;M1621,"▶"))</f>
        <v/>
      </c>
      <c r="B1621" s="36">
        <f>IF(C1621&lt;&gt;"",C1621,IF(P1621&lt;=IFERROR(INDEX(tblChannels[Watched Through],MATCH(N1621,tblChannels[Channel ID],0)),0),"Watched","Unwatched"))</f>
        <v/>
      </c>
      <c r="C1621" s="37" t="n"/>
      <c r="D1621" s="38" t="n"/>
      <c r="E1621" s="39" t="n">
        <v>44001.25</v>
      </c>
      <c r="F1621" s="40" t="inlineStr">
        <is>
          <t>Popcorn Culture</t>
        </is>
      </c>
      <c r="G1621" t="inlineStr">
        <is>
          <t>28 - Is Everyone Let Down by Their Sports Teams?</t>
        </is>
      </c>
      <c r="H1621" s="41" t="n">
        <v>0.04542824074074074</v>
      </c>
      <c r="I1621" s="42" t="n">
        <v>4286</v>
      </c>
      <c r="J1621" s="42" t="n">
        <v>199</v>
      </c>
      <c r="K1621" s="42" t="n">
        <v>28</v>
      </c>
      <c r="L1621" s="43" t="n"/>
      <c r="M1621" s="44" t="n"/>
      <c r="N1621" s="44" t="inlineStr">
        <is>
          <t>UCHfIbq9thHPC8yrKjAdJgDA</t>
        </is>
      </c>
      <c r="O1621" s="45" t="n">
        <v>44001.41666666666</v>
      </c>
      <c r="P1621" s="46" t="n">
        <v>44001</v>
      </c>
      <c r="Q1621" s="44" t="n">
        <v>1651</v>
      </c>
      <c r="R1621" s="44" t="inlineStr">
        <is>
          <t>No Video ID yet</t>
        </is>
      </c>
      <c r="S1621" s="46" t="n"/>
      <c r="T1621" s="46" t="n"/>
      <c r="U1621" s="44" t="n"/>
      <c r="V1621" s="44">
        <f>IF(AND(P1621&gt;=Calendar!$K$2,P1621&lt;EDATE(Calendar!$K$2,1),OR(Calendar!$K$4="*",N1621=Calendar!$K$4)),P1621*100+COUNTIFS($P$6:$P$3271,P1621,$Q$6:$Q$3271,"&lt;="&amp;Q1621,$N$6:$N$3271,Calendar!$K$4),"")</f>
        <v/>
      </c>
      <c r="W1621" s="44">
        <f>IF(AND(B1621=Queue!$C$4,OR(Queue!$K$4="*",N1621=Queue!$K$4)),Q1621,"")</f>
        <v/>
      </c>
    </row>
    <row r="1622">
      <c r="A1622" s="35">
        <f>IF(M1622="","",HYPERLINK("https://www.youtube.com/watch?v="&amp;M1622,"▶"))</f>
        <v/>
      </c>
      <c r="B1622" s="36">
        <f>IF(C1622&lt;&gt;"",C1622,IF(P1622&lt;=IFERROR(INDEX(tblChannels[Watched Through],MATCH(N1622,tblChannels[Channel ID],0)),0),"Watched","Unwatched"))</f>
        <v/>
      </c>
      <c r="C1622" s="37" t="n"/>
      <c r="D1622" s="38" t="n"/>
      <c r="E1622" s="39" t="n">
        <v>44000.79930555556</v>
      </c>
      <c r="F1622" s="47" t="inlineStr">
        <is>
          <t>Super Carlin Brothers</t>
        </is>
      </c>
      <c r="G1622" t="inlineStr">
        <is>
          <t>Why Neville is ACTUALLY a Samurai [Harry Potter Theory]</t>
        </is>
      </c>
      <c r="H1622" s="41" t="n">
        <v>0.01159722222222222</v>
      </c>
      <c r="I1622" s="42" t="n">
        <v>359949</v>
      </c>
      <c r="J1622" s="42" t="n">
        <v>15305</v>
      </c>
      <c r="K1622" s="42" t="n">
        <v>2153</v>
      </c>
      <c r="L1622" s="43" t="n"/>
      <c r="M1622" s="44" t="n"/>
      <c r="N1622" s="44" t="inlineStr">
        <is>
          <t>UCKZo4N0lVPccBkSiuyVh4yg</t>
        </is>
      </c>
      <c r="O1622" s="45" t="n">
        <v>44000.96597222222</v>
      </c>
      <c r="P1622" s="46" t="n">
        <v>44000</v>
      </c>
      <c r="Q1622" s="44" t="n">
        <v>1650</v>
      </c>
      <c r="R1622" s="44" t="inlineStr">
        <is>
          <t>No Video ID yet</t>
        </is>
      </c>
      <c r="S1622" s="46" t="n"/>
      <c r="T1622" s="46" t="n"/>
      <c r="U1622" s="44" t="n"/>
      <c r="V1622" s="44">
        <f>IF(AND(P1622&gt;=Calendar!$K$2,P1622&lt;EDATE(Calendar!$K$2,1),OR(Calendar!$K$4="*",N1622=Calendar!$K$4)),P1622*100+COUNTIFS($P$6:$P$3271,P1622,$Q$6:$Q$3271,"&lt;="&amp;Q1622,$N$6:$N$3271,Calendar!$K$4),"")</f>
        <v/>
      </c>
      <c r="W1622" s="44">
        <f>IF(AND(B1622=Queue!$C$4,OR(Queue!$K$4="*",N1622=Queue!$K$4)),Q1622,"")</f>
        <v/>
      </c>
    </row>
    <row r="1623">
      <c r="A1623" s="35">
        <f>IF(M1623="","",HYPERLINK("https://www.youtube.com/watch?v="&amp;M1623,"▶"))</f>
        <v/>
      </c>
      <c r="B1623" s="36">
        <f>IF(C1623&lt;&gt;"",C1623,IF(P1623&lt;=IFERROR(INDEX(tblChannels[Watched Through],MATCH(N1623,tblChannels[Channel ID],0)),0),"Watched","Unwatched"))</f>
        <v/>
      </c>
      <c r="C1623" s="37" t="n"/>
      <c r="D1623" s="38" t="n"/>
      <c r="E1623" s="39" t="n">
        <v>43999.25</v>
      </c>
      <c r="F1623" s="40" t="inlineStr">
        <is>
          <t>Popcorn Culture</t>
        </is>
      </c>
      <c r="G1623" t="inlineStr">
        <is>
          <t>27 - Send some love to the Caffeinator</t>
        </is>
      </c>
      <c r="H1623" s="41" t="n">
        <v>0.0424537037037037</v>
      </c>
      <c r="I1623" s="42" t="n">
        <v>3822</v>
      </c>
      <c r="J1623" s="42" t="n">
        <v>184</v>
      </c>
      <c r="K1623" s="42" t="n">
        <v>47</v>
      </c>
      <c r="L1623" s="43" t="n"/>
      <c r="M1623" s="44" t="n"/>
      <c r="N1623" s="44" t="inlineStr">
        <is>
          <t>UCHfIbq9thHPC8yrKjAdJgDA</t>
        </is>
      </c>
      <c r="O1623" s="45" t="n">
        <v>43999.41666666666</v>
      </c>
      <c r="P1623" s="46" t="n">
        <v>43999</v>
      </c>
      <c r="Q1623" s="44" t="n">
        <v>1649</v>
      </c>
      <c r="R1623" s="44" t="inlineStr">
        <is>
          <t>No Video ID yet</t>
        </is>
      </c>
      <c r="S1623" s="46" t="n"/>
      <c r="T1623" s="46" t="n"/>
      <c r="U1623" s="44" t="n"/>
      <c r="V1623" s="44">
        <f>IF(AND(P1623&gt;=Calendar!$K$2,P1623&lt;EDATE(Calendar!$K$2,1),OR(Calendar!$K$4="*",N1623=Calendar!$K$4)),P1623*100+COUNTIFS($P$6:$P$3271,P1623,$Q$6:$Q$3271,"&lt;="&amp;Q1623,$N$6:$N$3271,Calendar!$K$4),"")</f>
        <v/>
      </c>
      <c r="W1623" s="44">
        <f>IF(AND(B1623=Queue!$C$4,OR(Queue!$K$4="*",N1623=Queue!$K$4)),Q1623,"")</f>
        <v/>
      </c>
    </row>
    <row r="1624">
      <c r="A1624" s="35">
        <f>IF(M1624="","",HYPERLINK("https://www.youtube.com/watch?v="&amp;M1624,"▶"))</f>
        <v/>
      </c>
      <c r="B1624" s="36">
        <f>IF(C1624&lt;&gt;"",C1624,IF(P1624&lt;=IFERROR(INDEX(tblChannels[Watched Through],MATCH(N1624,tblChannels[Channel ID],0)),0),"Watched","Unwatched"))</f>
        <v/>
      </c>
      <c r="C1624" s="37" t="n"/>
      <c r="D1624" s="38" t="n"/>
      <c r="E1624" s="39" t="n">
        <v>43998.85</v>
      </c>
      <c r="F1624" s="47" t="inlineStr">
        <is>
          <t>Super Carlin Brothers</t>
        </is>
      </c>
      <c r="G1624" t="inlineStr">
        <is>
          <t>The Knight Bus's BIG SECRET [Harry Potter Theory]</t>
        </is>
      </c>
      <c r="H1624" s="41" t="n">
        <v>0.008506944444444444</v>
      </c>
      <c r="I1624" s="42" t="n">
        <v>624970</v>
      </c>
      <c r="J1624" s="42" t="n">
        <v>26258</v>
      </c>
      <c r="K1624" s="42" t="n">
        <v>2927</v>
      </c>
      <c r="L1624" s="43" t="n"/>
      <c r="M1624" s="44" t="n"/>
      <c r="N1624" s="44" t="inlineStr">
        <is>
          <t>UCKZo4N0lVPccBkSiuyVh4yg</t>
        </is>
      </c>
      <c r="O1624" s="45" t="n">
        <v>43999.01666666667</v>
      </c>
      <c r="P1624" s="46" t="n">
        <v>43998</v>
      </c>
      <c r="Q1624" s="44" t="n">
        <v>1648</v>
      </c>
      <c r="R1624" s="44" t="inlineStr">
        <is>
          <t>No Video ID yet</t>
        </is>
      </c>
      <c r="S1624" s="46" t="n"/>
      <c r="T1624" s="46" t="n"/>
      <c r="U1624" s="44" t="n"/>
      <c r="V1624" s="44">
        <f>IF(AND(P1624&gt;=Calendar!$K$2,P1624&lt;EDATE(Calendar!$K$2,1),OR(Calendar!$K$4="*",N1624=Calendar!$K$4)),P1624*100+COUNTIFS($P$6:$P$3271,P1624,$Q$6:$Q$3271,"&lt;="&amp;Q1624,$N$6:$N$3271,Calendar!$K$4),"")</f>
        <v/>
      </c>
      <c r="W1624" s="44">
        <f>IF(AND(B1624=Queue!$C$4,OR(Queue!$K$4="*",N1624=Queue!$K$4)),Q1624,"")</f>
        <v/>
      </c>
    </row>
    <row r="1625">
      <c r="A1625" s="35">
        <f>IF(M1625="","",HYPERLINK("https://www.youtube.com/watch?v="&amp;M1625,"▶"))</f>
        <v/>
      </c>
      <c r="B1625" s="36">
        <f>IF(C1625&lt;&gt;"",C1625,IF(P1625&lt;=IFERROR(INDEX(tblChannels[Watched Through],MATCH(N1625,tblChannels[Channel ID],0)),0),"Watched","Unwatched"))</f>
        <v/>
      </c>
      <c r="C1625" s="37" t="n"/>
      <c r="D1625" s="38" t="n"/>
      <c r="E1625" s="39" t="n">
        <v>43998.57847222222</v>
      </c>
      <c r="F1625" s="40" t="inlineStr">
        <is>
          <t>Popcorn Culture</t>
        </is>
      </c>
      <c r="G1625" t="inlineStr">
        <is>
          <t>26 - Foods that You Just Won’t Eat</t>
        </is>
      </c>
      <c r="H1625" s="41" t="n">
        <v>0.04342592592592592</v>
      </c>
      <c r="I1625" s="42" t="n">
        <v>4676</v>
      </c>
      <c r="J1625" s="42" t="n">
        <v>212</v>
      </c>
      <c r="K1625" s="42" t="n">
        <v>41</v>
      </c>
      <c r="L1625" s="43" t="n"/>
      <c r="M1625" s="44" t="n"/>
      <c r="N1625" s="44" t="inlineStr">
        <is>
          <t>UCHfIbq9thHPC8yrKjAdJgDA</t>
        </is>
      </c>
      <c r="O1625" s="45" t="n">
        <v>43998.74513888889</v>
      </c>
      <c r="P1625" s="46" t="n">
        <v>43998</v>
      </c>
      <c r="Q1625" s="44" t="n">
        <v>1647</v>
      </c>
      <c r="R1625" s="44" t="inlineStr">
        <is>
          <t>No Video ID yet</t>
        </is>
      </c>
      <c r="S1625" s="46" t="n"/>
      <c r="T1625" s="46" t="n"/>
      <c r="U1625" s="44" t="n"/>
      <c r="V1625" s="44">
        <f>IF(AND(P1625&gt;=Calendar!$K$2,P1625&lt;EDATE(Calendar!$K$2,1),OR(Calendar!$K$4="*",N1625=Calendar!$K$4)),P1625*100+COUNTIFS($P$6:$P$3271,P1625,$Q$6:$Q$3271,"&lt;="&amp;Q1625,$N$6:$N$3271,Calendar!$K$4),"")</f>
        <v/>
      </c>
      <c r="W1625" s="44">
        <f>IF(AND(B1625=Queue!$C$4,OR(Queue!$K$4="*",N1625=Queue!$K$4)),Q1625,"")</f>
        <v/>
      </c>
    </row>
    <row r="1626">
      <c r="A1626" s="35">
        <f>IF(M1626="","",HYPERLINK("https://www.youtube.com/watch?v="&amp;M1626,"▶"))</f>
        <v/>
      </c>
      <c r="B1626" s="36">
        <f>IF(C1626&lt;&gt;"",C1626,IF(P1626&lt;=IFERROR(INDEX(tblChannels[Watched Through],MATCH(N1626,tblChannels[Channel ID],0)),0),"Watched","Unwatched"))</f>
        <v/>
      </c>
      <c r="C1626" s="37" t="n"/>
      <c r="D1626" s="38" t="n"/>
      <c r="E1626" s="39" t="n">
        <v>43994.78680555556</v>
      </c>
      <c r="F1626" s="47" t="inlineStr">
        <is>
          <t>Super Carlin Brothers</t>
        </is>
      </c>
      <c r="G1626" t="inlineStr">
        <is>
          <t>Disney Trivia Night LIVE STREAM!</t>
        </is>
      </c>
      <c r="H1626" s="41" t="n">
        <v>0.1085648148148148</v>
      </c>
      <c r="I1626" s="42" t="n">
        <v>164655</v>
      </c>
      <c r="J1626" s="42" t="n">
        <v>2869</v>
      </c>
      <c r="K1626" s="42" t="n">
        <v>231</v>
      </c>
      <c r="L1626" s="43" t="n"/>
      <c r="M1626" s="44" t="n"/>
      <c r="N1626" s="44" t="inlineStr">
        <is>
          <t>UCKZo4N0lVPccBkSiuyVh4yg</t>
        </is>
      </c>
      <c r="O1626" s="45" t="n">
        <v>43994.95347222222</v>
      </c>
      <c r="P1626" s="46" t="n">
        <v>43994</v>
      </c>
      <c r="Q1626" s="44" t="n">
        <v>1646</v>
      </c>
      <c r="R1626" s="44" t="inlineStr">
        <is>
          <t>No Video ID yet</t>
        </is>
      </c>
      <c r="S1626" s="46" t="n"/>
      <c r="T1626" s="46" t="n"/>
      <c r="U1626" s="44" t="n"/>
      <c r="V1626" s="44">
        <f>IF(AND(P1626&gt;=Calendar!$K$2,P1626&lt;EDATE(Calendar!$K$2,1),OR(Calendar!$K$4="*",N1626=Calendar!$K$4)),P1626*100+COUNTIFS($P$6:$P$3271,P1626,$Q$6:$Q$3271,"&lt;="&amp;Q1626,$N$6:$N$3271,Calendar!$K$4),"")</f>
        <v/>
      </c>
      <c r="W1626" s="44">
        <f>IF(AND(B1626=Queue!$C$4,OR(Queue!$K$4="*",N1626=Queue!$K$4)),Q1626,"")</f>
        <v/>
      </c>
    </row>
    <row r="1627">
      <c r="A1627" s="35">
        <f>IF(M1627="","",HYPERLINK("https://www.youtube.com/watch?v="&amp;M1627,"▶"))</f>
        <v/>
      </c>
      <c r="B1627" s="36">
        <f>IF(C1627&lt;&gt;"",C1627,IF(P1627&lt;=IFERROR(INDEX(tblChannels[Watched Through],MATCH(N1627,tblChannels[Channel ID],0)),0),"Watched","Unwatched"))</f>
        <v/>
      </c>
      <c r="C1627" s="37" t="n"/>
      <c r="D1627" s="38" t="n"/>
      <c r="E1627" s="39" t="n">
        <v>43993.93402777778</v>
      </c>
      <c r="F1627" s="47" t="inlineStr">
        <is>
          <t>Super Carlin Brothers</t>
        </is>
      </c>
      <c r="G1627" t="inlineStr">
        <is>
          <t>J vs Ben: The HARDEST Disney Princess Trivia Quiz EVER</t>
        </is>
      </c>
      <c r="H1627" s="41" t="n">
        <v>0.02341435185185185</v>
      </c>
      <c r="I1627" s="42" t="n">
        <v>357763</v>
      </c>
      <c r="J1627" s="42" t="n">
        <v>13033</v>
      </c>
      <c r="K1627" s="42" t="n">
        <v>2306</v>
      </c>
      <c r="L1627" s="43" t="n"/>
      <c r="M1627" s="44" t="n"/>
      <c r="N1627" s="44" t="inlineStr">
        <is>
          <t>UCKZo4N0lVPccBkSiuyVh4yg</t>
        </is>
      </c>
      <c r="O1627" s="45" t="n">
        <v>43994.10069444445</v>
      </c>
      <c r="P1627" s="46" t="n">
        <v>43993</v>
      </c>
      <c r="Q1627" s="44" t="n">
        <v>1645</v>
      </c>
      <c r="R1627" s="44" t="inlineStr">
        <is>
          <t>No Video ID yet</t>
        </is>
      </c>
      <c r="S1627" s="46" t="n"/>
      <c r="T1627" s="46" t="n"/>
      <c r="U1627" s="44" t="n"/>
      <c r="V1627" s="44">
        <f>IF(AND(P1627&gt;=Calendar!$K$2,P1627&lt;EDATE(Calendar!$K$2,1),OR(Calendar!$K$4="*",N1627=Calendar!$K$4)),P1627*100+COUNTIFS($P$6:$P$3271,P1627,$Q$6:$Q$3271,"&lt;="&amp;Q1627,$N$6:$N$3271,Calendar!$K$4),"")</f>
        <v/>
      </c>
      <c r="W1627" s="44">
        <f>IF(AND(B1627=Queue!$C$4,OR(Queue!$K$4="*",N1627=Queue!$K$4)),Q1627,"")</f>
        <v/>
      </c>
    </row>
    <row r="1628">
      <c r="A1628" s="35">
        <f>IF(M1628="","",HYPERLINK("https://www.youtube.com/watch?v="&amp;M1628,"▶"))</f>
        <v/>
      </c>
      <c r="B1628" s="36">
        <f>IF(C1628&lt;&gt;"",C1628,IF(P1628&lt;=IFERROR(INDEX(tblChannels[Watched Through],MATCH(N1628,tblChannels[Channel ID],0)),0),"Watched","Unwatched"))</f>
        <v/>
      </c>
      <c r="C1628" s="37" t="n"/>
      <c r="D1628" s="38" t="n"/>
      <c r="E1628" s="39" t="n">
        <v>43991.91805555556</v>
      </c>
      <c r="F1628" s="47" t="inlineStr">
        <is>
          <t>Super Carlin Brothers</t>
        </is>
      </c>
      <c r="G1628" t="inlineStr">
        <is>
          <t>How Frozen 2 Recreates EVERY Disney Princess Movie</t>
        </is>
      </c>
      <c r="H1628" s="41" t="n">
        <v>0.009594907407407408</v>
      </c>
      <c r="I1628" s="42" t="n">
        <v>666347</v>
      </c>
      <c r="J1628" s="42" t="n">
        <v>30516</v>
      </c>
      <c r="K1628" s="42" t="n">
        <v>2358</v>
      </c>
      <c r="L1628" s="43" t="n"/>
      <c r="M1628" s="44" t="n"/>
      <c r="N1628" s="44" t="inlineStr">
        <is>
          <t>UCKZo4N0lVPccBkSiuyVh4yg</t>
        </is>
      </c>
      <c r="O1628" s="45" t="n">
        <v>43992.08472222222</v>
      </c>
      <c r="P1628" s="46" t="n">
        <v>43991</v>
      </c>
      <c r="Q1628" s="44" t="n">
        <v>1644</v>
      </c>
      <c r="R1628" s="44" t="inlineStr">
        <is>
          <t>No Video ID yet</t>
        </is>
      </c>
      <c r="S1628" s="46" t="n"/>
      <c r="T1628" s="46" t="n"/>
      <c r="U1628" s="44" t="n"/>
      <c r="V1628" s="44">
        <f>IF(AND(P1628&gt;=Calendar!$K$2,P1628&lt;EDATE(Calendar!$K$2,1),OR(Calendar!$K$4="*",N1628=Calendar!$K$4)),P1628*100+COUNTIFS($P$6:$P$3271,P1628,$Q$6:$Q$3271,"&lt;="&amp;Q1628,$N$6:$N$3271,Calendar!$K$4),"")</f>
        <v/>
      </c>
      <c r="W1628" s="44">
        <f>IF(AND(B1628=Queue!$C$4,OR(Queue!$K$4="*",N1628=Queue!$K$4)),Q1628,"")</f>
        <v/>
      </c>
    </row>
    <row r="1629">
      <c r="A1629" s="35">
        <f>IF(M1629="","",HYPERLINK("https://www.youtube.com/watch?v="&amp;M1629,"▶"))</f>
        <v/>
      </c>
      <c r="B1629" s="36">
        <f>IF(C1629&lt;&gt;"",C1629,IF(P1629&lt;=IFERROR(INDEX(tblChannels[Watched Through],MATCH(N1629,tblChannels[Channel ID],0)),0),"Watched","Unwatched"))</f>
        <v/>
      </c>
      <c r="C1629" s="37" t="n"/>
      <c r="D1629" s="38" t="n"/>
      <c r="E1629" s="39" t="n">
        <v>43987.77222222222</v>
      </c>
      <c r="F1629" s="47" t="inlineStr">
        <is>
          <t>Super Carlin Brothers</t>
        </is>
      </c>
      <c r="G1629" t="inlineStr">
        <is>
          <t>Harry Potter Trivia Night LIVE STREAM!</t>
        </is>
      </c>
      <c r="H1629" s="41" t="n">
        <v>0.09461805555555555</v>
      </c>
      <c r="I1629" s="42" t="n">
        <v>165029</v>
      </c>
      <c r="J1629" s="42" t="n">
        <v>3192</v>
      </c>
      <c r="K1629" s="42" t="n">
        <v>176</v>
      </c>
      <c r="L1629" s="43" t="n"/>
      <c r="M1629" s="44" t="n"/>
      <c r="N1629" s="44" t="inlineStr">
        <is>
          <t>UCKZo4N0lVPccBkSiuyVh4yg</t>
        </is>
      </c>
      <c r="O1629" s="45" t="n">
        <v>43987.93888888889</v>
      </c>
      <c r="P1629" s="46" t="n">
        <v>43987</v>
      </c>
      <c r="Q1629" s="44" t="n">
        <v>1643</v>
      </c>
      <c r="R1629" s="44" t="inlineStr">
        <is>
          <t>No Video ID yet</t>
        </is>
      </c>
      <c r="S1629" s="46" t="n"/>
      <c r="T1629" s="46" t="n"/>
      <c r="U1629" s="44" t="n"/>
      <c r="V1629" s="44">
        <f>IF(AND(P1629&gt;=Calendar!$K$2,P1629&lt;EDATE(Calendar!$K$2,1),OR(Calendar!$K$4="*",N1629=Calendar!$K$4)),P1629*100+COUNTIFS($P$6:$P$3271,P1629,$Q$6:$Q$3271,"&lt;="&amp;Q1629,$N$6:$N$3271,Calendar!$K$4),"")</f>
        <v/>
      </c>
      <c r="W1629" s="44">
        <f>IF(AND(B1629=Queue!$C$4,OR(Queue!$K$4="*",N1629=Queue!$K$4)),Q1629,"")</f>
        <v/>
      </c>
    </row>
    <row r="1630">
      <c r="A1630" s="35">
        <f>IF(M1630="","",HYPERLINK("https://www.youtube.com/watch?v="&amp;M1630,"▶"))</f>
        <v/>
      </c>
      <c r="B1630" s="36">
        <f>IF(C1630&lt;&gt;"",C1630,IF(P1630&lt;=IFERROR(INDEX(tblChannels[Watched Through],MATCH(N1630,tblChannels[Channel ID],0)),0),"Watched","Unwatched"))</f>
        <v/>
      </c>
      <c r="C1630" s="37" t="n"/>
      <c r="D1630" s="38" t="n"/>
      <c r="E1630" s="39" t="n">
        <v>43986.77013888889</v>
      </c>
      <c r="F1630" s="47" t="inlineStr">
        <is>
          <t>Super Carlin Brothers</t>
        </is>
      </c>
      <c r="G1630" t="inlineStr">
        <is>
          <t>Why Snape Was Forced To Teach Potions [Harry Potter Theory]</t>
        </is>
      </c>
      <c r="H1630" s="41" t="n">
        <v>0.0102662037037037</v>
      </c>
      <c r="I1630" s="42" t="n">
        <v>1541426</v>
      </c>
      <c r="J1630" s="42" t="n">
        <v>44283</v>
      </c>
      <c r="K1630" s="42" t="n">
        <v>3573</v>
      </c>
      <c r="L1630" s="43" t="n"/>
      <c r="M1630" s="44" t="n"/>
      <c r="N1630" s="44" t="inlineStr">
        <is>
          <t>UCKZo4N0lVPccBkSiuyVh4yg</t>
        </is>
      </c>
      <c r="O1630" s="45" t="n">
        <v>43986.93680555555</v>
      </c>
      <c r="P1630" s="46" t="n">
        <v>43986</v>
      </c>
      <c r="Q1630" s="44" t="n">
        <v>1642</v>
      </c>
      <c r="R1630" s="44" t="inlineStr">
        <is>
          <t>No Video ID yet</t>
        </is>
      </c>
      <c r="S1630" s="46" t="n"/>
      <c r="T1630" s="46" t="n"/>
      <c r="U1630" s="44" t="n"/>
      <c r="V1630" s="44">
        <f>IF(AND(P1630&gt;=Calendar!$K$2,P1630&lt;EDATE(Calendar!$K$2,1),OR(Calendar!$K$4="*",N1630=Calendar!$K$4)),P1630*100+COUNTIFS($P$6:$P$3271,P1630,$Q$6:$Q$3271,"&lt;="&amp;Q1630,$N$6:$N$3271,Calendar!$K$4),"")</f>
        <v/>
      </c>
      <c r="W1630" s="44">
        <f>IF(AND(B1630=Queue!$C$4,OR(Queue!$K$4="*",N1630=Queue!$K$4)),Q1630,"")</f>
        <v/>
      </c>
    </row>
    <row r="1631">
      <c r="A1631" s="35">
        <f>IF(M1631="","",HYPERLINK("https://www.youtube.com/watch?v="&amp;M1631,"▶"))</f>
        <v/>
      </c>
      <c r="B1631" s="36">
        <f>IF(C1631&lt;&gt;"",C1631,IF(P1631&lt;=IFERROR(INDEX(tblChannels[Watched Through],MATCH(N1631,tblChannels[Channel ID],0)),0),"Watched","Unwatched"))</f>
        <v/>
      </c>
      <c r="C1631" s="37" t="n"/>
      <c r="D1631" s="38" t="n"/>
      <c r="E1631" s="39" t="n">
        <v>43986.72361111111</v>
      </c>
      <c r="F1631" s="40" t="inlineStr">
        <is>
          <t>Popcorn Culture</t>
        </is>
      </c>
      <c r="G1631" t="inlineStr">
        <is>
          <t>25 - The Danger of Shuffle</t>
        </is>
      </c>
      <c r="H1631" s="41" t="n">
        <v>0.04428240740740741</v>
      </c>
      <c r="I1631" s="42" t="n">
        <v>5130</v>
      </c>
      <c r="J1631" s="42" t="n">
        <v>246</v>
      </c>
      <c r="K1631" s="42" t="n">
        <v>61</v>
      </c>
      <c r="L1631" s="43" t="n"/>
      <c r="M1631" s="44" t="n"/>
      <c r="N1631" s="44" t="inlineStr">
        <is>
          <t>UCHfIbq9thHPC8yrKjAdJgDA</t>
        </is>
      </c>
      <c r="O1631" s="45" t="n">
        <v>43986.89027777778</v>
      </c>
      <c r="P1631" s="46" t="n">
        <v>43986</v>
      </c>
      <c r="Q1631" s="44" t="n">
        <v>1641</v>
      </c>
      <c r="R1631" s="44" t="inlineStr">
        <is>
          <t>No Video ID yet</t>
        </is>
      </c>
      <c r="S1631" s="46" t="n"/>
      <c r="T1631" s="46" t="n"/>
      <c r="U1631" s="44" t="n"/>
      <c r="V1631" s="44">
        <f>IF(AND(P1631&gt;=Calendar!$K$2,P1631&lt;EDATE(Calendar!$K$2,1),OR(Calendar!$K$4="*",N1631=Calendar!$K$4)),P1631*100+COUNTIFS($P$6:$P$3271,P1631,$Q$6:$Q$3271,"&lt;="&amp;Q1631,$N$6:$N$3271,Calendar!$K$4),"")</f>
        <v/>
      </c>
      <c r="W1631" s="44">
        <f>IF(AND(B1631=Queue!$C$4,OR(Queue!$K$4="*",N1631=Queue!$K$4)),Q1631,"")</f>
        <v/>
      </c>
    </row>
    <row r="1632">
      <c r="A1632" s="35">
        <f>IF(M1632="","",HYPERLINK("https://www.youtube.com/watch?v="&amp;M1632,"▶"))</f>
        <v/>
      </c>
      <c r="B1632" s="36">
        <f>IF(C1632&lt;&gt;"",C1632,IF(P1632&lt;=IFERROR(INDEX(tblChannels[Watched Through],MATCH(N1632,tblChannels[Channel ID],0)),0),"Watched","Unwatched"))</f>
        <v/>
      </c>
      <c r="C1632" s="37" t="n"/>
      <c r="D1632" s="38" t="n"/>
      <c r="E1632" s="39" t="n">
        <v>43980.88194444445</v>
      </c>
      <c r="F1632" s="47" t="inlineStr">
        <is>
          <t>Super Carlin Brothers</t>
        </is>
      </c>
      <c r="G1632" t="inlineStr">
        <is>
          <t>Harry Potter Trivia Night LIVE STREAM!</t>
        </is>
      </c>
      <c r="H1632" s="41" t="n">
        <v>0.1177314814814815</v>
      </c>
      <c r="I1632" s="42" t="n">
        <v>406512</v>
      </c>
      <c r="J1632" s="42" t="n">
        <v>3727</v>
      </c>
      <c r="K1632" s="42" t="n">
        <v>277</v>
      </c>
      <c r="L1632" s="43" t="n"/>
      <c r="M1632" s="44" t="n"/>
      <c r="N1632" s="44" t="inlineStr">
        <is>
          <t>UCKZo4N0lVPccBkSiuyVh4yg</t>
        </is>
      </c>
      <c r="O1632" s="45" t="n">
        <v>43981.04861111111</v>
      </c>
      <c r="P1632" s="46" t="n">
        <v>43980</v>
      </c>
      <c r="Q1632" s="44" t="n">
        <v>1640</v>
      </c>
      <c r="R1632" s="44" t="inlineStr">
        <is>
          <t>No Video ID yet</t>
        </is>
      </c>
      <c r="S1632" s="46" t="n"/>
      <c r="T1632" s="46" t="n"/>
      <c r="U1632" s="44" t="n"/>
      <c r="V1632" s="44">
        <f>IF(AND(P1632&gt;=Calendar!$K$2,P1632&lt;EDATE(Calendar!$K$2,1),OR(Calendar!$K$4="*",N1632=Calendar!$K$4)),P1632*100+COUNTIFS($P$6:$P$3271,P1632,$Q$6:$Q$3271,"&lt;="&amp;Q1632,$N$6:$N$3271,Calendar!$K$4),"")</f>
        <v/>
      </c>
      <c r="W1632" s="44">
        <f>IF(AND(B1632=Queue!$C$4,OR(Queue!$K$4="*",N1632=Queue!$K$4)),Q1632,"")</f>
        <v/>
      </c>
    </row>
    <row r="1633">
      <c r="A1633" s="35">
        <f>IF(M1633="","",HYPERLINK("https://www.youtube.com/watch?v="&amp;M1633,"▶"))</f>
        <v/>
      </c>
      <c r="B1633" s="36">
        <f>IF(C1633&lt;&gt;"",C1633,IF(P1633&lt;=IFERROR(INDEX(tblChannels[Watched Through],MATCH(N1633,tblChannels[Channel ID],0)),0),"Watched","Unwatched"))</f>
        <v/>
      </c>
      <c r="C1633" s="37" t="n"/>
      <c r="D1633" s="38" t="n"/>
      <c r="E1633" s="39" t="n">
        <v>43980.41319444445</v>
      </c>
      <c r="F1633" s="47" t="inlineStr">
        <is>
          <t>Super Carlin Brothers</t>
        </is>
      </c>
      <c r="G1633" t="inlineStr">
        <is>
          <t>J vs Ben: The ULTIMATE Harry Potter Divination Trivia Quiz</t>
        </is>
      </c>
      <c r="H1633" s="41" t="n">
        <v>0.02131944444444444</v>
      </c>
      <c r="I1633" s="42" t="n">
        <v>407705</v>
      </c>
      <c r="J1633" s="42" t="n">
        <v>13130</v>
      </c>
      <c r="K1633" s="42" t="n">
        <v>2998</v>
      </c>
      <c r="L1633" s="43" t="n"/>
      <c r="M1633" s="44" t="n"/>
      <c r="N1633" s="44" t="inlineStr">
        <is>
          <t>UCKZo4N0lVPccBkSiuyVh4yg</t>
        </is>
      </c>
      <c r="O1633" s="45" t="n">
        <v>43980.57986111111</v>
      </c>
      <c r="P1633" s="46" t="n">
        <v>43980</v>
      </c>
      <c r="Q1633" s="44" t="n">
        <v>1639</v>
      </c>
      <c r="R1633" s="44" t="inlineStr">
        <is>
          <t>No Video ID yet</t>
        </is>
      </c>
      <c r="S1633" s="46" t="n"/>
      <c r="T1633" s="46" t="n"/>
      <c r="U1633" s="44" t="n"/>
      <c r="V1633" s="44">
        <f>IF(AND(P1633&gt;=Calendar!$K$2,P1633&lt;EDATE(Calendar!$K$2,1),OR(Calendar!$K$4="*",N1633=Calendar!$K$4)),P1633*100+COUNTIFS($P$6:$P$3271,P1633,$Q$6:$Q$3271,"&lt;="&amp;Q1633,$N$6:$N$3271,Calendar!$K$4),"")</f>
        <v/>
      </c>
      <c r="W1633" s="44">
        <f>IF(AND(B1633=Queue!$C$4,OR(Queue!$K$4="*",N1633=Queue!$K$4)),Q1633,"")</f>
        <v/>
      </c>
    </row>
    <row r="1634">
      <c r="A1634" s="35">
        <f>IF(M1634="","",HYPERLINK("https://www.youtube.com/watch?v="&amp;M1634,"▶"))</f>
        <v/>
      </c>
      <c r="B1634" s="36">
        <f>IF(C1634&lt;&gt;"",C1634,IF(P1634&lt;=IFERROR(INDEX(tblChannels[Watched Through],MATCH(N1634,tblChannels[Channel ID],0)),0),"Watched","Unwatched"))</f>
        <v/>
      </c>
      <c r="C1634" s="37" t="n"/>
      <c r="D1634" s="38" t="n"/>
      <c r="E1634" s="39" t="n">
        <v>43977.73125</v>
      </c>
      <c r="F1634" s="47" t="inlineStr">
        <is>
          <t>Super Carlin Brothers</t>
        </is>
      </c>
      <c r="G1634" t="inlineStr">
        <is>
          <t>Dumbledore’s Big Plan: The Half-Blood Prince [Harry Potter Film Theory]</t>
        </is>
      </c>
      <c r="H1634" s="41" t="n">
        <v>0.01255787037037037</v>
      </c>
      <c r="I1634" s="42" t="n">
        <v>860236</v>
      </c>
      <c r="J1634" s="42" t="n">
        <v>28413</v>
      </c>
      <c r="K1634" s="42" t="n">
        <v>1779</v>
      </c>
      <c r="L1634" s="43" t="n"/>
      <c r="M1634" s="44" t="n"/>
      <c r="N1634" s="44" t="inlineStr">
        <is>
          <t>UCKZo4N0lVPccBkSiuyVh4yg</t>
        </is>
      </c>
      <c r="O1634" s="45" t="n">
        <v>43977.89791666667</v>
      </c>
      <c r="P1634" s="46" t="n">
        <v>43977</v>
      </c>
      <c r="Q1634" s="44" t="n">
        <v>1638</v>
      </c>
      <c r="R1634" s="44" t="inlineStr">
        <is>
          <t>No Video ID yet</t>
        </is>
      </c>
      <c r="S1634" s="46" t="n"/>
      <c r="T1634" s="46" t="n"/>
      <c r="U1634" s="44" t="n"/>
      <c r="V1634" s="44">
        <f>IF(AND(P1634&gt;=Calendar!$K$2,P1634&lt;EDATE(Calendar!$K$2,1),OR(Calendar!$K$4="*",N1634=Calendar!$K$4)),P1634*100+COUNTIFS($P$6:$P$3271,P1634,$Q$6:$Q$3271,"&lt;="&amp;Q1634,$N$6:$N$3271,Calendar!$K$4),"")</f>
        <v/>
      </c>
      <c r="W1634" s="44">
        <f>IF(AND(B1634=Queue!$C$4,OR(Queue!$K$4="*",N1634=Queue!$K$4)),Q1634,"")</f>
        <v/>
      </c>
    </row>
    <row r="1635">
      <c r="A1635" s="35">
        <f>IF(M1635="","",HYPERLINK("https://www.youtube.com/watch?v="&amp;M1635,"▶"))</f>
        <v/>
      </c>
      <c r="B1635" s="36">
        <f>IF(C1635&lt;&gt;"",C1635,IF(P1635&lt;=IFERROR(INDEX(tblChannels[Watched Through],MATCH(N1635,tblChannels[Channel ID],0)),0),"Watched","Unwatched"))</f>
        <v/>
      </c>
      <c r="C1635" s="37" t="n"/>
      <c r="D1635" s="38" t="n"/>
      <c r="E1635" s="39" t="n">
        <v>43973.86875</v>
      </c>
      <c r="F1635" s="47" t="inlineStr">
        <is>
          <t>Super Carlin Brothers</t>
        </is>
      </c>
      <c r="G1635" t="inlineStr">
        <is>
          <t>Harry Potter Trivia Night LIVE STREAM!</t>
        </is>
      </c>
      <c r="H1635" s="41" t="n">
        <v>0.1041319444444444</v>
      </c>
      <c r="I1635" s="42" t="n">
        <v>326236</v>
      </c>
      <c r="J1635" s="42" t="n">
        <v>4021</v>
      </c>
      <c r="K1635" s="42" t="n">
        <v>265</v>
      </c>
      <c r="L1635" s="43" t="n"/>
      <c r="M1635" s="44" t="n"/>
      <c r="N1635" s="44" t="inlineStr">
        <is>
          <t>UCKZo4N0lVPccBkSiuyVh4yg</t>
        </is>
      </c>
      <c r="O1635" s="45" t="n">
        <v>43974.03541666667</v>
      </c>
      <c r="P1635" s="46" t="n">
        <v>43973</v>
      </c>
      <c r="Q1635" s="44" t="n">
        <v>1637</v>
      </c>
      <c r="R1635" s="44" t="inlineStr">
        <is>
          <t>No Video ID yet</t>
        </is>
      </c>
      <c r="S1635" s="46" t="n"/>
      <c r="T1635" s="46" t="n"/>
      <c r="U1635" s="44" t="n"/>
      <c r="V1635" s="44">
        <f>IF(AND(P1635&gt;=Calendar!$K$2,P1635&lt;EDATE(Calendar!$K$2,1),OR(Calendar!$K$4="*",N1635=Calendar!$K$4)),P1635*100+COUNTIFS($P$6:$P$3271,P1635,$Q$6:$Q$3271,"&lt;="&amp;Q1635,$N$6:$N$3271,Calendar!$K$4),"")</f>
        <v/>
      </c>
      <c r="W1635" s="44">
        <f>IF(AND(B1635=Queue!$C$4,OR(Queue!$K$4="*",N1635=Queue!$K$4)),Q1635,"")</f>
        <v/>
      </c>
    </row>
    <row r="1636">
      <c r="A1636" s="35">
        <f>IF(M1636="","",HYPERLINK("https://www.youtube.com/watch?v="&amp;M1636,"▶"))</f>
        <v/>
      </c>
      <c r="B1636" s="36">
        <f>IF(C1636&lt;&gt;"",C1636,IF(P1636&lt;=IFERROR(INDEX(tblChannels[Watched Through],MATCH(N1636,tblChannels[Channel ID],0)),0),"Watched","Unwatched"))</f>
        <v/>
      </c>
      <c r="C1636" s="37" t="n"/>
      <c r="D1636" s="38" t="n"/>
      <c r="E1636" s="39" t="n">
        <v>43973.52708333333</v>
      </c>
      <c r="F1636" s="40" t="inlineStr">
        <is>
          <t>Popcorn Culture</t>
        </is>
      </c>
      <c r="G1636" t="inlineStr">
        <is>
          <t>24 - Strangely Private Conversations</t>
        </is>
      </c>
      <c r="H1636" s="41" t="n">
        <v>0.04335648148148148</v>
      </c>
      <c r="I1636" s="42" t="n">
        <v>7406</v>
      </c>
      <c r="J1636" s="42" t="n">
        <v>265</v>
      </c>
      <c r="K1636" s="42" t="n">
        <v>66</v>
      </c>
      <c r="L1636" s="43" t="n"/>
      <c r="M1636" s="44" t="n"/>
      <c r="N1636" s="44" t="inlineStr">
        <is>
          <t>UCHfIbq9thHPC8yrKjAdJgDA</t>
        </is>
      </c>
      <c r="O1636" s="45" t="n">
        <v>43973.69375</v>
      </c>
      <c r="P1636" s="46" t="n">
        <v>43973</v>
      </c>
      <c r="Q1636" s="44" t="n">
        <v>1636</v>
      </c>
      <c r="R1636" s="44" t="inlineStr">
        <is>
          <t>No Video ID yet</t>
        </is>
      </c>
      <c r="S1636" s="46" t="n"/>
      <c r="T1636" s="46" t="n"/>
      <c r="U1636" s="44" t="n"/>
      <c r="V1636" s="44">
        <f>IF(AND(P1636&gt;=Calendar!$K$2,P1636&lt;EDATE(Calendar!$K$2,1),OR(Calendar!$K$4="*",N1636=Calendar!$K$4)),P1636*100+COUNTIFS($P$6:$P$3271,P1636,$Q$6:$Q$3271,"&lt;="&amp;Q1636,$N$6:$N$3271,Calendar!$K$4),"")</f>
        <v/>
      </c>
      <c r="W1636" s="44">
        <f>IF(AND(B1636=Queue!$C$4,OR(Queue!$K$4="*",N1636=Queue!$K$4)),Q1636,"")</f>
        <v/>
      </c>
    </row>
    <row r="1637">
      <c r="A1637" s="35">
        <f>IF(M1637="","",HYPERLINK("https://www.youtube.com/watch?v="&amp;M1637,"▶"))</f>
        <v/>
      </c>
      <c r="B1637" s="36">
        <f>IF(C1637&lt;&gt;"",C1637,IF(P1637&lt;=IFERROR(INDEX(tblChannels[Watched Through],MATCH(N1637,tblChannels[Channel ID],0)),0),"Watched","Unwatched"))</f>
        <v/>
      </c>
      <c r="C1637" s="37" t="n"/>
      <c r="D1637" s="38" t="n"/>
      <c r="E1637" s="39" t="n">
        <v>43972.625</v>
      </c>
      <c r="F1637" s="47" t="inlineStr">
        <is>
          <t>Super Carlin Brothers</t>
        </is>
      </c>
      <c r="G1637" t="inlineStr">
        <is>
          <t>Why Was Wormtail In Gryffindor? [Harry Potter Explained]</t>
        </is>
      </c>
      <c r="H1637" s="41" t="n">
        <v>0.007418981481481481</v>
      </c>
      <c r="I1637" s="42" t="n">
        <v>584193</v>
      </c>
      <c r="J1637" s="42" t="n">
        <v>23146</v>
      </c>
      <c r="K1637" s="42" t="n">
        <v>2618</v>
      </c>
      <c r="L1637" s="43" t="n"/>
      <c r="M1637" s="44" t="n"/>
      <c r="N1637" s="44" t="inlineStr">
        <is>
          <t>UCKZo4N0lVPccBkSiuyVh4yg</t>
        </is>
      </c>
      <c r="O1637" s="45" t="n">
        <v>43972.79166666666</v>
      </c>
      <c r="P1637" s="46" t="n">
        <v>43972</v>
      </c>
      <c r="Q1637" s="44" t="n">
        <v>1635</v>
      </c>
      <c r="R1637" s="44" t="inlineStr">
        <is>
          <t>No Video ID yet</t>
        </is>
      </c>
      <c r="S1637" s="46" t="n"/>
      <c r="T1637" s="46" t="n"/>
      <c r="U1637" s="44" t="n"/>
      <c r="V1637" s="44">
        <f>IF(AND(P1637&gt;=Calendar!$K$2,P1637&lt;EDATE(Calendar!$K$2,1),OR(Calendar!$K$4="*",N1637=Calendar!$K$4)),P1637*100+COUNTIFS($P$6:$P$3271,P1637,$Q$6:$Q$3271,"&lt;="&amp;Q1637,$N$6:$N$3271,Calendar!$K$4),"")</f>
        <v/>
      </c>
      <c r="W1637" s="44">
        <f>IF(AND(B1637=Queue!$C$4,OR(Queue!$K$4="*",N1637=Queue!$K$4)),Q1637,"")</f>
        <v/>
      </c>
    </row>
    <row r="1638">
      <c r="A1638" s="35">
        <f>IF(M1638="","",HYPERLINK("https://www.youtube.com/watch?v="&amp;M1638,"▶"))</f>
        <v/>
      </c>
      <c r="B1638" s="36">
        <f>IF(C1638&lt;&gt;"",C1638,IF(P1638&lt;=IFERROR(INDEX(tblChannels[Watched Through],MATCH(N1638,tblChannels[Channel ID],0)),0),"Watched","Unwatched"))</f>
        <v/>
      </c>
      <c r="C1638" s="37" t="n"/>
      <c r="D1638" s="38" t="n"/>
      <c r="E1638" s="39" t="n">
        <v>43970.73263888889</v>
      </c>
      <c r="F1638" s="47" t="inlineStr">
        <is>
          <t>Super Carlin Brothers</t>
        </is>
      </c>
      <c r="G1638" t="inlineStr">
        <is>
          <t>Dumbledore’s Big Plan: The Order of the Phoenix [Harry Potter Film Theory]</t>
        </is>
      </c>
      <c r="H1638" s="41" t="n">
        <v>0.0125462962962963</v>
      </c>
      <c r="I1638" s="42" t="n">
        <v>927795</v>
      </c>
      <c r="J1638" s="42" t="n">
        <v>28999</v>
      </c>
      <c r="K1638" s="42" t="n">
        <v>1942</v>
      </c>
      <c r="L1638" s="43" t="n"/>
      <c r="M1638" s="44" t="n"/>
      <c r="N1638" s="44" t="inlineStr">
        <is>
          <t>UCKZo4N0lVPccBkSiuyVh4yg</t>
        </is>
      </c>
      <c r="O1638" s="45" t="n">
        <v>43970.89930555555</v>
      </c>
      <c r="P1638" s="46" t="n">
        <v>43970</v>
      </c>
      <c r="Q1638" s="44" t="n">
        <v>1634</v>
      </c>
      <c r="R1638" s="44" t="inlineStr">
        <is>
          <t>No Video ID yet</t>
        </is>
      </c>
      <c r="S1638" s="46" t="n"/>
      <c r="T1638" s="46" t="n"/>
      <c r="U1638" s="44" t="n"/>
      <c r="V1638" s="44">
        <f>IF(AND(P1638&gt;=Calendar!$K$2,P1638&lt;EDATE(Calendar!$K$2,1),OR(Calendar!$K$4="*",N1638=Calendar!$K$4)),P1638*100+COUNTIFS($P$6:$P$3271,P1638,$Q$6:$Q$3271,"&lt;="&amp;Q1638,$N$6:$N$3271,Calendar!$K$4),"")</f>
        <v/>
      </c>
      <c r="W1638" s="44">
        <f>IF(AND(B1638=Queue!$C$4,OR(Queue!$K$4="*",N1638=Queue!$K$4)),Q1638,"")</f>
        <v/>
      </c>
    </row>
    <row r="1639">
      <c r="A1639" s="35">
        <f>IF(M1639="","",HYPERLINK("https://www.youtube.com/watch?v="&amp;M1639,"▶"))</f>
        <v/>
      </c>
      <c r="B1639" s="36">
        <f>IF(C1639&lt;&gt;"",C1639,IF(P1639&lt;=IFERROR(INDEX(tblChannels[Watched Through],MATCH(N1639,tblChannels[Channel ID],0)),0),"Watched","Unwatched"))</f>
        <v/>
      </c>
      <c r="C1639" s="37" t="n"/>
      <c r="D1639" s="38" t="n"/>
      <c r="E1639" s="39" t="n">
        <v>43966.87152777778</v>
      </c>
      <c r="F1639" s="47" t="inlineStr">
        <is>
          <t>Super Carlin Brothers</t>
        </is>
      </c>
      <c r="G1639" t="inlineStr">
        <is>
          <t>Harry Potter Trivia Night LIVE STREAM!</t>
        </is>
      </c>
      <c r="H1639" s="41" t="n">
        <v>0.09495370370370371</v>
      </c>
      <c r="I1639" s="42" t="n">
        <v>375311</v>
      </c>
      <c r="J1639" s="42" t="n">
        <v>5673</v>
      </c>
      <c r="K1639" s="42" t="n">
        <v>374</v>
      </c>
      <c r="L1639" s="43" t="n"/>
      <c r="M1639" s="44" t="n"/>
      <c r="N1639" s="44" t="inlineStr">
        <is>
          <t>UCKZo4N0lVPccBkSiuyVh4yg</t>
        </is>
      </c>
      <c r="O1639" s="45" t="n">
        <v>43967.03819444445</v>
      </c>
      <c r="P1639" s="46" t="n">
        <v>43966</v>
      </c>
      <c r="Q1639" s="44" t="n">
        <v>1633</v>
      </c>
      <c r="R1639" s="44" t="inlineStr">
        <is>
          <t>No Video ID yet</t>
        </is>
      </c>
      <c r="S1639" s="46" t="n"/>
      <c r="T1639" s="46" t="n"/>
      <c r="U1639" s="44" t="n"/>
      <c r="V1639" s="44">
        <f>IF(AND(P1639&gt;=Calendar!$K$2,P1639&lt;EDATE(Calendar!$K$2,1),OR(Calendar!$K$4="*",N1639=Calendar!$K$4)),P1639*100+COUNTIFS($P$6:$P$3271,P1639,$Q$6:$Q$3271,"&lt;="&amp;Q1639,$N$6:$N$3271,Calendar!$K$4),"")</f>
        <v/>
      </c>
      <c r="W1639" s="44">
        <f>IF(AND(B1639=Queue!$C$4,OR(Queue!$K$4="*",N1639=Queue!$K$4)),Q1639,"")</f>
        <v/>
      </c>
    </row>
    <row r="1640">
      <c r="A1640" s="35">
        <f>IF(M1640="","",HYPERLINK("https://www.youtube.com/watch?v="&amp;M1640,"▶"))</f>
        <v/>
      </c>
      <c r="B1640" s="36">
        <f>IF(C1640&lt;&gt;"",C1640,IF(P1640&lt;=IFERROR(INDEX(tblChannels[Watched Through],MATCH(N1640,tblChannels[Channel ID],0)),0),"Watched","Unwatched"))</f>
        <v/>
      </c>
      <c r="C1640" s="37" t="n"/>
      <c r="D1640" s="38" t="n"/>
      <c r="E1640" s="39" t="n">
        <v>43966.25</v>
      </c>
      <c r="F1640" s="40" t="inlineStr">
        <is>
          <t>Popcorn Culture</t>
        </is>
      </c>
      <c r="G1640" t="inlineStr">
        <is>
          <t>23 - Things I Used to Spend Time Thinking About</t>
        </is>
      </c>
      <c r="H1640" s="41" t="n">
        <v>0.04331018518518519</v>
      </c>
      <c r="I1640" s="42" t="n">
        <v>5190</v>
      </c>
      <c r="J1640" s="42" t="n">
        <v>246</v>
      </c>
      <c r="K1640" s="42" t="n">
        <v>43</v>
      </c>
      <c r="L1640" s="43" t="n"/>
      <c r="M1640" s="44" t="n"/>
      <c r="N1640" s="44" t="inlineStr">
        <is>
          <t>UCHfIbq9thHPC8yrKjAdJgDA</t>
        </is>
      </c>
      <c r="O1640" s="45" t="n">
        <v>43966.41666666666</v>
      </c>
      <c r="P1640" s="46" t="n">
        <v>43966</v>
      </c>
      <c r="Q1640" s="44" t="n">
        <v>1632</v>
      </c>
      <c r="R1640" s="44" t="inlineStr">
        <is>
          <t>No Video ID yet</t>
        </is>
      </c>
      <c r="S1640" s="46" t="n"/>
      <c r="T1640" s="46" t="n"/>
      <c r="U1640" s="44" t="n"/>
      <c r="V1640" s="44">
        <f>IF(AND(P1640&gt;=Calendar!$K$2,P1640&lt;EDATE(Calendar!$K$2,1),OR(Calendar!$K$4="*",N1640=Calendar!$K$4)),P1640*100+COUNTIFS($P$6:$P$3271,P1640,$Q$6:$Q$3271,"&lt;="&amp;Q1640,$N$6:$N$3271,Calendar!$K$4),"")</f>
        <v/>
      </c>
      <c r="W1640" s="44">
        <f>IF(AND(B1640=Queue!$C$4,OR(Queue!$K$4="*",N1640=Queue!$K$4)),Q1640,"")</f>
        <v/>
      </c>
    </row>
    <row r="1641">
      <c r="A1641" s="35">
        <f>IF(M1641="","",HYPERLINK("https://www.youtube.com/watch?v="&amp;M1641,"▶"))</f>
        <v/>
      </c>
      <c r="B1641" s="36">
        <f>IF(C1641&lt;&gt;"",C1641,IF(P1641&lt;=IFERROR(INDEX(tblChannels[Watched Through],MATCH(N1641,tblChannels[Channel ID],0)),0),"Watched","Unwatched"))</f>
        <v/>
      </c>
      <c r="C1641" s="37" t="n"/>
      <c r="D1641" s="38" t="n"/>
      <c r="E1641" s="39" t="n">
        <v>43965.73055555556</v>
      </c>
      <c r="F1641" s="47" t="inlineStr">
        <is>
          <t>Super Carlin Brothers</t>
        </is>
      </c>
      <c r="G1641" t="inlineStr">
        <is>
          <t>J vs Ben: The ULTIMATE Weasley Family Quiz [Harry Potter Trivia]</t>
        </is>
      </c>
      <c r="H1641" s="41" t="n">
        <v>0.02391203703703704</v>
      </c>
      <c r="I1641" s="42" t="n">
        <v>877886</v>
      </c>
      <c r="J1641" s="42" t="n">
        <v>18451</v>
      </c>
      <c r="K1641" s="42" t="n">
        <v>2237</v>
      </c>
      <c r="L1641" s="43" t="n"/>
      <c r="M1641" s="44" t="n"/>
      <c r="N1641" s="44" t="inlineStr">
        <is>
          <t>UCKZo4N0lVPccBkSiuyVh4yg</t>
        </is>
      </c>
      <c r="O1641" s="45" t="n">
        <v>43965.89722222222</v>
      </c>
      <c r="P1641" s="46" t="n">
        <v>43965</v>
      </c>
      <c r="Q1641" s="44" t="n">
        <v>1631</v>
      </c>
      <c r="R1641" s="44" t="inlineStr">
        <is>
          <t>No Video ID yet</t>
        </is>
      </c>
      <c r="S1641" s="46" t="n"/>
      <c r="T1641" s="46" t="n"/>
      <c r="U1641" s="44" t="n"/>
      <c r="V1641" s="44">
        <f>IF(AND(P1641&gt;=Calendar!$K$2,P1641&lt;EDATE(Calendar!$K$2,1),OR(Calendar!$K$4="*",N1641=Calendar!$K$4)),P1641*100+COUNTIFS($P$6:$P$3271,P1641,$Q$6:$Q$3271,"&lt;="&amp;Q1641,$N$6:$N$3271,Calendar!$K$4),"")</f>
        <v/>
      </c>
      <c r="W1641" s="44">
        <f>IF(AND(B1641=Queue!$C$4,OR(Queue!$K$4="*",N1641=Queue!$K$4)),Q1641,"")</f>
        <v/>
      </c>
    </row>
    <row r="1642">
      <c r="A1642" s="35">
        <f>IF(M1642="","",HYPERLINK("https://www.youtube.com/watch?v="&amp;M1642,"▶"))</f>
        <v/>
      </c>
      <c r="B1642" s="36">
        <f>IF(C1642&lt;&gt;"",C1642,IF(P1642&lt;=IFERROR(INDEX(tblChannels[Watched Through],MATCH(N1642,tblChannels[Channel ID],0)),0),"Watched","Unwatched"))</f>
        <v/>
      </c>
      <c r="C1642" s="37" t="n"/>
      <c r="D1642" s="38" t="n"/>
      <c r="E1642" s="39" t="n">
        <v>43963.65069444444</v>
      </c>
      <c r="F1642" s="47" t="inlineStr">
        <is>
          <t>Super Carlin Brothers</t>
        </is>
      </c>
      <c r="G1642" t="inlineStr">
        <is>
          <t>Dumbledore’s Big Plan: The Goblet of Fire [Harry Potter Film Theory]</t>
        </is>
      </c>
      <c r="H1642" s="41" t="n">
        <v>0.01287037037037037</v>
      </c>
      <c r="I1642" s="42" t="n">
        <v>996415</v>
      </c>
      <c r="J1642" s="42" t="n">
        <v>31000</v>
      </c>
      <c r="K1642" s="42" t="n">
        <v>2317</v>
      </c>
      <c r="L1642" s="43" t="n"/>
      <c r="M1642" s="44" t="n"/>
      <c r="N1642" s="44" t="inlineStr">
        <is>
          <t>UCKZo4N0lVPccBkSiuyVh4yg</t>
        </is>
      </c>
      <c r="O1642" s="45" t="n">
        <v>43963.81736111111</v>
      </c>
      <c r="P1642" s="46" t="n">
        <v>43963</v>
      </c>
      <c r="Q1642" s="44" t="n">
        <v>1630</v>
      </c>
      <c r="R1642" s="44" t="inlineStr">
        <is>
          <t>No Video ID yet</t>
        </is>
      </c>
      <c r="S1642" s="46" t="n"/>
      <c r="T1642" s="46" t="n"/>
      <c r="U1642" s="44" t="n"/>
      <c r="V1642" s="44">
        <f>IF(AND(P1642&gt;=Calendar!$K$2,P1642&lt;EDATE(Calendar!$K$2,1),OR(Calendar!$K$4="*",N1642=Calendar!$K$4)),P1642*100+COUNTIFS($P$6:$P$3271,P1642,$Q$6:$Q$3271,"&lt;="&amp;Q1642,$N$6:$N$3271,Calendar!$K$4),"")</f>
        <v/>
      </c>
      <c r="W1642" s="44">
        <f>IF(AND(B1642=Queue!$C$4,OR(Queue!$K$4="*",N1642=Queue!$K$4)),Q1642,"")</f>
        <v/>
      </c>
    </row>
    <row r="1643">
      <c r="A1643" s="35">
        <f>IF(M1643="","",HYPERLINK("https://www.youtube.com/watch?v="&amp;M1643,"▶"))</f>
        <v/>
      </c>
      <c r="B1643" s="36">
        <f>IF(C1643&lt;&gt;"",C1643,IF(P1643&lt;=IFERROR(INDEX(tblChannels[Watched Through],MATCH(N1643,tblChannels[Channel ID],0)),0),"Watched","Unwatched"))</f>
        <v/>
      </c>
      <c r="C1643" s="37" t="n"/>
      <c r="D1643" s="38" t="n"/>
      <c r="E1643" s="39" t="n">
        <v>43959.83958333333</v>
      </c>
      <c r="F1643" s="47" t="inlineStr">
        <is>
          <t>Super Carlin Brothers</t>
        </is>
      </c>
      <c r="G1643" t="inlineStr">
        <is>
          <t>Theory Talk LIVE STREAM</t>
        </is>
      </c>
      <c r="H1643" s="41" t="n">
        <v>0.08120370370370371</v>
      </c>
      <c r="I1643" s="42" t="n">
        <v>230539</v>
      </c>
      <c r="J1643" s="42" t="n">
        <v>3634</v>
      </c>
      <c r="K1643" s="42" t="n">
        <v>344</v>
      </c>
      <c r="L1643" s="43" t="n"/>
      <c r="M1643" s="44" t="n"/>
      <c r="N1643" s="44" t="inlineStr">
        <is>
          <t>UCKZo4N0lVPccBkSiuyVh4yg</t>
        </is>
      </c>
      <c r="O1643" s="45" t="n">
        <v>43960.00625</v>
      </c>
      <c r="P1643" s="46" t="n">
        <v>43959</v>
      </c>
      <c r="Q1643" s="44" t="n">
        <v>1629</v>
      </c>
      <c r="R1643" s="44" t="inlineStr">
        <is>
          <t>No Video ID yet</t>
        </is>
      </c>
      <c r="S1643" s="46" t="n"/>
      <c r="T1643" s="46" t="n"/>
      <c r="U1643" s="44" t="n"/>
      <c r="V1643" s="44">
        <f>IF(AND(P1643&gt;=Calendar!$K$2,P1643&lt;EDATE(Calendar!$K$2,1),OR(Calendar!$K$4="*",N1643=Calendar!$K$4)),P1643*100+COUNTIFS($P$6:$P$3271,P1643,$Q$6:$Q$3271,"&lt;="&amp;Q1643,$N$6:$N$3271,Calendar!$K$4),"")</f>
        <v/>
      </c>
      <c r="W1643" s="44">
        <f>IF(AND(B1643=Queue!$C$4,OR(Queue!$K$4="*",N1643=Queue!$K$4)),Q1643,"")</f>
        <v/>
      </c>
    </row>
    <row r="1644">
      <c r="A1644" s="35">
        <f>IF(M1644="","",HYPERLINK("https://www.youtube.com/watch?v="&amp;M1644,"▶"))</f>
        <v/>
      </c>
      <c r="B1644" s="36">
        <f>IF(C1644&lt;&gt;"",C1644,IF(P1644&lt;=IFERROR(INDEX(tblChannels[Watched Through],MATCH(N1644,tblChannels[Channel ID],0)),0),"Watched","Unwatched"))</f>
        <v/>
      </c>
      <c r="C1644" s="37" t="n"/>
      <c r="D1644" s="38" t="n"/>
      <c r="E1644" s="39" t="n">
        <v>43959.25</v>
      </c>
      <c r="F1644" s="40" t="inlineStr">
        <is>
          <t>Popcorn Culture</t>
        </is>
      </c>
      <c r="G1644" t="inlineStr">
        <is>
          <t>22 - So Many Camping Stories</t>
        </is>
      </c>
      <c r="H1644" s="41" t="n">
        <v>0.0371412037037037</v>
      </c>
      <c r="I1644" s="42" t="n">
        <v>4844</v>
      </c>
      <c r="J1644" s="42" t="n">
        <v>246</v>
      </c>
      <c r="K1644" s="42" t="n">
        <v>35</v>
      </c>
      <c r="L1644" s="43" t="n"/>
      <c r="M1644" s="44" t="n"/>
      <c r="N1644" s="44" t="inlineStr">
        <is>
          <t>UCHfIbq9thHPC8yrKjAdJgDA</t>
        </is>
      </c>
      <c r="O1644" s="45" t="n">
        <v>43959.41666666666</v>
      </c>
      <c r="P1644" s="46" t="n">
        <v>43959</v>
      </c>
      <c r="Q1644" s="44" t="n">
        <v>1628</v>
      </c>
      <c r="R1644" s="44" t="inlineStr">
        <is>
          <t>No Video ID yet</t>
        </is>
      </c>
      <c r="S1644" s="46" t="n"/>
      <c r="T1644" s="46" t="n"/>
      <c r="U1644" s="44" t="n"/>
      <c r="V1644" s="44">
        <f>IF(AND(P1644&gt;=Calendar!$K$2,P1644&lt;EDATE(Calendar!$K$2,1),OR(Calendar!$K$4="*",N1644=Calendar!$K$4)),P1644*100+COUNTIFS($P$6:$P$3271,P1644,$Q$6:$Q$3271,"&lt;="&amp;Q1644,$N$6:$N$3271,Calendar!$K$4),"")</f>
        <v/>
      </c>
      <c r="W1644" s="44">
        <f>IF(AND(B1644=Queue!$C$4,OR(Queue!$K$4="*",N1644=Queue!$K$4)),Q1644,"")</f>
        <v/>
      </c>
    </row>
    <row r="1645">
      <c r="A1645" s="35">
        <f>IF(M1645="","",HYPERLINK("https://www.youtube.com/watch?v="&amp;M1645,"▶"))</f>
        <v/>
      </c>
      <c r="B1645" s="36">
        <f>IF(C1645&lt;&gt;"",C1645,IF(P1645&lt;=IFERROR(INDEX(tblChannels[Watched Through],MATCH(N1645,tblChannels[Channel ID],0)),0),"Watched","Unwatched"))</f>
        <v/>
      </c>
      <c r="C1645" s="37" t="n"/>
      <c r="D1645" s="38" t="n"/>
      <c r="E1645" s="39" t="n">
        <v>43958.59097222222</v>
      </c>
      <c r="F1645" s="47" t="inlineStr">
        <is>
          <t>Super Carlin Brothers</t>
        </is>
      </c>
      <c r="G1645" t="inlineStr">
        <is>
          <t>How Harry Summoned Fawkes [Harry Potter Theory]</t>
        </is>
      </c>
      <c r="H1645" s="41" t="n">
        <v>0.008020833333333333</v>
      </c>
      <c r="I1645" s="42" t="n">
        <v>297833</v>
      </c>
      <c r="J1645" s="42" t="n">
        <v>14329</v>
      </c>
      <c r="K1645" s="42" t="n">
        <v>1325</v>
      </c>
      <c r="L1645" s="43" t="n"/>
      <c r="M1645" s="44" t="n"/>
      <c r="N1645" s="44" t="inlineStr">
        <is>
          <t>UCKZo4N0lVPccBkSiuyVh4yg</t>
        </is>
      </c>
      <c r="O1645" s="45" t="n">
        <v>43958.75763888889</v>
      </c>
      <c r="P1645" s="46" t="n">
        <v>43958</v>
      </c>
      <c r="Q1645" s="44" t="n">
        <v>1627</v>
      </c>
      <c r="R1645" s="44" t="inlineStr">
        <is>
          <t>No Video ID yet</t>
        </is>
      </c>
      <c r="S1645" s="46" t="n"/>
      <c r="T1645" s="46" t="n"/>
      <c r="U1645" s="44" t="n"/>
      <c r="V1645" s="44">
        <f>IF(AND(P1645&gt;=Calendar!$K$2,P1645&lt;EDATE(Calendar!$K$2,1),OR(Calendar!$K$4="*",N1645=Calendar!$K$4)),P1645*100+COUNTIFS($P$6:$P$3271,P1645,$Q$6:$Q$3271,"&lt;="&amp;Q1645,$N$6:$N$3271,Calendar!$K$4),"")</f>
        <v/>
      </c>
      <c r="W1645" s="44">
        <f>IF(AND(B1645=Queue!$C$4,OR(Queue!$K$4="*",N1645=Queue!$K$4)),Q1645,"")</f>
        <v/>
      </c>
    </row>
    <row r="1646">
      <c r="A1646" s="35">
        <f>IF(M1646="","",HYPERLINK("https://www.youtube.com/watch?v="&amp;M1646,"▶"))</f>
        <v/>
      </c>
      <c r="B1646" s="36">
        <f>IF(C1646&lt;&gt;"",C1646,IF(P1646&lt;=IFERROR(INDEX(tblChannels[Watched Through],MATCH(N1646,tblChannels[Channel ID],0)),0),"Watched","Unwatched"))</f>
        <v/>
      </c>
      <c r="C1646" s="37" t="n"/>
      <c r="D1646" s="38" t="n"/>
      <c r="E1646" s="39" t="n">
        <v>43957.54444444444</v>
      </c>
      <c r="F1646" s="40" t="inlineStr">
        <is>
          <t>Popcorn Culture</t>
        </is>
      </c>
      <c r="G1646" t="inlineStr">
        <is>
          <t>21 - Growing Up With A Gravel Driveway Builds Character</t>
        </is>
      </c>
      <c r="H1646" s="41" t="n">
        <v>0.04011574074074074</v>
      </c>
      <c r="I1646" s="42" t="n">
        <v>4660</v>
      </c>
      <c r="J1646" s="42" t="n">
        <v>216</v>
      </c>
      <c r="K1646" s="42" t="n">
        <v>46</v>
      </c>
      <c r="L1646" s="43" t="n"/>
      <c r="M1646" s="44" t="n"/>
      <c r="N1646" s="44" t="inlineStr">
        <is>
          <t>UCHfIbq9thHPC8yrKjAdJgDA</t>
        </is>
      </c>
      <c r="O1646" s="45" t="n">
        <v>43957.71111111111</v>
      </c>
      <c r="P1646" s="46" t="n">
        <v>43957</v>
      </c>
      <c r="Q1646" s="44" t="n">
        <v>1626</v>
      </c>
      <c r="R1646" s="44" t="inlineStr">
        <is>
          <t>No Video ID yet</t>
        </is>
      </c>
      <c r="S1646" s="46" t="n"/>
      <c r="T1646" s="46" t="n"/>
      <c r="U1646" s="44" t="n"/>
      <c r="V1646" s="44">
        <f>IF(AND(P1646&gt;=Calendar!$K$2,P1646&lt;EDATE(Calendar!$K$2,1),OR(Calendar!$K$4="*",N1646=Calendar!$K$4)),P1646*100+COUNTIFS($P$6:$P$3271,P1646,$Q$6:$Q$3271,"&lt;="&amp;Q1646,$N$6:$N$3271,Calendar!$K$4),"")</f>
        <v/>
      </c>
      <c r="W1646" s="44">
        <f>IF(AND(B1646=Queue!$C$4,OR(Queue!$K$4="*",N1646=Queue!$K$4)),Q1646,"")</f>
        <v/>
      </c>
    </row>
    <row r="1647">
      <c r="A1647" s="35">
        <f>IF(M1647="","",HYPERLINK("https://www.youtube.com/watch?v="&amp;M1647,"▶"))</f>
        <v/>
      </c>
      <c r="B1647" s="36">
        <f>IF(C1647&lt;&gt;"",C1647,IF(P1647&lt;=IFERROR(INDEX(tblChannels[Watched Through],MATCH(N1647,tblChannels[Channel ID],0)),0),"Watched","Unwatched"))</f>
        <v/>
      </c>
      <c r="C1647" s="37" t="n"/>
      <c r="D1647" s="38" t="n"/>
      <c r="E1647" s="39" t="n">
        <v>43956.63541666666</v>
      </c>
      <c r="F1647" s="47" t="inlineStr">
        <is>
          <t>Super Carlin Brothers</t>
        </is>
      </c>
      <c r="G1647" t="inlineStr">
        <is>
          <t>Dumbledore’s Big Plan: The Prisoner of Azkaban [Harry Potter Film Theory]</t>
        </is>
      </c>
      <c r="H1647" s="41" t="n">
        <v>0.01255787037037037</v>
      </c>
      <c r="I1647" s="42" t="n">
        <v>1085586</v>
      </c>
      <c r="J1647" s="42" t="n">
        <v>33406</v>
      </c>
      <c r="K1647" s="42" t="n">
        <v>2459</v>
      </c>
      <c r="L1647" s="43" t="n"/>
      <c r="M1647" s="44" t="n"/>
      <c r="N1647" s="44" t="inlineStr">
        <is>
          <t>UCKZo4N0lVPccBkSiuyVh4yg</t>
        </is>
      </c>
      <c r="O1647" s="45" t="n">
        <v>43956.80208333334</v>
      </c>
      <c r="P1647" s="46" t="n">
        <v>43956</v>
      </c>
      <c r="Q1647" s="44" t="n">
        <v>1625</v>
      </c>
      <c r="R1647" s="44" t="inlineStr">
        <is>
          <t>No Video ID yet</t>
        </is>
      </c>
      <c r="S1647" s="46" t="n"/>
      <c r="T1647" s="46" t="n"/>
      <c r="U1647" s="44" t="n"/>
      <c r="V1647" s="44">
        <f>IF(AND(P1647&gt;=Calendar!$K$2,P1647&lt;EDATE(Calendar!$K$2,1),OR(Calendar!$K$4="*",N1647=Calendar!$K$4)),P1647*100+COUNTIFS($P$6:$P$3271,P1647,$Q$6:$Q$3271,"&lt;="&amp;Q1647,$N$6:$N$3271,Calendar!$K$4),"")</f>
        <v/>
      </c>
      <c r="W1647" s="44">
        <f>IF(AND(B1647=Queue!$C$4,OR(Queue!$K$4="*",N1647=Queue!$K$4)),Q1647,"")</f>
        <v/>
      </c>
    </row>
    <row r="1648">
      <c r="A1648" s="35">
        <f>IF(M1648="","",HYPERLINK("https://www.youtube.com/watch?v="&amp;M1648,"▶"))</f>
        <v/>
      </c>
      <c r="B1648" s="36">
        <f>IF(C1648&lt;&gt;"",C1648,IF(P1648&lt;=IFERROR(INDEX(tblChannels[Watched Through],MATCH(N1648,tblChannels[Channel ID],0)),0),"Watched","Unwatched"))</f>
        <v/>
      </c>
      <c r="C1648" s="37" t="n"/>
      <c r="D1648" s="38" t="n"/>
      <c r="E1648" s="39" t="n">
        <v>43956.60277777778</v>
      </c>
      <c r="F1648" s="40" t="inlineStr">
        <is>
          <t>Popcorn Culture</t>
        </is>
      </c>
      <c r="G1648" t="inlineStr">
        <is>
          <t>20 - Are Skateboards Cooler than Scooters</t>
        </is>
      </c>
      <c r="H1648" s="41" t="n">
        <v>0.04612268518518518</v>
      </c>
      <c r="I1648" s="42" t="n">
        <v>4791</v>
      </c>
      <c r="J1648" s="42" t="n">
        <v>228</v>
      </c>
      <c r="K1648" s="42" t="n">
        <v>43</v>
      </c>
      <c r="L1648" s="43" t="n"/>
      <c r="M1648" s="44" t="n"/>
      <c r="N1648" s="44" t="inlineStr">
        <is>
          <t>UCHfIbq9thHPC8yrKjAdJgDA</t>
        </is>
      </c>
      <c r="O1648" s="45" t="n">
        <v>43956.76944444444</v>
      </c>
      <c r="P1648" s="46" t="n">
        <v>43956</v>
      </c>
      <c r="Q1648" s="44" t="n">
        <v>1624</v>
      </c>
      <c r="R1648" s="44" t="inlineStr">
        <is>
          <t>No Video ID yet</t>
        </is>
      </c>
      <c r="S1648" s="46" t="n"/>
      <c r="T1648" s="46" t="n"/>
      <c r="U1648" s="44" t="n"/>
      <c r="V1648" s="44">
        <f>IF(AND(P1648&gt;=Calendar!$K$2,P1648&lt;EDATE(Calendar!$K$2,1),OR(Calendar!$K$4="*",N1648=Calendar!$K$4)),P1648*100+COUNTIFS($P$6:$P$3271,P1648,$Q$6:$Q$3271,"&lt;="&amp;Q1648,$N$6:$N$3271,Calendar!$K$4),"")</f>
        <v/>
      </c>
      <c r="W1648" s="44">
        <f>IF(AND(B1648=Queue!$C$4,OR(Queue!$K$4="*",N1648=Queue!$K$4)),Q1648,"")</f>
        <v/>
      </c>
    </row>
    <row r="1649">
      <c r="A1649" s="35">
        <f>IF(M1649="","",HYPERLINK("https://www.youtube.com/watch?v="&amp;M1649,"▶"))</f>
        <v/>
      </c>
      <c r="B1649" s="36">
        <f>IF(C1649&lt;&gt;"",C1649,IF(P1649&lt;=IFERROR(INDEX(tblChannels[Watched Through],MATCH(N1649,tblChannels[Channel ID],0)),0),"Watched","Unwatched"))</f>
        <v/>
      </c>
      <c r="C1649" s="37" t="n"/>
      <c r="D1649" s="38" t="n"/>
      <c r="E1649" s="39" t="n">
        <v>43952.85208333333</v>
      </c>
      <c r="F1649" s="47" t="inlineStr">
        <is>
          <t>Super Carlin Brothers</t>
        </is>
      </c>
      <c r="G1649" t="inlineStr">
        <is>
          <t>Theory Talk LIVE STREAM</t>
        </is>
      </c>
      <c r="H1649" s="41" t="n">
        <v>0.08480324074074073</v>
      </c>
      <c r="I1649" s="42" t="n">
        <v>132537</v>
      </c>
      <c r="J1649" s="42" t="n">
        <v>3584</v>
      </c>
      <c r="K1649" s="42" t="n">
        <v>374</v>
      </c>
      <c r="L1649" s="43" t="n"/>
      <c r="M1649" s="44" t="n"/>
      <c r="N1649" s="44" t="inlineStr">
        <is>
          <t>UCKZo4N0lVPccBkSiuyVh4yg</t>
        </is>
      </c>
      <c r="O1649" s="45" t="n">
        <v>43953.01875</v>
      </c>
      <c r="P1649" s="46" t="n">
        <v>43952</v>
      </c>
      <c r="Q1649" s="44" t="n">
        <v>1623</v>
      </c>
      <c r="R1649" s="44" t="inlineStr">
        <is>
          <t>No Video ID yet</t>
        </is>
      </c>
      <c r="S1649" s="46" t="n"/>
      <c r="T1649" s="46" t="n"/>
      <c r="U1649" s="44" t="n"/>
      <c r="V1649" s="44">
        <f>IF(AND(P1649&gt;=Calendar!$K$2,P1649&lt;EDATE(Calendar!$K$2,1),OR(Calendar!$K$4="*",N1649=Calendar!$K$4)),P1649*100+COUNTIFS($P$6:$P$3271,P1649,$Q$6:$Q$3271,"&lt;="&amp;Q1649,$N$6:$N$3271,Calendar!$K$4),"")</f>
        <v/>
      </c>
      <c r="W1649" s="44">
        <f>IF(AND(B1649=Queue!$C$4,OR(Queue!$K$4="*",N1649=Queue!$K$4)),Q1649,"")</f>
        <v/>
      </c>
    </row>
    <row r="1650">
      <c r="A1650" s="35">
        <f>IF(M1650="","",HYPERLINK("https://www.youtube.com/watch?v="&amp;M1650,"▶"))</f>
        <v/>
      </c>
      <c r="B1650" s="36">
        <f>IF(C1650&lt;&gt;"",C1650,IF(P1650&lt;=IFERROR(INDEX(tblChannels[Watched Through],MATCH(N1650,tblChannels[Channel ID],0)),0),"Watched","Unwatched"))</f>
        <v/>
      </c>
      <c r="C1650" s="37" t="n"/>
      <c r="D1650" s="38" t="n"/>
      <c r="E1650" s="39" t="n">
        <v>43951.81388888889</v>
      </c>
      <c r="F1650" s="47" t="inlineStr">
        <is>
          <t>Super Carlin Brothers</t>
        </is>
      </c>
      <c r="G1650" t="inlineStr">
        <is>
          <t>J vs Ben: ULTIMATE Potions Harry Potter Trivia Quiz</t>
        </is>
      </c>
      <c r="H1650" s="41" t="n">
        <v>0.01600694444444445</v>
      </c>
      <c r="I1650" s="42" t="n">
        <v>437702</v>
      </c>
      <c r="J1650" s="42" t="n">
        <v>14407</v>
      </c>
      <c r="K1650" s="42" t="n">
        <v>1677</v>
      </c>
      <c r="L1650" s="43" t="n"/>
      <c r="M1650" s="44" t="n"/>
      <c r="N1650" s="44" t="inlineStr">
        <is>
          <t>UCKZo4N0lVPccBkSiuyVh4yg</t>
        </is>
      </c>
      <c r="O1650" s="45" t="n">
        <v>43951.98055555556</v>
      </c>
      <c r="P1650" s="46" t="n">
        <v>43951</v>
      </c>
      <c r="Q1650" s="44" t="n">
        <v>1622</v>
      </c>
      <c r="R1650" s="44" t="inlineStr">
        <is>
          <t>No Video ID yet</t>
        </is>
      </c>
      <c r="S1650" s="46" t="n"/>
      <c r="T1650" s="46" t="n"/>
      <c r="U1650" s="44" t="n"/>
      <c r="V1650" s="44">
        <f>IF(AND(P1650&gt;=Calendar!$K$2,P1650&lt;EDATE(Calendar!$K$2,1),OR(Calendar!$K$4="*",N1650=Calendar!$K$4)),P1650*100+COUNTIFS($P$6:$P$3271,P1650,$Q$6:$Q$3271,"&lt;="&amp;Q1650,$N$6:$N$3271,Calendar!$K$4),"")</f>
        <v/>
      </c>
      <c r="W1650" s="44">
        <f>IF(AND(B1650=Queue!$C$4,OR(Queue!$K$4="*",N1650=Queue!$K$4)),Q1650,"")</f>
        <v/>
      </c>
    </row>
    <row r="1651">
      <c r="A1651" s="35">
        <f>IF(M1651="","",HYPERLINK("https://www.youtube.com/watch?v="&amp;M1651,"▶"))</f>
        <v/>
      </c>
      <c r="B1651" s="36">
        <f>IF(C1651&lt;&gt;"",C1651,IF(P1651&lt;=IFERROR(INDEX(tblChannels[Watched Through],MATCH(N1651,tblChannels[Channel ID],0)),0),"Watched","Unwatched"))</f>
        <v/>
      </c>
      <c r="C1651" s="37" t="n"/>
      <c r="D1651" s="38" t="n"/>
      <c r="E1651" s="39" t="n">
        <v>43949.75069444445</v>
      </c>
      <c r="F1651" s="47" t="inlineStr">
        <is>
          <t>Super Carlin Brothers</t>
        </is>
      </c>
      <c r="G1651" t="inlineStr">
        <is>
          <t>Dumbledore’s Big Plan: The Chamber of Secrets [Harry Potter Film Theory]</t>
        </is>
      </c>
      <c r="H1651" s="41" t="n">
        <v>0.01197916666666667</v>
      </c>
      <c r="I1651" s="42" t="n">
        <v>1233265</v>
      </c>
      <c r="J1651" s="42" t="n">
        <v>36230</v>
      </c>
      <c r="K1651" s="42" t="n">
        <v>2566</v>
      </c>
      <c r="L1651" s="43" t="n"/>
      <c r="M1651" s="44" t="n"/>
      <c r="N1651" s="44" t="inlineStr">
        <is>
          <t>UCKZo4N0lVPccBkSiuyVh4yg</t>
        </is>
      </c>
      <c r="O1651" s="45" t="n">
        <v>43949.91736111111</v>
      </c>
      <c r="P1651" s="46" t="n">
        <v>43949</v>
      </c>
      <c r="Q1651" s="44" t="n">
        <v>1621</v>
      </c>
      <c r="R1651" s="44" t="inlineStr">
        <is>
          <t>No Video ID yet</t>
        </is>
      </c>
      <c r="S1651" s="46" t="n"/>
      <c r="T1651" s="46" t="n"/>
      <c r="U1651" s="44" t="n"/>
      <c r="V1651" s="44">
        <f>IF(AND(P1651&gt;=Calendar!$K$2,P1651&lt;EDATE(Calendar!$K$2,1),OR(Calendar!$K$4="*",N1651=Calendar!$K$4)),P1651*100+COUNTIFS($P$6:$P$3271,P1651,$Q$6:$Q$3271,"&lt;="&amp;Q1651,$N$6:$N$3271,Calendar!$K$4),"")</f>
        <v/>
      </c>
      <c r="W1651" s="44">
        <f>IF(AND(B1651=Queue!$C$4,OR(Queue!$K$4="*",N1651=Queue!$K$4)),Q1651,"")</f>
        <v/>
      </c>
    </row>
    <row r="1652">
      <c r="A1652" s="35">
        <f>IF(M1652="","",HYPERLINK("https://www.youtube.com/watch?v="&amp;M1652,"▶"))</f>
        <v/>
      </c>
      <c r="B1652" s="36">
        <f>IF(C1652&lt;&gt;"",C1652,IF(P1652&lt;=IFERROR(INDEX(tblChannels[Watched Through],MATCH(N1652,tblChannels[Channel ID],0)),0),"Watched","Unwatched"))</f>
        <v/>
      </c>
      <c r="C1652" s="37" t="n"/>
      <c r="D1652" s="38" t="n"/>
      <c r="E1652" s="39" t="n">
        <v>43945.93541666667</v>
      </c>
      <c r="F1652" s="47" t="inlineStr">
        <is>
          <t>Super Carlin Brothers</t>
        </is>
      </c>
      <c r="G1652" t="inlineStr">
        <is>
          <t>Theory Talk LIVE STREAM</t>
        </is>
      </c>
      <c r="H1652" s="41" t="n">
        <v>0.08721064814814815</v>
      </c>
      <c r="I1652" s="42" t="n">
        <v>164532</v>
      </c>
      <c r="J1652" s="42" t="n">
        <v>4945</v>
      </c>
      <c r="K1652" s="42" t="n">
        <v>508</v>
      </c>
      <c r="L1652" s="43" t="n"/>
      <c r="M1652" s="44" t="n"/>
      <c r="N1652" s="44" t="inlineStr">
        <is>
          <t>UCKZo4N0lVPccBkSiuyVh4yg</t>
        </is>
      </c>
      <c r="O1652" s="45" t="n">
        <v>43946.10208333333</v>
      </c>
      <c r="P1652" s="46" t="n">
        <v>43945</v>
      </c>
      <c r="Q1652" s="44" t="n">
        <v>1620</v>
      </c>
      <c r="R1652" s="44" t="inlineStr">
        <is>
          <t>No Video ID yet</t>
        </is>
      </c>
      <c r="S1652" s="46" t="n"/>
      <c r="T1652" s="46" t="n"/>
      <c r="U1652" s="44" t="n"/>
      <c r="V1652" s="44">
        <f>IF(AND(P1652&gt;=Calendar!$K$2,P1652&lt;EDATE(Calendar!$K$2,1),OR(Calendar!$K$4="*",N1652=Calendar!$K$4)),P1652*100+COUNTIFS($P$6:$P$3271,P1652,$Q$6:$Q$3271,"&lt;="&amp;Q1652,$N$6:$N$3271,Calendar!$K$4),"")</f>
        <v/>
      </c>
      <c r="W1652" s="44">
        <f>IF(AND(B1652=Queue!$C$4,OR(Queue!$K$4="*",N1652=Queue!$K$4)),Q1652,"")</f>
        <v/>
      </c>
    </row>
    <row r="1653">
      <c r="A1653" s="35">
        <f>IF(M1653="","",HYPERLINK("https://www.youtube.com/watch?v="&amp;M1653,"▶"))</f>
        <v/>
      </c>
      <c r="B1653" s="36">
        <f>IF(C1653&lt;&gt;"",C1653,IF(P1653&lt;=IFERROR(INDEX(tblChannels[Watched Through],MATCH(N1653,tblChannels[Channel ID],0)),0),"Watched","Unwatched"))</f>
        <v/>
      </c>
      <c r="C1653" s="37" t="n"/>
      <c r="D1653" s="38" t="n"/>
      <c r="E1653" s="39" t="n">
        <v>43944.76597222222</v>
      </c>
      <c r="F1653" s="47" t="inlineStr">
        <is>
          <t>Super Carlin Brothers</t>
        </is>
      </c>
      <c r="G1653" t="inlineStr">
        <is>
          <t>The Disneyverse Theory</t>
        </is>
      </c>
      <c r="H1653" s="41" t="n">
        <v>0.01024305555555556</v>
      </c>
      <c r="I1653" s="42" t="n">
        <v>847968</v>
      </c>
      <c r="J1653" s="42" t="n">
        <v>34645</v>
      </c>
      <c r="K1653" s="42" t="n">
        <v>4674</v>
      </c>
      <c r="L1653" s="43" t="n"/>
      <c r="M1653" s="44" t="n"/>
      <c r="N1653" s="44" t="inlineStr">
        <is>
          <t>UCKZo4N0lVPccBkSiuyVh4yg</t>
        </is>
      </c>
      <c r="O1653" s="45" t="n">
        <v>43944.93263888889</v>
      </c>
      <c r="P1653" s="46" t="n">
        <v>43944</v>
      </c>
      <c r="Q1653" s="44" t="n">
        <v>1619</v>
      </c>
      <c r="R1653" s="44" t="inlineStr">
        <is>
          <t>No Video ID yet</t>
        </is>
      </c>
      <c r="S1653" s="46" t="n"/>
      <c r="T1653" s="46" t="n"/>
      <c r="U1653" s="44" t="n"/>
      <c r="V1653" s="44">
        <f>IF(AND(P1653&gt;=Calendar!$K$2,P1653&lt;EDATE(Calendar!$K$2,1),OR(Calendar!$K$4="*",N1653=Calendar!$K$4)),P1653*100+COUNTIFS($P$6:$P$3271,P1653,$Q$6:$Q$3271,"&lt;="&amp;Q1653,$N$6:$N$3271,Calendar!$K$4),"")</f>
        <v/>
      </c>
      <c r="W1653" s="44">
        <f>IF(AND(B1653=Queue!$C$4,OR(Queue!$K$4="*",N1653=Queue!$K$4)),Q1653,"")</f>
        <v/>
      </c>
    </row>
    <row r="1654">
      <c r="A1654" s="35">
        <f>IF(M1654="","",HYPERLINK("https://www.youtube.com/watch?v="&amp;M1654,"▶"))</f>
        <v/>
      </c>
      <c r="B1654" s="36">
        <f>IF(C1654&lt;&gt;"",C1654,IF(P1654&lt;=IFERROR(INDEX(tblChannels[Watched Through],MATCH(N1654,tblChannels[Channel ID],0)),0),"Watched","Unwatched"))</f>
        <v/>
      </c>
      <c r="C1654" s="37" t="n"/>
      <c r="D1654" s="38" t="n"/>
      <c r="E1654" s="39" t="n">
        <v>43942.77222222222</v>
      </c>
      <c r="F1654" s="47" t="inlineStr">
        <is>
          <t>Super Carlin Brothers</t>
        </is>
      </c>
      <c r="G1654" t="inlineStr">
        <is>
          <t>Dumbledore's BIG Plan: The Philosopher's Stone [Harry Potter Film Theory]</t>
        </is>
      </c>
      <c r="H1654" s="41" t="n">
        <v>0.01431712962962963</v>
      </c>
      <c r="I1654" s="42" t="n">
        <v>1891222</v>
      </c>
      <c r="J1654" s="42" t="n">
        <v>52201</v>
      </c>
      <c r="K1654" s="42" t="n">
        <v>4179</v>
      </c>
      <c r="L1654" s="43" t="n"/>
      <c r="M1654" s="44" t="n"/>
      <c r="N1654" s="44" t="inlineStr">
        <is>
          <t>UCKZo4N0lVPccBkSiuyVh4yg</t>
        </is>
      </c>
      <c r="O1654" s="45" t="n">
        <v>43942.93888888889</v>
      </c>
      <c r="P1654" s="46" t="n">
        <v>43942</v>
      </c>
      <c r="Q1654" s="44" t="n">
        <v>1618</v>
      </c>
      <c r="R1654" s="44" t="inlineStr">
        <is>
          <t>No Video ID yet</t>
        </is>
      </c>
      <c r="S1654" s="46" t="n"/>
      <c r="T1654" s="46" t="n"/>
      <c r="U1654" s="44" t="n"/>
      <c r="V1654" s="44">
        <f>IF(AND(P1654&gt;=Calendar!$K$2,P1654&lt;EDATE(Calendar!$K$2,1),OR(Calendar!$K$4="*",N1654=Calendar!$K$4)),P1654*100+COUNTIFS($P$6:$P$3271,P1654,$Q$6:$Q$3271,"&lt;="&amp;Q1654,$N$6:$N$3271,Calendar!$K$4),"")</f>
        <v/>
      </c>
      <c r="W1654" s="44">
        <f>IF(AND(B1654=Queue!$C$4,OR(Queue!$K$4="*",N1654=Queue!$K$4)),Q1654,"")</f>
        <v/>
      </c>
    </row>
    <row r="1655">
      <c r="A1655" s="35">
        <f>IF(M1655="","",HYPERLINK("https://www.youtube.com/watch?v="&amp;M1655,"▶"))</f>
        <v/>
      </c>
      <c r="B1655" s="36">
        <f>IF(C1655&lt;&gt;"",C1655,IF(P1655&lt;=IFERROR(INDEX(tblChannels[Watched Through],MATCH(N1655,tblChannels[Channel ID],0)),0),"Watched","Unwatched"))</f>
        <v/>
      </c>
      <c r="C1655" s="37" t="n"/>
      <c r="D1655" s="38" t="n"/>
      <c r="E1655" s="39" t="n">
        <v>43939.89166666667</v>
      </c>
      <c r="F1655" s="40" t="inlineStr">
        <is>
          <t>Popcorn Culture</t>
        </is>
      </c>
      <c r="G1655" t="inlineStr">
        <is>
          <t>19 - What is it like being a YouTuber?</t>
        </is>
      </c>
      <c r="H1655" s="41" t="n">
        <v>0.03842592592592593</v>
      </c>
      <c r="I1655" s="42" t="n">
        <v>5445</v>
      </c>
      <c r="J1655" s="42" t="n">
        <v>248</v>
      </c>
      <c r="K1655" s="42" t="n">
        <v>17</v>
      </c>
      <c r="L1655" s="43" t="n"/>
      <c r="M1655" s="44" t="n"/>
      <c r="N1655" s="44" t="inlineStr">
        <is>
          <t>UCHfIbq9thHPC8yrKjAdJgDA</t>
        </is>
      </c>
      <c r="O1655" s="45" t="n">
        <v>43940.05833333333</v>
      </c>
      <c r="P1655" s="46" t="n">
        <v>43939</v>
      </c>
      <c r="Q1655" s="44" t="n">
        <v>1617</v>
      </c>
      <c r="R1655" s="44" t="inlineStr">
        <is>
          <t>No Video ID yet</t>
        </is>
      </c>
      <c r="S1655" s="46" t="n"/>
      <c r="T1655" s="46" t="n"/>
      <c r="U1655" s="44" t="n"/>
      <c r="V1655" s="44">
        <f>IF(AND(P1655&gt;=Calendar!$K$2,P1655&lt;EDATE(Calendar!$K$2,1),OR(Calendar!$K$4="*",N1655=Calendar!$K$4)),P1655*100+COUNTIFS($P$6:$P$3271,P1655,$Q$6:$Q$3271,"&lt;="&amp;Q1655,$N$6:$N$3271,Calendar!$K$4),"")</f>
        <v/>
      </c>
      <c r="W1655" s="44">
        <f>IF(AND(B1655=Queue!$C$4,OR(Queue!$K$4="*",N1655=Queue!$K$4)),Q1655,"")</f>
        <v/>
      </c>
    </row>
    <row r="1656">
      <c r="A1656" s="35">
        <f>IF(M1656="","",HYPERLINK("https://www.youtube.com/watch?v="&amp;M1656,"▶"))</f>
        <v/>
      </c>
      <c r="B1656" s="36">
        <f>IF(C1656&lt;&gt;"",C1656,IF(P1656&lt;=IFERROR(INDEX(tblChannels[Watched Through],MATCH(N1656,tblChannels[Channel ID],0)),0),"Watched","Unwatched"))</f>
        <v/>
      </c>
      <c r="C1656" s="37" t="n"/>
      <c r="D1656" s="38" t="n"/>
      <c r="E1656" s="39" t="n">
        <v>43938.92777777778</v>
      </c>
      <c r="F1656" s="50" t="inlineStr">
        <is>
          <t>Jonathan Carlin</t>
        </is>
      </c>
      <c r="G1656" t="inlineStr">
        <is>
          <t>Q&amp;A with Beth and J! (and the twins)</t>
        </is>
      </c>
      <c r="H1656" s="41" t="n">
        <v>0.0415162037037037</v>
      </c>
      <c r="I1656" s="42" t="n">
        <v>45507</v>
      </c>
      <c r="J1656" s="42" t="n">
        <v>1793</v>
      </c>
      <c r="K1656" s="42" t="n">
        <v>180</v>
      </c>
      <c r="L1656" s="43" t="n"/>
      <c r="M1656" s="44" t="n"/>
      <c r="N1656" s="44" t="inlineStr">
        <is>
          <t>UCYPKFe86e6nm4TVUYKLsFUQ</t>
        </is>
      </c>
      <c r="O1656" s="45" t="n">
        <v>43939.09444444445</v>
      </c>
      <c r="P1656" s="46" t="n">
        <v>43938</v>
      </c>
      <c r="Q1656" s="44" t="n">
        <v>1616</v>
      </c>
      <c r="R1656" s="44" t="inlineStr">
        <is>
          <t>No Video ID yet</t>
        </is>
      </c>
      <c r="S1656" s="46" t="n"/>
      <c r="T1656" s="46" t="n"/>
      <c r="U1656" s="44" t="n"/>
      <c r="V1656" s="44">
        <f>IF(AND(P1656&gt;=Calendar!$K$2,P1656&lt;EDATE(Calendar!$K$2,1),OR(Calendar!$K$4="*",N1656=Calendar!$K$4)),P1656*100+COUNTIFS($P$6:$P$3271,P1656,$Q$6:$Q$3271,"&lt;="&amp;Q1656,$N$6:$N$3271,Calendar!$K$4),"")</f>
        <v/>
      </c>
      <c r="W1656" s="44">
        <f>IF(AND(B1656=Queue!$C$4,OR(Queue!$K$4="*",N1656=Queue!$K$4)),Q1656,"")</f>
        <v/>
      </c>
    </row>
    <row r="1657">
      <c r="A1657" s="35">
        <f>IF(M1657="","",HYPERLINK("https://www.youtube.com/watch?v="&amp;M1657,"▶"))</f>
        <v/>
      </c>
      <c r="B1657" s="36">
        <f>IF(C1657&lt;&gt;"",C1657,IF(P1657&lt;=IFERROR(INDEX(tblChannels[Watched Through],MATCH(N1657,tblChannels[Channel ID],0)),0),"Watched","Unwatched"))</f>
        <v/>
      </c>
      <c r="C1657" s="37" t="n"/>
      <c r="D1657" s="38" t="n"/>
      <c r="E1657" s="39" t="n">
        <v>43937.77708333333</v>
      </c>
      <c r="F1657" s="47" t="inlineStr">
        <is>
          <t>Super Carlin Brothers</t>
        </is>
      </c>
      <c r="G1657" t="inlineStr">
        <is>
          <t>J vs Ben: ULTIMATE Summer Sorcerer Harry Potter TRIVIA Quiz</t>
        </is>
      </c>
      <c r="H1657" s="41" t="n">
        <v>0.01203703703703704</v>
      </c>
      <c r="I1657" s="42" t="n">
        <v>378521</v>
      </c>
      <c r="J1657" s="42" t="n">
        <v>14466</v>
      </c>
      <c r="K1657" s="42" t="n">
        <v>1810</v>
      </c>
      <c r="L1657" s="43" t="n"/>
      <c r="M1657" s="44" t="n"/>
      <c r="N1657" s="44" t="inlineStr">
        <is>
          <t>UCKZo4N0lVPccBkSiuyVh4yg</t>
        </is>
      </c>
      <c r="O1657" s="45" t="n">
        <v>43937.94375</v>
      </c>
      <c r="P1657" s="46" t="n">
        <v>43937</v>
      </c>
      <c r="Q1657" s="44" t="n">
        <v>1615</v>
      </c>
      <c r="R1657" s="44" t="inlineStr">
        <is>
          <t>No Video ID yet</t>
        </is>
      </c>
      <c r="S1657" s="46" t="n"/>
      <c r="T1657" s="46" t="n"/>
      <c r="U1657" s="44" t="n"/>
      <c r="V1657" s="44">
        <f>IF(AND(P1657&gt;=Calendar!$K$2,P1657&lt;EDATE(Calendar!$K$2,1),OR(Calendar!$K$4="*",N1657=Calendar!$K$4)),P1657*100+COUNTIFS($P$6:$P$3271,P1657,$Q$6:$Q$3271,"&lt;="&amp;Q1657,$N$6:$N$3271,Calendar!$K$4),"")</f>
        <v/>
      </c>
      <c r="W1657" s="44">
        <f>IF(AND(B1657=Queue!$C$4,OR(Queue!$K$4="*",N1657=Queue!$K$4)),Q1657,"")</f>
        <v/>
      </c>
    </row>
    <row r="1658">
      <c r="A1658" s="35">
        <f>IF(M1658="","",HYPERLINK("https://www.youtube.com/watch?v="&amp;M1658,"▶"))</f>
        <v/>
      </c>
      <c r="B1658" s="36">
        <f>IF(C1658&lt;&gt;"",C1658,IF(P1658&lt;=IFERROR(INDEX(tblChannels[Watched Through],MATCH(N1658,tblChannels[Channel ID],0)),0),"Watched","Unwatched"))</f>
        <v/>
      </c>
      <c r="C1658" s="37" t="n"/>
      <c r="D1658" s="38" t="n"/>
      <c r="E1658" s="39" t="n">
        <v>43937.375</v>
      </c>
      <c r="F1658" s="40" t="inlineStr">
        <is>
          <t>Popcorn Culture</t>
        </is>
      </c>
      <c r="G1658" t="inlineStr">
        <is>
          <t>18 - It's Hard to be Cool at Middle School Dances</t>
        </is>
      </c>
      <c r="H1658" s="41" t="n">
        <v>0.03849537037037037</v>
      </c>
      <c r="I1658" s="42" t="n">
        <v>5582</v>
      </c>
      <c r="J1658" s="42" t="n">
        <v>239</v>
      </c>
      <c r="K1658" s="42" t="n">
        <v>43</v>
      </c>
      <c r="L1658" s="43" t="n"/>
      <c r="M1658" s="44" t="n"/>
      <c r="N1658" s="44" t="inlineStr">
        <is>
          <t>UCHfIbq9thHPC8yrKjAdJgDA</t>
        </is>
      </c>
      <c r="O1658" s="45" t="n">
        <v>43937.54166666666</v>
      </c>
      <c r="P1658" s="46" t="n">
        <v>43937</v>
      </c>
      <c r="Q1658" s="44" t="n">
        <v>1614</v>
      </c>
      <c r="R1658" s="44" t="inlineStr">
        <is>
          <t>No Video ID yet</t>
        </is>
      </c>
      <c r="S1658" s="46" t="n"/>
      <c r="T1658" s="46" t="n"/>
      <c r="U1658" s="44" t="n"/>
      <c r="V1658" s="44">
        <f>IF(AND(P1658&gt;=Calendar!$K$2,P1658&lt;EDATE(Calendar!$K$2,1),OR(Calendar!$K$4="*",N1658=Calendar!$K$4)),P1658*100+COUNTIFS($P$6:$P$3271,P1658,$Q$6:$Q$3271,"&lt;="&amp;Q1658,$N$6:$N$3271,Calendar!$K$4),"")</f>
        <v/>
      </c>
      <c r="W1658" s="44">
        <f>IF(AND(B1658=Queue!$C$4,OR(Queue!$K$4="*",N1658=Queue!$K$4)),Q1658,"")</f>
        <v/>
      </c>
    </row>
    <row r="1659">
      <c r="A1659" s="35">
        <f>IF(M1659="","",HYPERLINK("https://www.youtube.com/watch?v="&amp;M1659,"▶"))</f>
        <v/>
      </c>
      <c r="B1659" s="36">
        <f>IF(C1659&lt;&gt;"",C1659,IF(P1659&lt;=IFERROR(INDEX(tblChannels[Watched Through],MATCH(N1659,tblChannels[Channel ID],0)),0),"Watched","Unwatched"))</f>
        <v/>
      </c>
      <c r="C1659" s="37" t="n"/>
      <c r="D1659" s="38" t="n"/>
      <c r="E1659" s="39" t="n">
        <v>43935.70972222222</v>
      </c>
      <c r="F1659" s="47" t="inlineStr">
        <is>
          <t>Super Carlin Brothers</t>
        </is>
      </c>
      <c r="G1659" t="inlineStr">
        <is>
          <t>Arendelle SHOULD Have Been Destroyed [Frozen Theory]</t>
        </is>
      </c>
      <c r="H1659" s="41" t="n">
        <v>0.009305555555555555</v>
      </c>
      <c r="I1659" s="42" t="n">
        <v>331397</v>
      </c>
      <c r="J1659" s="42" t="n">
        <v>16057</v>
      </c>
      <c r="K1659" s="42" t="n">
        <v>2062</v>
      </c>
      <c r="L1659" s="43" t="n"/>
      <c r="M1659" s="44" t="n"/>
      <c r="N1659" s="44" t="inlineStr">
        <is>
          <t>UCKZo4N0lVPccBkSiuyVh4yg</t>
        </is>
      </c>
      <c r="O1659" s="45" t="n">
        <v>43935.87638888889</v>
      </c>
      <c r="P1659" s="46" t="n">
        <v>43935</v>
      </c>
      <c r="Q1659" s="44" t="n">
        <v>1613</v>
      </c>
      <c r="R1659" s="44" t="inlineStr">
        <is>
          <t>No Video ID yet</t>
        </is>
      </c>
      <c r="S1659" s="46" t="n"/>
      <c r="T1659" s="46" t="n"/>
      <c r="U1659" s="44" t="n"/>
      <c r="V1659" s="44">
        <f>IF(AND(P1659&gt;=Calendar!$K$2,P1659&lt;EDATE(Calendar!$K$2,1),OR(Calendar!$K$4="*",N1659=Calendar!$K$4)),P1659*100+COUNTIFS($P$6:$P$3271,P1659,$Q$6:$Q$3271,"&lt;="&amp;Q1659,$N$6:$N$3271,Calendar!$K$4),"")</f>
        <v/>
      </c>
      <c r="W1659" s="44">
        <f>IF(AND(B1659=Queue!$C$4,OR(Queue!$K$4="*",N1659=Queue!$K$4)),Q1659,"")</f>
        <v/>
      </c>
    </row>
    <row r="1660">
      <c r="A1660" s="35">
        <f>IF(M1660="","",HYPERLINK("https://www.youtube.com/watch?v="&amp;M1660,"▶"))</f>
        <v/>
      </c>
      <c r="B1660" s="36">
        <f>IF(C1660&lt;&gt;"",C1660,IF(P1660&lt;=IFERROR(INDEX(tblChannels[Watched Through],MATCH(N1660,tblChannels[Channel ID],0)),0),"Watched","Unwatched"))</f>
        <v/>
      </c>
      <c r="C1660" s="37" t="n"/>
      <c r="D1660" s="38" t="n"/>
      <c r="E1660" s="39" t="n">
        <v>43935.47708333333</v>
      </c>
      <c r="F1660" s="40" t="inlineStr">
        <is>
          <t>Popcorn Culture</t>
        </is>
      </c>
      <c r="G1660" t="inlineStr">
        <is>
          <t>17 - Things That I Thought Made Me Interesting</t>
        </is>
      </c>
      <c r="H1660" s="41" t="n">
        <v>0.0415625</v>
      </c>
      <c r="I1660" s="42" t="n">
        <v>5699</v>
      </c>
      <c r="J1660" s="42" t="n">
        <v>255</v>
      </c>
      <c r="K1660" s="42" t="n">
        <v>33</v>
      </c>
      <c r="L1660" s="43" t="n"/>
      <c r="M1660" s="44" t="n"/>
      <c r="N1660" s="44" t="inlineStr">
        <is>
          <t>UCHfIbq9thHPC8yrKjAdJgDA</t>
        </is>
      </c>
      <c r="O1660" s="45" t="n">
        <v>43935.64375</v>
      </c>
      <c r="P1660" s="46" t="n">
        <v>43935</v>
      </c>
      <c r="Q1660" s="44" t="n">
        <v>1612</v>
      </c>
      <c r="R1660" s="44" t="inlineStr">
        <is>
          <t>No Video ID yet</t>
        </is>
      </c>
      <c r="S1660" s="46" t="n"/>
      <c r="T1660" s="46" t="n"/>
      <c r="U1660" s="44" t="n"/>
      <c r="V1660" s="44">
        <f>IF(AND(P1660&gt;=Calendar!$K$2,P1660&lt;EDATE(Calendar!$K$2,1),OR(Calendar!$K$4="*",N1660=Calendar!$K$4)),P1660*100+COUNTIFS($P$6:$P$3271,P1660,$Q$6:$Q$3271,"&lt;="&amp;Q1660,$N$6:$N$3271,Calendar!$K$4),"")</f>
        <v/>
      </c>
      <c r="W1660" s="44">
        <f>IF(AND(B1660=Queue!$C$4,OR(Queue!$K$4="*",N1660=Queue!$K$4)),Q1660,"")</f>
        <v/>
      </c>
    </row>
    <row r="1661">
      <c r="A1661" s="35">
        <f>IF(M1661="","",HYPERLINK("https://www.youtube.com/watch?v="&amp;M1661,"▶"))</f>
        <v/>
      </c>
      <c r="B1661" s="36">
        <f>IF(C1661&lt;&gt;"",C1661,IF(P1661&lt;=IFERROR(INDEX(tblChannels[Watched Through],MATCH(N1661,tblChannels[Channel ID],0)),0),"Watched","Unwatched"))</f>
        <v/>
      </c>
      <c r="C1661" s="37" t="n"/>
      <c r="D1661" s="38" t="n"/>
      <c r="E1661" s="39" t="n">
        <v>43930.73125</v>
      </c>
      <c r="F1661" s="47" t="inlineStr">
        <is>
          <t>Super Carlin Brothers</t>
        </is>
      </c>
      <c r="G1661" t="inlineStr">
        <is>
          <t>Top 7 Predictions For How Fantastic Beasts Will End [Harry Potter Theory]</t>
        </is>
      </c>
      <c r="H1661" s="41" t="n">
        <v>0.01292824074074074</v>
      </c>
      <c r="I1661" s="42" t="n">
        <v>613893</v>
      </c>
      <c r="J1661" s="42" t="n">
        <v>19168</v>
      </c>
      <c r="K1661" s="42" t="n">
        <v>1970</v>
      </c>
      <c r="L1661" s="43" t="n"/>
      <c r="M1661" s="44" t="n"/>
      <c r="N1661" s="44" t="inlineStr">
        <is>
          <t>UCKZo4N0lVPccBkSiuyVh4yg</t>
        </is>
      </c>
      <c r="O1661" s="45" t="n">
        <v>43930.89791666667</v>
      </c>
      <c r="P1661" s="46" t="n">
        <v>43930</v>
      </c>
      <c r="Q1661" s="44" t="n">
        <v>1611</v>
      </c>
      <c r="R1661" s="44" t="inlineStr">
        <is>
          <t>No Video ID yet</t>
        </is>
      </c>
      <c r="S1661" s="46" t="n"/>
      <c r="T1661" s="46" t="n"/>
      <c r="U1661" s="44" t="n"/>
      <c r="V1661" s="44">
        <f>IF(AND(P1661&gt;=Calendar!$K$2,P1661&lt;EDATE(Calendar!$K$2,1),OR(Calendar!$K$4="*",N1661=Calendar!$K$4)),P1661*100+COUNTIFS($P$6:$P$3271,P1661,$Q$6:$Q$3271,"&lt;="&amp;Q1661,$N$6:$N$3271,Calendar!$K$4),"")</f>
        <v/>
      </c>
      <c r="W1661" s="44">
        <f>IF(AND(B1661=Queue!$C$4,OR(Queue!$K$4="*",N1661=Queue!$K$4)),Q1661,"")</f>
        <v/>
      </c>
    </row>
    <row r="1662">
      <c r="A1662" s="35">
        <f>IF(M1662="","",HYPERLINK("https://www.youtube.com/watch?v="&amp;M1662,"▶"))</f>
        <v/>
      </c>
      <c r="B1662" s="36">
        <f>IF(C1662&lt;&gt;"",C1662,IF(P1662&lt;=IFERROR(INDEX(tblChannels[Watched Through],MATCH(N1662,tblChannels[Channel ID],0)),0),"Watched","Unwatched"))</f>
        <v/>
      </c>
      <c r="C1662" s="37" t="n"/>
      <c r="D1662" s="38" t="n"/>
      <c r="E1662" s="39" t="n">
        <v>43929.47569444445</v>
      </c>
      <c r="F1662" s="50" t="inlineStr">
        <is>
          <t>Jonathan Carlin</t>
        </is>
      </c>
      <c r="G1662" t="inlineStr">
        <is>
          <t>THE TWINS COME HOME!</t>
        </is>
      </c>
      <c r="H1662" s="41" t="n">
        <v>0.00863425925925926</v>
      </c>
      <c r="I1662" s="42" t="n">
        <v>61496</v>
      </c>
      <c r="J1662" s="42" t="n">
        <v>4228</v>
      </c>
      <c r="K1662" s="42" t="n">
        <v>564</v>
      </c>
      <c r="L1662" s="43" t="n"/>
      <c r="M1662" s="44" t="n"/>
      <c r="N1662" s="44" t="inlineStr">
        <is>
          <t>UCYPKFe86e6nm4TVUYKLsFUQ</t>
        </is>
      </c>
      <c r="O1662" s="45" t="n">
        <v>43929.64236111111</v>
      </c>
      <c r="P1662" s="46" t="n">
        <v>43929</v>
      </c>
      <c r="Q1662" s="44" t="n">
        <v>1610</v>
      </c>
      <c r="R1662" s="44" t="inlineStr">
        <is>
          <t>No Video ID yet</t>
        </is>
      </c>
      <c r="S1662" s="46" t="n"/>
      <c r="T1662" s="46" t="n"/>
      <c r="U1662" s="44" t="n"/>
      <c r="V1662" s="44">
        <f>IF(AND(P1662&gt;=Calendar!$K$2,P1662&lt;EDATE(Calendar!$K$2,1),OR(Calendar!$K$4="*",N1662=Calendar!$K$4)),P1662*100+COUNTIFS($P$6:$P$3271,P1662,$Q$6:$Q$3271,"&lt;="&amp;Q1662,$N$6:$N$3271,Calendar!$K$4),"")</f>
        <v/>
      </c>
      <c r="W1662" s="44">
        <f>IF(AND(B1662=Queue!$C$4,OR(Queue!$K$4="*",N1662=Queue!$K$4)),Q1662,"")</f>
        <v/>
      </c>
    </row>
    <row r="1663">
      <c r="A1663" s="35">
        <f>IF(M1663="","",HYPERLINK("https://www.youtube.com/watch?v="&amp;M1663,"▶"))</f>
        <v/>
      </c>
      <c r="B1663" s="36">
        <f>IF(C1663&lt;&gt;"",C1663,IF(P1663&lt;=IFERROR(INDEX(tblChannels[Watched Through],MATCH(N1663,tblChannels[Channel ID],0)),0),"Watched","Unwatched"))</f>
        <v/>
      </c>
      <c r="C1663" s="37" t="n"/>
      <c r="D1663" s="38" t="n"/>
      <c r="E1663" s="39" t="n">
        <v>43928.70972222222</v>
      </c>
      <c r="F1663" s="47" t="inlineStr">
        <is>
          <t>Super Carlin Brothers</t>
        </is>
      </c>
      <c r="G1663" t="inlineStr">
        <is>
          <t>Why Dementors ACTUALLY Affect Harry So Much [Harry Potter Theory]</t>
        </is>
      </c>
      <c r="H1663" s="41" t="n">
        <v>0.0071875</v>
      </c>
      <c r="I1663" s="42" t="n">
        <v>398904</v>
      </c>
      <c r="J1663" s="42" t="n">
        <v>19198</v>
      </c>
      <c r="K1663" s="42" t="n">
        <v>1769</v>
      </c>
      <c r="L1663" s="43" t="n"/>
      <c r="M1663" s="44" t="n"/>
      <c r="N1663" s="44" t="inlineStr">
        <is>
          <t>UCKZo4N0lVPccBkSiuyVh4yg</t>
        </is>
      </c>
      <c r="O1663" s="45" t="n">
        <v>43928.87638888889</v>
      </c>
      <c r="P1663" s="46" t="n">
        <v>43928</v>
      </c>
      <c r="Q1663" s="44" t="n">
        <v>1609</v>
      </c>
      <c r="R1663" s="44" t="inlineStr">
        <is>
          <t>No Video ID yet</t>
        </is>
      </c>
      <c r="S1663" s="46" t="n"/>
      <c r="T1663" s="46" t="n"/>
      <c r="U1663" s="44" t="n"/>
      <c r="V1663" s="44">
        <f>IF(AND(P1663&gt;=Calendar!$K$2,P1663&lt;EDATE(Calendar!$K$2,1),OR(Calendar!$K$4="*",N1663=Calendar!$K$4)),P1663*100+COUNTIFS($P$6:$P$3271,P1663,$Q$6:$Q$3271,"&lt;="&amp;Q1663,$N$6:$N$3271,Calendar!$K$4),"")</f>
        <v/>
      </c>
      <c r="W1663" s="44">
        <f>IF(AND(B1663=Queue!$C$4,OR(Queue!$K$4="*",N1663=Queue!$K$4)),Q1663,"")</f>
        <v/>
      </c>
    </row>
    <row r="1664">
      <c r="A1664" s="35">
        <f>IF(M1664="","",HYPERLINK("https://www.youtube.com/watch?v="&amp;M1664,"▶"))</f>
        <v/>
      </c>
      <c r="B1664" s="36">
        <f>IF(C1664&lt;&gt;"",C1664,IF(P1664&lt;=IFERROR(INDEX(tblChannels[Watched Through],MATCH(N1664,tblChannels[Channel ID],0)),0),"Watched","Unwatched"))</f>
        <v/>
      </c>
      <c r="C1664" s="37" t="n"/>
      <c r="D1664" s="38" t="n"/>
      <c r="E1664" s="39" t="n">
        <v>43925.77777777778</v>
      </c>
      <c r="F1664" s="49" t="inlineStr">
        <is>
          <t>Super Carlin Gaming</t>
        </is>
      </c>
      <c r="G1664" t="inlineStr">
        <is>
          <t>Can I Beat Pokemon LeafGreen with A SINGLE VULPIX? 🔥[Pokemon Challenge]</t>
        </is>
      </c>
      <c r="H1664" s="41" t="n">
        <v>0.02172453703703704</v>
      </c>
      <c r="I1664" s="42" t="n">
        <v>56239</v>
      </c>
      <c r="J1664" s="42" t="n">
        <v>2583</v>
      </c>
      <c r="K1664" s="42" t="n">
        <v>473</v>
      </c>
      <c r="L1664" s="43" t="n"/>
      <c r="M1664" s="44" t="n"/>
      <c r="N1664" s="44" t="inlineStr">
        <is>
          <t>UCor_9jRnNNZVzTuQ92PKsaQ</t>
        </is>
      </c>
      <c r="O1664" s="45" t="n">
        <v>43925.94444444445</v>
      </c>
      <c r="P1664" s="46" t="n">
        <v>43925</v>
      </c>
      <c r="Q1664" s="44" t="n">
        <v>1608</v>
      </c>
      <c r="R1664" s="44" t="inlineStr">
        <is>
          <t>No Video ID yet</t>
        </is>
      </c>
      <c r="S1664" s="46" t="n"/>
      <c r="T1664" s="46" t="n"/>
      <c r="U1664" s="44" t="n"/>
      <c r="V1664" s="44">
        <f>IF(AND(P1664&gt;=Calendar!$K$2,P1664&lt;EDATE(Calendar!$K$2,1),OR(Calendar!$K$4="*",N1664=Calendar!$K$4)),P1664*100+COUNTIFS($P$6:$P$3271,P1664,$Q$6:$Q$3271,"&lt;="&amp;Q1664,$N$6:$N$3271,Calendar!$K$4),"")</f>
        <v/>
      </c>
      <c r="W1664" s="44">
        <f>IF(AND(B1664=Queue!$C$4,OR(Queue!$K$4="*",N1664=Queue!$K$4)),Q1664,"")</f>
        <v/>
      </c>
    </row>
    <row r="1665">
      <c r="A1665" s="35">
        <f>IF(M1665="","",HYPERLINK("https://www.youtube.com/watch?v="&amp;M1665,"▶"))</f>
        <v/>
      </c>
      <c r="B1665" s="36">
        <f>IF(C1665&lt;&gt;"",C1665,IF(P1665&lt;=IFERROR(INDEX(tblChannels[Watched Through],MATCH(N1665,tblChannels[Channel ID],0)),0),"Watched","Unwatched"))</f>
        <v/>
      </c>
      <c r="C1665" s="37" t="n"/>
      <c r="D1665" s="38" t="n"/>
      <c r="E1665" s="39" t="n">
        <v>43923.80277777778</v>
      </c>
      <c r="F1665" s="47" t="inlineStr">
        <is>
          <t>Super Carlin Brothers</t>
        </is>
      </c>
      <c r="G1665" t="inlineStr">
        <is>
          <t>J vs Ben: The MEGA Harry Potter TRIVIA Quiz</t>
        </is>
      </c>
      <c r="H1665" s="41" t="n">
        <v>0.03295138888888889</v>
      </c>
      <c r="I1665" s="42" t="n">
        <v>1639075</v>
      </c>
      <c r="J1665" s="42" t="n">
        <v>26004</v>
      </c>
      <c r="K1665" s="42" t="n">
        <v>3421</v>
      </c>
      <c r="L1665" s="43" t="n"/>
      <c r="M1665" s="44" t="n"/>
      <c r="N1665" s="44" t="inlineStr">
        <is>
          <t>UCKZo4N0lVPccBkSiuyVh4yg</t>
        </is>
      </c>
      <c r="O1665" s="45" t="n">
        <v>43923.96944444445</v>
      </c>
      <c r="P1665" s="46" t="n">
        <v>43923</v>
      </c>
      <c r="Q1665" s="44" t="n">
        <v>1607</v>
      </c>
      <c r="R1665" s="44" t="inlineStr">
        <is>
          <t>No Video ID yet</t>
        </is>
      </c>
      <c r="S1665" s="46" t="n"/>
      <c r="T1665" s="46" t="n"/>
      <c r="U1665" s="44" t="n"/>
      <c r="V1665" s="44">
        <f>IF(AND(P1665&gt;=Calendar!$K$2,P1665&lt;EDATE(Calendar!$K$2,1),OR(Calendar!$K$4="*",N1665=Calendar!$K$4)),P1665*100+COUNTIFS($P$6:$P$3271,P1665,$Q$6:$Q$3271,"&lt;="&amp;Q1665,$N$6:$N$3271,Calendar!$K$4),"")</f>
        <v/>
      </c>
      <c r="W1665" s="44">
        <f>IF(AND(B1665=Queue!$C$4,OR(Queue!$K$4="*",N1665=Queue!$K$4)),Q1665,"")</f>
        <v/>
      </c>
    </row>
    <row r="1666">
      <c r="A1666" s="35">
        <f>IF(M1666="","",HYPERLINK("https://www.youtube.com/watch?v="&amp;M1666,"▶"))</f>
        <v/>
      </c>
      <c r="B1666" s="36">
        <f>IF(C1666&lt;&gt;"",C1666,IF(P1666&lt;=IFERROR(INDEX(tblChannels[Watched Through],MATCH(N1666,tblChannels[Channel ID],0)),0),"Watched","Unwatched"))</f>
        <v/>
      </c>
      <c r="C1666" s="37" t="n"/>
      <c r="D1666" s="38" t="n"/>
      <c r="E1666" s="39" t="n">
        <v>43923.375</v>
      </c>
      <c r="F1666" s="40" t="inlineStr">
        <is>
          <t>Popcorn Culture</t>
        </is>
      </c>
      <c r="G1666" t="inlineStr">
        <is>
          <t>16 - Harry Potter and Starting Super Carlin Brothers</t>
        </is>
      </c>
      <c r="H1666" s="41" t="n">
        <v>0.0467824074074074</v>
      </c>
      <c r="I1666" s="42" t="n">
        <v>9267</v>
      </c>
      <c r="J1666" s="42" t="n">
        <v>338</v>
      </c>
      <c r="K1666" s="42" t="n">
        <v>83</v>
      </c>
      <c r="L1666" s="43" t="n"/>
      <c r="M1666" s="44" t="n"/>
      <c r="N1666" s="44" t="inlineStr">
        <is>
          <t>UCHfIbq9thHPC8yrKjAdJgDA</t>
        </is>
      </c>
      <c r="O1666" s="45" t="n">
        <v>43923.54166666666</v>
      </c>
      <c r="P1666" s="46" t="n">
        <v>43923</v>
      </c>
      <c r="Q1666" s="44" t="n">
        <v>1606</v>
      </c>
      <c r="R1666" s="44" t="inlineStr">
        <is>
          <t>No Video ID yet</t>
        </is>
      </c>
      <c r="S1666" s="46" t="n"/>
      <c r="T1666" s="46" t="n"/>
      <c r="U1666" s="44" t="n"/>
      <c r="V1666" s="44">
        <f>IF(AND(P1666&gt;=Calendar!$K$2,P1666&lt;EDATE(Calendar!$K$2,1),OR(Calendar!$K$4="*",N1666=Calendar!$K$4)),P1666*100+COUNTIFS($P$6:$P$3271,P1666,$Q$6:$Q$3271,"&lt;="&amp;Q1666,$N$6:$N$3271,Calendar!$K$4),"")</f>
        <v/>
      </c>
      <c r="W1666" s="44">
        <f>IF(AND(B1666=Queue!$C$4,OR(Queue!$K$4="*",N1666=Queue!$K$4)),Q1666,"")</f>
        <v/>
      </c>
    </row>
    <row r="1667">
      <c r="A1667" s="35">
        <f>IF(M1667="","",HYPERLINK("https://www.youtube.com/watch?v="&amp;M1667,"▶"))</f>
        <v/>
      </c>
      <c r="B1667" s="36">
        <f>IF(C1667&lt;&gt;"",C1667,IF(P1667&lt;=IFERROR(INDEX(tblChannels[Watched Through],MATCH(N1667,tblChannels[Channel ID],0)),0),"Watched","Unwatched"))</f>
        <v/>
      </c>
      <c r="C1667" s="37" t="n"/>
      <c r="D1667" s="38" t="n"/>
      <c r="E1667" s="39" t="n">
        <v>43921.63541666666</v>
      </c>
      <c r="F1667" s="47" t="inlineStr">
        <is>
          <t>Super Carlin Brothers</t>
        </is>
      </c>
      <c r="G1667" t="inlineStr">
        <is>
          <t>The Pixar Theory SONG | SuperCarlinBrothers Songify Remix by  Schmoyoho</t>
        </is>
      </c>
      <c r="H1667" s="41" t="n">
        <v>0.002395833333333333</v>
      </c>
      <c r="I1667" s="42" t="n">
        <v>339789</v>
      </c>
      <c r="J1667" s="42" t="n">
        <v>16084</v>
      </c>
      <c r="K1667" s="42" t="n">
        <v>1698</v>
      </c>
      <c r="L1667" s="43" t="n"/>
      <c r="M1667" s="44" t="n"/>
      <c r="N1667" s="44" t="inlineStr">
        <is>
          <t>UCKZo4N0lVPccBkSiuyVh4yg</t>
        </is>
      </c>
      <c r="O1667" s="45" t="n">
        <v>43921.80208333334</v>
      </c>
      <c r="P1667" s="46" t="n">
        <v>43921</v>
      </c>
      <c r="Q1667" s="44" t="n">
        <v>1605</v>
      </c>
      <c r="R1667" s="44" t="inlineStr">
        <is>
          <t>No Video ID yet</t>
        </is>
      </c>
      <c r="S1667" s="46" t="n"/>
      <c r="T1667" s="46" t="n"/>
      <c r="U1667" s="44" t="n"/>
      <c r="V1667" s="44">
        <f>IF(AND(P1667&gt;=Calendar!$K$2,P1667&lt;EDATE(Calendar!$K$2,1),OR(Calendar!$K$4="*",N1667=Calendar!$K$4)),P1667*100+COUNTIFS($P$6:$P$3271,P1667,$Q$6:$Q$3271,"&lt;="&amp;Q1667,$N$6:$N$3271,Calendar!$K$4),"")</f>
        <v/>
      </c>
      <c r="W1667" s="44">
        <f>IF(AND(B1667=Queue!$C$4,OR(Queue!$K$4="*",N1667=Queue!$K$4)),Q1667,"")</f>
        <v/>
      </c>
    </row>
    <row r="1668">
      <c r="A1668" s="35">
        <f>IF(M1668="","",HYPERLINK("https://www.youtube.com/watch?v="&amp;M1668,"▶"))</f>
        <v/>
      </c>
      <c r="B1668" s="36">
        <f>IF(C1668&lt;&gt;"",C1668,IF(P1668&lt;=IFERROR(INDEX(tblChannels[Watched Through],MATCH(N1668,tblChannels[Channel ID],0)),0),"Watched","Unwatched"))</f>
        <v/>
      </c>
      <c r="C1668" s="37" t="n"/>
      <c r="D1668" s="38" t="n"/>
      <c r="E1668" s="39" t="n">
        <v>43920.5875</v>
      </c>
      <c r="F1668" s="50" t="inlineStr">
        <is>
          <t>Jonathan Carlin</t>
        </is>
      </c>
      <c r="G1668" t="inlineStr">
        <is>
          <t>The Quarantine Begins!</t>
        </is>
      </c>
      <c r="H1668" s="41" t="n">
        <v>0.007442129629629629</v>
      </c>
      <c r="I1668" s="42" t="n">
        <v>53441</v>
      </c>
      <c r="J1668" s="42" t="n">
        <v>3201</v>
      </c>
      <c r="K1668" s="42" t="n">
        <v>469</v>
      </c>
      <c r="L1668" s="43" t="n"/>
      <c r="M1668" s="44" t="n"/>
      <c r="N1668" s="44" t="inlineStr">
        <is>
          <t>UCYPKFe86e6nm4TVUYKLsFUQ</t>
        </is>
      </c>
      <c r="O1668" s="45" t="n">
        <v>43920.75416666667</v>
      </c>
      <c r="P1668" s="46" t="n">
        <v>43920</v>
      </c>
      <c r="Q1668" s="44" t="n">
        <v>1604</v>
      </c>
      <c r="R1668" s="44" t="inlineStr">
        <is>
          <t>No Video ID yet</t>
        </is>
      </c>
      <c r="S1668" s="46" t="n"/>
      <c r="T1668" s="46" t="n"/>
      <c r="U1668" s="44" t="n"/>
      <c r="V1668" s="44">
        <f>IF(AND(P1668&gt;=Calendar!$K$2,P1668&lt;EDATE(Calendar!$K$2,1),OR(Calendar!$K$4="*",N1668=Calendar!$K$4)),P1668*100+COUNTIFS($P$6:$P$3271,P1668,$Q$6:$Q$3271,"&lt;="&amp;Q1668,$N$6:$N$3271,Calendar!$K$4),"")</f>
        <v/>
      </c>
      <c r="W1668" s="44">
        <f>IF(AND(B1668=Queue!$C$4,OR(Queue!$K$4="*",N1668=Queue!$K$4)),Q1668,"")</f>
        <v/>
      </c>
    </row>
    <row r="1669">
      <c r="A1669" s="35">
        <f>IF(M1669="","",HYPERLINK("https://www.youtube.com/watch?v="&amp;M1669,"▶"))</f>
        <v/>
      </c>
      <c r="B1669" s="36">
        <f>IF(C1669&lt;&gt;"",C1669,IF(P1669&lt;=IFERROR(INDEX(tblChannels[Watched Through],MATCH(N1669,tblChannels[Channel ID],0)),0),"Watched","Unwatched"))</f>
        <v/>
      </c>
      <c r="C1669" s="37" t="n"/>
      <c r="D1669" s="38" t="n"/>
      <c r="E1669" s="39" t="n">
        <v>43916.75833333333</v>
      </c>
      <c r="F1669" s="47" t="inlineStr">
        <is>
          <t>Super Carlin Brothers</t>
        </is>
      </c>
      <c r="G1669" t="inlineStr">
        <is>
          <t>Monsters Inc and the MISSING A-113 Easter Egg</t>
        </is>
      </c>
      <c r="H1669" s="41" t="n">
        <v>0.008993055555555556</v>
      </c>
      <c r="I1669" s="42" t="n">
        <v>502185</v>
      </c>
      <c r="J1669" s="42" t="n">
        <v>18607</v>
      </c>
      <c r="K1669" s="42" t="n">
        <v>3107</v>
      </c>
      <c r="L1669" s="43" t="n"/>
      <c r="M1669" s="44" t="n"/>
      <c r="N1669" s="44" t="inlineStr">
        <is>
          <t>UCKZo4N0lVPccBkSiuyVh4yg</t>
        </is>
      </c>
      <c r="O1669" s="45" t="n">
        <v>43916.925</v>
      </c>
      <c r="P1669" s="46" t="n">
        <v>43916</v>
      </c>
      <c r="Q1669" s="44" t="n">
        <v>1603</v>
      </c>
      <c r="R1669" s="44" t="inlineStr">
        <is>
          <t>No Video ID yet</t>
        </is>
      </c>
      <c r="S1669" s="46" t="n"/>
      <c r="T1669" s="46" t="n"/>
      <c r="U1669" s="44" t="n"/>
      <c r="V1669" s="44">
        <f>IF(AND(P1669&gt;=Calendar!$K$2,P1669&lt;EDATE(Calendar!$K$2,1),OR(Calendar!$K$4="*",N1669=Calendar!$K$4)),P1669*100+COUNTIFS($P$6:$P$3271,P1669,$Q$6:$Q$3271,"&lt;="&amp;Q1669,$N$6:$N$3271,Calendar!$K$4),"")</f>
        <v/>
      </c>
      <c r="W1669" s="44">
        <f>IF(AND(B1669=Queue!$C$4,OR(Queue!$K$4="*",N1669=Queue!$K$4)),Q1669,"")</f>
        <v/>
      </c>
    </row>
    <row r="1670">
      <c r="A1670" s="35">
        <f>IF(M1670="","",HYPERLINK("https://www.youtube.com/watch?v="&amp;M1670,"▶"))</f>
        <v/>
      </c>
      <c r="B1670" s="36">
        <f>IF(C1670&lt;&gt;"",C1670,IF(P1670&lt;=IFERROR(INDEX(tblChannels[Watched Through],MATCH(N1670,tblChannels[Channel ID],0)),0),"Watched","Unwatched"))</f>
        <v/>
      </c>
      <c r="C1670" s="37" t="n"/>
      <c r="D1670" s="38" t="n"/>
      <c r="E1670" s="39" t="n">
        <v>43914.65</v>
      </c>
      <c r="F1670" s="47" t="inlineStr">
        <is>
          <t>Super Carlin Brothers</t>
        </is>
      </c>
      <c r="G1670" t="inlineStr">
        <is>
          <t>THE TWINS ARE BORN! - J Becomes a Dad! (again)</t>
        </is>
      </c>
      <c r="H1670" s="41" t="n">
        <v>0.01152777777777778</v>
      </c>
      <c r="I1670" s="42" t="n">
        <v>126348</v>
      </c>
      <c r="J1670" s="42" t="n">
        <v>9009</v>
      </c>
      <c r="K1670" s="42" t="n">
        <v>1022</v>
      </c>
      <c r="L1670" s="43" t="n"/>
      <c r="M1670" s="44" t="n"/>
      <c r="N1670" s="44" t="inlineStr">
        <is>
          <t>UCKZo4N0lVPccBkSiuyVh4yg</t>
        </is>
      </c>
      <c r="O1670" s="45" t="n">
        <v>43914.81666666667</v>
      </c>
      <c r="P1670" s="46" t="n">
        <v>43914</v>
      </c>
      <c r="Q1670" s="44" t="n">
        <v>1602</v>
      </c>
      <c r="R1670" s="44" t="inlineStr">
        <is>
          <t>No Video ID yet</t>
        </is>
      </c>
      <c r="S1670" s="46" t="n"/>
      <c r="T1670" s="46" t="n"/>
      <c r="U1670" s="44" t="n"/>
      <c r="V1670" s="44">
        <f>IF(AND(P1670&gt;=Calendar!$K$2,P1670&lt;EDATE(Calendar!$K$2,1),OR(Calendar!$K$4="*",N1670=Calendar!$K$4)),P1670*100+COUNTIFS($P$6:$P$3271,P1670,$Q$6:$Q$3271,"&lt;="&amp;Q1670,$N$6:$N$3271,Calendar!$K$4),"")</f>
        <v/>
      </c>
      <c r="W1670" s="44">
        <f>IF(AND(B1670=Queue!$C$4,OR(Queue!$K$4="*",N1670=Queue!$K$4)),Q1670,"")</f>
        <v/>
      </c>
    </row>
    <row r="1671">
      <c r="A1671" s="35">
        <f>IF(M1671="","",HYPERLINK("https://www.youtube.com/watch?v="&amp;M1671,"▶"))</f>
        <v/>
      </c>
      <c r="B1671" s="36">
        <f>IF(C1671&lt;&gt;"",C1671,IF(P1671&lt;=IFERROR(INDEX(tblChannels[Watched Through],MATCH(N1671,tblChannels[Channel ID],0)),0),"Watched","Unwatched"))</f>
        <v/>
      </c>
      <c r="C1671" s="37" t="n"/>
      <c r="D1671" s="38" t="n"/>
      <c r="E1671" s="39" t="n">
        <v>43913.41666666666</v>
      </c>
      <c r="F1671" s="50" t="inlineStr">
        <is>
          <t>Jonathan Carlin</t>
        </is>
      </c>
      <c r="G1671" t="inlineStr">
        <is>
          <t>Holding Both Twins For The First Time!</t>
        </is>
      </c>
      <c r="H1671" s="41" t="n">
        <v>0.005960648148148148</v>
      </c>
      <c r="I1671" s="42" t="n">
        <v>47061</v>
      </c>
      <c r="J1671" s="42" t="n">
        <v>3208</v>
      </c>
      <c r="K1671" s="42" t="n">
        <v>255</v>
      </c>
      <c r="L1671" s="43" t="n"/>
      <c r="M1671" s="44" t="n"/>
      <c r="N1671" s="44" t="inlineStr">
        <is>
          <t>UCYPKFe86e6nm4TVUYKLsFUQ</t>
        </is>
      </c>
      <c r="O1671" s="45" t="n">
        <v>43913.58333333334</v>
      </c>
      <c r="P1671" s="46" t="n">
        <v>43913</v>
      </c>
      <c r="Q1671" s="44" t="n">
        <v>1601</v>
      </c>
      <c r="R1671" s="44" t="inlineStr">
        <is>
          <t>No Video ID yet</t>
        </is>
      </c>
      <c r="S1671" s="46" t="n"/>
      <c r="T1671" s="46" t="n"/>
      <c r="U1671" s="44" t="n"/>
      <c r="V1671" s="44">
        <f>IF(AND(P1671&gt;=Calendar!$K$2,P1671&lt;EDATE(Calendar!$K$2,1),OR(Calendar!$K$4="*",N1671=Calendar!$K$4)),P1671*100+COUNTIFS($P$6:$P$3271,P1671,$Q$6:$Q$3271,"&lt;="&amp;Q1671,$N$6:$N$3271,Calendar!$K$4),"")</f>
        <v/>
      </c>
      <c r="W1671" s="44">
        <f>IF(AND(B1671=Queue!$C$4,OR(Queue!$K$4="*",N1671=Queue!$K$4)),Q1671,"")</f>
        <v/>
      </c>
    </row>
    <row r="1672">
      <c r="A1672" s="35">
        <f>IF(M1672="","",HYPERLINK("https://www.youtube.com/watch?v="&amp;M1672,"▶"))</f>
        <v/>
      </c>
      <c r="B1672" s="36">
        <f>IF(C1672&lt;&gt;"",C1672,IF(P1672&lt;=IFERROR(INDEX(tblChannels[Watched Through],MATCH(N1672,tblChannels[Channel ID],0)),0),"Watched","Unwatched"))</f>
        <v/>
      </c>
      <c r="C1672" s="37" t="n"/>
      <c r="D1672" s="38" t="n"/>
      <c r="E1672" s="39" t="n">
        <v>43909.54166666666</v>
      </c>
      <c r="F1672" s="47" t="inlineStr">
        <is>
          <t>Super Carlin Brothers</t>
        </is>
      </c>
      <c r="G1672" t="inlineStr">
        <is>
          <t>J vs Ben: ULTIMATE Arthur &amp; Molly Weasley Quiz [Harry Potter Trivia]</t>
        </is>
      </c>
      <c r="H1672" s="41" t="n">
        <v>0.01583333333333333</v>
      </c>
      <c r="I1672" s="42" t="n">
        <v>252451</v>
      </c>
      <c r="J1672" s="42" t="n">
        <v>9899</v>
      </c>
      <c r="K1672" s="42" t="n">
        <v>1449</v>
      </c>
      <c r="L1672" s="43" t="n"/>
      <c r="M1672" s="44" t="n"/>
      <c r="N1672" s="44" t="inlineStr">
        <is>
          <t>UCKZo4N0lVPccBkSiuyVh4yg</t>
        </is>
      </c>
      <c r="O1672" s="45" t="n">
        <v>43909.70833333334</v>
      </c>
      <c r="P1672" s="46" t="n">
        <v>43909</v>
      </c>
      <c r="Q1672" s="44" t="n">
        <v>1600</v>
      </c>
      <c r="R1672" s="44" t="inlineStr">
        <is>
          <t>No Video ID yet</t>
        </is>
      </c>
      <c r="S1672" s="46" t="n"/>
      <c r="T1672" s="46" t="n"/>
      <c r="U1672" s="44" t="n"/>
      <c r="V1672" s="44">
        <f>IF(AND(P1672&gt;=Calendar!$K$2,P1672&lt;EDATE(Calendar!$K$2,1),OR(Calendar!$K$4="*",N1672=Calendar!$K$4)),P1672*100+COUNTIFS($P$6:$P$3271,P1672,$Q$6:$Q$3271,"&lt;="&amp;Q1672,$N$6:$N$3271,Calendar!$K$4),"")</f>
        <v/>
      </c>
      <c r="W1672" s="44">
        <f>IF(AND(B1672=Queue!$C$4,OR(Queue!$K$4="*",N1672=Queue!$K$4)),Q1672,"")</f>
        <v/>
      </c>
    </row>
    <row r="1673">
      <c r="A1673" s="35">
        <f>IF(M1673="","",HYPERLINK("https://www.youtube.com/watch?v="&amp;M1673,"▶"))</f>
        <v/>
      </c>
      <c r="B1673" s="36">
        <f>IF(C1673&lt;&gt;"",C1673,IF(P1673&lt;=IFERROR(INDEX(tblChannels[Watched Through],MATCH(N1673,tblChannels[Channel ID],0)),0),"Watched","Unwatched"))</f>
        <v/>
      </c>
      <c r="C1673" s="37" t="n"/>
      <c r="D1673" s="38" t="n"/>
      <c r="E1673" s="39" t="n">
        <v>43908.48055555556</v>
      </c>
      <c r="F1673" s="49" t="inlineStr">
        <is>
          <t>Super Carlin Gaming</t>
        </is>
      </c>
      <c r="G1673" t="inlineStr">
        <is>
          <t>Hogwarts Founders LIGHT EVERYTHING ON FIRE in SIMS 4 | Episode #11</t>
        </is>
      </c>
      <c r="H1673" s="41" t="n">
        <v>0.02090277777777778</v>
      </c>
      <c r="I1673" s="42" t="n">
        <v>28601</v>
      </c>
      <c r="J1673" s="42" t="n">
        <v>1185</v>
      </c>
      <c r="K1673" s="42" t="n">
        <v>287</v>
      </c>
      <c r="L1673" s="43" t="n"/>
      <c r="M1673" s="44" t="n"/>
      <c r="N1673" s="44" t="inlineStr">
        <is>
          <t>UCor_9jRnNNZVzTuQ92PKsaQ</t>
        </is>
      </c>
      <c r="O1673" s="45" t="n">
        <v>43908.64722222222</v>
      </c>
      <c r="P1673" s="46" t="n">
        <v>43908</v>
      </c>
      <c r="Q1673" s="44" t="n">
        <v>1599</v>
      </c>
      <c r="R1673" s="44" t="inlineStr">
        <is>
          <t>No Video ID yet</t>
        </is>
      </c>
      <c r="S1673" s="46" t="n"/>
      <c r="T1673" s="46" t="n"/>
      <c r="U1673" s="44" t="n"/>
      <c r="V1673" s="44">
        <f>IF(AND(P1673&gt;=Calendar!$K$2,P1673&lt;EDATE(Calendar!$K$2,1),OR(Calendar!$K$4="*",N1673=Calendar!$K$4)),P1673*100+COUNTIFS($P$6:$P$3271,P1673,$Q$6:$Q$3271,"&lt;="&amp;Q1673,$N$6:$N$3271,Calendar!$K$4),"")</f>
        <v/>
      </c>
      <c r="W1673" s="44">
        <f>IF(AND(B1673=Queue!$C$4,OR(Queue!$K$4="*",N1673=Queue!$K$4)),Q1673,"")</f>
        <v/>
      </c>
    </row>
    <row r="1674">
      <c r="A1674" s="35">
        <f>IF(M1674="","",HYPERLINK("https://www.youtube.com/watch?v="&amp;M1674,"▶"))</f>
        <v/>
      </c>
      <c r="B1674" s="36">
        <f>IF(C1674&lt;&gt;"",C1674,IF(P1674&lt;=IFERROR(INDEX(tblChannels[Watched Through],MATCH(N1674,tblChannels[Channel ID],0)),0),"Watched","Unwatched"))</f>
        <v/>
      </c>
      <c r="C1674" s="37" t="n"/>
      <c r="D1674" s="38" t="n"/>
      <c r="E1674" s="39" t="n">
        <v>43907.8375</v>
      </c>
      <c r="F1674" s="47" t="inlineStr">
        <is>
          <t>Super Carlin Brothers</t>
        </is>
      </c>
      <c r="G1674" t="inlineStr">
        <is>
          <t>What Is Voldemort’s Patronus? [Harry Potter Theory]</t>
        </is>
      </c>
      <c r="H1674" s="41" t="n">
        <v>0.008657407407407407</v>
      </c>
      <c r="I1674" s="42" t="n">
        <v>695314</v>
      </c>
      <c r="J1674" s="42" t="n">
        <v>25476</v>
      </c>
      <c r="K1674" s="42" t="n">
        <v>3505</v>
      </c>
      <c r="L1674" s="43" t="n"/>
      <c r="M1674" s="44" t="n"/>
      <c r="N1674" s="44" t="inlineStr">
        <is>
          <t>UCKZo4N0lVPccBkSiuyVh4yg</t>
        </is>
      </c>
      <c r="O1674" s="45" t="n">
        <v>43908.00416666667</v>
      </c>
      <c r="P1674" s="46" t="n">
        <v>43907</v>
      </c>
      <c r="Q1674" s="44" t="n">
        <v>1598</v>
      </c>
      <c r="R1674" s="44" t="inlineStr">
        <is>
          <t>No Video ID yet</t>
        </is>
      </c>
      <c r="S1674" s="46" t="n"/>
      <c r="T1674" s="46" t="n"/>
      <c r="U1674" s="44" t="n"/>
      <c r="V1674" s="44">
        <f>IF(AND(P1674&gt;=Calendar!$K$2,P1674&lt;EDATE(Calendar!$K$2,1),OR(Calendar!$K$4="*",N1674=Calendar!$K$4)),P1674*100+COUNTIFS($P$6:$P$3271,P1674,$Q$6:$Q$3271,"&lt;="&amp;Q1674,$N$6:$N$3271,Calendar!$K$4),"")</f>
        <v/>
      </c>
      <c r="W1674" s="44">
        <f>IF(AND(B1674=Queue!$C$4,OR(Queue!$K$4="*",N1674=Queue!$K$4)),Q1674,"")</f>
        <v/>
      </c>
    </row>
    <row r="1675">
      <c r="A1675" s="35">
        <f>IF(M1675="","",HYPERLINK("https://www.youtube.com/watch?v="&amp;M1675,"▶"))</f>
        <v/>
      </c>
      <c r="B1675" s="36">
        <f>IF(C1675&lt;&gt;"",C1675,IF(P1675&lt;=IFERROR(INDEX(tblChannels[Watched Through],MATCH(N1675,tblChannels[Channel ID],0)),0),"Watched","Unwatched"))</f>
        <v/>
      </c>
      <c r="C1675" s="37" t="n"/>
      <c r="D1675" s="38" t="n"/>
      <c r="E1675" s="39" t="n">
        <v>43906.62986111111</v>
      </c>
      <c r="F1675" s="40" t="inlineStr">
        <is>
          <t>Popcorn Culture</t>
        </is>
      </c>
      <c r="G1675" t="inlineStr">
        <is>
          <t>14 - Nails on a Chalk Board, Monster Trucks, and Innate Fears</t>
        </is>
      </c>
      <c r="H1675" s="41" t="n">
        <v>0.03262731481481482</v>
      </c>
      <c r="I1675" s="42" t="n">
        <v>5006</v>
      </c>
      <c r="J1675" s="42" t="n">
        <v>219</v>
      </c>
      <c r="K1675" s="42" t="n">
        <v>38</v>
      </c>
      <c r="L1675" s="43" t="n"/>
      <c r="M1675" s="44" t="n"/>
      <c r="N1675" s="44" t="inlineStr">
        <is>
          <t>UCHfIbq9thHPC8yrKjAdJgDA</t>
        </is>
      </c>
      <c r="O1675" s="45" t="n">
        <v>43906.79652777778</v>
      </c>
      <c r="P1675" s="46" t="n">
        <v>43906</v>
      </c>
      <c r="Q1675" s="44" t="n">
        <v>1597</v>
      </c>
      <c r="R1675" s="44" t="inlineStr">
        <is>
          <t>No Video ID yet</t>
        </is>
      </c>
      <c r="S1675" s="46" t="n"/>
      <c r="T1675" s="46" t="n"/>
      <c r="U1675" s="44" t="n"/>
      <c r="V1675" s="44">
        <f>IF(AND(P1675&gt;=Calendar!$K$2,P1675&lt;EDATE(Calendar!$K$2,1),OR(Calendar!$K$4="*",N1675=Calendar!$K$4)),P1675*100+COUNTIFS($P$6:$P$3271,P1675,$Q$6:$Q$3271,"&lt;="&amp;Q1675,$N$6:$N$3271,Calendar!$K$4),"")</f>
        <v/>
      </c>
      <c r="W1675" s="44">
        <f>IF(AND(B1675=Queue!$C$4,OR(Queue!$K$4="*",N1675=Queue!$K$4)),Q1675,"")</f>
        <v/>
      </c>
    </row>
    <row r="1676">
      <c r="A1676" s="35">
        <f>IF(M1676="","",HYPERLINK("https://www.youtube.com/watch?v="&amp;M1676,"▶"))</f>
        <v/>
      </c>
      <c r="B1676" s="36">
        <f>IF(C1676&lt;&gt;"",C1676,IF(P1676&lt;=IFERROR(INDEX(tblChannels[Watched Through],MATCH(N1676,tblChannels[Channel ID],0)),0),"Watched","Unwatched"))</f>
        <v/>
      </c>
      <c r="C1676" s="37" t="n"/>
      <c r="D1676" s="38" t="n"/>
      <c r="E1676" s="39" t="n">
        <v>43906.44236111111</v>
      </c>
      <c r="F1676" s="50" t="inlineStr">
        <is>
          <t>Jonathan Carlin</t>
        </is>
      </c>
      <c r="G1676" t="inlineStr">
        <is>
          <t>Luke &amp; Seamus Learn to Ride a Bike</t>
        </is>
      </c>
      <c r="H1676" s="41" t="n">
        <v>0.01049768518518518</v>
      </c>
      <c r="I1676" s="42" t="n">
        <v>55099</v>
      </c>
      <c r="J1676" s="42" t="n">
        <v>3432</v>
      </c>
      <c r="K1676" s="42" t="n">
        <v>438</v>
      </c>
      <c r="L1676" s="43" t="n"/>
      <c r="M1676" s="44" t="n"/>
      <c r="N1676" s="44" t="inlineStr">
        <is>
          <t>UCYPKFe86e6nm4TVUYKLsFUQ</t>
        </is>
      </c>
      <c r="O1676" s="45" t="n">
        <v>43906.60902777778</v>
      </c>
      <c r="P1676" s="46" t="n">
        <v>43906</v>
      </c>
      <c r="Q1676" s="44" t="n">
        <v>1596</v>
      </c>
      <c r="R1676" s="44" t="inlineStr">
        <is>
          <t>No Video ID yet</t>
        </is>
      </c>
      <c r="S1676" s="46" t="n"/>
      <c r="T1676" s="46" t="n"/>
      <c r="U1676" s="44" t="n"/>
      <c r="V1676" s="44">
        <f>IF(AND(P1676&gt;=Calendar!$K$2,P1676&lt;EDATE(Calendar!$K$2,1),OR(Calendar!$K$4="*",N1676=Calendar!$K$4)),P1676*100+COUNTIFS($P$6:$P$3271,P1676,$Q$6:$Q$3271,"&lt;="&amp;Q1676,$N$6:$N$3271,Calendar!$K$4),"")</f>
        <v/>
      </c>
      <c r="W1676" s="44">
        <f>IF(AND(B1676=Queue!$C$4,OR(Queue!$K$4="*",N1676=Queue!$K$4)),Q1676,"")</f>
        <v/>
      </c>
    </row>
    <row r="1677">
      <c r="A1677" s="35">
        <f>IF(M1677="","",HYPERLINK("https://www.youtube.com/watch?v="&amp;M1677,"▶"))</f>
        <v/>
      </c>
      <c r="B1677" s="36">
        <f>IF(C1677&lt;&gt;"",C1677,IF(P1677&lt;=IFERROR(INDEX(tblChannels[Watched Through],MATCH(N1677,tblChannels[Channel ID],0)),0),"Watched","Unwatched"))</f>
        <v/>
      </c>
      <c r="C1677" s="37" t="n"/>
      <c r="D1677" s="38" t="n"/>
      <c r="E1677" s="39" t="n">
        <v>43904.39583333334</v>
      </c>
      <c r="F1677" s="40" t="inlineStr">
        <is>
          <t>Popcorn Culture</t>
        </is>
      </c>
      <c r="G1677" t="inlineStr">
        <is>
          <t>13 - Bungee Jumping and Pokémon Cards</t>
        </is>
      </c>
      <c r="H1677" s="41" t="n">
        <v>0.03851851851851852</v>
      </c>
      <c r="I1677" s="42" t="n">
        <v>5426</v>
      </c>
      <c r="J1677" s="42" t="n">
        <v>229</v>
      </c>
      <c r="K1677" s="42" t="n">
        <v>37</v>
      </c>
      <c r="L1677" s="43" t="n"/>
      <c r="M1677" s="44" t="n"/>
      <c r="N1677" s="44" t="inlineStr">
        <is>
          <t>UCHfIbq9thHPC8yrKjAdJgDA</t>
        </is>
      </c>
      <c r="O1677" s="45" t="n">
        <v>43904.5625</v>
      </c>
      <c r="P1677" s="46" t="n">
        <v>43904</v>
      </c>
      <c r="Q1677" s="44" t="n">
        <v>1595</v>
      </c>
      <c r="R1677" s="44" t="inlineStr">
        <is>
          <t>No Video ID yet</t>
        </is>
      </c>
      <c r="S1677" s="46" t="n"/>
      <c r="T1677" s="46" t="n"/>
      <c r="U1677" s="44" t="n"/>
      <c r="V1677" s="44">
        <f>IF(AND(P1677&gt;=Calendar!$K$2,P1677&lt;EDATE(Calendar!$K$2,1),OR(Calendar!$K$4="*",N1677=Calendar!$K$4)),P1677*100+COUNTIFS($P$6:$P$3271,P1677,$Q$6:$Q$3271,"&lt;="&amp;Q1677,$N$6:$N$3271,Calendar!$K$4),"")</f>
        <v/>
      </c>
      <c r="W1677" s="44">
        <f>IF(AND(B1677=Queue!$C$4,OR(Queue!$K$4="*",N1677=Queue!$K$4)),Q1677,"")</f>
        <v/>
      </c>
    </row>
    <row r="1678">
      <c r="A1678" s="35">
        <f>IF(M1678="","",HYPERLINK("https://www.youtube.com/watch?v="&amp;M1678,"▶"))</f>
        <v/>
      </c>
      <c r="B1678" s="36">
        <f>IF(C1678&lt;&gt;"",C1678,IF(P1678&lt;=IFERROR(INDEX(tblChannels[Watched Through],MATCH(N1678,tblChannels[Channel ID],0)),0),"Watched","Unwatched"))</f>
        <v/>
      </c>
      <c r="C1678" s="37" t="n"/>
      <c r="D1678" s="38" t="n"/>
      <c r="E1678" s="39" t="n">
        <v>43902.95555555556</v>
      </c>
      <c r="F1678" s="47" t="inlineStr">
        <is>
          <t>Super Carlin Brothers</t>
        </is>
      </c>
      <c r="G1678" t="inlineStr">
        <is>
          <t>Queenie is Snape's Grandmother?! feat. Seamus Gorman [Harry Potter Theory]</t>
        </is>
      </c>
      <c r="H1678" s="41" t="n">
        <v>0.009710648148148149</v>
      </c>
      <c r="I1678" s="42" t="n">
        <v>1092254</v>
      </c>
      <c r="J1678" s="42" t="n">
        <v>45594</v>
      </c>
      <c r="K1678" s="42" t="n">
        <v>3078</v>
      </c>
      <c r="L1678" s="43" t="n"/>
      <c r="M1678" s="44" t="n"/>
      <c r="N1678" s="44" t="inlineStr">
        <is>
          <t>UCKZo4N0lVPccBkSiuyVh4yg</t>
        </is>
      </c>
      <c r="O1678" s="45" t="n">
        <v>43903.12222222222</v>
      </c>
      <c r="P1678" s="46" t="n">
        <v>43902</v>
      </c>
      <c r="Q1678" s="44" t="n">
        <v>1594</v>
      </c>
      <c r="R1678" s="44" t="inlineStr">
        <is>
          <t>No Video ID yet</t>
        </is>
      </c>
      <c r="S1678" s="46" t="n"/>
      <c r="T1678" s="46" t="n"/>
      <c r="U1678" s="44" t="n"/>
      <c r="V1678" s="44">
        <f>IF(AND(P1678&gt;=Calendar!$K$2,P1678&lt;EDATE(Calendar!$K$2,1),OR(Calendar!$K$4="*",N1678=Calendar!$K$4)),P1678*100+COUNTIFS($P$6:$P$3271,P1678,$Q$6:$Q$3271,"&lt;="&amp;Q1678,$N$6:$N$3271,Calendar!$K$4),"")</f>
        <v/>
      </c>
      <c r="W1678" s="44">
        <f>IF(AND(B1678=Queue!$C$4,OR(Queue!$K$4="*",N1678=Queue!$K$4)),Q1678,"")</f>
        <v/>
      </c>
    </row>
    <row r="1679">
      <c r="A1679" s="35">
        <f>IF(M1679="","",HYPERLINK("https://www.youtube.com/watch?v="&amp;M1679,"▶"))</f>
        <v/>
      </c>
      <c r="B1679" s="36">
        <f>IF(C1679&lt;&gt;"",C1679,IF(P1679&lt;=IFERROR(INDEX(tblChannels[Watched Through],MATCH(N1679,tblChannels[Channel ID],0)),0),"Watched","Unwatched"))</f>
        <v/>
      </c>
      <c r="C1679" s="37" t="n"/>
      <c r="D1679" s="38" t="n"/>
      <c r="E1679" s="39" t="n">
        <v>43902.58333333334</v>
      </c>
      <c r="F1679" s="40" t="inlineStr">
        <is>
          <t>Popcorn Culture</t>
        </is>
      </c>
      <c r="G1679" t="inlineStr">
        <is>
          <t>12 - Horoscopes, First Memories, and How To Name A Child</t>
        </is>
      </c>
      <c r="H1679" s="41" t="n">
        <v>0.04123842592592593</v>
      </c>
      <c r="I1679" s="42" t="n">
        <v>6149</v>
      </c>
      <c r="J1679" s="42" t="n">
        <v>231</v>
      </c>
      <c r="K1679" s="42" t="n">
        <v>49</v>
      </c>
      <c r="L1679" s="43" t="n"/>
      <c r="M1679" s="44" t="n"/>
      <c r="N1679" s="44" t="inlineStr">
        <is>
          <t>UCHfIbq9thHPC8yrKjAdJgDA</t>
        </is>
      </c>
      <c r="O1679" s="45" t="n">
        <v>43902.75</v>
      </c>
      <c r="P1679" s="46" t="n">
        <v>43902</v>
      </c>
      <c r="Q1679" s="44" t="n">
        <v>1593</v>
      </c>
      <c r="R1679" s="44" t="inlineStr">
        <is>
          <t>No Video ID yet</t>
        </is>
      </c>
      <c r="S1679" s="46" t="n"/>
      <c r="T1679" s="46" t="n"/>
      <c r="U1679" s="44" t="n"/>
      <c r="V1679" s="44">
        <f>IF(AND(P1679&gt;=Calendar!$K$2,P1679&lt;EDATE(Calendar!$K$2,1),OR(Calendar!$K$4="*",N1679=Calendar!$K$4)),P1679*100+COUNTIFS($P$6:$P$3271,P1679,$Q$6:$Q$3271,"&lt;="&amp;Q1679,$N$6:$N$3271,Calendar!$K$4),"")</f>
        <v/>
      </c>
      <c r="W1679" s="44">
        <f>IF(AND(B1679=Queue!$C$4,OR(Queue!$K$4="*",N1679=Queue!$K$4)),Q1679,"")</f>
        <v/>
      </c>
    </row>
    <row r="1680">
      <c r="A1680" s="35">
        <f>IF(M1680="","",HYPERLINK("https://www.youtube.com/watch?v="&amp;M1680,"▶"))</f>
        <v/>
      </c>
      <c r="B1680" s="36">
        <f>IF(C1680&lt;&gt;"",C1680,IF(P1680&lt;=IFERROR(INDEX(tblChannels[Watched Through],MATCH(N1680,tblChannels[Channel ID],0)),0),"Watched","Unwatched"))</f>
        <v/>
      </c>
      <c r="C1680" s="37" t="n"/>
      <c r="D1680" s="38" t="n"/>
      <c r="E1680" s="39" t="n">
        <v>43901.44305555556</v>
      </c>
      <c r="F1680" s="49" t="inlineStr">
        <is>
          <t>Super Carlin Gaming</t>
        </is>
      </c>
      <c r="G1680" t="inlineStr">
        <is>
          <t>WE OPEN AN ENTIRE POKEMON SWORD &amp; SHIELD BOOSTER BOX</t>
        </is>
      </c>
      <c r="H1680" s="41" t="n">
        <v>0.009282407407407408</v>
      </c>
      <c r="I1680" s="42" t="n">
        <v>12640</v>
      </c>
      <c r="J1680" s="42" t="n">
        <v>1421</v>
      </c>
      <c r="K1680" s="42" t="n">
        <v>205</v>
      </c>
      <c r="L1680" s="43" t="n"/>
      <c r="M1680" s="44" t="n"/>
      <c r="N1680" s="44" t="inlineStr">
        <is>
          <t>UCor_9jRnNNZVzTuQ92PKsaQ</t>
        </is>
      </c>
      <c r="O1680" s="45" t="n">
        <v>43901.60972222222</v>
      </c>
      <c r="P1680" s="46" t="n">
        <v>43901</v>
      </c>
      <c r="Q1680" s="44" t="n">
        <v>1592</v>
      </c>
      <c r="R1680" s="44" t="inlineStr">
        <is>
          <t>No Video ID yet</t>
        </is>
      </c>
      <c r="S1680" s="46" t="n"/>
      <c r="T1680" s="46" t="n"/>
      <c r="U1680" s="44" t="n"/>
      <c r="V1680" s="44">
        <f>IF(AND(P1680&gt;=Calendar!$K$2,P1680&lt;EDATE(Calendar!$K$2,1),OR(Calendar!$K$4="*",N1680=Calendar!$K$4)),P1680*100+COUNTIFS($P$6:$P$3271,P1680,$Q$6:$Q$3271,"&lt;="&amp;Q1680,$N$6:$N$3271,Calendar!$K$4),"")</f>
        <v/>
      </c>
      <c r="W1680" s="44">
        <f>IF(AND(B1680=Queue!$C$4,OR(Queue!$K$4="*",N1680=Queue!$K$4)),Q1680,"")</f>
        <v/>
      </c>
    </row>
    <row r="1681">
      <c r="A1681" s="35">
        <f>IF(M1681="","",HYPERLINK("https://www.youtube.com/watch?v="&amp;M1681,"▶"))</f>
        <v/>
      </c>
      <c r="B1681" s="36">
        <f>IF(C1681&lt;&gt;"",C1681,IF(P1681&lt;=IFERROR(INDEX(tblChannels[Watched Through],MATCH(N1681,tblChannels[Channel ID],0)),0),"Watched","Unwatched"))</f>
        <v/>
      </c>
      <c r="C1681" s="37" t="n"/>
      <c r="D1681" s="38" t="n"/>
      <c r="E1681" s="39" t="n">
        <v>43900.81180555555</v>
      </c>
      <c r="F1681" s="47" t="inlineStr">
        <is>
          <t>Super Carlin Brothers</t>
        </is>
      </c>
      <c r="G1681" t="inlineStr">
        <is>
          <t>How Onward Fits Into The Pixar Theory</t>
        </is>
      </c>
      <c r="H1681" s="41" t="n">
        <v>0.008206018518518519</v>
      </c>
      <c r="I1681" s="42" t="n">
        <v>1100675</v>
      </c>
      <c r="J1681" s="42" t="n">
        <v>42172</v>
      </c>
      <c r="K1681" s="42" t="n">
        <v>3601</v>
      </c>
      <c r="L1681" s="43" t="n"/>
      <c r="M1681" s="44" t="n"/>
      <c r="N1681" s="44" t="inlineStr">
        <is>
          <t>UCKZo4N0lVPccBkSiuyVh4yg</t>
        </is>
      </c>
      <c r="O1681" s="45" t="n">
        <v>43900.97847222222</v>
      </c>
      <c r="P1681" s="46" t="n">
        <v>43900</v>
      </c>
      <c r="Q1681" s="44" t="n">
        <v>1591</v>
      </c>
      <c r="R1681" s="44" t="inlineStr">
        <is>
          <t>No Video ID yet</t>
        </is>
      </c>
      <c r="S1681" s="46" t="n"/>
      <c r="T1681" s="46" t="n"/>
      <c r="U1681" s="44" t="n"/>
      <c r="V1681" s="44">
        <f>IF(AND(P1681&gt;=Calendar!$K$2,P1681&lt;EDATE(Calendar!$K$2,1),OR(Calendar!$K$4="*",N1681=Calendar!$K$4)),P1681*100+COUNTIFS($P$6:$P$3271,P1681,$Q$6:$Q$3271,"&lt;="&amp;Q1681,$N$6:$N$3271,Calendar!$K$4),"")</f>
        <v/>
      </c>
      <c r="W1681" s="44">
        <f>IF(AND(B1681=Queue!$C$4,OR(Queue!$K$4="*",N1681=Queue!$K$4)),Q1681,"")</f>
        <v/>
      </c>
    </row>
    <row r="1682">
      <c r="A1682" s="35">
        <f>IF(M1682="","",HYPERLINK("https://www.youtube.com/watch?v="&amp;M1682,"▶"))</f>
        <v/>
      </c>
      <c r="B1682" s="36">
        <f>IF(C1682&lt;&gt;"",C1682,IF(P1682&lt;=IFERROR(INDEX(tblChannels[Watched Through],MATCH(N1682,tblChannels[Channel ID],0)),0),"Watched","Unwatched"))</f>
        <v/>
      </c>
      <c r="C1682" s="37" t="n"/>
      <c r="D1682" s="38" t="n"/>
      <c r="E1682" s="39" t="n">
        <v>43900.62361111111</v>
      </c>
      <c r="F1682" s="40" t="inlineStr">
        <is>
          <t>Popcorn Culture</t>
        </is>
      </c>
      <c r="G1682" t="inlineStr">
        <is>
          <t>11 - Times We Probably Should Have Died</t>
        </is>
      </c>
      <c r="H1682" s="41" t="n">
        <v>0.0425</v>
      </c>
      <c r="I1682" s="42" t="n">
        <v>7081</v>
      </c>
      <c r="J1682" s="42" t="n">
        <v>305</v>
      </c>
      <c r="K1682" s="42" t="n">
        <v>137</v>
      </c>
      <c r="L1682" s="43" t="n"/>
      <c r="M1682" s="44" t="n"/>
      <c r="N1682" s="44" t="inlineStr">
        <is>
          <t>UCHfIbq9thHPC8yrKjAdJgDA</t>
        </is>
      </c>
      <c r="O1682" s="45" t="n">
        <v>43900.79027777778</v>
      </c>
      <c r="P1682" s="46" t="n">
        <v>43900</v>
      </c>
      <c r="Q1682" s="44" t="n">
        <v>1590</v>
      </c>
      <c r="R1682" s="44" t="inlineStr">
        <is>
          <t>No Video ID yet</t>
        </is>
      </c>
      <c r="S1682" s="46" t="n"/>
      <c r="T1682" s="46" t="n"/>
      <c r="U1682" s="44" t="n"/>
      <c r="V1682" s="44">
        <f>IF(AND(P1682&gt;=Calendar!$K$2,P1682&lt;EDATE(Calendar!$K$2,1),OR(Calendar!$K$4="*",N1682=Calendar!$K$4)),P1682*100+COUNTIFS($P$6:$P$3271,P1682,$Q$6:$Q$3271,"&lt;="&amp;Q1682,$N$6:$N$3271,Calendar!$K$4),"")</f>
        <v/>
      </c>
      <c r="W1682" s="44">
        <f>IF(AND(B1682=Queue!$C$4,OR(Queue!$K$4="*",N1682=Queue!$K$4)),Q1682,"")</f>
        <v/>
      </c>
    </row>
    <row r="1683">
      <c r="A1683" s="35">
        <f>IF(M1683="","",HYPERLINK("https://www.youtube.com/watch?v="&amp;M1683,"▶"))</f>
        <v/>
      </c>
      <c r="B1683" s="36">
        <f>IF(C1683&lt;&gt;"",C1683,IF(P1683&lt;=IFERROR(INDEX(tblChannels[Watched Through],MATCH(N1683,tblChannels[Channel ID],0)),0),"Watched","Unwatched"))</f>
        <v/>
      </c>
      <c r="C1683" s="37" t="n"/>
      <c r="D1683" s="38" t="n"/>
      <c r="E1683" s="39" t="n">
        <v>43899.45486111111</v>
      </c>
      <c r="F1683" s="50" t="inlineStr">
        <is>
          <t>Jonathan Carlin</t>
        </is>
      </c>
      <c r="G1683" t="inlineStr">
        <is>
          <t>The Twins Are Born</t>
        </is>
      </c>
      <c r="H1683" s="41" t="n">
        <v>0.0109837962962963</v>
      </c>
      <c r="I1683" s="42" t="n">
        <v>88484</v>
      </c>
      <c r="J1683" s="42" t="n">
        <v>7517</v>
      </c>
      <c r="K1683" s="42" t="n">
        <v>1067</v>
      </c>
      <c r="L1683" s="43" t="n"/>
      <c r="M1683" s="44" t="n"/>
      <c r="N1683" s="44" t="inlineStr">
        <is>
          <t>UCYPKFe86e6nm4TVUYKLsFUQ</t>
        </is>
      </c>
      <c r="O1683" s="45" t="n">
        <v>43899.62152777778</v>
      </c>
      <c r="P1683" s="46" t="n">
        <v>43899</v>
      </c>
      <c r="Q1683" s="44" t="n">
        <v>1589</v>
      </c>
      <c r="R1683" s="44" t="inlineStr">
        <is>
          <t>No Video ID yet</t>
        </is>
      </c>
      <c r="S1683" s="46" t="n"/>
      <c r="T1683" s="46" t="n"/>
      <c r="U1683" s="44" t="n"/>
      <c r="V1683" s="44">
        <f>IF(AND(P1683&gt;=Calendar!$K$2,P1683&lt;EDATE(Calendar!$K$2,1),OR(Calendar!$K$4="*",N1683=Calendar!$K$4)),P1683*100+COUNTIFS($P$6:$P$3271,P1683,$Q$6:$Q$3271,"&lt;="&amp;Q1683,$N$6:$N$3271,Calendar!$K$4),"")</f>
        <v/>
      </c>
      <c r="W1683" s="44">
        <f>IF(AND(B1683=Queue!$C$4,OR(Queue!$K$4="*",N1683=Queue!$K$4)),Q1683,"")</f>
        <v/>
      </c>
    </row>
    <row r="1684">
      <c r="A1684" s="35">
        <f>IF(M1684="","",HYPERLINK("https://www.youtube.com/watch?v="&amp;M1684,"▶"))</f>
        <v/>
      </c>
      <c r="B1684" s="36">
        <f>IF(C1684&lt;&gt;"",C1684,IF(P1684&lt;=IFERROR(INDEX(tblChannels[Watched Through],MATCH(N1684,tblChannels[Channel ID],0)),0),"Watched","Unwatched"))</f>
        <v/>
      </c>
      <c r="C1684" s="37" t="n"/>
      <c r="D1684" s="38" t="n"/>
      <c r="E1684" s="39" t="n">
        <v>43895.69861111111</v>
      </c>
      <c r="F1684" s="47" t="inlineStr">
        <is>
          <t>Super Carlin Brothers</t>
        </is>
      </c>
      <c r="G1684" t="inlineStr">
        <is>
          <t>REVIEW: Pixar's Onward</t>
        </is>
      </c>
      <c r="H1684" s="41" t="n">
        <v>0.02892361111111111</v>
      </c>
      <c r="I1684" s="42" t="n">
        <v>236851</v>
      </c>
      <c r="J1684" s="42" t="n">
        <v>9166</v>
      </c>
      <c r="K1684" s="42" t="n">
        <v>1745</v>
      </c>
      <c r="L1684" s="43" t="n"/>
      <c r="M1684" s="44" t="n"/>
      <c r="N1684" s="44" t="inlineStr">
        <is>
          <t>UCKZo4N0lVPccBkSiuyVh4yg</t>
        </is>
      </c>
      <c r="O1684" s="45" t="n">
        <v>43895.90694444445</v>
      </c>
      <c r="P1684" s="46" t="n">
        <v>43895</v>
      </c>
      <c r="Q1684" s="44" t="n">
        <v>1588</v>
      </c>
      <c r="R1684" s="44" t="inlineStr">
        <is>
          <t>No Video ID yet</t>
        </is>
      </c>
      <c r="S1684" s="46" t="n"/>
      <c r="T1684" s="46" t="n"/>
      <c r="U1684" s="44" t="n"/>
      <c r="V1684" s="44">
        <f>IF(AND(P1684&gt;=Calendar!$K$2,P1684&lt;EDATE(Calendar!$K$2,1),OR(Calendar!$K$4="*",N1684=Calendar!$K$4)),P1684*100+COUNTIFS($P$6:$P$3271,P1684,$Q$6:$Q$3271,"&lt;="&amp;Q1684,$N$6:$N$3271,Calendar!$K$4),"")</f>
        <v/>
      </c>
      <c r="W1684" s="44">
        <f>IF(AND(B1684=Queue!$C$4,OR(Queue!$K$4="*",N1684=Queue!$K$4)),Q1684,"")</f>
        <v/>
      </c>
    </row>
    <row r="1685">
      <c r="A1685" s="35">
        <f>IF(M1685="","",HYPERLINK("https://www.youtube.com/watch?v="&amp;M1685,"▶"))</f>
        <v/>
      </c>
      <c r="B1685" s="36">
        <f>IF(C1685&lt;&gt;"",C1685,IF(P1685&lt;=IFERROR(INDEX(tblChannels[Watched Through],MATCH(N1685,tblChannels[Channel ID],0)),0),"Watched","Unwatched"))</f>
        <v/>
      </c>
      <c r="C1685" s="37" t="n"/>
      <c r="D1685" s="38" t="n"/>
      <c r="E1685" s="39" t="n">
        <v>43894.55486111111</v>
      </c>
      <c r="F1685" s="49" t="inlineStr">
        <is>
          <t>Super Carlin Gaming</t>
        </is>
      </c>
      <c r="G1685" t="inlineStr">
        <is>
          <t>Hogwarts Founders and The APPLE ESCAPADE  in SIMS 4 | Episode #10</t>
        </is>
      </c>
      <c r="H1685" s="41" t="n">
        <v>0.02428240740740741</v>
      </c>
      <c r="I1685" s="42" t="n">
        <v>25592</v>
      </c>
      <c r="J1685" s="42" t="n">
        <v>1015</v>
      </c>
      <c r="K1685" s="42" t="n">
        <v>293</v>
      </c>
      <c r="L1685" s="43" t="n"/>
      <c r="M1685" s="44" t="n"/>
      <c r="N1685" s="44" t="inlineStr">
        <is>
          <t>UCor_9jRnNNZVzTuQ92PKsaQ</t>
        </is>
      </c>
      <c r="O1685" s="45" t="n">
        <v>43894.76319444444</v>
      </c>
      <c r="P1685" s="46" t="n">
        <v>43894</v>
      </c>
      <c r="Q1685" s="44" t="n">
        <v>1587</v>
      </c>
      <c r="R1685" s="44" t="inlineStr">
        <is>
          <t>No Video ID yet</t>
        </is>
      </c>
      <c r="S1685" s="46" t="n"/>
      <c r="T1685" s="46" t="n"/>
      <c r="U1685" s="44" t="n"/>
      <c r="V1685" s="44">
        <f>IF(AND(P1685&gt;=Calendar!$K$2,P1685&lt;EDATE(Calendar!$K$2,1),OR(Calendar!$K$4="*",N1685=Calendar!$K$4)),P1685*100+COUNTIFS($P$6:$P$3271,P1685,$Q$6:$Q$3271,"&lt;="&amp;Q1685,$N$6:$N$3271,Calendar!$K$4),"")</f>
        <v/>
      </c>
      <c r="W1685" s="44">
        <f>IF(AND(B1685=Queue!$C$4,OR(Queue!$K$4="*",N1685=Queue!$K$4)),Q1685,"")</f>
        <v/>
      </c>
    </row>
    <row r="1686">
      <c r="A1686" s="35">
        <f>IF(M1686="","",HYPERLINK("https://www.youtube.com/watch?v="&amp;M1686,"▶"))</f>
        <v/>
      </c>
      <c r="B1686" s="36">
        <f>IF(C1686&lt;&gt;"",C1686,IF(P1686&lt;=IFERROR(INDEX(tblChannels[Watched Through],MATCH(N1686,tblChannels[Channel ID],0)),0),"Watched","Unwatched"))</f>
        <v/>
      </c>
      <c r="C1686" s="37" t="n"/>
      <c r="D1686" s="38" t="n"/>
      <c r="E1686" s="39" t="n">
        <v>43893.64097222222</v>
      </c>
      <c r="F1686" s="47" t="inlineStr">
        <is>
          <t>Super Carlin Brothers</t>
        </is>
      </c>
      <c r="G1686" t="inlineStr">
        <is>
          <t>J vs Ben: ULTIMATE Minerva McGonagall TRIVIA Quiz</t>
        </is>
      </c>
      <c r="H1686" s="41" t="n">
        <v>0.01378472222222222</v>
      </c>
      <c r="I1686" s="42" t="n">
        <v>286776</v>
      </c>
      <c r="J1686" s="42" t="n">
        <v>11235</v>
      </c>
      <c r="K1686" s="42" t="n">
        <v>1643</v>
      </c>
      <c r="L1686" s="43" t="n"/>
      <c r="M1686" s="44" t="n"/>
      <c r="N1686" s="44" t="inlineStr">
        <is>
          <t>UCKZo4N0lVPccBkSiuyVh4yg</t>
        </is>
      </c>
      <c r="O1686" s="45" t="n">
        <v>43893.84930555556</v>
      </c>
      <c r="P1686" s="46" t="n">
        <v>43893</v>
      </c>
      <c r="Q1686" s="44" t="n">
        <v>1586</v>
      </c>
      <c r="R1686" s="44" t="inlineStr">
        <is>
          <t>No Video ID yet</t>
        </is>
      </c>
      <c r="S1686" s="46" t="n"/>
      <c r="T1686" s="46" t="n"/>
      <c r="U1686" s="44" t="n"/>
      <c r="V1686" s="44">
        <f>IF(AND(P1686&gt;=Calendar!$K$2,P1686&lt;EDATE(Calendar!$K$2,1),OR(Calendar!$K$4="*",N1686=Calendar!$K$4)),P1686*100+COUNTIFS($P$6:$P$3271,P1686,$Q$6:$Q$3271,"&lt;="&amp;Q1686,$N$6:$N$3271,Calendar!$K$4),"")</f>
        <v/>
      </c>
      <c r="W1686" s="44">
        <f>IF(AND(B1686=Queue!$C$4,OR(Queue!$K$4="*",N1686=Queue!$K$4)),Q1686,"")</f>
        <v/>
      </c>
    </row>
    <row r="1687">
      <c r="A1687" s="35">
        <f>IF(M1687="","",HYPERLINK("https://www.youtube.com/watch?v="&amp;M1687,"▶"))</f>
        <v/>
      </c>
      <c r="B1687" s="36">
        <f>IF(C1687&lt;&gt;"",C1687,IF(P1687&lt;=IFERROR(INDEX(tblChannels[Watched Through],MATCH(N1687,tblChannels[Channel ID],0)),0),"Watched","Unwatched"))</f>
        <v/>
      </c>
      <c r="C1687" s="37" t="n"/>
      <c r="D1687" s="38" t="n"/>
      <c r="E1687" s="39" t="n">
        <v>43892.41666666666</v>
      </c>
      <c r="F1687" s="50" t="inlineStr">
        <is>
          <t>Jonathan Carlin</t>
        </is>
      </c>
      <c r="G1687" t="inlineStr">
        <is>
          <t>We Learn How to SABER a Champagne Bottle!</t>
        </is>
      </c>
      <c r="H1687" s="41" t="n">
        <v>0.007696759259259259</v>
      </c>
      <c r="I1687" s="42" t="n">
        <v>28726</v>
      </c>
      <c r="J1687" s="42" t="n">
        <v>2048</v>
      </c>
      <c r="K1687" s="42" t="n">
        <v>273</v>
      </c>
      <c r="L1687" s="43" t="n"/>
      <c r="M1687" s="44" t="n"/>
      <c r="N1687" s="44" t="inlineStr">
        <is>
          <t>UCYPKFe86e6nm4TVUYKLsFUQ</t>
        </is>
      </c>
      <c r="O1687" s="45" t="n">
        <v>43892.625</v>
      </c>
      <c r="P1687" s="46" t="n">
        <v>43892</v>
      </c>
      <c r="Q1687" s="44" t="n">
        <v>1585</v>
      </c>
      <c r="R1687" s="44" t="inlineStr">
        <is>
          <t>No Video ID yet</t>
        </is>
      </c>
      <c r="S1687" s="46" t="n"/>
      <c r="T1687" s="46" t="n"/>
      <c r="U1687" s="44" t="n"/>
      <c r="V1687" s="44">
        <f>IF(AND(P1687&gt;=Calendar!$K$2,P1687&lt;EDATE(Calendar!$K$2,1),OR(Calendar!$K$4="*",N1687=Calendar!$K$4)),P1687*100+COUNTIFS($P$6:$P$3271,P1687,$Q$6:$Q$3271,"&lt;="&amp;Q1687,$N$6:$N$3271,Calendar!$K$4),"")</f>
        <v/>
      </c>
      <c r="W1687" s="44">
        <f>IF(AND(B1687=Queue!$C$4,OR(Queue!$K$4="*",N1687=Queue!$K$4)),Q1687,"")</f>
        <v/>
      </c>
    </row>
    <row r="1688">
      <c r="A1688" s="35">
        <f>IF(M1688="","",HYPERLINK("https://www.youtube.com/watch?v="&amp;M1688,"▶"))</f>
        <v/>
      </c>
      <c r="B1688" s="36">
        <f>IF(C1688&lt;&gt;"",C1688,IF(P1688&lt;=IFERROR(INDEX(tblChannels[Watched Through],MATCH(N1688,tblChannels[Channel ID],0)),0),"Watched","Unwatched"))</f>
        <v/>
      </c>
      <c r="C1688" s="37" t="n"/>
      <c r="D1688" s="38" t="n"/>
      <c r="E1688" s="39" t="n">
        <v>43888.60277777778</v>
      </c>
      <c r="F1688" s="47" t="inlineStr">
        <is>
          <t>Super Carlin Brothers</t>
        </is>
      </c>
      <c r="G1688" t="inlineStr">
        <is>
          <t>Aberforth's Goats EXPLAINED [Harry Potter Theory]</t>
        </is>
      </c>
      <c r="H1688" s="41" t="n">
        <v>0.009976851851851851</v>
      </c>
      <c r="I1688" s="42" t="n">
        <v>518289</v>
      </c>
      <c r="J1688" s="42" t="n">
        <v>21048</v>
      </c>
      <c r="K1688" s="42" t="n">
        <v>3179</v>
      </c>
      <c r="L1688" s="43" t="n"/>
      <c r="M1688" s="44" t="n"/>
      <c r="N1688" s="44" t="inlineStr">
        <is>
          <t>UCKZo4N0lVPccBkSiuyVh4yg</t>
        </is>
      </c>
      <c r="O1688" s="45" t="n">
        <v>43888.81111111111</v>
      </c>
      <c r="P1688" s="46" t="n">
        <v>43888</v>
      </c>
      <c r="Q1688" s="44" t="n">
        <v>1584</v>
      </c>
      <c r="R1688" s="44" t="inlineStr">
        <is>
          <t>No Video ID yet</t>
        </is>
      </c>
      <c r="S1688" s="46" t="n"/>
      <c r="T1688" s="46" t="n"/>
      <c r="U1688" s="44" t="n"/>
      <c r="V1688" s="44">
        <f>IF(AND(P1688&gt;=Calendar!$K$2,P1688&lt;EDATE(Calendar!$K$2,1),OR(Calendar!$K$4="*",N1688=Calendar!$K$4)),P1688*100+COUNTIFS($P$6:$P$3271,P1688,$Q$6:$Q$3271,"&lt;="&amp;Q1688,$N$6:$N$3271,Calendar!$K$4),"")</f>
        <v/>
      </c>
      <c r="W1688" s="44">
        <f>IF(AND(B1688=Queue!$C$4,OR(Queue!$K$4="*",N1688=Queue!$K$4)),Q1688,"")</f>
        <v/>
      </c>
    </row>
    <row r="1689">
      <c r="A1689" s="35">
        <f>IF(M1689="","",HYPERLINK("https://www.youtube.com/watch?v="&amp;M1689,"▶"))</f>
        <v/>
      </c>
      <c r="B1689" s="36">
        <f>IF(C1689&lt;&gt;"",C1689,IF(P1689&lt;=IFERROR(INDEX(tblChannels[Watched Through],MATCH(N1689,tblChannels[Channel ID],0)),0),"Watched","Unwatched"))</f>
        <v/>
      </c>
      <c r="C1689" s="37" t="n"/>
      <c r="D1689" s="38" t="n"/>
      <c r="E1689" s="39" t="n">
        <v>43888.48402777778</v>
      </c>
      <c r="F1689" s="49" t="inlineStr">
        <is>
          <t>Super Carlin Gaming</t>
        </is>
      </c>
      <c r="G1689" t="inlineStr">
        <is>
          <t>Hogwarts Founders and The Chamber of SPRINKLES in SIMS 4 | Episode #9</t>
        </is>
      </c>
      <c r="H1689" s="41" t="n">
        <v>0.01875</v>
      </c>
      <c r="I1689" s="42" t="n">
        <v>26602</v>
      </c>
      <c r="J1689" s="42" t="n">
        <v>1008</v>
      </c>
      <c r="K1689" s="42" t="n">
        <v>238</v>
      </c>
      <c r="L1689" s="43" t="n"/>
      <c r="M1689" s="44" t="n"/>
      <c r="N1689" s="44" t="inlineStr">
        <is>
          <t>UCor_9jRnNNZVzTuQ92PKsaQ</t>
        </is>
      </c>
      <c r="O1689" s="45" t="n">
        <v>43888.69236111111</v>
      </c>
      <c r="P1689" s="46" t="n">
        <v>43888</v>
      </c>
      <c r="Q1689" s="44" t="n">
        <v>1583</v>
      </c>
      <c r="R1689" s="44" t="inlineStr">
        <is>
          <t>No Video ID yet</t>
        </is>
      </c>
      <c r="S1689" s="46" t="n"/>
      <c r="T1689" s="46" t="n"/>
      <c r="U1689" s="44" t="n"/>
      <c r="V1689" s="44">
        <f>IF(AND(P1689&gt;=Calendar!$K$2,P1689&lt;EDATE(Calendar!$K$2,1),OR(Calendar!$K$4="*",N1689=Calendar!$K$4)),P1689*100+COUNTIFS($P$6:$P$3271,P1689,$Q$6:$Q$3271,"&lt;="&amp;Q1689,$N$6:$N$3271,Calendar!$K$4),"")</f>
        <v/>
      </c>
      <c r="W1689" s="44">
        <f>IF(AND(B1689=Queue!$C$4,OR(Queue!$K$4="*",N1689=Queue!$K$4)),Q1689,"")</f>
        <v/>
      </c>
    </row>
    <row r="1690">
      <c r="A1690" s="35">
        <f>IF(M1690="","",HYPERLINK("https://www.youtube.com/watch?v="&amp;M1690,"▶"))</f>
        <v/>
      </c>
      <c r="B1690" s="36">
        <f>IF(C1690&lt;&gt;"",C1690,IF(P1690&lt;=IFERROR(INDEX(tblChannels[Watched Through],MATCH(N1690,tblChannels[Channel ID],0)),0),"Watched","Unwatched"))</f>
        <v/>
      </c>
      <c r="C1690" s="37" t="n"/>
      <c r="D1690" s="38" t="n"/>
      <c r="E1690" s="39" t="n">
        <v>43886.57083333333</v>
      </c>
      <c r="F1690" s="47" t="inlineStr">
        <is>
          <t>Super Carlin Brothers</t>
        </is>
      </c>
      <c r="G1690" t="inlineStr">
        <is>
          <t>Why Couldn't Harry See The Thestrals? [Harry Potter Theory]</t>
        </is>
      </c>
      <c r="H1690" s="41" t="n">
        <v>0.008206018518518519</v>
      </c>
      <c r="I1690" s="42" t="n">
        <v>923384</v>
      </c>
      <c r="J1690" s="42" t="n">
        <v>30080</v>
      </c>
      <c r="K1690" s="42" t="n">
        <v>3370</v>
      </c>
      <c r="L1690" s="43" t="n"/>
      <c r="M1690" s="44" t="n"/>
      <c r="N1690" s="44" t="inlineStr">
        <is>
          <t>UCKZo4N0lVPccBkSiuyVh4yg</t>
        </is>
      </c>
      <c r="O1690" s="45" t="n">
        <v>43886.77916666667</v>
      </c>
      <c r="P1690" s="46" t="n">
        <v>43886</v>
      </c>
      <c r="Q1690" s="44" t="n">
        <v>1582</v>
      </c>
      <c r="R1690" s="44" t="inlineStr">
        <is>
          <t>No Video ID yet</t>
        </is>
      </c>
      <c r="S1690" s="46" t="n"/>
      <c r="T1690" s="46" t="n"/>
      <c r="U1690" s="44" t="n"/>
      <c r="V1690" s="44">
        <f>IF(AND(P1690&gt;=Calendar!$K$2,P1690&lt;EDATE(Calendar!$K$2,1),OR(Calendar!$K$4="*",N1690=Calendar!$K$4)),P1690*100+COUNTIFS($P$6:$P$3271,P1690,$Q$6:$Q$3271,"&lt;="&amp;Q1690,$N$6:$N$3271,Calendar!$K$4),"")</f>
        <v/>
      </c>
      <c r="W1690" s="44">
        <f>IF(AND(B1690=Queue!$C$4,OR(Queue!$K$4="*",N1690=Queue!$K$4)),Q1690,"")</f>
        <v/>
      </c>
    </row>
    <row r="1691">
      <c r="A1691" s="35">
        <f>IF(M1691="","",HYPERLINK("https://www.youtube.com/watch?v="&amp;M1691,"▶"))</f>
        <v/>
      </c>
      <c r="B1691" s="36">
        <f>IF(C1691&lt;&gt;"",C1691,IF(P1691&lt;=IFERROR(INDEX(tblChannels[Watched Through],MATCH(N1691,tblChannels[Channel ID],0)),0),"Watched","Unwatched"))</f>
        <v/>
      </c>
      <c r="C1691" s="37" t="n"/>
      <c r="D1691" s="38" t="n"/>
      <c r="E1691" s="39" t="n">
        <v>43885.59652777778</v>
      </c>
      <c r="F1691" s="50" t="inlineStr">
        <is>
          <t>Jonathan Carlin</t>
        </is>
      </c>
      <c r="G1691" t="inlineStr">
        <is>
          <t>Saying Goodbye to the Old House</t>
        </is>
      </c>
      <c r="H1691" s="41" t="n">
        <v>0.01023148148148148</v>
      </c>
      <c r="I1691" s="42" t="n">
        <v>48968</v>
      </c>
      <c r="J1691" s="42" t="n">
        <v>2784</v>
      </c>
      <c r="K1691" s="42" t="n">
        <v>314</v>
      </c>
      <c r="L1691" s="43" t="n"/>
      <c r="M1691" s="44" t="n"/>
      <c r="N1691" s="44" t="inlineStr">
        <is>
          <t>UCYPKFe86e6nm4TVUYKLsFUQ</t>
        </is>
      </c>
      <c r="O1691" s="45" t="n">
        <v>43885.80486111111</v>
      </c>
      <c r="P1691" s="46" t="n">
        <v>43885</v>
      </c>
      <c r="Q1691" s="44" t="n">
        <v>1581</v>
      </c>
      <c r="R1691" s="44" t="inlineStr">
        <is>
          <t>No Video ID yet</t>
        </is>
      </c>
      <c r="S1691" s="46" t="n"/>
      <c r="T1691" s="46" t="n"/>
      <c r="U1691" s="44" t="n"/>
      <c r="V1691" s="44">
        <f>IF(AND(P1691&gt;=Calendar!$K$2,P1691&lt;EDATE(Calendar!$K$2,1),OR(Calendar!$K$4="*",N1691=Calendar!$K$4)),P1691*100+COUNTIFS($P$6:$P$3271,P1691,$Q$6:$Q$3271,"&lt;="&amp;Q1691,$N$6:$N$3271,Calendar!$K$4),"")</f>
        <v/>
      </c>
      <c r="W1691" s="44">
        <f>IF(AND(B1691=Queue!$C$4,OR(Queue!$K$4="*",N1691=Queue!$K$4)),Q1691,"")</f>
        <v/>
      </c>
    </row>
    <row r="1692">
      <c r="A1692" s="35">
        <f>IF(M1692="","",HYPERLINK("https://www.youtube.com/watch?v="&amp;M1692,"▶"))</f>
        <v/>
      </c>
      <c r="B1692" s="36">
        <f>IF(C1692&lt;&gt;"",C1692,IF(P1692&lt;=IFERROR(INDEX(tblChannels[Watched Through],MATCH(N1692,tblChannels[Channel ID],0)),0),"Watched","Unwatched"))</f>
        <v/>
      </c>
      <c r="C1692" s="37" t="n"/>
      <c r="D1692" s="38" t="n"/>
      <c r="E1692" s="39" t="n">
        <v>43881.76458333333</v>
      </c>
      <c r="F1692" s="47" t="inlineStr">
        <is>
          <t>Super Carlin Brothers</t>
        </is>
      </c>
      <c r="G1692" t="inlineStr">
        <is>
          <t>OUR FAIRY TALE DISNEY WEDDING</t>
        </is>
      </c>
      <c r="H1692" s="41" t="n">
        <v>0.01216435185185185</v>
      </c>
      <c r="I1692" s="42" t="n">
        <v>320075</v>
      </c>
      <c r="J1692" s="42" t="n">
        <v>26102</v>
      </c>
      <c r="K1692" s="42" t="n">
        <v>3184</v>
      </c>
      <c r="L1692" s="43" t="n"/>
      <c r="M1692" s="44" t="n"/>
      <c r="N1692" s="44" t="inlineStr">
        <is>
          <t>UCKZo4N0lVPccBkSiuyVh4yg</t>
        </is>
      </c>
      <c r="O1692" s="45" t="n">
        <v>43881.97291666667</v>
      </c>
      <c r="P1692" s="46" t="n">
        <v>43881</v>
      </c>
      <c r="Q1692" s="44" t="n">
        <v>1580</v>
      </c>
      <c r="R1692" s="44" t="inlineStr">
        <is>
          <t>No Video ID yet</t>
        </is>
      </c>
      <c r="S1692" s="46" t="n"/>
      <c r="T1692" s="46" t="n"/>
      <c r="U1692" s="44" t="n"/>
      <c r="V1692" s="44">
        <f>IF(AND(P1692&gt;=Calendar!$K$2,P1692&lt;EDATE(Calendar!$K$2,1),OR(Calendar!$K$4="*",N1692=Calendar!$K$4)),P1692*100+COUNTIFS($P$6:$P$3271,P1692,$Q$6:$Q$3271,"&lt;="&amp;Q1692,$N$6:$N$3271,Calendar!$K$4),"")</f>
        <v/>
      </c>
      <c r="W1692" s="44">
        <f>IF(AND(B1692=Queue!$C$4,OR(Queue!$K$4="*",N1692=Queue!$K$4)),Q1692,"")</f>
        <v/>
      </c>
    </row>
    <row r="1693">
      <c r="A1693" s="35">
        <f>IF(M1693="","",HYPERLINK("https://www.youtube.com/watch?v="&amp;M1693,"▶"))</f>
        <v/>
      </c>
      <c r="B1693" s="36">
        <f>IF(C1693&lt;&gt;"",C1693,IF(P1693&lt;=IFERROR(INDEX(tblChannels[Watched Through],MATCH(N1693,tblChannels[Channel ID],0)),0),"Watched","Unwatched"))</f>
        <v/>
      </c>
      <c r="C1693" s="37" t="n"/>
      <c r="D1693" s="38" t="n"/>
      <c r="E1693" s="39" t="n">
        <v>43880.45486111111</v>
      </c>
      <c r="F1693" s="49" t="inlineStr">
        <is>
          <t>Super Carlin Gaming</t>
        </is>
      </c>
      <c r="G1693" t="inlineStr">
        <is>
          <t>Hogwarts Founders Meet GILDEROY in SIMS 4 | Episode #8</t>
        </is>
      </c>
      <c r="H1693" s="41" t="n">
        <v>0.02298611111111111</v>
      </c>
      <c r="I1693" s="42" t="n">
        <v>27691</v>
      </c>
      <c r="J1693" s="42" t="n">
        <v>1112</v>
      </c>
      <c r="K1693" s="42" t="n">
        <v>219</v>
      </c>
      <c r="L1693" s="43" t="n"/>
      <c r="M1693" s="44" t="n"/>
      <c r="N1693" s="44" t="inlineStr">
        <is>
          <t>UCor_9jRnNNZVzTuQ92PKsaQ</t>
        </is>
      </c>
      <c r="O1693" s="45" t="n">
        <v>43880.66319444445</v>
      </c>
      <c r="P1693" s="46" t="n">
        <v>43880</v>
      </c>
      <c r="Q1693" s="44" t="n">
        <v>1579</v>
      </c>
      <c r="R1693" s="44" t="inlineStr">
        <is>
          <t>No Video ID yet</t>
        </is>
      </c>
      <c r="S1693" s="46" t="n"/>
      <c r="T1693" s="46" t="n"/>
      <c r="U1693" s="44" t="n"/>
      <c r="V1693" s="44">
        <f>IF(AND(P1693&gt;=Calendar!$K$2,P1693&lt;EDATE(Calendar!$K$2,1),OR(Calendar!$K$4="*",N1693=Calendar!$K$4)),P1693*100+COUNTIFS($P$6:$P$3271,P1693,$Q$6:$Q$3271,"&lt;="&amp;Q1693,$N$6:$N$3271,Calendar!$K$4),"")</f>
        <v/>
      </c>
      <c r="W1693" s="44">
        <f>IF(AND(B1693=Queue!$C$4,OR(Queue!$K$4="*",N1693=Queue!$K$4)),Q1693,"")</f>
        <v/>
      </c>
    </row>
    <row r="1694">
      <c r="A1694" s="35">
        <f>IF(M1694="","",HYPERLINK("https://www.youtube.com/watch?v="&amp;M1694,"▶"))</f>
        <v/>
      </c>
      <c r="B1694" s="36">
        <f>IF(C1694&lt;&gt;"",C1694,IF(P1694&lt;=IFERROR(INDEX(tblChannels[Watched Through],MATCH(N1694,tblChannels[Channel ID],0)),0),"Watched","Unwatched"))</f>
        <v/>
      </c>
      <c r="C1694" s="37" t="n"/>
      <c r="D1694" s="38" t="n"/>
      <c r="E1694" s="39" t="n">
        <v>43879.80902777778</v>
      </c>
      <c r="F1694" s="47" t="inlineStr">
        <is>
          <t>Super Carlin Brothers</t>
        </is>
      </c>
      <c r="G1694" t="inlineStr">
        <is>
          <t>Dumbledore Is Death [Harry Potter Theory]</t>
        </is>
      </c>
      <c r="H1694" s="41" t="n">
        <v>0.009293981481481481</v>
      </c>
      <c r="I1694" s="42" t="n">
        <v>786928</v>
      </c>
      <c r="J1694" s="42" t="n">
        <v>27764</v>
      </c>
      <c r="K1694" s="42" t="n">
        <v>1745</v>
      </c>
      <c r="L1694" s="43" t="n"/>
      <c r="M1694" s="44" t="n"/>
      <c r="N1694" s="44" t="inlineStr">
        <is>
          <t>UCKZo4N0lVPccBkSiuyVh4yg</t>
        </is>
      </c>
      <c r="O1694" s="45" t="n">
        <v>43880.01736111111</v>
      </c>
      <c r="P1694" s="46" t="n">
        <v>43879</v>
      </c>
      <c r="Q1694" s="44" t="n">
        <v>1578</v>
      </c>
      <c r="R1694" s="44" t="inlineStr">
        <is>
          <t>No Video ID yet</t>
        </is>
      </c>
      <c r="S1694" s="46" t="n"/>
      <c r="T1694" s="46" t="n"/>
      <c r="U1694" s="44" t="n"/>
      <c r="V1694" s="44">
        <f>IF(AND(P1694&gt;=Calendar!$K$2,P1694&lt;EDATE(Calendar!$K$2,1),OR(Calendar!$K$4="*",N1694=Calendar!$K$4)),P1694*100+COUNTIFS($P$6:$P$3271,P1694,$Q$6:$Q$3271,"&lt;="&amp;Q1694,$N$6:$N$3271,Calendar!$K$4),"")</f>
        <v/>
      </c>
      <c r="W1694" s="44">
        <f>IF(AND(B1694=Queue!$C$4,OR(Queue!$K$4="*",N1694=Queue!$K$4)),Q1694,"")</f>
        <v/>
      </c>
    </row>
    <row r="1695">
      <c r="A1695" s="35">
        <f>IF(M1695="","",HYPERLINK("https://www.youtube.com/watch?v="&amp;M1695,"▶"))</f>
        <v/>
      </c>
      <c r="B1695" s="36">
        <f>IF(C1695&lt;&gt;"",C1695,IF(P1695&lt;=IFERROR(INDEX(tblChannels[Watched Through],MATCH(N1695,tblChannels[Channel ID],0)),0),"Watched","Unwatched"))</f>
        <v/>
      </c>
      <c r="C1695" s="37" t="n"/>
      <c r="D1695" s="38" t="n"/>
      <c r="E1695" s="39" t="n">
        <v>43878.45833333334</v>
      </c>
      <c r="F1695" s="50" t="inlineStr">
        <is>
          <t>Jonathan Carlin</t>
        </is>
      </c>
      <c r="G1695" t="inlineStr">
        <is>
          <t>The Twin Countdown IS REAL!</t>
        </is>
      </c>
      <c r="H1695" s="41" t="n">
        <v>0.007222222222222222</v>
      </c>
      <c r="I1695" s="42" t="n">
        <v>67527</v>
      </c>
      <c r="J1695" s="42" t="n">
        <v>5154</v>
      </c>
      <c r="K1695" s="42" t="n">
        <v>765</v>
      </c>
      <c r="L1695" s="43" t="n"/>
      <c r="M1695" s="44" t="n"/>
      <c r="N1695" s="44" t="inlineStr">
        <is>
          <t>UCYPKFe86e6nm4TVUYKLsFUQ</t>
        </is>
      </c>
      <c r="O1695" s="45" t="n">
        <v>43878.66666666666</v>
      </c>
      <c r="P1695" s="46" t="n">
        <v>43878</v>
      </c>
      <c r="Q1695" s="44" t="n">
        <v>1577</v>
      </c>
      <c r="R1695" s="44" t="inlineStr">
        <is>
          <t>No Video ID yet</t>
        </is>
      </c>
      <c r="S1695" s="46" t="n"/>
      <c r="T1695" s="46" t="n"/>
      <c r="U1695" s="44" t="n"/>
      <c r="V1695" s="44">
        <f>IF(AND(P1695&gt;=Calendar!$K$2,P1695&lt;EDATE(Calendar!$K$2,1),OR(Calendar!$K$4="*",N1695=Calendar!$K$4)),P1695*100+COUNTIFS($P$6:$P$3271,P1695,$Q$6:$Q$3271,"&lt;="&amp;Q1695,$N$6:$N$3271,Calendar!$K$4),"")</f>
        <v/>
      </c>
      <c r="W1695" s="44">
        <f>IF(AND(B1695=Queue!$C$4,OR(Queue!$K$4="*",N1695=Queue!$K$4)),Q1695,"")</f>
        <v/>
      </c>
    </row>
    <row r="1696">
      <c r="A1696" s="35">
        <f>IF(M1696="","",HYPERLINK("https://www.youtube.com/watch?v="&amp;M1696,"▶"))</f>
        <v/>
      </c>
      <c r="B1696" s="36">
        <f>IF(C1696&lt;&gt;"",C1696,IF(P1696&lt;=IFERROR(INDEX(tblChannels[Watched Through],MATCH(N1696,tblChannels[Channel ID],0)),0),"Watched","Unwatched"))</f>
        <v/>
      </c>
      <c r="C1696" s="37" t="n"/>
      <c r="D1696" s="38" t="n"/>
      <c r="E1696" s="39" t="n">
        <v>43875.57638888889</v>
      </c>
      <c r="F1696" s="40" t="inlineStr">
        <is>
          <t>Popcorn Culture</t>
        </is>
      </c>
      <c r="G1696" t="inlineStr">
        <is>
          <t>10 - Chainsaws, Regional Speech, and Ystavanpaiva Day</t>
        </is>
      </c>
      <c r="H1696" s="41" t="n">
        <v>0.0430787037037037</v>
      </c>
      <c r="I1696" s="42" t="n">
        <v>6667</v>
      </c>
      <c r="J1696" s="42" t="n">
        <v>263</v>
      </c>
      <c r="K1696" s="42" t="n">
        <v>91</v>
      </c>
      <c r="L1696" s="43" t="n"/>
      <c r="M1696" s="44" t="n"/>
      <c r="N1696" s="44" t="inlineStr">
        <is>
          <t>UCHfIbq9thHPC8yrKjAdJgDA</t>
        </is>
      </c>
      <c r="O1696" s="45" t="n">
        <v>43875.78472222222</v>
      </c>
      <c r="P1696" s="46" t="n">
        <v>43875</v>
      </c>
      <c r="Q1696" s="44" t="n">
        <v>1576</v>
      </c>
      <c r="R1696" s="44" t="inlineStr">
        <is>
          <t>No Video ID yet</t>
        </is>
      </c>
      <c r="S1696" s="46" t="n"/>
      <c r="T1696" s="46" t="n"/>
      <c r="U1696" s="44" t="n"/>
      <c r="V1696" s="44">
        <f>IF(AND(P1696&gt;=Calendar!$K$2,P1696&lt;EDATE(Calendar!$K$2,1),OR(Calendar!$K$4="*",N1696=Calendar!$K$4)),P1696*100+COUNTIFS($P$6:$P$3271,P1696,$Q$6:$Q$3271,"&lt;="&amp;Q1696,$N$6:$N$3271,Calendar!$K$4),"")</f>
        <v/>
      </c>
      <c r="W1696" s="44">
        <f>IF(AND(B1696=Queue!$C$4,OR(Queue!$K$4="*",N1696=Queue!$K$4)),Q1696,"")</f>
        <v/>
      </c>
    </row>
    <row r="1697">
      <c r="A1697" s="35">
        <f>IF(M1697="","",HYPERLINK("https://www.youtube.com/watch?v="&amp;M1697,"▶"))</f>
        <v/>
      </c>
      <c r="B1697" s="36">
        <f>IF(C1697&lt;&gt;"",C1697,IF(P1697&lt;=IFERROR(INDEX(tblChannels[Watched Through],MATCH(N1697,tblChannels[Channel ID],0)),0),"Watched","Unwatched"))</f>
        <v/>
      </c>
      <c r="C1697" s="37" t="n"/>
      <c r="D1697" s="38" t="n"/>
      <c r="E1697" s="39" t="n">
        <v>43874.64236111111</v>
      </c>
      <c r="F1697" s="47" t="inlineStr">
        <is>
          <t>Super Carlin Brothers</t>
        </is>
      </c>
      <c r="G1697" t="inlineStr">
        <is>
          <t>J vs Ben: ULTIMATE Gilderoy Lockhart TRIVIA Quiz</t>
        </is>
      </c>
      <c r="H1697" s="41" t="n">
        <v>0.01643518518518518</v>
      </c>
      <c r="I1697" s="42" t="n">
        <v>473151</v>
      </c>
      <c r="J1697" s="42" t="n">
        <v>12971</v>
      </c>
      <c r="K1697" s="42" t="n">
        <v>1206</v>
      </c>
      <c r="L1697" s="43" t="n"/>
      <c r="M1697" s="44" t="n"/>
      <c r="N1697" s="44" t="inlineStr">
        <is>
          <t>UCKZo4N0lVPccBkSiuyVh4yg</t>
        </is>
      </c>
      <c r="O1697" s="45" t="n">
        <v>43874.85069444445</v>
      </c>
      <c r="P1697" s="46" t="n">
        <v>43874</v>
      </c>
      <c r="Q1697" s="44" t="n">
        <v>1575</v>
      </c>
      <c r="R1697" s="44" t="inlineStr">
        <is>
          <t>No Video ID yet</t>
        </is>
      </c>
      <c r="S1697" s="46" t="n"/>
      <c r="T1697" s="46" t="n"/>
      <c r="U1697" s="44" t="n"/>
      <c r="V1697" s="44">
        <f>IF(AND(P1697&gt;=Calendar!$K$2,P1697&lt;EDATE(Calendar!$K$2,1),OR(Calendar!$K$4="*",N1697=Calendar!$K$4)),P1697*100+COUNTIFS($P$6:$P$3271,P1697,$Q$6:$Q$3271,"&lt;="&amp;Q1697,$N$6:$N$3271,Calendar!$K$4),"")</f>
        <v/>
      </c>
      <c r="W1697" s="44">
        <f>IF(AND(B1697=Queue!$C$4,OR(Queue!$K$4="*",N1697=Queue!$K$4)),Q1697,"")</f>
        <v/>
      </c>
    </row>
    <row r="1698">
      <c r="A1698" s="35">
        <f>IF(M1698="","",HYPERLINK("https://www.youtube.com/watch?v="&amp;M1698,"▶"))</f>
        <v/>
      </c>
      <c r="B1698" s="36">
        <f>IF(C1698&lt;&gt;"",C1698,IF(P1698&lt;=IFERROR(INDEX(tblChannels[Watched Through],MATCH(N1698,tblChannels[Channel ID],0)),0),"Watched","Unwatched"))</f>
        <v/>
      </c>
      <c r="C1698" s="37" t="n"/>
      <c r="D1698" s="38" t="n"/>
      <c r="E1698" s="39" t="n">
        <v>43873.40902777778</v>
      </c>
      <c r="F1698" s="49" t="inlineStr">
        <is>
          <t>Super Carlin Gaming</t>
        </is>
      </c>
      <c r="G1698" t="inlineStr">
        <is>
          <t>Hogwarts Founders Throw a RAGER in SIMS 4 | Episode #7</t>
        </is>
      </c>
      <c r="H1698" s="41" t="n">
        <v>0.02861111111111111</v>
      </c>
      <c r="I1698" s="42" t="n">
        <v>48334</v>
      </c>
      <c r="J1698" s="42" t="n">
        <v>1498</v>
      </c>
      <c r="K1698" s="42" t="n">
        <v>221</v>
      </c>
      <c r="L1698" s="43" t="n"/>
      <c r="M1698" s="44" t="n"/>
      <c r="N1698" s="44" t="inlineStr">
        <is>
          <t>UCor_9jRnNNZVzTuQ92PKsaQ</t>
        </is>
      </c>
      <c r="O1698" s="45" t="n">
        <v>43873.61736111111</v>
      </c>
      <c r="P1698" s="46" t="n">
        <v>43873</v>
      </c>
      <c r="Q1698" s="44" t="n">
        <v>1574</v>
      </c>
      <c r="R1698" s="44" t="inlineStr">
        <is>
          <t>No Video ID yet</t>
        </is>
      </c>
      <c r="S1698" s="46" t="n"/>
      <c r="T1698" s="46" t="n"/>
      <c r="U1698" s="44" t="n"/>
      <c r="V1698" s="44">
        <f>IF(AND(P1698&gt;=Calendar!$K$2,P1698&lt;EDATE(Calendar!$K$2,1),OR(Calendar!$K$4="*",N1698=Calendar!$K$4)),P1698*100+COUNTIFS($P$6:$P$3271,P1698,$Q$6:$Q$3271,"&lt;="&amp;Q1698,$N$6:$N$3271,Calendar!$K$4),"")</f>
        <v/>
      </c>
      <c r="W1698" s="44">
        <f>IF(AND(B1698=Queue!$C$4,OR(Queue!$K$4="*",N1698=Queue!$K$4)),Q1698,"")</f>
        <v/>
      </c>
    </row>
    <row r="1699">
      <c r="A1699" s="35">
        <f>IF(M1699="","",HYPERLINK("https://www.youtube.com/watch?v="&amp;M1699,"▶"))</f>
        <v/>
      </c>
      <c r="B1699" s="36">
        <f>IF(C1699&lt;&gt;"",C1699,IF(P1699&lt;=IFERROR(INDEX(tblChannels[Watched Through],MATCH(N1699,tblChannels[Channel ID],0)),0),"Watched","Unwatched"))</f>
        <v/>
      </c>
      <c r="C1699" s="37" t="n"/>
      <c r="D1699" s="38" t="n"/>
      <c r="E1699" s="39" t="n">
        <v>43872.70833333334</v>
      </c>
      <c r="F1699" s="47" t="inlineStr">
        <is>
          <t>Super Carlin Brothers</t>
        </is>
      </c>
      <c r="G1699" t="inlineStr">
        <is>
          <t>Why the Horcrux in Harry Wasn't Destroyed by the Basilisk [Harry Potter Explained]</t>
        </is>
      </c>
      <c r="H1699" s="41" t="n">
        <v>0.007662037037037037</v>
      </c>
      <c r="I1699" s="42" t="n">
        <v>772478</v>
      </c>
      <c r="J1699" s="42" t="n">
        <v>23889</v>
      </c>
      <c r="K1699" s="42" t="n">
        <v>2640</v>
      </c>
      <c r="L1699" s="43" t="n"/>
      <c r="M1699" s="44" t="n"/>
      <c r="N1699" s="44" t="inlineStr">
        <is>
          <t>UCKZo4N0lVPccBkSiuyVh4yg</t>
        </is>
      </c>
      <c r="O1699" s="45" t="n">
        <v>43872.91666666666</v>
      </c>
      <c r="P1699" s="46" t="n">
        <v>43872</v>
      </c>
      <c r="Q1699" s="44" t="n">
        <v>1573</v>
      </c>
      <c r="R1699" s="44" t="inlineStr">
        <is>
          <t>No Video ID yet</t>
        </is>
      </c>
      <c r="S1699" s="46" t="n"/>
      <c r="T1699" s="46" t="n"/>
      <c r="U1699" s="44" t="n"/>
      <c r="V1699" s="44">
        <f>IF(AND(P1699&gt;=Calendar!$K$2,P1699&lt;EDATE(Calendar!$K$2,1),OR(Calendar!$K$4="*",N1699=Calendar!$K$4)),P1699*100+COUNTIFS($P$6:$P$3271,P1699,$Q$6:$Q$3271,"&lt;="&amp;Q1699,$N$6:$N$3271,Calendar!$K$4),"")</f>
        <v/>
      </c>
      <c r="W1699" s="44">
        <f>IF(AND(B1699=Queue!$C$4,OR(Queue!$K$4="*",N1699=Queue!$K$4)),Q1699,"")</f>
        <v/>
      </c>
    </row>
    <row r="1700">
      <c r="A1700" s="35">
        <f>IF(M1700="","",HYPERLINK("https://www.youtube.com/watch?v="&amp;M1700,"▶"))</f>
        <v/>
      </c>
      <c r="B1700" s="36">
        <f>IF(C1700&lt;&gt;"",C1700,IF(P1700&lt;=IFERROR(INDEX(tblChannels[Watched Through],MATCH(N1700,tblChannels[Channel ID],0)),0),"Watched","Unwatched"))</f>
        <v/>
      </c>
      <c r="C1700" s="37" t="n"/>
      <c r="D1700" s="38" t="n"/>
      <c r="E1700" s="39" t="n">
        <v>43872.53472222222</v>
      </c>
      <c r="F1700" s="40" t="inlineStr">
        <is>
          <t>Popcorn Culture</t>
        </is>
      </c>
      <c r="G1700" t="inlineStr">
        <is>
          <t>9 - Speeding Tickets and Reality TV</t>
        </is>
      </c>
      <c r="H1700" s="41" t="n">
        <v>0.03907407407407407</v>
      </c>
      <c r="I1700" s="42" t="n">
        <v>5933</v>
      </c>
      <c r="J1700" s="42" t="n">
        <v>260</v>
      </c>
      <c r="K1700" s="42" t="n">
        <v>36</v>
      </c>
      <c r="L1700" s="43" t="n"/>
      <c r="M1700" s="44" t="n"/>
      <c r="N1700" s="44" t="inlineStr">
        <is>
          <t>UCHfIbq9thHPC8yrKjAdJgDA</t>
        </is>
      </c>
      <c r="O1700" s="45" t="n">
        <v>43872.74305555555</v>
      </c>
      <c r="P1700" s="46" t="n">
        <v>43872</v>
      </c>
      <c r="Q1700" s="44" t="n">
        <v>1572</v>
      </c>
      <c r="R1700" s="44" t="inlineStr">
        <is>
          <t>No Video ID yet</t>
        </is>
      </c>
      <c r="S1700" s="46" t="n"/>
      <c r="T1700" s="46" t="n"/>
      <c r="U1700" s="44" t="n"/>
      <c r="V1700" s="44">
        <f>IF(AND(P1700&gt;=Calendar!$K$2,P1700&lt;EDATE(Calendar!$K$2,1),OR(Calendar!$K$4="*",N1700=Calendar!$K$4)),P1700*100+COUNTIFS($P$6:$P$3271,P1700,$Q$6:$Q$3271,"&lt;="&amp;Q1700,$N$6:$N$3271,Calendar!$K$4),"")</f>
        <v/>
      </c>
      <c r="W1700" s="44">
        <f>IF(AND(B1700=Queue!$C$4,OR(Queue!$K$4="*",N1700=Queue!$K$4)),Q1700,"")</f>
        <v/>
      </c>
    </row>
    <row r="1701">
      <c r="A1701" s="35">
        <f>IF(M1701="","",HYPERLINK("https://www.youtube.com/watch?v="&amp;M1701,"▶"))</f>
        <v/>
      </c>
      <c r="B1701" s="36">
        <f>IF(C1701&lt;&gt;"",C1701,IF(P1701&lt;=IFERROR(INDEX(tblChannels[Watched Through],MATCH(N1701,tblChannels[Channel ID],0)),0),"Watched","Unwatched"))</f>
        <v/>
      </c>
      <c r="C1701" s="37" t="n"/>
      <c r="D1701" s="38" t="n"/>
      <c r="E1701" s="39" t="n">
        <v>43867.83472222222</v>
      </c>
      <c r="F1701" s="47" t="inlineStr">
        <is>
          <t>Super Carlin Brothers</t>
        </is>
      </c>
      <c r="G1701" t="inlineStr">
        <is>
          <t>Salazar Slytherin Is STILL Alive?! [Harry Potter Theory]</t>
        </is>
      </c>
      <c r="H1701" s="41" t="n">
        <v>0.009756944444444445</v>
      </c>
      <c r="I1701" s="42" t="n">
        <v>966315</v>
      </c>
      <c r="J1701" s="42" t="n">
        <v>28015</v>
      </c>
      <c r="K1701" s="42" t="n">
        <v>2298</v>
      </c>
      <c r="L1701" s="43" t="n"/>
      <c r="M1701" s="44" t="n"/>
      <c r="N1701" s="44" t="inlineStr">
        <is>
          <t>UCKZo4N0lVPccBkSiuyVh4yg</t>
        </is>
      </c>
      <c r="O1701" s="45" t="n">
        <v>43868.04305555556</v>
      </c>
      <c r="P1701" s="46" t="n">
        <v>43867</v>
      </c>
      <c r="Q1701" s="44" t="n">
        <v>1571</v>
      </c>
      <c r="R1701" s="44" t="inlineStr">
        <is>
          <t>No Video ID yet</t>
        </is>
      </c>
      <c r="S1701" s="46" t="n"/>
      <c r="T1701" s="46" t="n"/>
      <c r="U1701" s="44" t="n"/>
      <c r="V1701" s="44">
        <f>IF(AND(P1701&gt;=Calendar!$K$2,P1701&lt;EDATE(Calendar!$K$2,1),OR(Calendar!$K$4="*",N1701=Calendar!$K$4)),P1701*100+COUNTIFS($P$6:$P$3271,P1701,$Q$6:$Q$3271,"&lt;="&amp;Q1701,$N$6:$N$3271,Calendar!$K$4),"")</f>
        <v/>
      </c>
      <c r="W1701" s="44">
        <f>IF(AND(B1701=Queue!$C$4,OR(Queue!$K$4="*",N1701=Queue!$K$4)),Q1701,"")</f>
        <v/>
      </c>
    </row>
    <row r="1702">
      <c r="A1702" s="35">
        <f>IF(M1702="","",HYPERLINK("https://www.youtube.com/watch?v="&amp;M1702,"▶"))</f>
        <v/>
      </c>
      <c r="B1702" s="36">
        <f>IF(C1702&lt;&gt;"",C1702,IF(P1702&lt;=IFERROR(INDEX(tblChannels[Watched Through],MATCH(N1702,tblChannels[Channel ID],0)),0),"Watched","Unwatched"))</f>
        <v/>
      </c>
      <c r="C1702" s="37" t="n"/>
      <c r="D1702" s="38" t="n"/>
      <c r="E1702" s="39" t="n">
        <v>43867.72222222222</v>
      </c>
      <c r="F1702" s="40" t="inlineStr">
        <is>
          <t>Popcorn Culture</t>
        </is>
      </c>
      <c r="G1702" t="inlineStr">
        <is>
          <t>Episode 8 - Fangirling, Board Games, and the Produce Pirate!</t>
        </is>
      </c>
      <c r="H1702" s="41" t="n">
        <v>0.0490162037037037</v>
      </c>
      <c r="I1702" s="42" t="n">
        <v>6359</v>
      </c>
      <c r="J1702" s="42" t="n">
        <v>253</v>
      </c>
      <c r="K1702" s="42" t="n">
        <v>46</v>
      </c>
      <c r="L1702" s="43" t="n"/>
      <c r="M1702" s="44" t="n"/>
      <c r="N1702" s="44" t="inlineStr">
        <is>
          <t>UCHfIbq9thHPC8yrKjAdJgDA</t>
        </is>
      </c>
      <c r="O1702" s="45" t="n">
        <v>43867.93055555555</v>
      </c>
      <c r="P1702" s="46" t="n">
        <v>43867</v>
      </c>
      <c r="Q1702" s="44" t="n">
        <v>1570</v>
      </c>
      <c r="R1702" s="44" t="inlineStr">
        <is>
          <t>No Video ID yet</t>
        </is>
      </c>
      <c r="S1702" s="46" t="n"/>
      <c r="T1702" s="46" t="n"/>
      <c r="U1702" s="44" t="n"/>
      <c r="V1702" s="44">
        <f>IF(AND(P1702&gt;=Calendar!$K$2,P1702&lt;EDATE(Calendar!$K$2,1),OR(Calendar!$K$4="*",N1702=Calendar!$K$4)),P1702*100+COUNTIFS($P$6:$P$3271,P1702,$Q$6:$Q$3271,"&lt;="&amp;Q1702,$N$6:$N$3271,Calendar!$K$4),"")</f>
        <v/>
      </c>
      <c r="W1702" s="44">
        <f>IF(AND(B1702=Queue!$C$4,OR(Queue!$K$4="*",N1702=Queue!$K$4)),Q1702,"")</f>
        <v/>
      </c>
    </row>
    <row r="1703">
      <c r="A1703" s="35">
        <f>IF(M1703="","",HYPERLINK("https://www.youtube.com/watch?v="&amp;M1703,"▶"))</f>
        <v/>
      </c>
      <c r="B1703" s="36">
        <f>IF(C1703&lt;&gt;"",C1703,IF(P1703&lt;=IFERROR(INDEX(tblChannels[Watched Through],MATCH(N1703,tblChannels[Channel ID],0)),0),"Watched","Unwatched"))</f>
        <v/>
      </c>
      <c r="C1703" s="37" t="n"/>
      <c r="D1703" s="38" t="n"/>
      <c r="E1703" s="39" t="n">
        <v>43865.87847222222</v>
      </c>
      <c r="F1703" s="47" t="inlineStr">
        <is>
          <t>Super Carlin Brothers</t>
        </is>
      </c>
      <c r="G1703" t="inlineStr">
        <is>
          <t>Why Crimes of Grindelwald Failed According to Pixar</t>
        </is>
      </c>
      <c r="H1703" s="41" t="n">
        <v>0.01322916666666667</v>
      </c>
      <c r="I1703" s="42" t="n">
        <v>620199</v>
      </c>
      <c r="J1703" s="42" t="n">
        <v>21039</v>
      </c>
      <c r="K1703" s="42" t="n">
        <v>4459</v>
      </c>
      <c r="L1703" s="43" t="n"/>
      <c r="M1703" s="44" t="n"/>
      <c r="N1703" s="44" t="inlineStr">
        <is>
          <t>UCKZo4N0lVPccBkSiuyVh4yg</t>
        </is>
      </c>
      <c r="O1703" s="45" t="n">
        <v>43866.08680555555</v>
      </c>
      <c r="P1703" s="46" t="n">
        <v>43865</v>
      </c>
      <c r="Q1703" s="44" t="n">
        <v>1569</v>
      </c>
      <c r="R1703" s="44" t="inlineStr">
        <is>
          <t>No Video ID yet</t>
        </is>
      </c>
      <c r="S1703" s="46" t="n"/>
      <c r="T1703" s="46" t="n"/>
      <c r="U1703" s="44" t="n"/>
      <c r="V1703" s="44">
        <f>IF(AND(P1703&gt;=Calendar!$K$2,P1703&lt;EDATE(Calendar!$K$2,1),OR(Calendar!$K$4="*",N1703=Calendar!$K$4)),P1703*100+COUNTIFS($P$6:$P$3271,P1703,$Q$6:$Q$3271,"&lt;="&amp;Q1703,$N$6:$N$3271,Calendar!$K$4),"")</f>
        <v/>
      </c>
      <c r="W1703" s="44">
        <f>IF(AND(B1703=Queue!$C$4,OR(Queue!$K$4="*",N1703=Queue!$K$4)),Q1703,"")</f>
        <v/>
      </c>
    </row>
    <row r="1704">
      <c r="A1704" s="35">
        <f>IF(M1704="","",HYPERLINK("https://www.youtube.com/watch?v="&amp;M1704,"▶"))</f>
        <v/>
      </c>
      <c r="B1704" s="36">
        <f>IF(C1704&lt;&gt;"",C1704,IF(P1704&lt;=IFERROR(INDEX(tblChannels[Watched Through],MATCH(N1704,tblChannels[Channel ID],0)),0),"Watched","Unwatched"))</f>
        <v/>
      </c>
      <c r="C1704" s="37" t="n"/>
      <c r="D1704" s="38" t="n"/>
      <c r="E1704" s="39" t="n">
        <v>43860.93611111111</v>
      </c>
      <c r="F1704" s="47" t="inlineStr">
        <is>
          <t>Super Carlin Brothers</t>
        </is>
      </c>
      <c r="G1704" t="inlineStr">
        <is>
          <t>The Reylo Controversy Explained</t>
        </is>
      </c>
      <c r="H1704" s="41" t="n">
        <v>0.0118287037037037</v>
      </c>
      <c r="I1704" s="42" t="n">
        <v>188968</v>
      </c>
      <c r="J1704" s="42" t="n">
        <v>10950</v>
      </c>
      <c r="K1704" s="42" t="n">
        <v>2256</v>
      </c>
      <c r="L1704" s="43" t="n"/>
      <c r="M1704" s="44" t="n"/>
      <c r="N1704" s="44" t="inlineStr">
        <is>
          <t>UCKZo4N0lVPccBkSiuyVh4yg</t>
        </is>
      </c>
      <c r="O1704" s="45" t="n">
        <v>43861.14444444444</v>
      </c>
      <c r="P1704" s="46" t="n">
        <v>43860</v>
      </c>
      <c r="Q1704" s="44" t="n">
        <v>1568</v>
      </c>
      <c r="R1704" s="44" t="inlineStr">
        <is>
          <t>No Video ID yet</t>
        </is>
      </c>
      <c r="S1704" s="46" t="n"/>
      <c r="T1704" s="46" t="n"/>
      <c r="U1704" s="44" t="n"/>
      <c r="V1704" s="44">
        <f>IF(AND(P1704&gt;=Calendar!$K$2,P1704&lt;EDATE(Calendar!$K$2,1),OR(Calendar!$K$4="*",N1704=Calendar!$K$4)),P1704*100+COUNTIFS($P$6:$P$3271,P1704,$Q$6:$Q$3271,"&lt;="&amp;Q1704,$N$6:$N$3271,Calendar!$K$4),"")</f>
        <v/>
      </c>
      <c r="W1704" s="44">
        <f>IF(AND(B1704=Queue!$C$4,OR(Queue!$K$4="*",N1704=Queue!$K$4)),Q1704,"")</f>
        <v/>
      </c>
    </row>
    <row r="1705">
      <c r="A1705" s="35">
        <f>IF(M1705="","",HYPERLINK("https://www.youtube.com/watch?v="&amp;M1705,"▶"))</f>
        <v/>
      </c>
      <c r="B1705" s="36">
        <f>IF(C1705&lt;&gt;"",C1705,IF(P1705&lt;=IFERROR(INDEX(tblChannels[Watched Through],MATCH(N1705,tblChannels[Channel ID],0)),0),"Watched","Unwatched"))</f>
        <v/>
      </c>
      <c r="C1705" s="37" t="n"/>
      <c r="D1705" s="38" t="n"/>
      <c r="E1705" s="39" t="n">
        <v>43858.78472222222</v>
      </c>
      <c r="F1705" s="47" t="inlineStr">
        <is>
          <t>Super Carlin Brothers</t>
        </is>
      </c>
      <c r="G1705" t="inlineStr">
        <is>
          <t>The Philosopher’s Stone Created Aurelius Dumbledore [Harry Potter Theory]</t>
        </is>
      </c>
      <c r="H1705" s="41" t="n">
        <v>0.01019675925925926</v>
      </c>
      <c r="I1705" s="42" t="n">
        <v>872904</v>
      </c>
      <c r="J1705" s="42" t="n">
        <v>36883</v>
      </c>
      <c r="K1705" s="42" t="n">
        <v>3473</v>
      </c>
      <c r="L1705" s="43" t="n"/>
      <c r="M1705" s="44" t="n"/>
      <c r="N1705" s="44" t="inlineStr">
        <is>
          <t>UCKZo4N0lVPccBkSiuyVh4yg</t>
        </is>
      </c>
      <c r="O1705" s="45" t="n">
        <v>43858.99305555555</v>
      </c>
      <c r="P1705" s="46" t="n">
        <v>43858</v>
      </c>
      <c r="Q1705" s="44" t="n">
        <v>1567</v>
      </c>
      <c r="R1705" s="44" t="inlineStr">
        <is>
          <t>No Video ID yet</t>
        </is>
      </c>
      <c r="S1705" s="46" t="n"/>
      <c r="T1705" s="46" t="n"/>
      <c r="U1705" s="44" t="n"/>
      <c r="V1705" s="44">
        <f>IF(AND(P1705&gt;=Calendar!$K$2,P1705&lt;EDATE(Calendar!$K$2,1),OR(Calendar!$K$4="*",N1705=Calendar!$K$4)),P1705*100+COUNTIFS($P$6:$P$3271,P1705,$Q$6:$Q$3271,"&lt;="&amp;Q1705,$N$6:$N$3271,Calendar!$K$4),"")</f>
        <v/>
      </c>
      <c r="W1705" s="44">
        <f>IF(AND(B1705=Queue!$C$4,OR(Queue!$K$4="*",N1705=Queue!$K$4)),Q1705,"")</f>
        <v/>
      </c>
    </row>
    <row r="1706">
      <c r="A1706" s="35">
        <f>IF(M1706="","",HYPERLINK("https://www.youtube.com/watch?v="&amp;M1706,"▶"))</f>
        <v/>
      </c>
      <c r="B1706" s="36">
        <f>IF(C1706&lt;&gt;"",C1706,IF(P1706&lt;=IFERROR(INDEX(tblChannels[Watched Through],MATCH(N1706,tblChannels[Channel ID],0)),0),"Watched","Unwatched"))</f>
        <v/>
      </c>
      <c r="C1706" s="37" t="n"/>
      <c r="D1706" s="38" t="n"/>
      <c r="E1706" s="39" t="n">
        <v>43858.4875</v>
      </c>
      <c r="F1706" s="40" t="inlineStr">
        <is>
          <t>Popcorn Culture</t>
        </is>
      </c>
      <c r="G1706" t="inlineStr">
        <is>
          <t>7 - The Oscars, Survivor, and Grapefruit</t>
        </is>
      </c>
      <c r="H1706" s="41" t="n">
        <v>0.04446759259259259</v>
      </c>
      <c r="I1706" s="42" t="n">
        <v>6210</v>
      </c>
      <c r="J1706" s="42" t="n">
        <v>248</v>
      </c>
      <c r="K1706" s="42" t="n">
        <v>65</v>
      </c>
      <c r="L1706" s="43" t="n"/>
      <c r="M1706" s="44" t="n"/>
      <c r="N1706" s="44" t="inlineStr">
        <is>
          <t>UCHfIbq9thHPC8yrKjAdJgDA</t>
        </is>
      </c>
      <c r="O1706" s="45" t="n">
        <v>43858.69583333333</v>
      </c>
      <c r="P1706" s="46" t="n">
        <v>43858</v>
      </c>
      <c r="Q1706" s="44" t="n">
        <v>1566</v>
      </c>
      <c r="R1706" s="44" t="inlineStr">
        <is>
          <t>No Video ID yet</t>
        </is>
      </c>
      <c r="S1706" s="46" t="n"/>
      <c r="T1706" s="46" t="n"/>
      <c r="U1706" s="44" t="n"/>
      <c r="V1706" s="44">
        <f>IF(AND(P1706&gt;=Calendar!$K$2,P1706&lt;EDATE(Calendar!$K$2,1),OR(Calendar!$K$4="*",N1706=Calendar!$K$4)),P1706*100+COUNTIFS($P$6:$P$3271,P1706,$Q$6:$Q$3271,"&lt;="&amp;Q1706,$N$6:$N$3271,Calendar!$K$4),"")</f>
        <v/>
      </c>
      <c r="W1706" s="44">
        <f>IF(AND(B1706=Queue!$C$4,OR(Queue!$K$4="*",N1706=Queue!$K$4)),Q1706,"")</f>
        <v/>
      </c>
    </row>
    <row r="1707">
      <c r="A1707" s="35">
        <f>IF(M1707="","",HYPERLINK("https://www.youtube.com/watch?v="&amp;M1707,"▶"))</f>
        <v/>
      </c>
      <c r="B1707" s="36">
        <f>IF(C1707&lt;&gt;"",C1707,IF(P1707&lt;=IFERROR(INDEX(tblChannels[Watched Through],MATCH(N1707,tblChannels[Channel ID],0)),0),"Watched","Unwatched"))</f>
        <v/>
      </c>
      <c r="C1707" s="37" t="n"/>
      <c r="D1707" s="38" t="n"/>
      <c r="E1707" s="39" t="n">
        <v>43853.78333333333</v>
      </c>
      <c r="F1707" s="47" t="inlineStr">
        <is>
          <t>Super Carlin Brothers</t>
        </is>
      </c>
      <c r="G1707" t="inlineStr">
        <is>
          <t>Percy Weasley Had A Time Turner [Harry Potter Theory]</t>
        </is>
      </c>
      <c r="H1707" s="41" t="n">
        <v>0.01003472222222222</v>
      </c>
      <c r="I1707" s="42" t="n">
        <v>858839</v>
      </c>
      <c r="J1707" s="42" t="n">
        <v>24432</v>
      </c>
      <c r="K1707" s="42" t="n">
        <v>2693</v>
      </c>
      <c r="L1707" s="43" t="n"/>
      <c r="M1707" s="44" t="n"/>
      <c r="N1707" s="44" t="inlineStr">
        <is>
          <t>UCKZo4N0lVPccBkSiuyVh4yg</t>
        </is>
      </c>
      <c r="O1707" s="45" t="n">
        <v>43853.99166666667</v>
      </c>
      <c r="P1707" s="46" t="n">
        <v>43853</v>
      </c>
      <c r="Q1707" s="44" t="n">
        <v>1565</v>
      </c>
      <c r="R1707" s="44" t="inlineStr">
        <is>
          <t>No Video ID yet</t>
        </is>
      </c>
      <c r="S1707" s="46" t="n"/>
      <c r="T1707" s="46" t="n"/>
      <c r="U1707" s="44" t="n"/>
      <c r="V1707" s="44">
        <f>IF(AND(P1707&gt;=Calendar!$K$2,P1707&lt;EDATE(Calendar!$K$2,1),OR(Calendar!$K$4="*",N1707=Calendar!$K$4)),P1707*100+COUNTIFS($P$6:$P$3271,P1707,$Q$6:$Q$3271,"&lt;="&amp;Q1707,$N$6:$N$3271,Calendar!$K$4),"")</f>
        <v/>
      </c>
      <c r="W1707" s="44">
        <f>IF(AND(B1707=Queue!$C$4,OR(Queue!$K$4="*",N1707=Queue!$K$4)),Q1707,"")</f>
        <v/>
      </c>
    </row>
    <row r="1708">
      <c r="A1708" s="35">
        <f>IF(M1708="","",HYPERLINK("https://www.youtube.com/watch?v="&amp;M1708,"▶"))</f>
        <v/>
      </c>
      <c r="B1708" s="36">
        <f>IF(C1708&lt;&gt;"",C1708,IF(P1708&lt;=IFERROR(INDEX(tblChannels[Watched Through],MATCH(N1708,tblChannels[Channel ID],0)),0),"Watched","Unwatched"))</f>
        <v/>
      </c>
      <c r="C1708" s="37" t="n"/>
      <c r="D1708" s="38" t="n"/>
      <c r="E1708" s="39" t="n">
        <v>43851.71180555555</v>
      </c>
      <c r="F1708" s="47" t="inlineStr">
        <is>
          <t>Super Carlin Brothers</t>
        </is>
      </c>
      <c r="G1708" t="inlineStr">
        <is>
          <t>J vs Ben: HARDEST Luna Lovegood TRIVIA Quiz</t>
        </is>
      </c>
      <c r="H1708" s="41" t="n">
        <v>0.01422453703703704</v>
      </c>
      <c r="I1708" s="42" t="n">
        <v>396710</v>
      </c>
      <c r="J1708" s="42" t="n">
        <v>12306</v>
      </c>
      <c r="K1708" s="42" t="n">
        <v>1541</v>
      </c>
      <c r="L1708" s="43" t="n"/>
      <c r="M1708" s="44" t="n"/>
      <c r="N1708" s="44" t="inlineStr">
        <is>
          <t>UCKZo4N0lVPccBkSiuyVh4yg</t>
        </is>
      </c>
      <c r="O1708" s="45" t="n">
        <v>43851.92013888889</v>
      </c>
      <c r="P1708" s="46" t="n">
        <v>43851</v>
      </c>
      <c r="Q1708" s="44" t="n">
        <v>1564</v>
      </c>
      <c r="R1708" s="44" t="inlineStr">
        <is>
          <t>No Video ID yet</t>
        </is>
      </c>
      <c r="S1708" s="46" t="n"/>
      <c r="T1708" s="46" t="n"/>
      <c r="U1708" s="44" t="n"/>
      <c r="V1708" s="44">
        <f>IF(AND(P1708&gt;=Calendar!$K$2,P1708&lt;EDATE(Calendar!$K$2,1),OR(Calendar!$K$4="*",N1708=Calendar!$K$4)),P1708*100+COUNTIFS($P$6:$P$3271,P1708,$Q$6:$Q$3271,"&lt;="&amp;Q1708,$N$6:$N$3271,Calendar!$K$4),"")</f>
        <v/>
      </c>
      <c r="W1708" s="44">
        <f>IF(AND(B1708=Queue!$C$4,OR(Queue!$K$4="*",N1708=Queue!$K$4)),Q1708,"")</f>
        <v/>
      </c>
    </row>
    <row r="1709">
      <c r="A1709" s="35">
        <f>IF(M1709="","",HYPERLINK("https://www.youtube.com/watch?v="&amp;M1709,"▶"))</f>
        <v/>
      </c>
      <c r="B1709" s="36">
        <f>IF(C1709&lt;&gt;"",C1709,IF(P1709&lt;=IFERROR(INDEX(tblChannels[Watched Through],MATCH(N1709,tblChannels[Channel ID],0)),0),"Watched","Unwatched"))</f>
        <v/>
      </c>
      <c r="C1709" s="37" t="n"/>
      <c r="D1709" s="38" t="n"/>
      <c r="E1709" s="39" t="n">
        <v>43847.55833333333</v>
      </c>
      <c r="F1709" s="40" t="inlineStr">
        <is>
          <t>Popcorn Culture</t>
        </is>
      </c>
      <c r="G1709" t="inlineStr">
        <is>
          <t>6 - The Great Candy Debate, Disney Magic, and Why Wash Cloths are the WORST</t>
        </is>
      </c>
      <c r="H1709" s="41" t="n">
        <v>0.03673611111111111</v>
      </c>
      <c r="I1709" s="42" t="n">
        <v>7376</v>
      </c>
      <c r="J1709" s="42" t="n">
        <v>295</v>
      </c>
      <c r="K1709" s="42" t="n">
        <v>103</v>
      </c>
      <c r="L1709" s="43" t="n"/>
      <c r="M1709" s="44" t="n"/>
      <c r="N1709" s="44" t="inlineStr">
        <is>
          <t>UCHfIbq9thHPC8yrKjAdJgDA</t>
        </is>
      </c>
      <c r="O1709" s="45" t="n">
        <v>43847.76666666667</v>
      </c>
      <c r="P1709" s="46" t="n">
        <v>43847</v>
      </c>
      <c r="Q1709" s="44" t="n">
        <v>1563</v>
      </c>
      <c r="R1709" s="44" t="inlineStr">
        <is>
          <t>No Video ID yet</t>
        </is>
      </c>
      <c r="S1709" s="46" t="n"/>
      <c r="T1709" s="46" t="n"/>
      <c r="U1709" s="44" t="n"/>
      <c r="V1709" s="44">
        <f>IF(AND(P1709&gt;=Calendar!$K$2,P1709&lt;EDATE(Calendar!$K$2,1),OR(Calendar!$K$4="*",N1709=Calendar!$K$4)),P1709*100+COUNTIFS($P$6:$P$3271,P1709,$Q$6:$Q$3271,"&lt;="&amp;Q1709,$N$6:$N$3271,Calendar!$K$4),"")</f>
        <v/>
      </c>
      <c r="W1709" s="44">
        <f>IF(AND(B1709=Queue!$C$4,OR(Queue!$K$4="*",N1709=Queue!$K$4)),Q1709,"")</f>
        <v/>
      </c>
    </row>
    <row r="1710">
      <c r="A1710" s="35">
        <f>IF(M1710="","",HYPERLINK("https://www.youtube.com/watch?v="&amp;M1710,"▶"))</f>
        <v/>
      </c>
      <c r="B1710" s="36">
        <f>IF(C1710&lt;&gt;"",C1710,IF(P1710&lt;=IFERROR(INDEX(tblChannels[Watched Through],MATCH(N1710,tblChannels[Channel ID],0)),0),"Watched","Unwatched"))</f>
        <v/>
      </c>
      <c r="C1710" s="37" t="n"/>
      <c r="D1710" s="38" t="n"/>
      <c r="E1710" s="39" t="n">
        <v>43846.76319444444</v>
      </c>
      <c r="F1710" s="47" t="inlineStr">
        <is>
          <t>Super Carlin Brothers</t>
        </is>
      </c>
      <c r="G1710" t="inlineStr">
        <is>
          <t>Sorting Harry Potter Characters Into Their Enneagram</t>
        </is>
      </c>
      <c r="H1710" s="41" t="n">
        <v>0.01119212962962963</v>
      </c>
      <c r="I1710" s="42" t="n">
        <v>345339</v>
      </c>
      <c r="J1710" s="42" t="n">
        <v>13384</v>
      </c>
      <c r="K1710" s="42" t="n">
        <v>2434</v>
      </c>
      <c r="L1710" s="43" t="n"/>
      <c r="M1710" s="44" t="n"/>
      <c r="N1710" s="44" t="inlineStr">
        <is>
          <t>UCKZo4N0lVPccBkSiuyVh4yg</t>
        </is>
      </c>
      <c r="O1710" s="45" t="n">
        <v>43846.97152777778</v>
      </c>
      <c r="P1710" s="46" t="n">
        <v>43846</v>
      </c>
      <c r="Q1710" s="44" t="n">
        <v>1562</v>
      </c>
      <c r="R1710" s="44" t="inlineStr">
        <is>
          <t>No Video ID yet</t>
        </is>
      </c>
      <c r="S1710" s="46" t="n"/>
      <c r="T1710" s="46" t="n"/>
      <c r="U1710" s="44" t="n"/>
      <c r="V1710" s="44">
        <f>IF(AND(P1710&gt;=Calendar!$K$2,P1710&lt;EDATE(Calendar!$K$2,1),OR(Calendar!$K$4="*",N1710=Calendar!$K$4)),P1710*100+COUNTIFS($P$6:$P$3271,P1710,$Q$6:$Q$3271,"&lt;="&amp;Q1710,$N$6:$N$3271,Calendar!$K$4),"")</f>
        <v/>
      </c>
      <c r="W1710" s="44">
        <f>IF(AND(B1710=Queue!$C$4,OR(Queue!$K$4="*",N1710=Queue!$K$4)),Q1710,"")</f>
        <v/>
      </c>
    </row>
    <row r="1711">
      <c r="A1711" s="35">
        <f>IF(M1711="","",HYPERLINK("https://www.youtube.com/watch?v="&amp;M1711,"▶"))</f>
        <v/>
      </c>
      <c r="B1711" s="36">
        <f>IF(C1711&lt;&gt;"",C1711,IF(P1711&lt;=IFERROR(INDEX(tblChannels[Watched Through],MATCH(N1711,tblChannels[Channel ID],0)),0),"Watched","Unwatched"))</f>
        <v/>
      </c>
      <c r="C1711" s="37" t="n"/>
      <c r="D1711" s="38" t="n"/>
      <c r="E1711" s="39" t="n">
        <v>43844.82777777778</v>
      </c>
      <c r="F1711" s="47" t="inlineStr">
        <is>
          <t>Super Carlin Brothers</t>
        </is>
      </c>
      <c r="G1711" t="inlineStr">
        <is>
          <t>How Much Would It Cost To Watch ALL THE STAR WARS?</t>
        </is>
      </c>
      <c r="H1711" s="41" t="n">
        <v>0.01078703703703704</v>
      </c>
      <c r="I1711" s="42" t="n">
        <v>142812</v>
      </c>
      <c r="J1711" s="42" t="n">
        <v>6730</v>
      </c>
      <c r="K1711" s="42" t="n">
        <v>1417</v>
      </c>
      <c r="L1711" s="43" t="n"/>
      <c r="M1711" s="44" t="n"/>
      <c r="N1711" s="44" t="inlineStr">
        <is>
          <t>UCKZo4N0lVPccBkSiuyVh4yg</t>
        </is>
      </c>
      <c r="O1711" s="45" t="n">
        <v>43845.03611111111</v>
      </c>
      <c r="P1711" s="46" t="n">
        <v>43844</v>
      </c>
      <c r="Q1711" s="44" t="n">
        <v>1561</v>
      </c>
      <c r="R1711" s="44" t="inlineStr">
        <is>
          <t>No Video ID yet</t>
        </is>
      </c>
      <c r="S1711" s="46" t="n"/>
      <c r="T1711" s="46" t="n"/>
      <c r="U1711" s="44" t="n"/>
      <c r="V1711" s="44">
        <f>IF(AND(P1711&gt;=Calendar!$K$2,P1711&lt;EDATE(Calendar!$K$2,1),OR(Calendar!$K$4="*",N1711=Calendar!$K$4)),P1711*100+COUNTIFS($P$6:$P$3271,P1711,$Q$6:$Q$3271,"&lt;="&amp;Q1711,$N$6:$N$3271,Calendar!$K$4),"")</f>
        <v/>
      </c>
      <c r="W1711" s="44">
        <f>IF(AND(B1711=Queue!$C$4,OR(Queue!$K$4="*",N1711=Queue!$K$4)),Q1711,"")</f>
        <v/>
      </c>
    </row>
    <row r="1712">
      <c r="A1712" s="35">
        <f>IF(M1712="","",HYPERLINK("https://www.youtube.com/watch?v="&amp;M1712,"▶"))</f>
        <v/>
      </c>
      <c r="B1712" s="36">
        <f>IF(C1712&lt;&gt;"",C1712,IF(P1712&lt;=IFERROR(INDEX(tblChannels[Watched Through],MATCH(N1712,tblChannels[Channel ID],0)),0),"Watched","Unwatched"))</f>
        <v/>
      </c>
      <c r="C1712" s="37" t="n"/>
      <c r="D1712" s="38" t="n"/>
      <c r="E1712" s="39" t="n">
        <v>43844.58194444444</v>
      </c>
      <c r="F1712" s="40" t="inlineStr">
        <is>
          <t>Popcorn Culture</t>
        </is>
      </c>
      <c r="G1712" t="inlineStr">
        <is>
          <t>5 - Weddings and February Friendsgiving</t>
        </is>
      </c>
      <c r="H1712" s="41" t="n">
        <v>0.04143518518518519</v>
      </c>
      <c r="I1712" s="42" t="n">
        <v>6103</v>
      </c>
      <c r="J1712" s="42" t="n">
        <v>262</v>
      </c>
      <c r="K1712" s="42" t="n">
        <v>38</v>
      </c>
      <c r="L1712" s="43" t="n"/>
      <c r="M1712" s="44" t="n"/>
      <c r="N1712" s="44" t="inlineStr">
        <is>
          <t>UCHfIbq9thHPC8yrKjAdJgDA</t>
        </is>
      </c>
      <c r="O1712" s="45" t="n">
        <v>43844.79027777778</v>
      </c>
      <c r="P1712" s="46" t="n">
        <v>43844</v>
      </c>
      <c r="Q1712" s="44" t="n">
        <v>1560</v>
      </c>
      <c r="R1712" s="44" t="inlineStr">
        <is>
          <t>No Video ID yet</t>
        </is>
      </c>
      <c r="S1712" s="46" t="n"/>
      <c r="T1712" s="46" t="n"/>
      <c r="U1712" s="44" t="n"/>
      <c r="V1712" s="44">
        <f>IF(AND(P1712&gt;=Calendar!$K$2,P1712&lt;EDATE(Calendar!$K$2,1),OR(Calendar!$K$4="*",N1712=Calendar!$K$4)),P1712*100+COUNTIFS($P$6:$P$3271,P1712,$Q$6:$Q$3271,"&lt;="&amp;Q1712,$N$6:$N$3271,Calendar!$K$4),"")</f>
        <v/>
      </c>
      <c r="W1712" s="44">
        <f>IF(AND(B1712=Queue!$C$4,OR(Queue!$K$4="*",N1712=Queue!$K$4)),Q1712,"")</f>
        <v/>
      </c>
    </row>
    <row r="1713">
      <c r="A1713" s="35">
        <f>IF(M1713="","",HYPERLINK("https://www.youtube.com/watch?v="&amp;M1713,"▶"))</f>
        <v/>
      </c>
      <c r="B1713" s="36">
        <f>IF(C1713&lt;&gt;"",C1713,IF(P1713&lt;=IFERROR(INDEX(tblChannels[Watched Through],MATCH(N1713,tblChannels[Channel ID],0)),0),"Watched","Unwatched"))</f>
        <v/>
      </c>
      <c r="C1713" s="37" t="n"/>
      <c r="D1713" s="38" t="n"/>
      <c r="E1713" s="39" t="n">
        <v>43839.75486111111</v>
      </c>
      <c r="F1713" s="47" t="inlineStr">
        <is>
          <t>Super Carlin Brothers</t>
        </is>
      </c>
      <c r="G1713" t="inlineStr">
        <is>
          <t>J vs Ben: ULTIMATE Hogwarts Castle Quiz EVER</t>
        </is>
      </c>
      <c r="H1713" s="41" t="n">
        <v>0.01431712962962963</v>
      </c>
      <c r="I1713" s="42" t="n">
        <v>371293</v>
      </c>
      <c r="J1713" s="42" t="n">
        <v>11936</v>
      </c>
      <c r="K1713" s="42" t="n">
        <v>1327</v>
      </c>
      <c r="L1713" s="43" t="n"/>
      <c r="M1713" s="44" t="n"/>
      <c r="N1713" s="44" t="inlineStr">
        <is>
          <t>UCKZo4N0lVPccBkSiuyVh4yg</t>
        </is>
      </c>
      <c r="O1713" s="45" t="n">
        <v>43839.96319444444</v>
      </c>
      <c r="P1713" s="46" t="n">
        <v>43839</v>
      </c>
      <c r="Q1713" s="44" t="n">
        <v>1559</v>
      </c>
      <c r="R1713" s="44" t="inlineStr">
        <is>
          <t>No Video ID yet</t>
        </is>
      </c>
      <c r="S1713" s="46" t="n"/>
      <c r="T1713" s="46" t="n"/>
      <c r="U1713" s="44" t="n"/>
      <c r="V1713" s="44">
        <f>IF(AND(P1713&gt;=Calendar!$K$2,P1713&lt;EDATE(Calendar!$K$2,1),OR(Calendar!$K$4="*",N1713=Calendar!$K$4)),P1713*100+COUNTIFS($P$6:$P$3271,P1713,$Q$6:$Q$3271,"&lt;="&amp;Q1713,$N$6:$N$3271,Calendar!$K$4),"")</f>
        <v/>
      </c>
      <c r="W1713" s="44">
        <f>IF(AND(B1713=Queue!$C$4,OR(Queue!$K$4="*",N1713=Queue!$K$4)),Q1713,"")</f>
        <v/>
      </c>
    </row>
    <row r="1714">
      <c r="A1714" s="35">
        <f>IF(M1714="","",HYPERLINK("https://www.youtube.com/watch?v="&amp;M1714,"▶"))</f>
        <v/>
      </c>
      <c r="B1714" s="36">
        <f>IF(C1714&lt;&gt;"",C1714,IF(P1714&lt;=IFERROR(INDEX(tblChannels[Watched Through],MATCH(N1714,tblChannels[Channel ID],0)),0),"Watched","Unwatched"))</f>
        <v/>
      </c>
      <c r="C1714" s="37" t="n"/>
      <c r="D1714" s="38" t="n"/>
      <c r="E1714" s="39" t="n">
        <v>43835.33333333334</v>
      </c>
      <c r="F1714" s="40" t="inlineStr">
        <is>
          <t>Popcorn Culture</t>
        </is>
      </c>
      <c r="G1714" t="inlineStr">
        <is>
          <t>4 - Self Help Books, Hair Cuts, and The Gamora Paradox</t>
        </is>
      </c>
      <c r="H1714" s="41" t="n">
        <v>0.04321759259259259</v>
      </c>
      <c r="I1714" s="42" t="n">
        <v>7759</v>
      </c>
      <c r="J1714" s="42" t="n">
        <v>280</v>
      </c>
      <c r="K1714" s="42" t="n">
        <v>51</v>
      </c>
      <c r="L1714" s="43" t="n"/>
      <c r="M1714" s="44" t="n"/>
      <c r="N1714" s="44" t="inlineStr">
        <is>
          <t>UCHfIbq9thHPC8yrKjAdJgDA</t>
        </is>
      </c>
      <c r="O1714" s="45" t="n">
        <v>43835.54166666666</v>
      </c>
      <c r="P1714" s="46" t="n">
        <v>43835</v>
      </c>
      <c r="Q1714" s="44" t="n">
        <v>1558</v>
      </c>
      <c r="R1714" s="44" t="inlineStr">
        <is>
          <t>No Video ID yet</t>
        </is>
      </c>
      <c r="S1714" s="46" t="n"/>
      <c r="T1714" s="46" t="n"/>
      <c r="U1714" s="44" t="n"/>
      <c r="V1714" s="44">
        <f>IF(AND(P1714&gt;=Calendar!$K$2,P1714&lt;EDATE(Calendar!$K$2,1),OR(Calendar!$K$4="*",N1714=Calendar!$K$4)),P1714*100+COUNTIFS($P$6:$P$3271,P1714,$Q$6:$Q$3271,"&lt;="&amp;Q1714,$N$6:$N$3271,Calendar!$K$4),"")</f>
        <v/>
      </c>
      <c r="W1714" s="44">
        <f>IF(AND(B1714=Queue!$C$4,OR(Queue!$K$4="*",N1714=Queue!$K$4)),Q1714,"")</f>
        <v/>
      </c>
    </row>
    <row r="1715">
      <c r="A1715" s="35">
        <f>IF(M1715="","",HYPERLINK("https://www.youtube.com/watch?v="&amp;M1715,"▶"))</f>
        <v/>
      </c>
      <c r="B1715" s="36">
        <f>IF(C1715&lt;&gt;"",C1715,IF(P1715&lt;=IFERROR(INDEX(tblChannels[Watched Through],MATCH(N1715,tblChannels[Channel ID],0)),0),"Watched","Unwatched"))</f>
        <v/>
      </c>
      <c r="C1715" s="37" t="n"/>
      <c r="D1715" s="38" t="n"/>
      <c r="E1715" s="39" t="n">
        <v>43834.75</v>
      </c>
      <c r="F1715" s="40" t="inlineStr">
        <is>
          <t>Popcorn Culture</t>
        </is>
      </c>
      <c r="G1715" t="inlineStr">
        <is>
          <t>3 - BEEF With Big Chicken</t>
        </is>
      </c>
      <c r="H1715" s="41" t="n">
        <v>0.0271875</v>
      </c>
      <c r="I1715" s="42" t="n">
        <v>6150</v>
      </c>
      <c r="J1715" s="42" t="n">
        <v>274</v>
      </c>
      <c r="K1715" s="42" t="n">
        <v>42</v>
      </c>
      <c r="L1715" s="43" t="n"/>
      <c r="M1715" s="44" t="n"/>
      <c r="N1715" s="44" t="inlineStr">
        <is>
          <t>UCHfIbq9thHPC8yrKjAdJgDA</t>
        </is>
      </c>
      <c r="O1715" s="45" t="n">
        <v>43834.95833333334</v>
      </c>
      <c r="P1715" s="46" t="n">
        <v>43834</v>
      </c>
      <c r="Q1715" s="44" t="n">
        <v>1557</v>
      </c>
      <c r="R1715" s="44" t="inlineStr">
        <is>
          <t>No Video ID yet</t>
        </is>
      </c>
      <c r="S1715" s="46" t="n"/>
      <c r="T1715" s="46" t="n"/>
      <c r="U1715" s="44" t="n"/>
      <c r="V1715" s="44">
        <f>IF(AND(P1715&gt;=Calendar!$K$2,P1715&lt;EDATE(Calendar!$K$2,1),OR(Calendar!$K$4="*",N1715=Calendar!$K$4)),P1715*100+COUNTIFS($P$6:$P$3271,P1715,$Q$6:$Q$3271,"&lt;="&amp;Q1715,$N$6:$N$3271,Calendar!$K$4),"")</f>
        <v/>
      </c>
      <c r="W1715" s="44">
        <f>IF(AND(B1715=Queue!$C$4,OR(Queue!$K$4="*",N1715=Queue!$K$4)),Q1715,"")</f>
        <v/>
      </c>
    </row>
    <row r="1716">
      <c r="A1716" s="35">
        <f>IF(M1716="","",HYPERLINK("https://www.youtube.com/watch?v="&amp;M1716,"▶"))</f>
        <v/>
      </c>
      <c r="B1716" s="36">
        <f>IF(C1716&lt;&gt;"",C1716,IF(P1716&lt;=IFERROR(INDEX(tblChannels[Watched Through],MATCH(N1716,tblChannels[Channel ID],0)),0),"Watched","Unwatched"))</f>
        <v/>
      </c>
      <c r="C1716" s="37" t="n"/>
      <c r="D1716" s="38" t="n"/>
      <c r="E1716" s="39" t="n">
        <v>43833.75</v>
      </c>
      <c r="F1716" s="40" t="inlineStr">
        <is>
          <t>Popcorn Culture</t>
        </is>
      </c>
      <c r="G1716" t="inlineStr">
        <is>
          <t>2 - Business Cards, Bachelor Parties, and Baby Yoda</t>
        </is>
      </c>
      <c r="H1716" s="41" t="n">
        <v>0.03876157407407407</v>
      </c>
      <c r="I1716" s="42" t="n">
        <v>7948</v>
      </c>
      <c r="J1716" s="42" t="n">
        <v>306</v>
      </c>
      <c r="K1716" s="42" t="n">
        <v>55</v>
      </c>
      <c r="L1716" s="43" t="n"/>
      <c r="M1716" s="44" t="n"/>
      <c r="N1716" s="44" t="inlineStr">
        <is>
          <t>UCHfIbq9thHPC8yrKjAdJgDA</t>
        </is>
      </c>
      <c r="O1716" s="45" t="n">
        <v>43833.95833333334</v>
      </c>
      <c r="P1716" s="46" t="n">
        <v>43833</v>
      </c>
      <c r="Q1716" s="44" t="n">
        <v>1556</v>
      </c>
      <c r="R1716" s="44" t="inlineStr">
        <is>
          <t>No Video ID yet</t>
        </is>
      </c>
      <c r="S1716" s="46" t="n"/>
      <c r="T1716" s="46" t="n"/>
      <c r="U1716" s="44" t="n"/>
      <c r="V1716" s="44">
        <f>IF(AND(P1716&gt;=Calendar!$K$2,P1716&lt;EDATE(Calendar!$K$2,1),OR(Calendar!$K$4="*",N1716=Calendar!$K$4)),P1716*100+COUNTIFS($P$6:$P$3271,P1716,$Q$6:$Q$3271,"&lt;="&amp;Q1716,$N$6:$N$3271,Calendar!$K$4),"")</f>
        <v/>
      </c>
      <c r="W1716" s="44">
        <f>IF(AND(B1716=Queue!$C$4,OR(Queue!$K$4="*",N1716=Queue!$K$4)),Q1716,"")</f>
        <v/>
      </c>
    </row>
    <row r="1717">
      <c r="A1717" s="35">
        <f>IF(M1717="","",HYPERLINK("https://www.youtube.com/watch?v="&amp;M1717,"▶"))</f>
        <v/>
      </c>
      <c r="B1717" s="36">
        <f>IF(C1717&lt;&gt;"",C1717,IF(P1717&lt;=IFERROR(INDEX(tblChannels[Watched Through],MATCH(N1717,tblChannels[Channel ID],0)),0),"Watched","Unwatched"))</f>
        <v/>
      </c>
      <c r="C1717" s="37" t="n"/>
      <c r="D1717" s="38" t="n"/>
      <c r="E1717" s="39" t="n">
        <v>43832.79166666666</v>
      </c>
      <c r="F1717" s="40" t="inlineStr">
        <is>
          <t>Popcorn Culture</t>
        </is>
      </c>
      <c r="G1717" t="inlineStr">
        <is>
          <t>1 - Strong Opinions, Spray Tans, and Star Wars</t>
        </is>
      </c>
      <c r="H1717" s="41" t="n">
        <v>0.03853009259259259</v>
      </c>
      <c r="I1717" s="42" t="n">
        <v>10879</v>
      </c>
      <c r="J1717" s="42" t="n">
        <v>405</v>
      </c>
      <c r="K1717" s="42" t="n">
        <v>55</v>
      </c>
      <c r="L1717" s="43" t="n"/>
      <c r="M1717" s="44" t="n"/>
      <c r="N1717" s="44" t="inlineStr">
        <is>
          <t>UCHfIbq9thHPC8yrKjAdJgDA</t>
        </is>
      </c>
      <c r="O1717" s="45" t="n">
        <v>43833</v>
      </c>
      <c r="P1717" s="46" t="n">
        <v>43832</v>
      </c>
      <c r="Q1717" s="44" t="n">
        <v>1555</v>
      </c>
      <c r="R1717" s="44" t="inlineStr">
        <is>
          <t>No Video ID yet</t>
        </is>
      </c>
      <c r="S1717" s="46" t="n"/>
      <c r="T1717" s="46" t="n"/>
      <c r="U1717" s="44" t="n"/>
      <c r="V1717" s="44">
        <f>IF(AND(P1717&gt;=Calendar!$K$2,P1717&lt;EDATE(Calendar!$K$2,1),OR(Calendar!$K$4="*",N1717=Calendar!$K$4)),P1717*100+COUNTIFS($P$6:$P$3271,P1717,$Q$6:$Q$3271,"&lt;="&amp;Q1717,$N$6:$N$3271,Calendar!$K$4),"")</f>
        <v/>
      </c>
      <c r="W1717" s="44">
        <f>IF(AND(B1717=Queue!$C$4,OR(Queue!$K$4="*",N1717=Queue!$K$4)),Q1717,"")</f>
        <v/>
      </c>
    </row>
    <row r="1718">
      <c r="A1718" s="35">
        <f>IF(M1718="","",HYPERLINK("https://www.youtube.com/watch?v="&amp;M1718,"▶"))</f>
        <v/>
      </c>
      <c r="B1718" s="36">
        <f>IF(C1718&lt;&gt;"",C1718,IF(P1718&lt;=IFERROR(INDEX(tblChannels[Watched Through],MATCH(N1718,tblChannels[Channel ID],0)),0),"Watched","Unwatched"))</f>
        <v/>
      </c>
      <c r="C1718" s="37" t="n"/>
      <c r="D1718" s="38" t="n"/>
      <c r="E1718" s="39" t="n">
        <v>43832.63819444444</v>
      </c>
      <c r="F1718" s="47" t="inlineStr">
        <is>
          <t>Super Carlin Brothers</t>
        </is>
      </c>
      <c r="G1718" t="inlineStr">
        <is>
          <t>J vs Ben: GETTING RESORTED ON POTTERMORE FOR 2020!</t>
        </is>
      </c>
      <c r="H1718" s="41" t="n">
        <v>0.009201388888888889</v>
      </c>
      <c r="I1718" s="42" t="n">
        <v>429939</v>
      </c>
      <c r="J1718" s="42" t="n">
        <v>17042</v>
      </c>
      <c r="K1718" s="42" t="n">
        <v>3975</v>
      </c>
      <c r="L1718" s="43" t="n"/>
      <c r="M1718" s="44" t="n"/>
      <c r="N1718" s="44" t="inlineStr">
        <is>
          <t>UCKZo4N0lVPccBkSiuyVh4yg</t>
        </is>
      </c>
      <c r="O1718" s="45" t="n">
        <v>43832.84652777778</v>
      </c>
      <c r="P1718" s="46" t="n">
        <v>43832</v>
      </c>
      <c r="Q1718" s="44" t="n">
        <v>1554</v>
      </c>
      <c r="R1718" s="44" t="inlineStr">
        <is>
          <t>No Video ID yet</t>
        </is>
      </c>
      <c r="S1718" s="46" t="n"/>
      <c r="T1718" s="46" t="n"/>
      <c r="U1718" s="44" t="n"/>
      <c r="V1718" s="44">
        <f>IF(AND(P1718&gt;=Calendar!$K$2,P1718&lt;EDATE(Calendar!$K$2,1),OR(Calendar!$K$4="*",N1718=Calendar!$K$4)),P1718*100+COUNTIFS($P$6:$P$3271,P1718,$Q$6:$Q$3271,"&lt;="&amp;Q1718,$N$6:$N$3271,Calendar!$K$4),"")</f>
        <v/>
      </c>
      <c r="W1718" s="44">
        <f>IF(AND(B1718=Queue!$C$4,OR(Queue!$K$4="*",N1718=Queue!$K$4)),Q1718,"")</f>
        <v/>
      </c>
    </row>
    <row r="1719">
      <c r="A1719" s="35">
        <f>IF(M1719="","",HYPERLINK("https://www.youtube.com/watch?v="&amp;M1719,"▶"))</f>
        <v/>
      </c>
      <c r="B1719" s="36">
        <f>IF(C1719&lt;&gt;"",C1719,IF(P1719&lt;=IFERROR(INDEX(tblChannels[Watched Through],MATCH(N1719,tblChannels[Channel ID],0)),0),"Watched","Unwatched"))</f>
        <v/>
      </c>
      <c r="C1719" s="37" t="n"/>
      <c r="D1719" s="38" t="n"/>
      <c r="E1719" s="39" t="n">
        <v>43825.75277777778</v>
      </c>
      <c r="F1719" s="47" t="inlineStr">
        <is>
          <t>Super Carlin Brothers</t>
        </is>
      </c>
      <c r="G1719" t="inlineStr">
        <is>
          <t>Ranking TOP Disney Movies of 2019</t>
        </is>
      </c>
      <c r="H1719" s="41" t="n">
        <v>0.03276620370370371</v>
      </c>
      <c r="I1719" s="42" t="n">
        <v>189148</v>
      </c>
      <c r="J1719" s="42" t="n">
        <v>6878</v>
      </c>
      <c r="K1719" s="42" t="n">
        <v>1453</v>
      </c>
      <c r="L1719" s="43" t="n"/>
      <c r="M1719" s="44" t="n"/>
      <c r="N1719" s="44" t="inlineStr">
        <is>
          <t>UCKZo4N0lVPccBkSiuyVh4yg</t>
        </is>
      </c>
      <c r="O1719" s="45" t="n">
        <v>43825.96111111111</v>
      </c>
      <c r="P1719" s="46" t="n">
        <v>43825</v>
      </c>
      <c r="Q1719" s="44" t="n">
        <v>1553</v>
      </c>
      <c r="R1719" s="44" t="inlineStr">
        <is>
          <t>No Video ID yet</t>
        </is>
      </c>
      <c r="S1719" s="46" t="n"/>
      <c r="T1719" s="46" t="n"/>
      <c r="U1719" s="44" t="n"/>
      <c r="V1719" s="44">
        <f>IF(AND(P1719&gt;=Calendar!$K$2,P1719&lt;EDATE(Calendar!$K$2,1),OR(Calendar!$K$4="*",N1719=Calendar!$K$4)),P1719*100+COUNTIFS($P$6:$P$3271,P1719,$Q$6:$Q$3271,"&lt;="&amp;Q1719,$N$6:$N$3271,Calendar!$K$4),"")</f>
        <v/>
      </c>
      <c r="W1719" s="44">
        <f>IF(AND(B1719=Queue!$C$4,OR(Queue!$K$4="*",N1719=Queue!$K$4)),Q1719,"")</f>
        <v/>
      </c>
    </row>
    <row r="1720">
      <c r="A1720" s="35">
        <f>IF(M1720="","",HYPERLINK("https://www.youtube.com/watch?v="&amp;M1720,"▶"))</f>
        <v/>
      </c>
      <c r="B1720" s="36">
        <f>IF(C1720&lt;&gt;"",C1720,IF(P1720&lt;=IFERROR(INDEX(tblChannels[Watched Through],MATCH(N1720,tblChannels[Channel ID],0)),0),"Watched","Unwatched"))</f>
        <v/>
      </c>
      <c r="C1720" s="37" t="n"/>
      <c r="D1720" s="38" t="n"/>
      <c r="E1720" s="39" t="n">
        <v>43823.625</v>
      </c>
      <c r="F1720" s="47" t="inlineStr">
        <is>
          <t>Super Carlin Brothers</t>
        </is>
      </c>
      <c r="G1720" t="inlineStr">
        <is>
          <t>Top 7 Unanswered Questions from The Rise of Skywalker [Star Wars]</t>
        </is>
      </c>
      <c r="H1720" s="41" t="n">
        <v>0.009930555555555555</v>
      </c>
      <c r="I1720" s="42" t="n">
        <v>642743</v>
      </c>
      <c r="J1720" s="42" t="n">
        <v>15372</v>
      </c>
      <c r="K1720" s="42" t="n">
        <v>2843</v>
      </c>
      <c r="L1720" s="43" t="n"/>
      <c r="M1720" s="44" t="n"/>
      <c r="N1720" s="44" t="inlineStr">
        <is>
          <t>UCKZo4N0lVPccBkSiuyVh4yg</t>
        </is>
      </c>
      <c r="O1720" s="45" t="n">
        <v>43823.83333333334</v>
      </c>
      <c r="P1720" s="46" t="n">
        <v>43823</v>
      </c>
      <c r="Q1720" s="44" t="n">
        <v>1552</v>
      </c>
      <c r="R1720" s="44" t="inlineStr">
        <is>
          <t>No Video ID yet</t>
        </is>
      </c>
      <c r="S1720" s="46" t="n"/>
      <c r="T1720" s="46" t="n"/>
      <c r="U1720" s="44" t="n"/>
      <c r="V1720" s="44">
        <f>IF(AND(P1720&gt;=Calendar!$K$2,P1720&lt;EDATE(Calendar!$K$2,1),OR(Calendar!$K$4="*",N1720=Calendar!$K$4)),P1720*100+COUNTIFS($P$6:$P$3271,P1720,$Q$6:$Q$3271,"&lt;="&amp;Q1720,$N$6:$N$3271,Calendar!$K$4),"")</f>
        <v/>
      </c>
      <c r="W1720" s="44">
        <f>IF(AND(B1720=Queue!$C$4,OR(Queue!$K$4="*",N1720=Queue!$K$4)),Q1720,"")</f>
        <v/>
      </c>
    </row>
    <row r="1721">
      <c r="A1721" s="35">
        <f>IF(M1721="","",HYPERLINK("https://www.youtube.com/watch?v="&amp;M1721,"▶"))</f>
        <v/>
      </c>
      <c r="B1721" s="36">
        <f>IF(C1721&lt;&gt;"",C1721,IF(P1721&lt;=IFERROR(INDEX(tblChannels[Watched Through],MATCH(N1721,tblChannels[Channel ID],0)),0),"Watched","Unwatched"))</f>
        <v/>
      </c>
      <c r="C1721" s="37" t="n"/>
      <c r="D1721" s="38" t="n"/>
      <c r="E1721" s="39" t="n">
        <v>43819.92013888889</v>
      </c>
      <c r="F1721" s="47" t="inlineStr">
        <is>
          <t>Super Carlin Brothers</t>
        </is>
      </c>
      <c r="G1721" t="inlineStr">
        <is>
          <t>Star Wars Episode 9 The Rise of Skywalker [Spoiler Review]</t>
        </is>
      </c>
      <c r="H1721" s="41" t="n">
        <v>0.04479166666666667</v>
      </c>
      <c r="I1721" s="42" t="n">
        <v>363278</v>
      </c>
      <c r="J1721" s="42" t="n">
        <v>9891</v>
      </c>
      <c r="K1721" s="42" t="n">
        <v>3371</v>
      </c>
      <c r="L1721" s="43" t="n"/>
      <c r="M1721" s="44" t="n"/>
      <c r="N1721" s="44" t="inlineStr">
        <is>
          <t>UCKZo4N0lVPccBkSiuyVh4yg</t>
        </is>
      </c>
      <c r="O1721" s="45" t="n">
        <v>43820.12847222222</v>
      </c>
      <c r="P1721" s="46" t="n">
        <v>43819</v>
      </c>
      <c r="Q1721" s="44" t="n">
        <v>1551</v>
      </c>
      <c r="R1721" s="44" t="inlineStr">
        <is>
          <t>No Video ID yet</t>
        </is>
      </c>
      <c r="S1721" s="46" t="n"/>
      <c r="T1721" s="46" t="n"/>
      <c r="U1721" s="44" t="n"/>
      <c r="V1721" s="44">
        <f>IF(AND(P1721&gt;=Calendar!$K$2,P1721&lt;EDATE(Calendar!$K$2,1),OR(Calendar!$K$4="*",N1721=Calendar!$K$4)),P1721*100+COUNTIFS($P$6:$P$3271,P1721,$Q$6:$Q$3271,"&lt;="&amp;Q1721,$N$6:$N$3271,Calendar!$K$4),"")</f>
        <v/>
      </c>
      <c r="W1721" s="44">
        <f>IF(AND(B1721=Queue!$C$4,OR(Queue!$K$4="*",N1721=Queue!$K$4)),Q1721,"")</f>
        <v/>
      </c>
    </row>
    <row r="1722">
      <c r="A1722" s="35">
        <f>IF(M1722="","",HYPERLINK("https://www.youtube.com/watch?v="&amp;M1722,"▶"))</f>
        <v/>
      </c>
      <c r="B1722" s="36">
        <f>IF(C1722&lt;&gt;"",C1722,IF(P1722&lt;=IFERROR(INDEX(tblChannels[Watched Through],MATCH(N1722,tblChannels[Channel ID],0)),0),"Watched","Unwatched"))</f>
        <v/>
      </c>
      <c r="C1722" s="37" t="n"/>
      <c r="D1722" s="38" t="n"/>
      <c r="E1722" s="39" t="n">
        <v>43817.57569444444</v>
      </c>
      <c r="F1722" s="40" t="inlineStr">
        <is>
          <t>Popcorn Culture</t>
        </is>
      </c>
      <c r="G1722" t="inlineStr">
        <is>
          <t>Episode 0: The Pilot - So it Begins</t>
        </is>
      </c>
      <c r="H1722" s="41" t="n">
        <v>0.02986111111111111</v>
      </c>
      <c r="I1722" s="42" t="n">
        <v>20781</v>
      </c>
      <c r="J1722" s="42" t="n">
        <v>782</v>
      </c>
      <c r="K1722" s="42" t="n">
        <v>84</v>
      </c>
      <c r="L1722" s="43" t="n"/>
      <c r="M1722" s="44" t="n"/>
      <c r="N1722" s="44" t="inlineStr">
        <is>
          <t>UCHfIbq9thHPC8yrKjAdJgDA</t>
        </is>
      </c>
      <c r="O1722" s="45" t="n">
        <v>43817.78402777778</v>
      </c>
      <c r="P1722" s="46" t="n">
        <v>43817</v>
      </c>
      <c r="Q1722" s="44" t="n">
        <v>1550</v>
      </c>
      <c r="R1722" s="44" t="inlineStr">
        <is>
          <t>No Video ID yet</t>
        </is>
      </c>
      <c r="S1722" s="46" t="n"/>
      <c r="T1722" s="46" t="n"/>
      <c r="U1722" s="44" t="n"/>
      <c r="V1722" s="44">
        <f>IF(AND(P1722&gt;=Calendar!$K$2,P1722&lt;EDATE(Calendar!$K$2,1),OR(Calendar!$K$4="*",N1722=Calendar!$K$4)),P1722*100+COUNTIFS($P$6:$P$3271,P1722,$Q$6:$Q$3271,"&lt;="&amp;Q1722,$N$6:$N$3271,Calendar!$K$4),"")</f>
        <v/>
      </c>
      <c r="W1722" s="44">
        <f>IF(AND(B1722=Queue!$C$4,OR(Queue!$K$4="*",N1722=Queue!$K$4)),Q1722,"")</f>
        <v/>
      </c>
    </row>
    <row r="1723">
      <c r="A1723" s="35">
        <f>IF(M1723="","",HYPERLINK("https://www.youtube.com/watch?v="&amp;M1723,"▶"))</f>
        <v/>
      </c>
      <c r="B1723" s="36">
        <f>IF(C1723&lt;&gt;"",C1723,IF(P1723&lt;=IFERROR(INDEX(tblChannels[Watched Through],MATCH(N1723,tblChannels[Channel ID],0)),0),"Watched","Unwatched"))</f>
        <v/>
      </c>
      <c r="C1723" s="37" t="n"/>
      <c r="D1723" s="38" t="n"/>
      <c r="E1723" s="39" t="n">
        <v>43816.72708333333</v>
      </c>
      <c r="F1723" s="47" t="inlineStr">
        <is>
          <t>Super Carlin Brothers</t>
        </is>
      </c>
      <c r="G1723" t="inlineStr">
        <is>
          <t>The White Saber Theory [Star Wars The Rise Of Skywalker]</t>
        </is>
      </c>
      <c r="H1723" s="41" t="n">
        <v>0.008831018518518519</v>
      </c>
      <c r="I1723" s="42" t="n">
        <v>200687</v>
      </c>
      <c r="J1723" s="42" t="n">
        <v>8473</v>
      </c>
      <c r="K1723" s="42" t="n">
        <v>1186</v>
      </c>
      <c r="L1723" s="43" t="n"/>
      <c r="M1723" s="44" t="n"/>
      <c r="N1723" s="44" t="inlineStr">
        <is>
          <t>UCKZo4N0lVPccBkSiuyVh4yg</t>
        </is>
      </c>
      <c r="O1723" s="45" t="n">
        <v>43816.93541666667</v>
      </c>
      <c r="P1723" s="46" t="n">
        <v>43816</v>
      </c>
      <c r="Q1723" s="44" t="n">
        <v>1549</v>
      </c>
      <c r="R1723" s="44" t="inlineStr">
        <is>
          <t>No Video ID yet</t>
        </is>
      </c>
      <c r="S1723" s="46" t="n"/>
      <c r="T1723" s="46" t="n"/>
      <c r="U1723" s="44" t="n"/>
      <c r="V1723" s="44">
        <f>IF(AND(P1723&gt;=Calendar!$K$2,P1723&lt;EDATE(Calendar!$K$2,1),OR(Calendar!$K$4="*",N1723=Calendar!$K$4)),P1723*100+COUNTIFS($P$6:$P$3271,P1723,$Q$6:$Q$3271,"&lt;="&amp;Q1723,$N$6:$N$3271,Calendar!$K$4),"")</f>
        <v/>
      </c>
      <c r="W1723" s="44">
        <f>IF(AND(B1723=Queue!$C$4,OR(Queue!$K$4="*",N1723=Queue!$K$4)),Q1723,"")</f>
        <v/>
      </c>
    </row>
    <row r="1724">
      <c r="A1724" s="35">
        <f>IF(M1724="","",HYPERLINK("https://www.youtube.com/watch?v="&amp;M1724,"▶"))</f>
        <v/>
      </c>
      <c r="B1724" s="36">
        <f>IF(C1724&lt;&gt;"",C1724,IF(P1724&lt;=IFERROR(INDEX(tblChannels[Watched Through],MATCH(N1724,tblChannels[Channel ID],0)),0),"Watched","Unwatched"))</f>
        <v/>
      </c>
      <c r="C1724" s="37" t="n"/>
      <c r="D1724" s="38" t="n"/>
      <c r="E1724" s="39" t="n">
        <v>43813.41666666666</v>
      </c>
      <c r="F1724" s="47" t="inlineStr">
        <is>
          <t>Super Carlin Brothers</t>
        </is>
      </c>
      <c r="G1724" t="inlineStr">
        <is>
          <t>SCB GIVE-A-THON &amp; PODCAST ANNOUNCEMENT!</t>
        </is>
      </c>
      <c r="H1724" s="41" t="n">
        <v>0.002916666666666667</v>
      </c>
      <c r="I1724" s="42" t="n">
        <v>31002</v>
      </c>
      <c r="J1724" s="42" t="n">
        <v>2099</v>
      </c>
      <c r="K1724" s="42" t="n">
        <v>202</v>
      </c>
      <c r="L1724" s="43" t="n"/>
      <c r="M1724" s="44" t="n"/>
      <c r="N1724" s="44" t="inlineStr">
        <is>
          <t>UCKZo4N0lVPccBkSiuyVh4yg</t>
        </is>
      </c>
      <c r="O1724" s="45" t="n">
        <v>43813.625</v>
      </c>
      <c r="P1724" s="46" t="n">
        <v>43813</v>
      </c>
      <c r="Q1724" s="44" t="n">
        <v>1548</v>
      </c>
      <c r="R1724" s="44" t="inlineStr">
        <is>
          <t>No Video ID yet</t>
        </is>
      </c>
      <c r="S1724" s="46" t="n"/>
      <c r="T1724" s="46" t="n"/>
      <c r="U1724" s="44" t="n"/>
      <c r="V1724" s="44">
        <f>IF(AND(P1724&gt;=Calendar!$K$2,P1724&lt;EDATE(Calendar!$K$2,1),OR(Calendar!$K$4="*",N1724=Calendar!$K$4)),P1724*100+COUNTIFS($P$6:$P$3271,P1724,$Q$6:$Q$3271,"&lt;="&amp;Q1724,$N$6:$N$3271,Calendar!$K$4),"")</f>
        <v/>
      </c>
      <c r="W1724" s="44">
        <f>IF(AND(B1724=Queue!$C$4,OR(Queue!$K$4="*",N1724=Queue!$K$4)),Q1724,"")</f>
        <v/>
      </c>
    </row>
    <row r="1725">
      <c r="A1725" s="35">
        <f>IF(M1725="","",HYPERLINK("https://www.youtube.com/watch?v="&amp;M1725,"▶"))</f>
        <v/>
      </c>
      <c r="B1725" s="36">
        <f>IF(C1725&lt;&gt;"",C1725,IF(P1725&lt;=IFERROR(INDEX(tblChannels[Watched Through],MATCH(N1725,tblChannels[Channel ID],0)),0),"Watched","Unwatched"))</f>
        <v/>
      </c>
      <c r="C1725" s="37" t="n"/>
      <c r="D1725" s="38" t="n"/>
      <c r="E1725" s="39" t="n">
        <v>43811.84861111111</v>
      </c>
      <c r="F1725" s="47" t="inlineStr">
        <is>
          <t>Super Carlin Brothers</t>
        </is>
      </c>
      <c r="G1725" t="inlineStr">
        <is>
          <t>J vs Ben: ULTIMATE Harry Potter Gift TRIVIA Quiz</t>
        </is>
      </c>
      <c r="H1725" s="41" t="n">
        <v>0.01605324074074074</v>
      </c>
      <c r="I1725" s="42" t="n">
        <v>431878</v>
      </c>
      <c r="J1725" s="42" t="n">
        <v>12868</v>
      </c>
      <c r="K1725" s="42" t="n">
        <v>1416</v>
      </c>
      <c r="L1725" s="43" t="n"/>
      <c r="M1725" s="44" t="n"/>
      <c r="N1725" s="44" t="inlineStr">
        <is>
          <t>UCKZo4N0lVPccBkSiuyVh4yg</t>
        </is>
      </c>
      <c r="O1725" s="45" t="n">
        <v>43812.05694444444</v>
      </c>
      <c r="P1725" s="46" t="n">
        <v>43811</v>
      </c>
      <c r="Q1725" s="44" t="n">
        <v>1547</v>
      </c>
      <c r="R1725" s="44" t="inlineStr">
        <is>
          <t>No Video ID yet</t>
        </is>
      </c>
      <c r="S1725" s="46" t="n"/>
      <c r="T1725" s="46" t="n"/>
      <c r="U1725" s="44" t="n"/>
      <c r="V1725" s="44">
        <f>IF(AND(P1725&gt;=Calendar!$K$2,P1725&lt;EDATE(Calendar!$K$2,1),OR(Calendar!$K$4="*",N1725=Calendar!$K$4)),P1725*100+COUNTIFS($P$6:$P$3271,P1725,$Q$6:$Q$3271,"&lt;="&amp;Q1725,$N$6:$N$3271,Calendar!$K$4),"")</f>
        <v/>
      </c>
      <c r="W1725" s="44">
        <f>IF(AND(B1725=Queue!$C$4,OR(Queue!$K$4="*",N1725=Queue!$K$4)),Q1725,"")</f>
        <v/>
      </c>
    </row>
    <row r="1726">
      <c r="A1726" s="35">
        <f>IF(M1726="","",HYPERLINK("https://www.youtube.com/watch?v="&amp;M1726,"▶"))</f>
        <v/>
      </c>
      <c r="B1726" s="36">
        <f>IF(C1726&lt;&gt;"",C1726,IF(P1726&lt;=IFERROR(INDEX(tblChannels[Watched Through],MATCH(N1726,tblChannels[Channel ID],0)),0),"Watched","Unwatched"))</f>
        <v/>
      </c>
      <c r="C1726" s="37" t="n"/>
      <c r="D1726" s="38" t="n"/>
      <c r="E1726" s="39" t="n">
        <v>43809.80277777778</v>
      </c>
      <c r="F1726" s="47" t="inlineStr">
        <is>
          <t>Super Carlin Brothers</t>
        </is>
      </c>
      <c r="G1726" t="inlineStr">
        <is>
          <t>Was Han Solo Force Sensitive? [Star Wars Theory]</t>
        </is>
      </c>
      <c r="H1726" s="41" t="n">
        <v>0.009907407407407408</v>
      </c>
      <c r="I1726" s="42" t="n">
        <v>211245</v>
      </c>
      <c r="J1726" s="42" t="n">
        <v>8747</v>
      </c>
      <c r="K1726" s="42" t="n">
        <v>1137</v>
      </c>
      <c r="L1726" s="43" t="n"/>
      <c r="M1726" s="44" t="n"/>
      <c r="N1726" s="44" t="inlineStr">
        <is>
          <t>UCKZo4N0lVPccBkSiuyVh4yg</t>
        </is>
      </c>
      <c r="O1726" s="45" t="n">
        <v>43810.01111111111</v>
      </c>
      <c r="P1726" s="46" t="n">
        <v>43809</v>
      </c>
      <c r="Q1726" s="44" t="n">
        <v>1546</v>
      </c>
      <c r="R1726" s="44" t="inlineStr">
        <is>
          <t>No Video ID yet</t>
        </is>
      </c>
      <c r="S1726" s="46" t="n"/>
      <c r="T1726" s="46" t="n"/>
      <c r="U1726" s="44" t="n"/>
      <c r="V1726" s="44">
        <f>IF(AND(P1726&gt;=Calendar!$K$2,P1726&lt;EDATE(Calendar!$K$2,1),OR(Calendar!$K$4="*",N1726=Calendar!$K$4)),P1726*100+COUNTIFS($P$6:$P$3271,P1726,$Q$6:$Q$3271,"&lt;="&amp;Q1726,$N$6:$N$3271,Calendar!$K$4),"")</f>
        <v/>
      </c>
      <c r="W1726" s="44">
        <f>IF(AND(B1726=Queue!$C$4,OR(Queue!$K$4="*",N1726=Queue!$K$4)),Q1726,"")</f>
        <v/>
      </c>
    </row>
    <row r="1727">
      <c r="A1727" s="35">
        <f>IF(M1727="","",HYPERLINK("https://www.youtube.com/watch?v="&amp;M1727,"▶"))</f>
        <v/>
      </c>
      <c r="B1727" s="36">
        <f>IF(C1727&lt;&gt;"",C1727,IF(P1727&lt;=IFERROR(INDEX(tblChannels[Watched Through],MATCH(N1727,tblChannels[Channel ID],0)),0),"Watched","Unwatched"))</f>
        <v/>
      </c>
      <c r="C1727" s="37" t="n"/>
      <c r="D1727" s="38" t="n"/>
      <c r="E1727" s="39" t="n">
        <v>43804.65069444444</v>
      </c>
      <c r="F1727" s="47" t="inlineStr">
        <is>
          <t>Super Carlin Brothers</t>
        </is>
      </c>
      <c r="G1727" t="inlineStr">
        <is>
          <t>Harry Potter Theory: Snape Killed Hedwig?!</t>
        </is>
      </c>
      <c r="H1727" s="41" t="n">
        <v>0.008611111111111111</v>
      </c>
      <c r="I1727" s="42" t="n">
        <v>818583</v>
      </c>
      <c r="J1727" s="42" t="n">
        <v>25541</v>
      </c>
      <c r="K1727" s="42" t="n">
        <v>2820</v>
      </c>
      <c r="L1727" s="43" t="n"/>
      <c r="M1727" s="44" t="n"/>
      <c r="N1727" s="44" t="inlineStr">
        <is>
          <t>UCKZo4N0lVPccBkSiuyVh4yg</t>
        </is>
      </c>
      <c r="O1727" s="45" t="n">
        <v>43804.85902777778</v>
      </c>
      <c r="P1727" s="46" t="n">
        <v>43804</v>
      </c>
      <c r="Q1727" s="44" t="n">
        <v>1545</v>
      </c>
      <c r="R1727" s="44" t="inlineStr">
        <is>
          <t>No Video ID yet</t>
        </is>
      </c>
      <c r="S1727" s="46" t="n"/>
      <c r="T1727" s="46" t="n"/>
      <c r="U1727" s="44" t="n"/>
      <c r="V1727" s="44">
        <f>IF(AND(P1727&gt;=Calendar!$K$2,P1727&lt;EDATE(Calendar!$K$2,1),OR(Calendar!$K$4="*",N1727=Calendar!$K$4)),P1727*100+COUNTIFS($P$6:$P$3271,P1727,$Q$6:$Q$3271,"&lt;="&amp;Q1727,$N$6:$N$3271,Calendar!$K$4),"")</f>
        <v/>
      </c>
      <c r="W1727" s="44">
        <f>IF(AND(B1727=Queue!$C$4,OR(Queue!$K$4="*",N1727=Queue!$K$4)),Q1727,"")</f>
        <v/>
      </c>
    </row>
    <row r="1728">
      <c r="A1728" s="35">
        <f>IF(M1728="","",HYPERLINK("https://www.youtube.com/watch?v="&amp;M1728,"▶"))</f>
        <v/>
      </c>
      <c r="B1728" s="36">
        <f>IF(C1728&lt;&gt;"",C1728,IF(P1728&lt;=IFERROR(INDEX(tblChannels[Watched Through],MATCH(N1728,tblChannels[Channel ID],0)),0),"Watched","Unwatched"))</f>
        <v/>
      </c>
      <c r="C1728" s="37" t="n"/>
      <c r="D1728" s="38" t="n"/>
      <c r="E1728" s="39" t="n">
        <v>43802.81944444445</v>
      </c>
      <c r="F1728" s="47" t="inlineStr">
        <is>
          <t>Super Carlin Brothers</t>
        </is>
      </c>
      <c r="G1728" t="inlineStr">
        <is>
          <t>Top 10 Most ADORABLE Disney Babies</t>
        </is>
      </c>
      <c r="H1728" s="41" t="n">
        <v>0.008506944444444444</v>
      </c>
      <c r="I1728" s="42" t="n">
        <v>222564</v>
      </c>
      <c r="J1728" s="42" t="n">
        <v>9501</v>
      </c>
      <c r="K1728" s="42" t="n">
        <v>1391</v>
      </c>
      <c r="L1728" s="43" t="n"/>
      <c r="M1728" s="44" t="n"/>
      <c r="N1728" s="44" t="inlineStr">
        <is>
          <t>UCKZo4N0lVPccBkSiuyVh4yg</t>
        </is>
      </c>
      <c r="O1728" s="45" t="n">
        <v>43803.02777777778</v>
      </c>
      <c r="P1728" s="46" t="n">
        <v>43802</v>
      </c>
      <c r="Q1728" s="44" t="n">
        <v>1544</v>
      </c>
      <c r="R1728" s="44" t="inlineStr">
        <is>
          <t>No Video ID yet</t>
        </is>
      </c>
      <c r="S1728" s="46" t="n"/>
      <c r="T1728" s="46" t="n"/>
      <c r="U1728" s="44" t="n"/>
      <c r="V1728" s="44">
        <f>IF(AND(P1728&gt;=Calendar!$K$2,P1728&lt;EDATE(Calendar!$K$2,1),OR(Calendar!$K$4="*",N1728=Calendar!$K$4)),P1728*100+COUNTIFS($P$6:$P$3271,P1728,$Q$6:$Q$3271,"&lt;="&amp;Q1728,$N$6:$N$3271,Calendar!$K$4),"")</f>
        <v/>
      </c>
      <c r="W1728" s="44">
        <f>IF(AND(B1728=Queue!$C$4,OR(Queue!$K$4="*",N1728=Queue!$K$4)),Q1728,"")</f>
        <v/>
      </c>
    </row>
    <row r="1729">
      <c r="A1729" s="35">
        <f>IF(M1729="","",HYPERLINK("https://www.youtube.com/watch?v="&amp;M1729,"▶"))</f>
        <v/>
      </c>
      <c r="B1729" s="36">
        <f>IF(C1729&lt;&gt;"",C1729,IF(P1729&lt;=IFERROR(INDEX(tblChannels[Watched Through],MATCH(N1729,tblChannels[Channel ID],0)),0),"Watched","Unwatched"))</f>
        <v/>
      </c>
      <c r="C1729" s="37" t="n"/>
      <c r="D1729" s="38" t="n"/>
      <c r="E1729" s="39" t="n">
        <v>43797.625</v>
      </c>
      <c r="F1729" s="47" t="inlineStr">
        <is>
          <t>Super Carlin Brothers</t>
        </is>
      </c>
      <c r="G1729" t="inlineStr">
        <is>
          <t>J vs Ben: The ULTIMATE Hermione Granger TRIVIA Quiz [Harry Potter]</t>
        </is>
      </c>
      <c r="H1729" s="41" t="n">
        <v>0.01541666666666667</v>
      </c>
      <c r="I1729" s="42" t="n">
        <v>394953</v>
      </c>
      <c r="J1729" s="42" t="n">
        <v>12172</v>
      </c>
      <c r="K1729" s="42" t="n">
        <v>1243</v>
      </c>
      <c r="L1729" s="43" t="n"/>
      <c r="M1729" s="44" t="n"/>
      <c r="N1729" s="44" t="inlineStr">
        <is>
          <t>UCKZo4N0lVPccBkSiuyVh4yg</t>
        </is>
      </c>
      <c r="O1729" s="45" t="n">
        <v>43797.83333333334</v>
      </c>
      <c r="P1729" s="46" t="n">
        <v>43797</v>
      </c>
      <c r="Q1729" s="44" t="n">
        <v>1543</v>
      </c>
      <c r="R1729" s="44" t="inlineStr">
        <is>
          <t>No Video ID yet</t>
        </is>
      </c>
      <c r="S1729" s="46" t="n"/>
      <c r="T1729" s="46" t="n"/>
      <c r="U1729" s="44" t="n"/>
      <c r="V1729" s="44">
        <f>IF(AND(P1729&gt;=Calendar!$K$2,P1729&lt;EDATE(Calendar!$K$2,1),OR(Calendar!$K$4="*",N1729=Calendar!$K$4)),P1729*100+COUNTIFS($P$6:$P$3271,P1729,$Q$6:$Q$3271,"&lt;="&amp;Q1729,$N$6:$N$3271,Calendar!$K$4),"")</f>
        <v/>
      </c>
      <c r="W1729" s="44">
        <f>IF(AND(B1729=Queue!$C$4,OR(Queue!$K$4="*",N1729=Queue!$K$4)),Q1729,"")</f>
        <v/>
      </c>
    </row>
    <row r="1730">
      <c r="A1730" s="35">
        <f>IF(M1730="","",HYPERLINK("https://www.youtube.com/watch?v="&amp;M1730,"▶"))</f>
        <v/>
      </c>
      <c r="B1730" s="36">
        <f>IF(C1730&lt;&gt;"",C1730,IF(P1730&lt;=IFERROR(INDEX(tblChannels[Watched Through],MATCH(N1730,tblChannels[Channel ID],0)),0),"Watched","Unwatched"))</f>
        <v/>
      </c>
      <c r="C1730" s="37" t="n"/>
      <c r="D1730" s="38" t="n"/>
      <c r="E1730" s="39" t="n">
        <v>43796.69097222222</v>
      </c>
      <c r="F1730" s="50" t="inlineStr">
        <is>
          <t>Jonathan Carlin</t>
        </is>
      </c>
      <c r="G1730" t="inlineStr">
        <is>
          <t>SALT LAKE CITY MEETUP &amp; UPDATES!</t>
        </is>
      </c>
      <c r="H1730" s="41" t="n">
        <v>0.005393518518518519</v>
      </c>
      <c r="I1730" s="42" t="n">
        <v>18637</v>
      </c>
      <c r="J1730" s="42" t="n">
        <v>1449</v>
      </c>
      <c r="K1730" s="42" t="n">
        <v>275</v>
      </c>
      <c r="L1730" s="43" t="n"/>
      <c r="M1730" s="44" t="n"/>
      <c r="N1730" s="44" t="inlineStr">
        <is>
          <t>UCYPKFe86e6nm4TVUYKLsFUQ</t>
        </is>
      </c>
      <c r="O1730" s="45" t="n">
        <v>43796.89930555555</v>
      </c>
      <c r="P1730" s="46" t="n">
        <v>43796</v>
      </c>
      <c r="Q1730" s="44" t="n">
        <v>1542</v>
      </c>
      <c r="R1730" s="44" t="inlineStr">
        <is>
          <t>No Video ID yet</t>
        </is>
      </c>
      <c r="S1730" s="46" t="n"/>
      <c r="T1730" s="46" t="n"/>
      <c r="U1730" s="44" t="n"/>
      <c r="V1730" s="44">
        <f>IF(AND(P1730&gt;=Calendar!$K$2,P1730&lt;EDATE(Calendar!$K$2,1),OR(Calendar!$K$4="*",N1730=Calendar!$K$4)),P1730*100+COUNTIFS($P$6:$P$3271,P1730,$Q$6:$Q$3271,"&lt;="&amp;Q1730,$N$6:$N$3271,Calendar!$K$4),"")</f>
        <v/>
      </c>
      <c r="W1730" s="44">
        <f>IF(AND(B1730=Queue!$C$4,OR(Queue!$K$4="*",N1730=Queue!$K$4)),Q1730,"")</f>
        <v/>
      </c>
    </row>
    <row r="1731">
      <c r="A1731" s="35">
        <f>IF(M1731="","",HYPERLINK("https://www.youtube.com/watch?v="&amp;M1731,"▶"))</f>
        <v/>
      </c>
      <c r="B1731" s="36">
        <f>IF(C1731&lt;&gt;"",C1731,IF(P1731&lt;=IFERROR(INDEX(tblChannels[Watched Through],MATCH(N1731,tblChannels[Channel ID],0)),0),"Watched","Unwatched"))</f>
        <v/>
      </c>
      <c r="C1731" s="37" t="n"/>
      <c r="D1731" s="38" t="n"/>
      <c r="E1731" s="39" t="n">
        <v>43795.83055555556</v>
      </c>
      <c r="F1731" s="47" t="inlineStr">
        <is>
          <t>Super Carlin Brothers</t>
        </is>
      </c>
      <c r="G1731" t="inlineStr">
        <is>
          <t>Frozen 2  Spoiler Review</t>
        </is>
      </c>
      <c r="H1731" s="41" t="n">
        <v>0.04568287037037037</v>
      </c>
      <c r="I1731" s="42" t="n">
        <v>458745</v>
      </c>
      <c r="J1731" s="42" t="n">
        <v>11487</v>
      </c>
      <c r="K1731" s="42" t="n">
        <v>4572</v>
      </c>
      <c r="L1731" s="43" t="n"/>
      <c r="M1731" s="44" t="n"/>
      <c r="N1731" s="44" t="inlineStr">
        <is>
          <t>UCKZo4N0lVPccBkSiuyVh4yg</t>
        </is>
      </c>
      <c r="O1731" s="45" t="n">
        <v>43796.03888888889</v>
      </c>
      <c r="P1731" s="46" t="n">
        <v>43795</v>
      </c>
      <c r="Q1731" s="44" t="n">
        <v>1541</v>
      </c>
      <c r="R1731" s="44" t="inlineStr">
        <is>
          <t>No Video ID yet</t>
        </is>
      </c>
      <c r="S1731" s="46" t="n"/>
      <c r="T1731" s="46" t="n"/>
      <c r="U1731" s="44" t="n"/>
      <c r="V1731" s="44">
        <f>IF(AND(P1731&gt;=Calendar!$K$2,P1731&lt;EDATE(Calendar!$K$2,1),OR(Calendar!$K$4="*",N1731=Calendar!$K$4)),P1731*100+COUNTIFS($P$6:$P$3271,P1731,$Q$6:$Q$3271,"&lt;="&amp;Q1731,$N$6:$N$3271,Calendar!$K$4),"")</f>
        <v/>
      </c>
      <c r="W1731" s="44">
        <f>IF(AND(B1731=Queue!$C$4,OR(Queue!$K$4="*",N1731=Queue!$K$4)),Q1731,"")</f>
        <v/>
      </c>
    </row>
    <row r="1732">
      <c r="A1732" s="35">
        <f>IF(M1732="","",HYPERLINK("https://www.youtube.com/watch?v="&amp;M1732,"▶"))</f>
        <v/>
      </c>
      <c r="B1732" s="36">
        <f>IF(C1732&lt;&gt;"",C1732,IF(P1732&lt;=IFERROR(INDEX(tblChannels[Watched Through],MATCH(N1732,tblChannels[Channel ID],0)),0),"Watched","Unwatched"))</f>
        <v/>
      </c>
      <c r="C1732" s="37" t="n"/>
      <c r="D1732" s="38" t="n"/>
      <c r="E1732" s="39" t="n">
        <v>43790.74791666667</v>
      </c>
      <c r="F1732" s="47" t="inlineStr">
        <is>
          <t>Super Carlin Brothers</t>
        </is>
      </c>
      <c r="G1732" t="inlineStr">
        <is>
          <t>The Great Star Wars Ice Cream Conspiracy</t>
        </is>
      </c>
      <c r="H1732" s="41" t="n">
        <v>0.006875</v>
      </c>
      <c r="I1732" s="42" t="n">
        <v>168546</v>
      </c>
      <c r="J1732" s="42" t="n">
        <v>8344</v>
      </c>
      <c r="K1732" s="42" t="n">
        <v>910</v>
      </c>
      <c r="L1732" s="43" t="n"/>
      <c r="M1732" s="44" t="n"/>
      <c r="N1732" s="44" t="inlineStr">
        <is>
          <t>UCKZo4N0lVPccBkSiuyVh4yg</t>
        </is>
      </c>
      <c r="O1732" s="45" t="n">
        <v>43790.95625</v>
      </c>
      <c r="P1732" s="46" t="n">
        <v>43790</v>
      </c>
      <c r="Q1732" s="44" t="n">
        <v>1540</v>
      </c>
      <c r="R1732" s="44" t="inlineStr">
        <is>
          <t>No Video ID yet</t>
        </is>
      </c>
      <c r="S1732" s="46" t="n"/>
      <c r="T1732" s="46" t="n"/>
      <c r="U1732" s="44" t="n"/>
      <c r="V1732" s="44">
        <f>IF(AND(P1732&gt;=Calendar!$K$2,P1732&lt;EDATE(Calendar!$K$2,1),OR(Calendar!$K$4="*",N1732=Calendar!$K$4)),P1732*100+COUNTIFS($P$6:$P$3271,P1732,$Q$6:$Q$3271,"&lt;="&amp;Q1732,$N$6:$N$3271,Calendar!$K$4),"")</f>
        <v/>
      </c>
      <c r="W1732" s="44">
        <f>IF(AND(B1732=Queue!$C$4,OR(Queue!$K$4="*",N1732=Queue!$K$4)),Q1732,"")</f>
        <v/>
      </c>
    </row>
    <row r="1733">
      <c r="A1733" s="35">
        <f>IF(M1733="","",HYPERLINK("https://www.youtube.com/watch?v="&amp;M1733,"▶"))</f>
        <v/>
      </c>
      <c r="B1733" s="36">
        <f>IF(C1733&lt;&gt;"",C1733,IF(P1733&lt;=IFERROR(INDEX(tblChannels[Watched Through],MATCH(N1733,tblChannels[Channel ID],0)),0),"Watched","Unwatched"))</f>
        <v/>
      </c>
      <c r="C1733" s="37" t="n"/>
      <c r="D1733" s="38" t="n"/>
      <c r="E1733" s="39" t="n">
        <v>43788.72291666667</v>
      </c>
      <c r="F1733" s="47" t="inlineStr">
        <is>
          <t>Super Carlin Brothers</t>
        </is>
      </c>
      <c r="G1733" t="inlineStr">
        <is>
          <t>Was Percy Under The Imperius Curse? | Harry Potter Theory</t>
        </is>
      </c>
      <c r="H1733" s="41" t="n">
        <v>0.008773148148148148</v>
      </c>
      <c r="I1733" s="42" t="n">
        <v>1235006</v>
      </c>
      <c r="J1733" s="42" t="n">
        <v>37866</v>
      </c>
      <c r="K1733" s="42" t="n">
        <v>5829</v>
      </c>
      <c r="L1733" s="43" t="n"/>
      <c r="M1733" s="44" t="n"/>
      <c r="N1733" s="44" t="inlineStr">
        <is>
          <t>UCKZo4N0lVPccBkSiuyVh4yg</t>
        </is>
      </c>
      <c r="O1733" s="45" t="n">
        <v>43788.93125</v>
      </c>
      <c r="P1733" s="46" t="n">
        <v>43788</v>
      </c>
      <c r="Q1733" s="44" t="n">
        <v>1539</v>
      </c>
      <c r="R1733" s="44" t="inlineStr">
        <is>
          <t>No Video ID yet</t>
        </is>
      </c>
      <c r="S1733" s="46" t="n"/>
      <c r="T1733" s="46" t="n"/>
      <c r="U1733" s="44" t="n"/>
      <c r="V1733" s="44">
        <f>IF(AND(P1733&gt;=Calendar!$K$2,P1733&lt;EDATE(Calendar!$K$2,1),OR(Calendar!$K$4="*",N1733=Calendar!$K$4)),P1733*100+COUNTIFS($P$6:$P$3271,P1733,$Q$6:$Q$3271,"&lt;="&amp;Q1733,$N$6:$N$3271,Calendar!$K$4),"")</f>
        <v/>
      </c>
      <c r="W1733" s="44">
        <f>IF(AND(B1733=Queue!$C$4,OR(Queue!$K$4="*",N1733=Queue!$K$4)),Q1733,"")</f>
        <v/>
      </c>
    </row>
    <row r="1734">
      <c r="A1734" s="35">
        <f>IF(M1734="","",HYPERLINK("https://www.youtube.com/watch?v="&amp;M1734,"▶"))</f>
        <v/>
      </c>
      <c r="B1734" s="36">
        <f>IF(C1734&lt;&gt;"",C1734,IF(P1734&lt;=IFERROR(INDEX(tblChannels[Watched Through],MATCH(N1734,tblChannels[Channel ID],0)),0),"Watched","Unwatched"))</f>
        <v/>
      </c>
      <c r="C1734" s="37" t="n"/>
      <c r="D1734" s="38" t="n"/>
      <c r="E1734" s="39" t="n">
        <v>43783.75</v>
      </c>
      <c r="F1734" s="47" t="inlineStr">
        <is>
          <t>Super Carlin Brothers</t>
        </is>
      </c>
      <c r="G1734" t="inlineStr">
        <is>
          <t>Palpatine CREATED Baby Yoda | Star Wars Film Theory</t>
        </is>
      </c>
      <c r="H1734" s="41" t="n">
        <v>0.008680555555555556</v>
      </c>
      <c r="I1734" s="42" t="n">
        <v>563108</v>
      </c>
      <c r="J1734" s="42" t="n">
        <v>17954</v>
      </c>
      <c r="K1734" s="42" t="n">
        <v>2035</v>
      </c>
      <c r="L1734" s="43" t="n"/>
      <c r="M1734" s="44" t="n"/>
      <c r="N1734" s="44" t="inlineStr">
        <is>
          <t>UCKZo4N0lVPccBkSiuyVh4yg</t>
        </is>
      </c>
      <c r="O1734" s="45" t="n">
        <v>43783.95833333334</v>
      </c>
      <c r="P1734" s="46" t="n">
        <v>43783</v>
      </c>
      <c r="Q1734" s="44" t="n">
        <v>1538</v>
      </c>
      <c r="R1734" s="44" t="inlineStr">
        <is>
          <t>No Video ID yet</t>
        </is>
      </c>
      <c r="S1734" s="46" t="n"/>
      <c r="T1734" s="46" t="n"/>
      <c r="U1734" s="44" t="n"/>
      <c r="V1734" s="44">
        <f>IF(AND(P1734&gt;=Calendar!$K$2,P1734&lt;EDATE(Calendar!$K$2,1),OR(Calendar!$K$4="*",N1734=Calendar!$K$4)),P1734*100+COUNTIFS($P$6:$P$3271,P1734,$Q$6:$Q$3271,"&lt;="&amp;Q1734,$N$6:$N$3271,Calendar!$K$4),"")</f>
        <v/>
      </c>
      <c r="W1734" s="44">
        <f>IF(AND(B1734=Queue!$C$4,OR(Queue!$K$4="*",N1734=Queue!$K$4)),Q1734,"")</f>
        <v/>
      </c>
    </row>
    <row r="1735">
      <c r="A1735" s="35">
        <f>IF(M1735="","",HYPERLINK("https://www.youtube.com/watch?v="&amp;M1735,"▶"))</f>
        <v/>
      </c>
      <c r="B1735" s="36">
        <f>IF(C1735&lt;&gt;"",C1735,IF(P1735&lt;=IFERROR(INDEX(tblChannels[Watched Through],MATCH(N1735,tblChannels[Channel ID],0)),0),"Watched","Unwatched"))</f>
        <v/>
      </c>
      <c r="C1735" s="37" t="n"/>
      <c r="D1735" s="38" t="n"/>
      <c r="E1735" s="39" t="n">
        <v>43781.71736111111</v>
      </c>
      <c r="F1735" s="47" t="inlineStr">
        <is>
          <t>Super Carlin Brothers</t>
        </is>
      </c>
      <c r="G1735" t="inlineStr">
        <is>
          <t>HOGWARTS EXACT LOCATION REVEALED | Harry Potter Theory</t>
        </is>
      </c>
      <c r="H1735" s="41" t="n">
        <v>0.007951388888888888</v>
      </c>
      <c r="I1735" s="42" t="n">
        <v>641406</v>
      </c>
      <c r="J1735" s="42" t="n">
        <v>25398</v>
      </c>
      <c r="K1735" s="42" t="n">
        <v>2512</v>
      </c>
      <c r="L1735" s="43" t="n"/>
      <c r="M1735" s="44" t="n"/>
      <c r="N1735" s="44" t="inlineStr">
        <is>
          <t>UCKZo4N0lVPccBkSiuyVh4yg</t>
        </is>
      </c>
      <c r="O1735" s="45" t="n">
        <v>43781.92569444444</v>
      </c>
      <c r="P1735" s="46" t="n">
        <v>43781</v>
      </c>
      <c r="Q1735" s="44" t="n">
        <v>1537</v>
      </c>
      <c r="R1735" s="44" t="inlineStr">
        <is>
          <t>No Video ID yet</t>
        </is>
      </c>
      <c r="S1735" s="46" t="n"/>
      <c r="T1735" s="46" t="n"/>
      <c r="U1735" s="44" t="n"/>
      <c r="V1735" s="44">
        <f>IF(AND(P1735&gt;=Calendar!$K$2,P1735&lt;EDATE(Calendar!$K$2,1),OR(Calendar!$K$4="*",N1735=Calendar!$K$4)),P1735*100+COUNTIFS($P$6:$P$3271,P1735,$Q$6:$Q$3271,"&lt;="&amp;Q1735,$N$6:$N$3271,Calendar!$K$4),"")</f>
        <v/>
      </c>
      <c r="W1735" s="44">
        <f>IF(AND(B1735=Queue!$C$4,OR(Queue!$K$4="*",N1735=Queue!$K$4)),Q1735,"")</f>
        <v/>
      </c>
    </row>
    <row r="1736">
      <c r="A1736" s="35">
        <f>IF(M1736="","",HYPERLINK("https://www.youtube.com/watch?v="&amp;M1736,"▶"))</f>
        <v/>
      </c>
      <c r="B1736" s="36">
        <f>IF(C1736&lt;&gt;"",C1736,IF(P1736&lt;=IFERROR(INDEX(tblChannels[Watched Through],MATCH(N1736,tblChannels[Channel ID],0)),0),"Watched","Unwatched"))</f>
        <v/>
      </c>
      <c r="C1736" s="37" t="n"/>
      <c r="D1736" s="38" t="n"/>
      <c r="E1736" s="39" t="n">
        <v>43776.625</v>
      </c>
      <c r="F1736" s="47" t="inlineStr">
        <is>
          <t>Super Carlin Brothers</t>
        </is>
      </c>
      <c r="G1736" t="inlineStr">
        <is>
          <t>How To Become An Animagus | Harry Potter Explained</t>
        </is>
      </c>
      <c r="H1736" s="41" t="n">
        <v>0.00917824074074074</v>
      </c>
      <c r="I1736" s="42" t="n">
        <v>1263654</v>
      </c>
      <c r="J1736" s="42" t="n">
        <v>37050</v>
      </c>
      <c r="K1736" s="42" t="n">
        <v>6214</v>
      </c>
      <c r="L1736" s="43" t="n"/>
      <c r="M1736" s="44" t="n"/>
      <c r="N1736" s="44" t="inlineStr">
        <is>
          <t>UCKZo4N0lVPccBkSiuyVh4yg</t>
        </is>
      </c>
      <c r="O1736" s="45" t="n">
        <v>43776.83333333334</v>
      </c>
      <c r="P1736" s="46" t="n">
        <v>43776</v>
      </c>
      <c r="Q1736" s="44" t="n">
        <v>1536</v>
      </c>
      <c r="R1736" s="44" t="inlineStr">
        <is>
          <t>No Video ID yet</t>
        </is>
      </c>
      <c r="S1736" s="46" t="n"/>
      <c r="T1736" s="46" t="n"/>
      <c r="U1736" s="44" t="n"/>
      <c r="V1736" s="44">
        <f>IF(AND(P1736&gt;=Calendar!$K$2,P1736&lt;EDATE(Calendar!$K$2,1),OR(Calendar!$K$4="*",N1736=Calendar!$K$4)),P1736*100+COUNTIFS($P$6:$P$3271,P1736,$Q$6:$Q$3271,"&lt;="&amp;Q1736,$N$6:$N$3271,Calendar!$K$4),"")</f>
        <v/>
      </c>
      <c r="W1736" s="44">
        <f>IF(AND(B1736=Queue!$C$4,OR(Queue!$K$4="*",N1736=Queue!$K$4)),Q1736,"")</f>
        <v/>
      </c>
    </row>
    <row r="1737">
      <c r="A1737" s="35">
        <f>IF(M1737="","",HYPERLINK("https://www.youtube.com/watch?v="&amp;M1737,"▶"))</f>
        <v/>
      </c>
      <c r="B1737" s="36">
        <f>IF(C1737&lt;&gt;"",C1737,IF(P1737&lt;=IFERROR(INDEX(tblChannels[Watched Through],MATCH(N1737,tblChannels[Channel ID],0)),0),"Watched","Unwatched"))</f>
        <v/>
      </c>
      <c r="C1737" s="37" t="n"/>
      <c r="D1737" s="38" t="n"/>
      <c r="E1737" s="39" t="n">
        <v>43774.625</v>
      </c>
      <c r="F1737" s="47" t="inlineStr">
        <is>
          <t>Super Carlin Brothers</t>
        </is>
      </c>
      <c r="G1737" t="inlineStr">
        <is>
          <t>Pixar Theory: GERI IS DEAD!?</t>
        </is>
      </c>
      <c r="H1737" s="41" t="n">
        <v>0.007025462962962963</v>
      </c>
      <c r="I1737" s="42" t="n">
        <v>818782</v>
      </c>
      <c r="J1737" s="42" t="n">
        <v>24461</v>
      </c>
      <c r="K1737" s="42" t="n">
        <v>1611</v>
      </c>
      <c r="L1737" s="43" t="n"/>
      <c r="M1737" s="44" t="n"/>
      <c r="N1737" s="44" t="inlineStr">
        <is>
          <t>UCKZo4N0lVPccBkSiuyVh4yg</t>
        </is>
      </c>
      <c r="O1737" s="45" t="n">
        <v>43774.83333333334</v>
      </c>
      <c r="P1737" s="46" t="n">
        <v>43774</v>
      </c>
      <c r="Q1737" s="44" t="n">
        <v>1535</v>
      </c>
      <c r="R1737" s="44" t="inlineStr">
        <is>
          <t>No Video ID yet</t>
        </is>
      </c>
      <c r="S1737" s="46" t="n"/>
      <c r="T1737" s="46" t="n"/>
      <c r="U1737" s="44" t="n"/>
      <c r="V1737" s="44">
        <f>IF(AND(P1737&gt;=Calendar!$K$2,P1737&lt;EDATE(Calendar!$K$2,1),OR(Calendar!$K$4="*",N1737=Calendar!$K$4)),P1737*100+COUNTIFS($P$6:$P$3271,P1737,$Q$6:$Q$3271,"&lt;="&amp;Q1737,$N$6:$N$3271,Calendar!$K$4),"")</f>
        <v/>
      </c>
      <c r="W1737" s="44">
        <f>IF(AND(B1737=Queue!$C$4,OR(Queue!$K$4="*",N1737=Queue!$K$4)),Q1737,"")</f>
        <v/>
      </c>
    </row>
    <row r="1738">
      <c r="A1738" s="35">
        <f>IF(M1738="","",HYPERLINK("https://www.youtube.com/watch?v="&amp;M1738,"▶"))</f>
        <v/>
      </c>
      <c r="B1738" s="36">
        <f>IF(C1738&lt;&gt;"",C1738,IF(P1738&lt;=IFERROR(INDEX(tblChannels[Watched Through],MATCH(N1738,tblChannels[Channel ID],0)),0),"Watched","Unwatched"))</f>
        <v/>
      </c>
      <c r="C1738" s="37" t="n"/>
      <c r="D1738" s="38" t="n"/>
      <c r="E1738" s="39" t="n">
        <v>43774.41388888889</v>
      </c>
      <c r="F1738" s="49" t="inlineStr">
        <is>
          <t>Super Carlin Gaming</t>
        </is>
      </c>
      <c r="G1738" t="inlineStr">
        <is>
          <t>THE FINAL BATTLE | Pokémon X Nuzlocke #45</t>
        </is>
      </c>
      <c r="H1738" s="41" t="n">
        <v>0.01834490740740741</v>
      </c>
      <c r="I1738" s="42" t="n">
        <v>19930</v>
      </c>
      <c r="J1738" s="42" t="n">
        <v>683</v>
      </c>
      <c r="K1738" s="42" t="n">
        <v>192</v>
      </c>
      <c r="L1738" s="43" t="n"/>
      <c r="M1738" s="44" t="n"/>
      <c r="N1738" s="44" t="inlineStr">
        <is>
          <t>UCor_9jRnNNZVzTuQ92PKsaQ</t>
        </is>
      </c>
      <c r="O1738" s="45" t="n">
        <v>43774.62222222222</v>
      </c>
      <c r="P1738" s="46" t="n">
        <v>43774</v>
      </c>
      <c r="Q1738" s="44" t="n">
        <v>1534</v>
      </c>
      <c r="R1738" s="44" t="inlineStr">
        <is>
          <t>No Video ID yet</t>
        </is>
      </c>
      <c r="S1738" s="46" t="n"/>
      <c r="T1738" s="46" t="n"/>
      <c r="U1738" s="44" t="n"/>
      <c r="V1738" s="44">
        <f>IF(AND(P1738&gt;=Calendar!$K$2,P1738&lt;EDATE(Calendar!$K$2,1),OR(Calendar!$K$4="*",N1738=Calendar!$K$4)),P1738*100+COUNTIFS($P$6:$P$3271,P1738,$Q$6:$Q$3271,"&lt;="&amp;Q1738,$N$6:$N$3271,Calendar!$K$4),"")</f>
        <v/>
      </c>
      <c r="W1738" s="44">
        <f>IF(AND(B1738=Queue!$C$4,OR(Queue!$K$4="*",N1738=Queue!$K$4)),Q1738,"")</f>
        <v/>
      </c>
    </row>
    <row r="1739">
      <c r="A1739" s="35">
        <f>IF(M1739="","",HYPERLINK("https://www.youtube.com/watch?v="&amp;M1739,"▶"))</f>
        <v/>
      </c>
      <c r="B1739" s="36">
        <f>IF(C1739&lt;&gt;"",C1739,IF(P1739&lt;=IFERROR(INDEX(tblChannels[Watched Through],MATCH(N1739,tblChannels[Channel ID],0)),0),"Watched","Unwatched"))</f>
        <v/>
      </c>
      <c r="C1739" s="37" t="n"/>
      <c r="D1739" s="38" t="n"/>
      <c r="E1739" s="39" t="n">
        <v>43770.42222222222</v>
      </c>
      <c r="F1739" s="49" t="inlineStr">
        <is>
          <t>Super Carlin Gaming</t>
        </is>
      </c>
      <c r="G1739" t="inlineStr">
        <is>
          <t>ELITE FOUR - Part 2 |  Pokémon X Nuzlocke #44</t>
        </is>
      </c>
      <c r="H1739" s="41" t="n">
        <v>0.01391203703703704</v>
      </c>
      <c r="I1739" s="42" t="n">
        <v>13561</v>
      </c>
      <c r="J1739" s="42" t="n">
        <v>532</v>
      </c>
      <c r="K1739" s="42" t="n">
        <v>58</v>
      </c>
      <c r="L1739" s="43" t="n"/>
      <c r="M1739" s="44" t="n"/>
      <c r="N1739" s="44" t="inlineStr">
        <is>
          <t>UCor_9jRnNNZVzTuQ92PKsaQ</t>
        </is>
      </c>
      <c r="O1739" s="45" t="n">
        <v>43770.58888888889</v>
      </c>
      <c r="P1739" s="46" t="n">
        <v>43770</v>
      </c>
      <c r="Q1739" s="44" t="n">
        <v>1533</v>
      </c>
      <c r="R1739" s="44" t="inlineStr">
        <is>
          <t>No Video ID yet</t>
        </is>
      </c>
      <c r="S1739" s="46" t="n"/>
      <c r="T1739" s="46" t="n"/>
      <c r="U1739" s="44" t="n"/>
      <c r="V1739" s="44">
        <f>IF(AND(P1739&gt;=Calendar!$K$2,P1739&lt;EDATE(Calendar!$K$2,1),OR(Calendar!$K$4="*",N1739=Calendar!$K$4)),P1739*100+COUNTIFS($P$6:$P$3271,P1739,$Q$6:$Q$3271,"&lt;="&amp;Q1739,$N$6:$N$3271,Calendar!$K$4),"")</f>
        <v/>
      </c>
      <c r="W1739" s="44">
        <f>IF(AND(B1739=Queue!$C$4,OR(Queue!$K$4="*",N1739=Queue!$K$4)),Q1739,"")</f>
        <v/>
      </c>
    </row>
    <row r="1740">
      <c r="A1740" s="35">
        <f>IF(M1740="","",HYPERLINK("https://www.youtube.com/watch?v="&amp;M1740,"▶"))</f>
        <v/>
      </c>
      <c r="B1740" s="36">
        <f>IF(C1740&lt;&gt;"",C1740,IF(P1740&lt;=IFERROR(INDEX(tblChannels[Watched Through],MATCH(N1740,tblChannels[Channel ID],0)),0),"Watched","Unwatched"))</f>
        <v/>
      </c>
      <c r="C1740" s="37" t="n"/>
      <c r="D1740" s="38" t="n"/>
      <c r="E1740" s="39" t="n">
        <v>43769.8625</v>
      </c>
      <c r="F1740" s="47" t="inlineStr">
        <is>
          <t>Super Carlin Brothers</t>
        </is>
      </c>
      <c r="G1740" t="inlineStr">
        <is>
          <t>J vs Ben: The HARDEST Neville Longbottom Trivia Quiz EVER</t>
        </is>
      </c>
      <c r="H1740" s="41" t="n">
        <v>0.01167824074074074</v>
      </c>
      <c r="I1740" s="42" t="n">
        <v>377702</v>
      </c>
      <c r="J1740" s="42" t="n">
        <v>13531</v>
      </c>
      <c r="K1740" s="42" t="n">
        <v>1707</v>
      </c>
      <c r="L1740" s="43" t="n"/>
      <c r="M1740" s="44" t="n"/>
      <c r="N1740" s="44" t="inlineStr">
        <is>
          <t>UCKZo4N0lVPccBkSiuyVh4yg</t>
        </is>
      </c>
      <c r="O1740" s="45" t="n">
        <v>43770.02916666667</v>
      </c>
      <c r="P1740" s="46" t="n">
        <v>43769</v>
      </c>
      <c r="Q1740" s="44" t="n">
        <v>1532</v>
      </c>
      <c r="R1740" s="44" t="inlineStr">
        <is>
          <t>No Video ID yet</t>
        </is>
      </c>
      <c r="S1740" s="46" t="n"/>
      <c r="T1740" s="46" t="n"/>
      <c r="U1740" s="44" t="n"/>
      <c r="V1740" s="44">
        <f>IF(AND(P1740&gt;=Calendar!$K$2,P1740&lt;EDATE(Calendar!$K$2,1),OR(Calendar!$K$4="*",N1740=Calendar!$K$4)),P1740*100+COUNTIFS($P$6:$P$3271,P1740,$Q$6:$Q$3271,"&lt;="&amp;Q1740,$N$6:$N$3271,Calendar!$K$4),"")</f>
        <v/>
      </c>
      <c r="W1740" s="44">
        <f>IF(AND(B1740=Queue!$C$4,OR(Queue!$K$4="*",N1740=Queue!$K$4)),Q1740,"")</f>
        <v/>
      </c>
    </row>
    <row r="1741">
      <c r="A1741" s="35">
        <f>IF(M1741="","",HYPERLINK("https://www.youtube.com/watch?v="&amp;M1741,"▶"))</f>
        <v/>
      </c>
      <c r="B1741" s="36">
        <f>IF(C1741&lt;&gt;"",C1741,IF(P1741&lt;=IFERROR(INDEX(tblChannels[Watched Through],MATCH(N1741,tblChannels[Channel ID],0)),0),"Watched","Unwatched"))</f>
        <v/>
      </c>
      <c r="C1741" s="37" t="n"/>
      <c r="D1741" s="38" t="n"/>
      <c r="E1741" s="39" t="n">
        <v>43769.41319444445</v>
      </c>
      <c r="F1741" s="49" t="inlineStr">
        <is>
          <t>Super Carlin Gaming</t>
        </is>
      </c>
      <c r="G1741" t="inlineStr">
        <is>
          <t>THE ELITE FOUR |  Pokémon X Nuzlocke #43</t>
        </is>
      </c>
      <c r="H1741" s="41" t="n">
        <v>0.02549768518518519</v>
      </c>
      <c r="I1741" s="42" t="n">
        <v>15796</v>
      </c>
      <c r="J1741" s="42" t="n">
        <v>535</v>
      </c>
      <c r="K1741" s="42" t="n">
        <v>120</v>
      </c>
      <c r="L1741" s="43" t="n"/>
      <c r="M1741" s="44" t="n"/>
      <c r="N1741" s="44" t="inlineStr">
        <is>
          <t>UCor_9jRnNNZVzTuQ92PKsaQ</t>
        </is>
      </c>
      <c r="O1741" s="45" t="n">
        <v>43769.57986111111</v>
      </c>
      <c r="P1741" s="46" t="n">
        <v>43769</v>
      </c>
      <c r="Q1741" s="44" t="n">
        <v>1531</v>
      </c>
      <c r="R1741" s="44" t="inlineStr">
        <is>
          <t>No Video ID yet</t>
        </is>
      </c>
      <c r="S1741" s="46" t="n"/>
      <c r="T1741" s="46" t="n"/>
      <c r="U1741" s="44" t="n"/>
      <c r="V1741" s="44">
        <f>IF(AND(P1741&gt;=Calendar!$K$2,P1741&lt;EDATE(Calendar!$K$2,1),OR(Calendar!$K$4="*",N1741=Calendar!$K$4)),P1741*100+COUNTIFS($P$6:$P$3271,P1741,$Q$6:$Q$3271,"&lt;="&amp;Q1741,$N$6:$N$3271,Calendar!$K$4),"")</f>
        <v/>
      </c>
      <c r="W1741" s="44">
        <f>IF(AND(B1741=Queue!$C$4,OR(Queue!$K$4="*",N1741=Queue!$K$4)),Q1741,"")</f>
        <v/>
      </c>
    </row>
    <row r="1742">
      <c r="A1742" s="35">
        <f>IF(M1742="","",HYPERLINK("https://www.youtube.com/watch?v="&amp;M1742,"▶"))</f>
        <v/>
      </c>
      <c r="B1742" s="36">
        <f>IF(C1742&lt;&gt;"",C1742,IF(P1742&lt;=IFERROR(INDEX(tblChannels[Watched Through],MATCH(N1742,tblChannels[Channel ID],0)),0),"Watched","Unwatched"))</f>
        <v/>
      </c>
      <c r="C1742" s="37" t="n"/>
      <c r="D1742" s="38" t="n"/>
      <c r="E1742" s="39" t="n">
        <v>43768.55694444444</v>
      </c>
      <c r="F1742" s="50" t="inlineStr">
        <is>
          <t>Jonathan Carlin</t>
        </is>
      </c>
      <c r="G1742" t="inlineStr">
        <is>
          <t>WEEK OF WOTSO!</t>
        </is>
      </c>
      <c r="H1742" s="41" t="n">
        <v>0.004421296296296296</v>
      </c>
      <c r="I1742" s="42" t="n">
        <v>23764</v>
      </c>
      <c r="J1742" s="42" t="n">
        <v>1349</v>
      </c>
      <c r="K1742" s="42" t="n">
        <v>133</v>
      </c>
      <c r="L1742" s="43" t="n"/>
      <c r="M1742" s="44" t="n"/>
      <c r="N1742" s="44" t="inlineStr">
        <is>
          <t>UCYPKFe86e6nm4TVUYKLsFUQ</t>
        </is>
      </c>
      <c r="O1742" s="45" t="n">
        <v>43768.72361111111</v>
      </c>
      <c r="P1742" s="46" t="n">
        <v>43768</v>
      </c>
      <c r="Q1742" s="44" t="n">
        <v>1530</v>
      </c>
      <c r="R1742" s="44" t="inlineStr">
        <is>
          <t>No Video ID yet</t>
        </is>
      </c>
      <c r="S1742" s="46" t="n"/>
      <c r="T1742" s="46" t="n"/>
      <c r="U1742" s="44" t="n"/>
      <c r="V1742" s="44">
        <f>IF(AND(P1742&gt;=Calendar!$K$2,P1742&lt;EDATE(Calendar!$K$2,1),OR(Calendar!$K$4="*",N1742=Calendar!$K$4)),P1742*100+COUNTIFS($P$6:$P$3271,P1742,$Q$6:$Q$3271,"&lt;="&amp;Q1742,$N$6:$N$3271,Calendar!$K$4),"")</f>
        <v/>
      </c>
      <c r="W1742" s="44">
        <f>IF(AND(B1742=Queue!$C$4,OR(Queue!$K$4="*",N1742=Queue!$K$4)),Q1742,"")</f>
        <v/>
      </c>
    </row>
    <row r="1743">
      <c r="A1743" s="35">
        <f>IF(M1743="","",HYPERLINK("https://www.youtube.com/watch?v="&amp;M1743,"▶"))</f>
        <v/>
      </c>
      <c r="B1743" s="36">
        <f>IF(C1743&lt;&gt;"",C1743,IF(P1743&lt;=IFERROR(INDEX(tblChannels[Watched Through],MATCH(N1743,tblChannels[Channel ID],0)),0),"Watched","Unwatched"))</f>
        <v/>
      </c>
      <c r="C1743" s="37" t="n"/>
      <c r="D1743" s="38" t="n"/>
      <c r="E1743" s="39" t="n">
        <v>43767.66875</v>
      </c>
      <c r="F1743" s="47" t="inlineStr">
        <is>
          <t>Super Carlin Brothers</t>
        </is>
      </c>
      <c r="G1743" t="inlineStr">
        <is>
          <t>Top 10 Fred &amp; George Moments In Harry Potter</t>
        </is>
      </c>
      <c r="H1743" s="41" t="n">
        <v>0.0102662037037037</v>
      </c>
      <c r="I1743" s="42" t="n">
        <v>644993</v>
      </c>
      <c r="J1743" s="42" t="n">
        <v>20913</v>
      </c>
      <c r="K1743" s="42" t="n">
        <v>2534</v>
      </c>
      <c r="L1743" s="43" t="n"/>
      <c r="M1743" s="44" t="n"/>
      <c r="N1743" s="44" t="inlineStr">
        <is>
          <t>UCKZo4N0lVPccBkSiuyVh4yg</t>
        </is>
      </c>
      <c r="O1743" s="45" t="n">
        <v>43767.83541666667</v>
      </c>
      <c r="P1743" s="46" t="n">
        <v>43767</v>
      </c>
      <c r="Q1743" s="44" t="n">
        <v>1529</v>
      </c>
      <c r="R1743" s="44" t="inlineStr">
        <is>
          <t>No Video ID yet</t>
        </is>
      </c>
      <c r="S1743" s="46" t="n"/>
      <c r="T1743" s="46" t="n"/>
      <c r="U1743" s="44" t="n"/>
      <c r="V1743" s="44">
        <f>IF(AND(P1743&gt;=Calendar!$K$2,P1743&lt;EDATE(Calendar!$K$2,1),OR(Calendar!$K$4="*",N1743=Calendar!$K$4)),P1743*100+COUNTIFS($P$6:$P$3271,P1743,$Q$6:$Q$3271,"&lt;="&amp;Q1743,$N$6:$N$3271,Calendar!$K$4),"")</f>
        <v/>
      </c>
      <c r="W1743" s="44">
        <f>IF(AND(B1743=Queue!$C$4,OR(Queue!$K$4="*",N1743=Queue!$K$4)),Q1743,"")</f>
        <v/>
      </c>
    </row>
    <row r="1744">
      <c r="A1744" s="35">
        <f>IF(M1744="","",HYPERLINK("https://www.youtube.com/watch?v="&amp;M1744,"▶"))</f>
        <v/>
      </c>
      <c r="B1744" s="36">
        <f>IF(C1744&lt;&gt;"",C1744,IF(P1744&lt;=IFERROR(INDEX(tblChannels[Watched Through],MATCH(N1744,tblChannels[Channel ID],0)),0),"Watched","Unwatched"))</f>
        <v/>
      </c>
      <c r="C1744" s="37" t="n"/>
      <c r="D1744" s="38" t="n"/>
      <c r="E1744" s="39" t="n">
        <v>43762.88055555556</v>
      </c>
      <c r="F1744" s="47" t="inlineStr">
        <is>
          <t>Super Carlin Brothers</t>
        </is>
      </c>
      <c r="G1744" t="inlineStr">
        <is>
          <t>Pixar Fast Facts: Toy Story 4</t>
        </is>
      </c>
      <c r="H1744" s="41" t="n">
        <v>0.007094907407407407</v>
      </c>
      <c r="I1744" s="42" t="n">
        <v>151466</v>
      </c>
      <c r="J1744" s="42" t="n">
        <v>6120</v>
      </c>
      <c r="K1744" s="42" t="n">
        <v>532</v>
      </c>
      <c r="L1744" s="43" t="n"/>
      <c r="M1744" s="44" t="n"/>
      <c r="N1744" s="44" t="inlineStr">
        <is>
          <t>UCKZo4N0lVPccBkSiuyVh4yg</t>
        </is>
      </c>
      <c r="O1744" s="45" t="n">
        <v>43763.04722222222</v>
      </c>
      <c r="P1744" s="46" t="n">
        <v>43762</v>
      </c>
      <c r="Q1744" s="44" t="n">
        <v>1528</v>
      </c>
      <c r="R1744" s="44" t="inlineStr">
        <is>
          <t>No Video ID yet</t>
        </is>
      </c>
      <c r="S1744" s="46" t="n"/>
      <c r="T1744" s="46" t="n"/>
      <c r="U1744" s="44" t="n"/>
      <c r="V1744" s="44">
        <f>IF(AND(P1744&gt;=Calendar!$K$2,P1744&lt;EDATE(Calendar!$K$2,1),OR(Calendar!$K$4="*",N1744=Calendar!$K$4)),P1744*100+COUNTIFS($P$6:$P$3271,P1744,$Q$6:$Q$3271,"&lt;="&amp;Q1744,$N$6:$N$3271,Calendar!$K$4),"")</f>
        <v/>
      </c>
      <c r="W1744" s="44">
        <f>IF(AND(B1744=Queue!$C$4,OR(Queue!$K$4="*",N1744=Queue!$K$4)),Q1744,"")</f>
        <v/>
      </c>
    </row>
    <row r="1745">
      <c r="A1745" s="35">
        <f>IF(M1745="","",HYPERLINK("https://www.youtube.com/watch?v="&amp;M1745,"▶"))</f>
        <v/>
      </c>
      <c r="B1745" s="36">
        <f>IF(C1745&lt;&gt;"",C1745,IF(P1745&lt;=IFERROR(INDEX(tblChannels[Watched Through],MATCH(N1745,tblChannels[Channel ID],0)),0),"Watched","Unwatched"))</f>
        <v/>
      </c>
      <c r="C1745" s="37" t="n"/>
      <c r="D1745" s="38" t="n"/>
      <c r="E1745" s="39" t="n">
        <v>43760.78055555555</v>
      </c>
      <c r="F1745" s="47" t="inlineStr">
        <is>
          <t>Super Carlin Brothers</t>
        </is>
      </c>
      <c r="G1745" t="inlineStr">
        <is>
          <t>Harry Potter Theory: Filch Is Actually A Poltergeist?!</t>
        </is>
      </c>
      <c r="H1745" s="41" t="n">
        <v>0.008530092592592593</v>
      </c>
      <c r="I1745" s="42" t="n">
        <v>773027</v>
      </c>
      <c r="J1745" s="42" t="n">
        <v>24803</v>
      </c>
      <c r="K1745" s="42" t="n">
        <v>2129</v>
      </c>
      <c r="L1745" s="43" t="n"/>
      <c r="M1745" s="44" t="n"/>
      <c r="N1745" s="44" t="inlineStr">
        <is>
          <t>UCKZo4N0lVPccBkSiuyVh4yg</t>
        </is>
      </c>
      <c r="O1745" s="45" t="n">
        <v>43760.94722222222</v>
      </c>
      <c r="P1745" s="46" t="n">
        <v>43760</v>
      </c>
      <c r="Q1745" s="44" t="n">
        <v>1527</v>
      </c>
      <c r="R1745" s="44" t="inlineStr">
        <is>
          <t>No Video ID yet</t>
        </is>
      </c>
      <c r="S1745" s="46" t="n"/>
      <c r="T1745" s="46" t="n"/>
      <c r="U1745" s="44" t="n"/>
      <c r="V1745" s="44">
        <f>IF(AND(P1745&gt;=Calendar!$K$2,P1745&lt;EDATE(Calendar!$K$2,1),OR(Calendar!$K$4="*",N1745=Calendar!$K$4)),P1745*100+COUNTIFS($P$6:$P$3271,P1745,$Q$6:$Q$3271,"&lt;="&amp;Q1745,$N$6:$N$3271,Calendar!$K$4),"")</f>
        <v/>
      </c>
      <c r="W1745" s="44">
        <f>IF(AND(B1745=Queue!$C$4,OR(Queue!$K$4="*",N1745=Queue!$K$4)),Q1745,"")</f>
        <v/>
      </c>
    </row>
    <row r="1746">
      <c r="A1746" s="35">
        <f>IF(M1746="","",HYPERLINK("https://www.youtube.com/watch?v="&amp;M1746,"▶"))</f>
        <v/>
      </c>
      <c r="B1746" s="36">
        <f>IF(C1746&lt;&gt;"",C1746,IF(P1746&lt;=IFERROR(INDEX(tblChannels[Watched Through],MATCH(N1746,tblChannels[Channel ID],0)),0),"Watched","Unwatched"))</f>
        <v/>
      </c>
      <c r="C1746" s="37" t="n"/>
      <c r="D1746" s="38" t="n"/>
      <c r="E1746" s="39" t="n">
        <v>43759.54861111111</v>
      </c>
      <c r="F1746" s="49" t="inlineStr">
        <is>
          <t>Super Carlin Gaming</t>
        </is>
      </c>
      <c r="G1746" t="inlineStr">
        <is>
          <t>Hogwarts Founders CRASH A SHUTTLE in SIMS 4 | Episode #6</t>
        </is>
      </c>
      <c r="H1746" s="41" t="n">
        <v>0.0194212962962963</v>
      </c>
      <c r="I1746" s="42" t="n">
        <v>35923</v>
      </c>
      <c r="J1746" s="42" t="n">
        <v>1399</v>
      </c>
      <c r="K1746" s="42" t="n">
        <v>223</v>
      </c>
      <c r="L1746" s="43" t="n"/>
      <c r="M1746" s="44" t="n"/>
      <c r="N1746" s="44" t="inlineStr">
        <is>
          <t>UCor_9jRnNNZVzTuQ92PKsaQ</t>
        </is>
      </c>
      <c r="O1746" s="45" t="n">
        <v>43759.71527777778</v>
      </c>
      <c r="P1746" s="46" t="n">
        <v>43759</v>
      </c>
      <c r="Q1746" s="44" t="n">
        <v>1526</v>
      </c>
      <c r="R1746" s="44" t="inlineStr">
        <is>
          <t>No Video ID yet</t>
        </is>
      </c>
      <c r="S1746" s="46" t="n"/>
      <c r="T1746" s="46" t="n"/>
      <c r="U1746" s="44" t="n"/>
      <c r="V1746" s="44">
        <f>IF(AND(P1746&gt;=Calendar!$K$2,P1746&lt;EDATE(Calendar!$K$2,1),OR(Calendar!$K$4="*",N1746=Calendar!$K$4)),P1746*100+COUNTIFS($P$6:$P$3271,P1746,$Q$6:$Q$3271,"&lt;="&amp;Q1746,$N$6:$N$3271,Calendar!$K$4),"")</f>
        <v/>
      </c>
      <c r="W1746" s="44">
        <f>IF(AND(B1746=Queue!$C$4,OR(Queue!$K$4="*",N1746=Queue!$K$4)),Q1746,"")</f>
        <v/>
      </c>
    </row>
    <row r="1747">
      <c r="A1747" s="35">
        <f>IF(M1747="","",HYPERLINK("https://www.youtube.com/watch?v="&amp;M1747,"▶"))</f>
        <v/>
      </c>
      <c r="B1747" s="36">
        <f>IF(C1747&lt;&gt;"",C1747,IF(P1747&lt;=IFERROR(INDEX(tblChannels[Watched Through],MATCH(N1747,tblChannels[Channel ID],0)),0),"Watched","Unwatched"))</f>
        <v/>
      </c>
      <c r="C1747" s="37" t="n"/>
      <c r="D1747" s="38" t="n"/>
      <c r="E1747" s="39" t="n">
        <v>43759.44583333333</v>
      </c>
      <c r="F1747" s="50" t="inlineStr">
        <is>
          <t>Jonathan Carlin</t>
        </is>
      </c>
      <c r="G1747" t="inlineStr">
        <is>
          <t>Do Twins Run In Our Family?!</t>
        </is>
      </c>
      <c r="H1747" s="41" t="n">
        <v>0.0059375</v>
      </c>
      <c r="I1747" s="42" t="n">
        <v>68864</v>
      </c>
      <c r="J1747" s="42" t="n">
        <v>3294</v>
      </c>
      <c r="K1747" s="42" t="n">
        <v>447</v>
      </c>
      <c r="L1747" s="43" t="n"/>
      <c r="M1747" s="44" t="n"/>
      <c r="N1747" s="44" t="inlineStr">
        <is>
          <t>UCYPKFe86e6nm4TVUYKLsFUQ</t>
        </is>
      </c>
      <c r="O1747" s="45" t="n">
        <v>43759.6125</v>
      </c>
      <c r="P1747" s="46" t="n">
        <v>43759</v>
      </c>
      <c r="Q1747" s="44" t="n">
        <v>1525</v>
      </c>
      <c r="R1747" s="44" t="inlineStr">
        <is>
          <t>No Video ID yet</t>
        </is>
      </c>
      <c r="S1747" s="46" t="n"/>
      <c r="T1747" s="46" t="n"/>
      <c r="U1747" s="44" t="n"/>
      <c r="V1747" s="44">
        <f>IF(AND(P1747&gt;=Calendar!$K$2,P1747&lt;EDATE(Calendar!$K$2,1),OR(Calendar!$K$4="*",N1747=Calendar!$K$4)),P1747*100+COUNTIFS($P$6:$P$3271,P1747,$Q$6:$Q$3271,"&lt;="&amp;Q1747,$N$6:$N$3271,Calendar!$K$4),"")</f>
        <v/>
      </c>
      <c r="W1747" s="44">
        <f>IF(AND(B1747=Queue!$C$4,OR(Queue!$K$4="*",N1747=Queue!$K$4)),Q1747,"")</f>
        <v/>
      </c>
    </row>
    <row r="1748">
      <c r="A1748" s="35">
        <f>IF(M1748="","",HYPERLINK("https://www.youtube.com/watch?v="&amp;M1748,"▶"))</f>
        <v/>
      </c>
      <c r="B1748" s="36">
        <f>IF(C1748&lt;&gt;"",C1748,IF(P1748&lt;=IFERROR(INDEX(tblChannels[Watched Through],MATCH(N1748,tblChannels[Channel ID],0)),0),"Watched","Unwatched"))</f>
        <v/>
      </c>
      <c r="C1748" s="37" t="n"/>
      <c r="D1748" s="38" t="n"/>
      <c r="E1748" s="39" t="n">
        <v>43755.74097222222</v>
      </c>
      <c r="F1748" s="47" t="inlineStr">
        <is>
          <t>Super Carlin Brothers</t>
        </is>
      </c>
      <c r="G1748" t="inlineStr">
        <is>
          <t>Nitwit Blubber Oddment Tweak Explained | Harry Potter Theory</t>
        </is>
      </c>
      <c r="H1748" s="41" t="n">
        <v>0.008437500000000001</v>
      </c>
      <c r="I1748" s="42" t="n">
        <v>523234</v>
      </c>
      <c r="J1748" s="42" t="n">
        <v>16646</v>
      </c>
      <c r="K1748" s="42" t="n">
        <v>2107</v>
      </c>
      <c r="L1748" s="43" t="n"/>
      <c r="M1748" s="44" t="n"/>
      <c r="N1748" s="44" t="inlineStr">
        <is>
          <t>UCKZo4N0lVPccBkSiuyVh4yg</t>
        </is>
      </c>
      <c r="O1748" s="45" t="n">
        <v>43755.90763888889</v>
      </c>
      <c r="P1748" s="46" t="n">
        <v>43755</v>
      </c>
      <c r="Q1748" s="44" t="n">
        <v>1524</v>
      </c>
      <c r="R1748" s="44" t="inlineStr">
        <is>
          <t>No Video ID yet</t>
        </is>
      </c>
      <c r="S1748" s="46" t="n"/>
      <c r="T1748" s="46" t="n"/>
      <c r="U1748" s="44" t="n"/>
      <c r="V1748" s="44">
        <f>IF(AND(P1748&gt;=Calendar!$K$2,P1748&lt;EDATE(Calendar!$K$2,1),OR(Calendar!$K$4="*",N1748=Calendar!$K$4)),P1748*100+COUNTIFS($P$6:$P$3271,P1748,$Q$6:$Q$3271,"&lt;="&amp;Q1748,$N$6:$N$3271,Calendar!$K$4),"")</f>
        <v/>
      </c>
      <c r="W1748" s="44">
        <f>IF(AND(B1748=Queue!$C$4,OR(Queue!$K$4="*",N1748=Queue!$K$4)),Q1748,"")</f>
        <v/>
      </c>
    </row>
    <row r="1749">
      <c r="A1749" s="35">
        <f>IF(M1749="","",HYPERLINK("https://www.youtube.com/watch?v="&amp;M1749,"▶"))</f>
        <v/>
      </c>
      <c r="B1749" s="36">
        <f>IF(C1749&lt;&gt;"",C1749,IF(P1749&lt;=IFERROR(INDEX(tblChannels[Watched Through],MATCH(N1749,tblChannels[Channel ID],0)),0),"Watched","Unwatched"))</f>
        <v/>
      </c>
      <c r="C1749" s="37" t="n"/>
      <c r="D1749" s="38" t="n"/>
      <c r="E1749" s="39" t="n">
        <v>43753.83055555556</v>
      </c>
      <c r="F1749" s="47" t="inlineStr">
        <is>
          <t>Super Carlin Brothers</t>
        </is>
      </c>
      <c r="G1749" t="inlineStr">
        <is>
          <t>The Giant Squid Explained AT LAST | Harry Potter Theory</t>
        </is>
      </c>
      <c r="H1749" s="41" t="n">
        <v>0.009571759259259259</v>
      </c>
      <c r="I1749" s="42" t="n">
        <v>1064937</v>
      </c>
      <c r="J1749" s="42" t="n">
        <v>31920</v>
      </c>
      <c r="K1749" s="42" t="n">
        <v>3201</v>
      </c>
      <c r="L1749" s="43" t="n"/>
      <c r="M1749" s="44" t="n"/>
      <c r="N1749" s="44" t="inlineStr">
        <is>
          <t>UCKZo4N0lVPccBkSiuyVh4yg</t>
        </is>
      </c>
      <c r="O1749" s="45" t="n">
        <v>43753.99722222222</v>
      </c>
      <c r="P1749" s="46" t="n">
        <v>43753</v>
      </c>
      <c r="Q1749" s="44" t="n">
        <v>1523</v>
      </c>
      <c r="R1749" s="44" t="inlineStr">
        <is>
          <t>No Video ID yet</t>
        </is>
      </c>
      <c r="S1749" s="46" t="n"/>
      <c r="T1749" s="46" t="n"/>
      <c r="U1749" s="44" t="n"/>
      <c r="V1749" s="44">
        <f>IF(AND(P1749&gt;=Calendar!$K$2,P1749&lt;EDATE(Calendar!$K$2,1),OR(Calendar!$K$4="*",N1749=Calendar!$K$4)),P1749*100+COUNTIFS($P$6:$P$3271,P1749,$Q$6:$Q$3271,"&lt;="&amp;Q1749,$N$6:$N$3271,Calendar!$K$4),"")</f>
        <v/>
      </c>
      <c r="W1749" s="44">
        <f>IF(AND(B1749=Queue!$C$4,OR(Queue!$K$4="*",N1749=Queue!$K$4)),Q1749,"")</f>
        <v/>
      </c>
    </row>
    <row r="1750">
      <c r="A1750" s="35">
        <f>IF(M1750="","",HYPERLINK("https://www.youtube.com/watch?v="&amp;M1750,"▶"))</f>
        <v/>
      </c>
      <c r="B1750" s="36">
        <f>IF(C1750&lt;&gt;"",C1750,IF(P1750&lt;=IFERROR(INDEX(tblChannels[Watched Through],MATCH(N1750,tblChannels[Channel ID],0)),0),"Watched","Unwatched"))</f>
        <v/>
      </c>
      <c r="C1750" s="37" t="n"/>
      <c r="D1750" s="38" t="n"/>
      <c r="E1750" s="39" t="n">
        <v>43752.49097222222</v>
      </c>
      <c r="F1750" s="50" t="inlineStr">
        <is>
          <t>Jonathan Carlin</t>
        </is>
      </c>
      <c r="G1750" t="inlineStr">
        <is>
          <t>FALL IS HERE</t>
        </is>
      </c>
      <c r="H1750" s="41" t="n">
        <v>0.005266203703703703</v>
      </c>
      <c r="I1750" s="42" t="n">
        <v>24198</v>
      </c>
      <c r="J1750" s="42" t="n">
        <v>1420</v>
      </c>
      <c r="K1750" s="42" t="n">
        <v>206</v>
      </c>
      <c r="L1750" s="43" t="n"/>
      <c r="M1750" s="44" t="n"/>
      <c r="N1750" s="44" t="inlineStr">
        <is>
          <t>UCYPKFe86e6nm4TVUYKLsFUQ</t>
        </is>
      </c>
      <c r="O1750" s="45" t="n">
        <v>43752.65763888889</v>
      </c>
      <c r="P1750" s="46" t="n">
        <v>43752</v>
      </c>
      <c r="Q1750" s="44" t="n">
        <v>1522</v>
      </c>
      <c r="R1750" s="44" t="inlineStr">
        <is>
          <t>No Video ID yet</t>
        </is>
      </c>
      <c r="S1750" s="46" t="n"/>
      <c r="T1750" s="46" t="n"/>
      <c r="U1750" s="44" t="n"/>
      <c r="V1750" s="44">
        <f>IF(AND(P1750&gt;=Calendar!$K$2,P1750&lt;EDATE(Calendar!$K$2,1),OR(Calendar!$K$4="*",N1750=Calendar!$K$4)),P1750*100+COUNTIFS($P$6:$P$3271,P1750,$Q$6:$Q$3271,"&lt;="&amp;Q1750,$N$6:$N$3271,Calendar!$K$4),"")</f>
        <v/>
      </c>
      <c r="W1750" s="44">
        <f>IF(AND(B1750=Queue!$C$4,OR(Queue!$K$4="*",N1750=Queue!$K$4)),Q1750,"")</f>
        <v/>
      </c>
    </row>
    <row r="1751">
      <c r="A1751" s="35">
        <f>IF(M1751="","",HYPERLINK("https://www.youtube.com/watch?v="&amp;M1751,"▶"))</f>
        <v/>
      </c>
      <c r="B1751" s="36">
        <f>IF(C1751&lt;&gt;"",C1751,IF(P1751&lt;=IFERROR(INDEX(tblChannels[Watched Through],MATCH(N1751,tblChannels[Channel ID],0)),0),"Watched","Unwatched"))</f>
        <v/>
      </c>
      <c r="C1751" s="37" t="n"/>
      <c r="D1751" s="38" t="n"/>
      <c r="E1751" s="39" t="n">
        <v>43749.74236111111</v>
      </c>
      <c r="F1751" s="47" t="inlineStr">
        <is>
          <t>Super Carlin Brothers</t>
        </is>
      </c>
      <c r="G1751" t="inlineStr">
        <is>
          <t>Carlin Brothers SUPER SPECIAL FUN Stream!</t>
        </is>
      </c>
      <c r="H1751" s="41" t="n">
        <v>0.09327546296296296</v>
      </c>
      <c r="I1751" s="42" t="n">
        <v>147771</v>
      </c>
      <c r="J1751" s="42" t="n">
        <v>1600</v>
      </c>
      <c r="K1751" s="42" t="n">
        <v>83</v>
      </c>
      <c r="L1751" s="43" t="n"/>
      <c r="M1751" s="44" t="n"/>
      <c r="N1751" s="44" t="inlineStr">
        <is>
          <t>UCKZo4N0lVPccBkSiuyVh4yg</t>
        </is>
      </c>
      <c r="O1751" s="45" t="n">
        <v>43749.90902777778</v>
      </c>
      <c r="P1751" s="46" t="n">
        <v>43749</v>
      </c>
      <c r="Q1751" s="44" t="n">
        <v>1521</v>
      </c>
      <c r="R1751" s="44" t="inlineStr">
        <is>
          <t>No Video ID yet</t>
        </is>
      </c>
      <c r="S1751" s="46" t="n"/>
      <c r="T1751" s="46" t="n"/>
      <c r="U1751" s="44" t="n"/>
      <c r="V1751" s="44">
        <f>IF(AND(P1751&gt;=Calendar!$K$2,P1751&lt;EDATE(Calendar!$K$2,1),OR(Calendar!$K$4="*",N1751=Calendar!$K$4)),P1751*100+COUNTIFS($P$6:$P$3271,P1751,$Q$6:$Q$3271,"&lt;="&amp;Q1751,$N$6:$N$3271,Calendar!$K$4),"")</f>
        <v/>
      </c>
      <c r="W1751" s="44">
        <f>IF(AND(B1751=Queue!$C$4,OR(Queue!$K$4="*",N1751=Queue!$K$4)),Q1751,"")</f>
        <v/>
      </c>
    </row>
    <row r="1752">
      <c r="A1752" s="35">
        <f>IF(M1752="","",HYPERLINK("https://www.youtube.com/watch?v="&amp;M1752,"▶"))</f>
        <v/>
      </c>
      <c r="B1752" s="36">
        <f>IF(C1752&lt;&gt;"",C1752,IF(P1752&lt;=IFERROR(INDEX(tblChannels[Watched Through],MATCH(N1752,tblChannels[Channel ID],0)),0),"Watched","Unwatched"))</f>
        <v/>
      </c>
      <c r="C1752" s="37" t="n"/>
      <c r="D1752" s="38" t="n"/>
      <c r="E1752" s="39" t="n">
        <v>43748.95694444444</v>
      </c>
      <c r="F1752" s="47" t="inlineStr">
        <is>
          <t>Super Carlin Brothers</t>
        </is>
      </c>
      <c r="G1752" t="inlineStr">
        <is>
          <t>Woody's Origins Explained</t>
        </is>
      </c>
      <c r="H1752" s="41" t="n">
        <v>0.009224537037037036</v>
      </c>
      <c r="I1752" s="42" t="n">
        <v>251768</v>
      </c>
      <c r="J1752" s="42" t="n">
        <v>9477</v>
      </c>
      <c r="K1752" s="42" t="n">
        <v>968</v>
      </c>
      <c r="L1752" s="43" t="n"/>
      <c r="M1752" s="44" t="n"/>
      <c r="N1752" s="44" t="inlineStr">
        <is>
          <t>UCKZo4N0lVPccBkSiuyVh4yg</t>
        </is>
      </c>
      <c r="O1752" s="45" t="n">
        <v>43749.12361111111</v>
      </c>
      <c r="P1752" s="46" t="n">
        <v>43748</v>
      </c>
      <c r="Q1752" s="44" t="n">
        <v>1520</v>
      </c>
      <c r="R1752" s="44" t="inlineStr">
        <is>
          <t>No Video ID yet</t>
        </is>
      </c>
      <c r="S1752" s="46" t="n"/>
      <c r="T1752" s="46" t="n"/>
      <c r="U1752" s="44" t="n"/>
      <c r="V1752" s="44">
        <f>IF(AND(P1752&gt;=Calendar!$K$2,P1752&lt;EDATE(Calendar!$K$2,1),OR(Calendar!$K$4="*",N1752=Calendar!$K$4)),P1752*100+COUNTIFS($P$6:$P$3271,P1752,$Q$6:$Q$3271,"&lt;="&amp;Q1752,$N$6:$N$3271,Calendar!$K$4),"")</f>
        <v/>
      </c>
      <c r="W1752" s="44">
        <f>IF(AND(B1752=Queue!$C$4,OR(Queue!$K$4="*",N1752=Queue!$K$4)),Q1752,"")</f>
        <v/>
      </c>
    </row>
    <row r="1753">
      <c r="A1753" s="35">
        <f>IF(M1753="","",HYPERLINK("https://www.youtube.com/watch?v="&amp;M1753,"▶"))</f>
        <v/>
      </c>
      <c r="B1753" s="36">
        <f>IF(C1753&lt;&gt;"",C1753,IF(P1753&lt;=IFERROR(INDEX(tblChannels[Watched Through],MATCH(N1753,tblChannels[Channel ID],0)),0),"Watched","Unwatched"))</f>
        <v/>
      </c>
      <c r="C1753" s="37" t="n"/>
      <c r="D1753" s="38" t="n"/>
      <c r="E1753" s="39" t="n">
        <v>43746.82569444444</v>
      </c>
      <c r="F1753" s="47" t="inlineStr">
        <is>
          <t>Super Carlin Brothers</t>
        </is>
      </c>
      <c r="G1753" t="inlineStr">
        <is>
          <t>Why Woody Is Actually Captain America</t>
        </is>
      </c>
      <c r="H1753" s="41" t="n">
        <v>0.007083333333333333</v>
      </c>
      <c r="I1753" s="42" t="n">
        <v>209266</v>
      </c>
      <c r="J1753" s="42" t="n">
        <v>8974</v>
      </c>
      <c r="K1753" s="42" t="n">
        <v>1069</v>
      </c>
      <c r="L1753" s="43" t="n"/>
      <c r="M1753" s="44" t="n"/>
      <c r="N1753" s="44" t="inlineStr">
        <is>
          <t>UCKZo4N0lVPccBkSiuyVh4yg</t>
        </is>
      </c>
      <c r="O1753" s="45" t="n">
        <v>43746.99236111111</v>
      </c>
      <c r="P1753" s="46" t="n">
        <v>43746</v>
      </c>
      <c r="Q1753" s="44" t="n">
        <v>1519</v>
      </c>
      <c r="R1753" s="44" t="inlineStr">
        <is>
          <t>No Video ID yet</t>
        </is>
      </c>
      <c r="S1753" s="46" t="n"/>
      <c r="T1753" s="46" t="n"/>
      <c r="U1753" s="44" t="n"/>
      <c r="V1753" s="44">
        <f>IF(AND(P1753&gt;=Calendar!$K$2,P1753&lt;EDATE(Calendar!$K$2,1),OR(Calendar!$K$4="*",N1753=Calendar!$K$4)),P1753*100+COUNTIFS($P$6:$P$3271,P1753,$Q$6:$Q$3271,"&lt;="&amp;Q1753,$N$6:$N$3271,Calendar!$K$4),"")</f>
        <v/>
      </c>
      <c r="W1753" s="44">
        <f>IF(AND(B1753=Queue!$C$4,OR(Queue!$K$4="*",N1753=Queue!$K$4)),Q1753,"")</f>
        <v/>
      </c>
    </row>
    <row r="1754">
      <c r="A1754" s="35">
        <f>IF(M1754="","",HYPERLINK("https://www.youtube.com/watch?v="&amp;M1754,"▶"))</f>
        <v/>
      </c>
      <c r="B1754" s="36">
        <f>IF(C1754&lt;&gt;"",C1754,IF(P1754&lt;=IFERROR(INDEX(tblChannels[Watched Through],MATCH(N1754,tblChannels[Channel ID],0)),0),"Watched","Unwatched"))</f>
        <v/>
      </c>
      <c r="C1754" s="37" t="n"/>
      <c r="D1754" s="38" t="n"/>
      <c r="E1754" s="39" t="n">
        <v>43746.41666666666</v>
      </c>
      <c r="F1754" s="50" t="inlineStr">
        <is>
          <t>Jonathan Carlin</t>
        </is>
      </c>
      <c r="G1754" t="inlineStr">
        <is>
          <t>Beach Week and BIG ANNOUNCEMENT</t>
        </is>
      </c>
      <c r="H1754" s="41" t="n">
        <v>0.00798611111111111</v>
      </c>
      <c r="I1754" s="42" t="n">
        <v>53286</v>
      </c>
      <c r="J1754" s="42" t="n">
        <v>3841</v>
      </c>
      <c r="K1754" s="42" t="n">
        <v>0</v>
      </c>
      <c r="L1754" s="43" t="n"/>
      <c r="M1754" s="44" t="n"/>
      <c r="N1754" s="44" t="inlineStr">
        <is>
          <t>UCYPKFe86e6nm4TVUYKLsFUQ</t>
        </is>
      </c>
      <c r="O1754" s="45" t="n">
        <v>43746.58333333334</v>
      </c>
      <c r="P1754" s="46" t="n">
        <v>43746</v>
      </c>
      <c r="Q1754" s="44" t="n">
        <v>1518</v>
      </c>
      <c r="R1754" s="44" t="inlineStr">
        <is>
          <t>No Video ID yet</t>
        </is>
      </c>
      <c r="S1754" s="46" t="n"/>
      <c r="T1754" s="46" t="n"/>
      <c r="U1754" s="44" t="n"/>
      <c r="V1754" s="44">
        <f>IF(AND(P1754&gt;=Calendar!$K$2,P1754&lt;EDATE(Calendar!$K$2,1),OR(Calendar!$K$4="*",N1754=Calendar!$K$4)),P1754*100+COUNTIFS($P$6:$P$3271,P1754,$Q$6:$Q$3271,"&lt;="&amp;Q1754,$N$6:$N$3271,Calendar!$K$4),"")</f>
        <v/>
      </c>
      <c r="W1754" s="44">
        <f>IF(AND(B1754=Queue!$C$4,OR(Queue!$K$4="*",N1754=Queue!$K$4)),Q1754,"")</f>
        <v/>
      </c>
    </row>
    <row r="1755">
      <c r="A1755" s="35">
        <f>IF(M1755="","",HYPERLINK("https://www.youtube.com/watch?v="&amp;M1755,"▶"))</f>
        <v/>
      </c>
      <c r="B1755" s="36">
        <f>IF(C1755&lt;&gt;"",C1755,IF(P1755&lt;=IFERROR(INDEX(tblChannels[Watched Through],MATCH(N1755,tblChannels[Channel ID],0)),0),"Watched","Unwatched"))</f>
        <v/>
      </c>
      <c r="C1755" s="37" t="n"/>
      <c r="D1755" s="38" t="n"/>
      <c r="E1755" s="39" t="n">
        <v>43741.82916666667</v>
      </c>
      <c r="F1755" s="47" t="inlineStr">
        <is>
          <t>Super Carlin Brothers</t>
        </is>
      </c>
      <c r="G1755" t="inlineStr">
        <is>
          <t>J vs Ben: ULTIMATE Hogwarts Express Harry Potter Quiz</t>
        </is>
      </c>
      <c r="H1755" s="41" t="n">
        <v>0.01708333333333333</v>
      </c>
      <c r="I1755" s="42" t="n">
        <v>591364</v>
      </c>
      <c r="J1755" s="42" t="n">
        <v>14668</v>
      </c>
      <c r="K1755" s="42" t="n">
        <v>1924</v>
      </c>
      <c r="L1755" s="43" t="n"/>
      <c r="M1755" s="44" t="n"/>
      <c r="N1755" s="44" t="inlineStr">
        <is>
          <t>UCKZo4N0lVPccBkSiuyVh4yg</t>
        </is>
      </c>
      <c r="O1755" s="45" t="n">
        <v>43741.99583333333</v>
      </c>
      <c r="P1755" s="46" t="n">
        <v>43741</v>
      </c>
      <c r="Q1755" s="44" t="n">
        <v>1517</v>
      </c>
      <c r="R1755" s="44" t="inlineStr">
        <is>
          <t>No Video ID yet</t>
        </is>
      </c>
      <c r="S1755" s="46" t="n"/>
      <c r="T1755" s="46" t="n"/>
      <c r="U1755" s="44" t="n"/>
      <c r="V1755" s="44">
        <f>IF(AND(P1755&gt;=Calendar!$K$2,P1755&lt;EDATE(Calendar!$K$2,1),OR(Calendar!$K$4="*",N1755=Calendar!$K$4)),P1755*100+COUNTIFS($P$6:$P$3271,P1755,$Q$6:$Q$3271,"&lt;="&amp;Q1755,$N$6:$N$3271,Calendar!$K$4),"")</f>
        <v/>
      </c>
      <c r="W1755" s="44">
        <f>IF(AND(B1755=Queue!$C$4,OR(Queue!$K$4="*",N1755=Queue!$K$4)),Q1755,"")</f>
        <v/>
      </c>
    </row>
    <row r="1756">
      <c r="A1756" s="35">
        <f>IF(M1756="","",HYPERLINK("https://www.youtube.com/watch?v="&amp;M1756,"▶"))</f>
        <v/>
      </c>
      <c r="B1756" s="36">
        <f>IF(C1756&lt;&gt;"",C1756,IF(P1756&lt;=IFERROR(INDEX(tblChannels[Watched Through],MATCH(N1756,tblChannels[Channel ID],0)),0),"Watched","Unwatched"))</f>
        <v/>
      </c>
      <c r="C1756" s="37" t="n"/>
      <c r="D1756" s="38" t="n"/>
      <c r="E1756" s="39" t="n">
        <v>43739.85625</v>
      </c>
      <c r="F1756" s="47" t="inlineStr">
        <is>
          <t>Super Carlin Brothers</t>
        </is>
      </c>
      <c r="G1756" t="inlineStr">
        <is>
          <t>Fast Facts: Spider-Man Far From Home</t>
        </is>
      </c>
      <c r="H1756" s="41" t="n">
        <v>0.00568287037037037</v>
      </c>
      <c r="I1756" s="42" t="n">
        <v>206935</v>
      </c>
      <c r="J1756" s="42" t="n">
        <v>9125</v>
      </c>
      <c r="K1756" s="42" t="n">
        <v>556</v>
      </c>
      <c r="L1756" s="43" t="n"/>
      <c r="M1756" s="44" t="n"/>
      <c r="N1756" s="44" t="inlineStr">
        <is>
          <t>UCKZo4N0lVPccBkSiuyVh4yg</t>
        </is>
      </c>
      <c r="O1756" s="45" t="n">
        <v>43740.02291666667</v>
      </c>
      <c r="P1756" s="46" t="n">
        <v>43739</v>
      </c>
      <c r="Q1756" s="44" t="n">
        <v>1516</v>
      </c>
      <c r="R1756" s="44" t="inlineStr">
        <is>
          <t>No Video ID yet</t>
        </is>
      </c>
      <c r="S1756" s="46" t="n"/>
      <c r="T1756" s="46" t="n"/>
      <c r="U1756" s="44" t="n"/>
      <c r="V1756" s="44">
        <f>IF(AND(P1756&gt;=Calendar!$K$2,P1756&lt;EDATE(Calendar!$K$2,1),OR(Calendar!$K$4="*",N1756=Calendar!$K$4)),P1756*100+COUNTIFS($P$6:$P$3271,P1756,$Q$6:$Q$3271,"&lt;="&amp;Q1756,$N$6:$N$3271,Calendar!$K$4),"")</f>
        <v/>
      </c>
      <c r="W1756" s="44">
        <f>IF(AND(B1756=Queue!$C$4,OR(Queue!$K$4="*",N1756=Queue!$K$4)),Q1756,"")</f>
        <v/>
      </c>
    </row>
    <row r="1757">
      <c r="A1757" s="35">
        <f>IF(M1757="","",HYPERLINK("https://www.youtube.com/watch?v="&amp;M1757,"▶"))</f>
        <v/>
      </c>
      <c r="B1757" s="36">
        <f>IF(C1757&lt;&gt;"",C1757,IF(P1757&lt;=IFERROR(INDEX(tblChannels[Watched Through],MATCH(N1757,tblChannels[Channel ID],0)),0),"Watched","Unwatched"))</f>
        <v/>
      </c>
      <c r="C1757" s="37" t="n"/>
      <c r="D1757" s="38" t="n"/>
      <c r="E1757" s="39" t="n">
        <v>43734.77777777778</v>
      </c>
      <c r="F1757" s="47" t="inlineStr">
        <is>
          <t>Super Carlin Brothers</t>
        </is>
      </c>
      <c r="G1757" t="inlineStr">
        <is>
          <t>Harry Potter Theory: Why Didn’t Voldemort Return As A Ghost?</t>
        </is>
      </c>
      <c r="H1757" s="41" t="n">
        <v>0.009282407407407408</v>
      </c>
      <c r="I1757" s="42" t="n">
        <v>837290</v>
      </c>
      <c r="J1757" s="42" t="n">
        <v>23842</v>
      </c>
      <c r="K1757" s="42" t="n">
        <v>2970</v>
      </c>
      <c r="L1757" s="43" t="n"/>
      <c r="M1757" s="44" t="n"/>
      <c r="N1757" s="44" t="inlineStr">
        <is>
          <t>UCKZo4N0lVPccBkSiuyVh4yg</t>
        </is>
      </c>
      <c r="O1757" s="45" t="n">
        <v>43734.94444444445</v>
      </c>
      <c r="P1757" s="46" t="n">
        <v>43734</v>
      </c>
      <c r="Q1757" s="44" t="n">
        <v>1515</v>
      </c>
      <c r="R1757" s="44" t="inlineStr">
        <is>
          <t>No Video ID yet</t>
        </is>
      </c>
      <c r="S1757" s="46" t="n"/>
      <c r="T1757" s="46" t="n"/>
      <c r="U1757" s="44" t="n"/>
      <c r="V1757" s="44">
        <f>IF(AND(P1757&gt;=Calendar!$K$2,P1757&lt;EDATE(Calendar!$K$2,1),OR(Calendar!$K$4="*",N1757=Calendar!$K$4)),P1757*100+COUNTIFS($P$6:$P$3271,P1757,$Q$6:$Q$3271,"&lt;="&amp;Q1757,$N$6:$N$3271,Calendar!$K$4),"")</f>
        <v/>
      </c>
      <c r="W1757" s="44">
        <f>IF(AND(B1757=Queue!$C$4,OR(Queue!$K$4="*",N1757=Queue!$K$4)),Q1757,"")</f>
        <v/>
      </c>
    </row>
    <row r="1758">
      <c r="A1758" s="35">
        <f>IF(M1758="","",HYPERLINK("https://www.youtube.com/watch?v="&amp;M1758,"▶"))</f>
        <v/>
      </c>
      <c r="B1758" s="36">
        <f>IF(C1758&lt;&gt;"",C1758,IF(P1758&lt;=IFERROR(INDEX(tblChannels[Watched Through],MATCH(N1758,tblChannels[Channel ID],0)),0),"Watched","Unwatched"))</f>
        <v/>
      </c>
      <c r="C1758" s="37" t="n"/>
      <c r="D1758" s="38" t="n"/>
      <c r="E1758" s="39" t="n">
        <v>43734.3875</v>
      </c>
      <c r="F1758" s="49" t="inlineStr">
        <is>
          <t>Super Carlin Gaming</t>
        </is>
      </c>
      <c r="G1758" t="inlineStr">
        <is>
          <t>VICTORY ROAD |  Pokémon X Nuzlocke #42</t>
        </is>
      </c>
      <c r="H1758" s="41" t="n">
        <v>0.03396990740740741</v>
      </c>
      <c r="I1758" s="42" t="n">
        <v>18149</v>
      </c>
      <c r="J1758" s="42" t="n">
        <v>604</v>
      </c>
      <c r="K1758" s="42" t="n">
        <v>207</v>
      </c>
      <c r="L1758" s="43" t="n"/>
      <c r="M1758" s="44" t="n"/>
      <c r="N1758" s="44" t="inlineStr">
        <is>
          <t>UCor_9jRnNNZVzTuQ92PKsaQ</t>
        </is>
      </c>
      <c r="O1758" s="45" t="n">
        <v>43734.55416666667</v>
      </c>
      <c r="P1758" s="46" t="n">
        <v>43734</v>
      </c>
      <c r="Q1758" s="44" t="n">
        <v>1514</v>
      </c>
      <c r="R1758" s="44" t="inlineStr">
        <is>
          <t>No Video ID yet</t>
        </is>
      </c>
      <c r="S1758" s="46" t="n"/>
      <c r="T1758" s="46" t="n"/>
      <c r="U1758" s="44" t="n"/>
      <c r="V1758" s="44">
        <f>IF(AND(P1758&gt;=Calendar!$K$2,P1758&lt;EDATE(Calendar!$K$2,1),OR(Calendar!$K$4="*",N1758=Calendar!$K$4)),P1758*100+COUNTIFS($P$6:$P$3271,P1758,$Q$6:$Q$3271,"&lt;="&amp;Q1758,$N$6:$N$3271,Calendar!$K$4),"")</f>
        <v/>
      </c>
      <c r="W1758" s="44">
        <f>IF(AND(B1758=Queue!$C$4,OR(Queue!$K$4="*",N1758=Queue!$K$4)),Q1758,"")</f>
        <v/>
      </c>
    </row>
    <row r="1759">
      <c r="A1759" s="35">
        <f>IF(M1759="","",HYPERLINK("https://www.youtube.com/watch?v="&amp;M1759,"▶"))</f>
        <v/>
      </c>
      <c r="B1759" s="36">
        <f>IF(C1759&lt;&gt;"",C1759,IF(P1759&lt;=IFERROR(INDEX(tblChannels[Watched Through],MATCH(N1759,tblChannels[Channel ID],0)),0),"Watched","Unwatched"))</f>
        <v/>
      </c>
      <c r="C1759" s="37" t="n"/>
      <c r="D1759" s="38" t="n"/>
      <c r="E1759" s="39" t="n">
        <v>43732.70972222222</v>
      </c>
      <c r="F1759" s="47" t="inlineStr">
        <is>
          <t>Super Carlin Brothers</t>
        </is>
      </c>
      <c r="G1759" t="inlineStr">
        <is>
          <t>Frozen Theory: How Elsa Got Her Powers</t>
        </is>
      </c>
      <c r="H1759" s="41" t="n">
        <v>0.008425925925925925</v>
      </c>
      <c r="I1759" s="42" t="n">
        <v>466807</v>
      </c>
      <c r="J1759" s="42" t="n">
        <v>18209</v>
      </c>
      <c r="K1759" s="42" t="n">
        <v>1911</v>
      </c>
      <c r="L1759" s="43" t="n"/>
      <c r="M1759" s="44" t="n"/>
      <c r="N1759" s="44" t="inlineStr">
        <is>
          <t>UCKZo4N0lVPccBkSiuyVh4yg</t>
        </is>
      </c>
      <c r="O1759" s="45" t="n">
        <v>43732.87638888889</v>
      </c>
      <c r="P1759" s="46" t="n">
        <v>43732</v>
      </c>
      <c r="Q1759" s="44" t="n">
        <v>1513</v>
      </c>
      <c r="R1759" s="44" t="inlineStr">
        <is>
          <t>No Video ID yet</t>
        </is>
      </c>
      <c r="S1759" s="46" t="n"/>
      <c r="T1759" s="46" t="n"/>
      <c r="U1759" s="44" t="n"/>
      <c r="V1759" s="44">
        <f>IF(AND(P1759&gt;=Calendar!$K$2,P1759&lt;EDATE(Calendar!$K$2,1),OR(Calendar!$K$4="*",N1759=Calendar!$K$4)),P1759*100+COUNTIFS($P$6:$P$3271,P1759,$Q$6:$Q$3271,"&lt;="&amp;Q1759,$N$6:$N$3271,Calendar!$K$4),"")</f>
        <v/>
      </c>
      <c r="W1759" s="44">
        <f>IF(AND(B1759=Queue!$C$4,OR(Queue!$K$4="*",N1759=Queue!$K$4)),Q1759,"")</f>
        <v/>
      </c>
    </row>
    <row r="1760">
      <c r="A1760" s="35">
        <f>IF(M1760="","",HYPERLINK("https://www.youtube.com/watch?v="&amp;M1760,"▶"))</f>
        <v/>
      </c>
      <c r="B1760" s="36">
        <f>IF(C1760&lt;&gt;"",C1760,IF(P1760&lt;=IFERROR(INDEX(tblChannels[Watched Through],MATCH(N1760,tblChannels[Channel ID],0)),0),"Watched","Unwatched"))</f>
        <v/>
      </c>
      <c r="C1760" s="37" t="n"/>
      <c r="D1760" s="38" t="n"/>
      <c r="E1760" s="39" t="n">
        <v>43731.46805555555</v>
      </c>
      <c r="F1760" s="50" t="inlineStr">
        <is>
          <t>Jonathan Carlin</t>
        </is>
      </c>
      <c r="G1760" t="inlineStr">
        <is>
          <t>Luke Meets Olivia For The First Time!</t>
        </is>
      </c>
      <c r="H1760" s="41" t="n">
        <v>0.00449074074074074</v>
      </c>
      <c r="I1760" s="42" t="n">
        <v>30024</v>
      </c>
      <c r="J1760" s="42" t="n">
        <v>1543</v>
      </c>
      <c r="K1760" s="42" t="n">
        <v>134</v>
      </c>
      <c r="L1760" s="43" t="n"/>
      <c r="M1760" s="44" t="n"/>
      <c r="N1760" s="44" t="inlineStr">
        <is>
          <t>UCYPKFe86e6nm4TVUYKLsFUQ</t>
        </is>
      </c>
      <c r="O1760" s="45" t="n">
        <v>43731.63472222222</v>
      </c>
      <c r="P1760" s="46" t="n">
        <v>43731</v>
      </c>
      <c r="Q1760" s="44" t="n">
        <v>1512</v>
      </c>
      <c r="R1760" s="44" t="inlineStr">
        <is>
          <t>No Video ID yet</t>
        </is>
      </c>
      <c r="S1760" s="46" t="n"/>
      <c r="T1760" s="46" t="n"/>
      <c r="U1760" s="44" t="n"/>
      <c r="V1760" s="44">
        <f>IF(AND(P1760&gt;=Calendar!$K$2,P1760&lt;EDATE(Calendar!$K$2,1),OR(Calendar!$K$4="*",N1760=Calendar!$K$4)),P1760*100+COUNTIFS($P$6:$P$3271,P1760,$Q$6:$Q$3271,"&lt;="&amp;Q1760,$N$6:$N$3271,Calendar!$K$4),"")</f>
        <v/>
      </c>
      <c r="W1760" s="44">
        <f>IF(AND(B1760=Queue!$C$4,OR(Queue!$K$4="*",N1760=Queue!$K$4)),Q1760,"")</f>
        <v/>
      </c>
    </row>
    <row r="1761">
      <c r="A1761" s="35">
        <f>IF(M1761="","",HYPERLINK("https://www.youtube.com/watch?v="&amp;M1761,"▶"))</f>
        <v/>
      </c>
      <c r="B1761" s="36">
        <f>IF(C1761&lt;&gt;"",C1761,IF(P1761&lt;=IFERROR(INDEX(tblChannels[Watched Through],MATCH(N1761,tblChannels[Channel ID],0)),0),"Watched","Unwatched"))</f>
        <v/>
      </c>
      <c r="C1761" s="37" t="n"/>
      <c r="D1761" s="38" t="n"/>
      <c r="E1761" s="39" t="n">
        <v>43729.32013888889</v>
      </c>
      <c r="F1761" s="49" t="inlineStr">
        <is>
          <t>Super Carlin Gaming</t>
        </is>
      </c>
      <c r="G1761" t="inlineStr">
        <is>
          <t>Hogwarts Founders LEARN MAGIC in SIMS 4 | Episode #5</t>
        </is>
      </c>
      <c r="H1761" s="41" t="n">
        <v>0.02090277777777778</v>
      </c>
      <c r="I1761" s="42" t="n">
        <v>46911</v>
      </c>
      <c r="J1761" s="42" t="n">
        <v>1507</v>
      </c>
      <c r="K1761" s="42" t="n">
        <v>308</v>
      </c>
      <c r="L1761" s="43" t="n"/>
      <c r="M1761" s="44" t="n"/>
      <c r="N1761" s="44" t="inlineStr">
        <is>
          <t>UCor_9jRnNNZVzTuQ92PKsaQ</t>
        </is>
      </c>
      <c r="O1761" s="45" t="n">
        <v>43729.48680555556</v>
      </c>
      <c r="P1761" s="46" t="n">
        <v>43729</v>
      </c>
      <c r="Q1761" s="44" t="n">
        <v>1511</v>
      </c>
      <c r="R1761" s="44" t="inlineStr">
        <is>
          <t>No Video ID yet</t>
        </is>
      </c>
      <c r="S1761" s="46" t="n"/>
      <c r="T1761" s="46" t="n"/>
      <c r="U1761" s="44" t="n"/>
      <c r="V1761" s="44">
        <f>IF(AND(P1761&gt;=Calendar!$K$2,P1761&lt;EDATE(Calendar!$K$2,1),OR(Calendar!$K$4="*",N1761=Calendar!$K$4)),P1761*100+COUNTIFS($P$6:$P$3271,P1761,$Q$6:$Q$3271,"&lt;="&amp;Q1761,$N$6:$N$3271,Calendar!$K$4),"")</f>
        <v/>
      </c>
      <c r="W1761" s="44">
        <f>IF(AND(B1761=Queue!$C$4,OR(Queue!$K$4="*",N1761=Queue!$K$4)),Q1761,"")</f>
        <v/>
      </c>
    </row>
    <row r="1762">
      <c r="A1762" s="35">
        <f>IF(M1762="","",HYPERLINK("https://www.youtube.com/watch?v="&amp;M1762,"▶"))</f>
        <v/>
      </c>
      <c r="B1762" s="36">
        <f>IF(C1762&lt;&gt;"",C1762,IF(P1762&lt;=IFERROR(INDEX(tblChannels[Watched Through],MATCH(N1762,tblChannels[Channel ID],0)),0),"Watched","Unwatched"))</f>
        <v/>
      </c>
      <c r="C1762" s="37" t="n"/>
      <c r="D1762" s="38" t="n"/>
      <c r="E1762" s="39" t="n">
        <v>43728.74444444444</v>
      </c>
      <c r="F1762" s="47" t="inlineStr">
        <is>
          <t>Super Carlin Brothers</t>
        </is>
      </c>
      <c r="G1762" t="inlineStr">
        <is>
          <t>Carlin Brothers Coffee 1-Year Anniversary Stream!</t>
        </is>
      </c>
      <c r="H1762" s="41" t="n">
        <v>0.0862037037037037</v>
      </c>
      <c r="I1762" s="42" t="n">
        <v>105607</v>
      </c>
      <c r="J1762" s="42" t="n">
        <v>1578</v>
      </c>
      <c r="K1762" s="42" t="n">
        <v>108</v>
      </c>
      <c r="L1762" s="43" t="n"/>
      <c r="M1762" s="44" t="n"/>
      <c r="N1762" s="44" t="inlineStr">
        <is>
          <t>UCKZo4N0lVPccBkSiuyVh4yg</t>
        </is>
      </c>
      <c r="O1762" s="45" t="n">
        <v>43728.91111111111</v>
      </c>
      <c r="P1762" s="46" t="n">
        <v>43728</v>
      </c>
      <c r="Q1762" s="44" t="n">
        <v>1510</v>
      </c>
      <c r="R1762" s="44" t="inlineStr">
        <is>
          <t>No Video ID yet</t>
        </is>
      </c>
      <c r="S1762" s="46" t="n"/>
      <c r="T1762" s="46" t="n"/>
      <c r="U1762" s="44" t="n"/>
      <c r="V1762" s="44">
        <f>IF(AND(P1762&gt;=Calendar!$K$2,P1762&lt;EDATE(Calendar!$K$2,1),OR(Calendar!$K$4="*",N1762=Calendar!$K$4)),P1762*100+COUNTIFS($P$6:$P$3271,P1762,$Q$6:$Q$3271,"&lt;="&amp;Q1762,$N$6:$N$3271,Calendar!$K$4),"")</f>
        <v/>
      </c>
      <c r="W1762" s="44">
        <f>IF(AND(B1762=Queue!$C$4,OR(Queue!$K$4="*",N1762=Queue!$K$4)),Q1762,"")</f>
        <v/>
      </c>
    </row>
    <row r="1763">
      <c r="A1763" s="35">
        <f>IF(M1763="","",HYPERLINK("https://www.youtube.com/watch?v="&amp;M1763,"▶"))</f>
        <v/>
      </c>
      <c r="B1763" s="36">
        <f>IF(C1763&lt;&gt;"",C1763,IF(P1763&lt;=IFERROR(INDEX(tblChannels[Watched Through],MATCH(N1763,tblChannels[Channel ID],0)),0),"Watched","Unwatched"))</f>
        <v/>
      </c>
      <c r="C1763" s="37" t="n"/>
      <c r="D1763" s="38" t="n"/>
      <c r="E1763" s="39" t="n">
        <v>43727.74652777778</v>
      </c>
      <c r="F1763" s="47" t="inlineStr">
        <is>
          <t>Super Carlin Brothers</t>
        </is>
      </c>
      <c r="G1763" t="inlineStr">
        <is>
          <t>Toy Story 4 Alternate Ending Explained</t>
        </is>
      </c>
      <c r="H1763" s="41" t="n">
        <v>0.009293981481481481</v>
      </c>
      <c r="I1763" s="42" t="n">
        <v>248011</v>
      </c>
      <c r="J1763" s="42" t="n">
        <v>8863</v>
      </c>
      <c r="K1763" s="42" t="n">
        <v>749</v>
      </c>
      <c r="L1763" s="43" t="n"/>
      <c r="M1763" s="44" t="n"/>
      <c r="N1763" s="44" t="inlineStr">
        <is>
          <t>UCKZo4N0lVPccBkSiuyVh4yg</t>
        </is>
      </c>
      <c r="O1763" s="45" t="n">
        <v>43727.91319444445</v>
      </c>
      <c r="P1763" s="46" t="n">
        <v>43727</v>
      </c>
      <c r="Q1763" s="44" t="n">
        <v>1509</v>
      </c>
      <c r="R1763" s="44" t="inlineStr">
        <is>
          <t>No Video ID yet</t>
        </is>
      </c>
      <c r="S1763" s="46" t="n"/>
      <c r="T1763" s="46" t="n"/>
      <c r="U1763" s="44" t="n"/>
      <c r="V1763" s="44">
        <f>IF(AND(P1763&gt;=Calendar!$K$2,P1763&lt;EDATE(Calendar!$K$2,1),OR(Calendar!$K$4="*",N1763=Calendar!$K$4)),P1763*100+COUNTIFS($P$6:$P$3271,P1763,$Q$6:$Q$3271,"&lt;="&amp;Q1763,$N$6:$N$3271,Calendar!$K$4),"")</f>
        <v/>
      </c>
      <c r="W1763" s="44">
        <f>IF(AND(B1763=Queue!$C$4,OR(Queue!$K$4="*",N1763=Queue!$K$4)),Q1763,"")</f>
        <v/>
      </c>
    </row>
    <row r="1764">
      <c r="A1764" s="35">
        <f>IF(M1764="","",HYPERLINK("https://www.youtube.com/watch?v="&amp;M1764,"▶"))</f>
        <v/>
      </c>
      <c r="B1764" s="36">
        <f>IF(C1764&lt;&gt;"",C1764,IF(P1764&lt;=IFERROR(INDEX(tblChannels[Watched Through],MATCH(N1764,tblChannels[Channel ID],0)),0),"Watched","Unwatched"))</f>
        <v/>
      </c>
      <c r="C1764" s="37" t="n"/>
      <c r="D1764" s="38" t="n"/>
      <c r="E1764" s="39" t="n">
        <v>43726.47291666667</v>
      </c>
      <c r="F1764" s="49" t="inlineStr">
        <is>
          <t>Super Carlin Gaming</t>
        </is>
      </c>
      <c r="G1764" t="inlineStr">
        <is>
          <t>Preparing for Victory |  Pokémon X Nuzlocke #41</t>
        </is>
      </c>
      <c r="H1764" s="41" t="n">
        <v>0.02023148148148148</v>
      </c>
      <c r="I1764" s="42" t="n">
        <v>15097</v>
      </c>
      <c r="J1764" s="42" t="n">
        <v>518</v>
      </c>
      <c r="K1764" s="42" t="n">
        <v>100</v>
      </c>
      <c r="L1764" s="43" t="n"/>
      <c r="M1764" s="44" t="n"/>
      <c r="N1764" s="44" t="inlineStr">
        <is>
          <t>UCor_9jRnNNZVzTuQ92PKsaQ</t>
        </is>
      </c>
      <c r="O1764" s="45" t="n">
        <v>43726.63958333333</v>
      </c>
      <c r="P1764" s="46" t="n">
        <v>43726</v>
      </c>
      <c r="Q1764" s="44" t="n">
        <v>1508</v>
      </c>
      <c r="R1764" s="44" t="inlineStr">
        <is>
          <t>No Video ID yet</t>
        </is>
      </c>
      <c r="S1764" s="46" t="n"/>
      <c r="T1764" s="46" t="n"/>
      <c r="U1764" s="44" t="n"/>
      <c r="V1764" s="44">
        <f>IF(AND(P1764&gt;=Calendar!$K$2,P1764&lt;EDATE(Calendar!$K$2,1),OR(Calendar!$K$4="*",N1764=Calendar!$K$4)),P1764*100+COUNTIFS($P$6:$P$3271,P1764,$Q$6:$Q$3271,"&lt;="&amp;Q1764,$N$6:$N$3271,Calendar!$K$4),"")</f>
        <v/>
      </c>
      <c r="W1764" s="44">
        <f>IF(AND(B1764=Queue!$C$4,OR(Queue!$K$4="*",N1764=Queue!$K$4)),Q1764,"")</f>
        <v/>
      </c>
    </row>
    <row r="1765">
      <c r="A1765" s="35">
        <f>IF(M1765="","",HYPERLINK("https://www.youtube.com/watch?v="&amp;M1765,"▶"))</f>
        <v/>
      </c>
      <c r="B1765" s="36">
        <f>IF(C1765&lt;&gt;"",C1765,IF(P1765&lt;=IFERROR(INDEX(tblChannels[Watched Through],MATCH(N1765,tblChannels[Channel ID],0)),0),"Watched","Unwatched"))</f>
        <v/>
      </c>
      <c r="C1765" s="37" t="n"/>
      <c r="D1765" s="38" t="n"/>
      <c r="E1765" s="39" t="n">
        <v>43725.81666666667</v>
      </c>
      <c r="F1765" s="47" t="inlineStr">
        <is>
          <t>Super Carlin Brothers</t>
        </is>
      </c>
      <c r="G1765" t="inlineStr">
        <is>
          <t>Trelawney's Actually ALWAYS Right? | Harry Potter Explained</t>
        </is>
      </c>
      <c r="H1765" s="41" t="n">
        <v>0.009386574074074073</v>
      </c>
      <c r="I1765" s="42" t="n">
        <v>1521106</v>
      </c>
      <c r="J1765" s="42" t="n">
        <v>46775</v>
      </c>
      <c r="K1765" s="42" t="n">
        <v>3864</v>
      </c>
      <c r="L1765" s="43" t="n"/>
      <c r="M1765" s="44" t="n"/>
      <c r="N1765" s="44" t="inlineStr">
        <is>
          <t>UCKZo4N0lVPccBkSiuyVh4yg</t>
        </is>
      </c>
      <c r="O1765" s="45" t="n">
        <v>43725.98333333333</v>
      </c>
      <c r="P1765" s="46" t="n">
        <v>43725</v>
      </c>
      <c r="Q1765" s="44" t="n">
        <v>1507</v>
      </c>
      <c r="R1765" s="44" t="inlineStr">
        <is>
          <t>No Video ID yet</t>
        </is>
      </c>
      <c r="S1765" s="46" t="n"/>
      <c r="T1765" s="46" t="n"/>
      <c r="U1765" s="44" t="n"/>
      <c r="V1765" s="44">
        <f>IF(AND(P1765&gt;=Calendar!$K$2,P1765&lt;EDATE(Calendar!$K$2,1),OR(Calendar!$K$4="*",N1765=Calendar!$K$4)),P1765*100+COUNTIFS($P$6:$P$3271,P1765,$Q$6:$Q$3271,"&lt;="&amp;Q1765,$N$6:$N$3271,Calendar!$K$4),"")</f>
        <v/>
      </c>
      <c r="W1765" s="44">
        <f>IF(AND(B1765=Queue!$C$4,OR(Queue!$K$4="*",N1765=Queue!$K$4)),Q1765,"")</f>
        <v/>
      </c>
    </row>
    <row r="1766">
      <c r="A1766" s="35">
        <f>IF(M1766="","",HYPERLINK("https://www.youtube.com/watch?v="&amp;M1766,"▶"))</f>
        <v/>
      </c>
      <c r="B1766" s="36">
        <f>IF(C1766&lt;&gt;"",C1766,IF(P1766&lt;=IFERROR(INDEX(tblChannels[Watched Through],MATCH(N1766,tblChannels[Channel ID],0)),0),"Watched","Unwatched"))</f>
        <v/>
      </c>
      <c r="C1766" s="37" t="n"/>
      <c r="D1766" s="38" t="n"/>
      <c r="E1766" s="39" t="n">
        <v>43724.44166666667</v>
      </c>
      <c r="F1766" s="50" t="inlineStr">
        <is>
          <t>Jonathan Carlin</t>
        </is>
      </c>
      <c r="G1766" t="inlineStr">
        <is>
          <t>TYLER &amp; EMILY HAVE A BABY!</t>
        </is>
      </c>
      <c r="H1766" s="41" t="n">
        <v>0.006354166666666667</v>
      </c>
      <c r="I1766" s="42" t="n">
        <v>42930</v>
      </c>
      <c r="J1766" s="42" t="n">
        <v>2165</v>
      </c>
      <c r="K1766" s="42" t="n">
        <v>201</v>
      </c>
      <c r="L1766" s="43" t="n"/>
      <c r="M1766" s="44" t="n"/>
      <c r="N1766" s="44" t="inlineStr">
        <is>
          <t>UCYPKFe86e6nm4TVUYKLsFUQ</t>
        </is>
      </c>
      <c r="O1766" s="45" t="n">
        <v>43724.60833333333</v>
      </c>
      <c r="P1766" s="46" t="n">
        <v>43724</v>
      </c>
      <c r="Q1766" s="44" t="n">
        <v>1506</v>
      </c>
      <c r="R1766" s="44" t="inlineStr">
        <is>
          <t>No Video ID yet</t>
        </is>
      </c>
      <c r="S1766" s="46" t="n"/>
      <c r="T1766" s="46" t="n"/>
      <c r="U1766" s="44" t="n"/>
      <c r="V1766" s="44">
        <f>IF(AND(P1766&gt;=Calendar!$K$2,P1766&lt;EDATE(Calendar!$K$2,1),OR(Calendar!$K$4="*",N1766=Calendar!$K$4)),P1766*100+COUNTIFS($P$6:$P$3271,P1766,$Q$6:$Q$3271,"&lt;="&amp;Q1766,$N$6:$N$3271,Calendar!$K$4),"")</f>
        <v/>
      </c>
      <c r="W1766" s="44">
        <f>IF(AND(B1766=Queue!$C$4,OR(Queue!$K$4="*",N1766=Queue!$K$4)),Q1766,"")</f>
        <v/>
      </c>
    </row>
    <row r="1767">
      <c r="A1767" s="35">
        <f>IF(M1767="","",HYPERLINK("https://www.youtube.com/watch?v="&amp;M1767,"▶"))</f>
        <v/>
      </c>
      <c r="B1767" s="36">
        <f>IF(C1767&lt;&gt;"",C1767,IF(P1767&lt;=IFERROR(INDEX(tblChannels[Watched Through],MATCH(N1767,tblChannels[Channel ID],0)),0),"Watched","Unwatched"))</f>
        <v/>
      </c>
      <c r="C1767" s="37" t="n"/>
      <c r="D1767" s="38" t="n"/>
      <c r="E1767" s="39" t="n">
        <v>43721.41805555556</v>
      </c>
      <c r="F1767" s="49" t="inlineStr">
        <is>
          <t>Super Carlin Gaming</t>
        </is>
      </c>
      <c r="G1767" t="inlineStr">
        <is>
          <t>Hogwarts Founders Get a UNICORN in SIMS 4 | Episode #4</t>
        </is>
      </c>
      <c r="H1767" s="41" t="n">
        <v>0.02471064814814815</v>
      </c>
      <c r="I1767" s="42" t="n">
        <v>47474</v>
      </c>
      <c r="J1767" s="42" t="n">
        <v>1609</v>
      </c>
      <c r="K1767" s="42" t="n">
        <v>364</v>
      </c>
      <c r="L1767" s="43" t="n"/>
      <c r="M1767" s="44" t="n"/>
      <c r="N1767" s="44" t="inlineStr">
        <is>
          <t>UCor_9jRnNNZVzTuQ92PKsaQ</t>
        </is>
      </c>
      <c r="O1767" s="45" t="n">
        <v>43721.58472222222</v>
      </c>
      <c r="P1767" s="46" t="n">
        <v>43721</v>
      </c>
      <c r="Q1767" s="44" t="n">
        <v>1505</v>
      </c>
      <c r="R1767" s="44" t="inlineStr">
        <is>
          <t>No Video ID yet</t>
        </is>
      </c>
      <c r="S1767" s="46" t="n"/>
      <c r="T1767" s="46" t="n"/>
      <c r="U1767" s="44" t="n"/>
      <c r="V1767" s="44">
        <f>IF(AND(P1767&gt;=Calendar!$K$2,P1767&lt;EDATE(Calendar!$K$2,1),OR(Calendar!$K$4="*",N1767=Calendar!$K$4)),P1767*100+COUNTIFS($P$6:$P$3271,P1767,$Q$6:$Q$3271,"&lt;="&amp;Q1767,$N$6:$N$3271,Calendar!$K$4),"")</f>
        <v/>
      </c>
      <c r="W1767" s="44">
        <f>IF(AND(B1767=Queue!$C$4,OR(Queue!$K$4="*",N1767=Queue!$K$4)),Q1767,"")</f>
        <v/>
      </c>
    </row>
    <row r="1768">
      <c r="A1768" s="35">
        <f>IF(M1768="","",HYPERLINK("https://www.youtube.com/watch?v="&amp;M1768,"▶"))</f>
        <v/>
      </c>
      <c r="B1768" s="36">
        <f>IF(C1768&lt;&gt;"",C1768,IF(P1768&lt;=IFERROR(INDEX(tblChannels[Watched Through],MATCH(N1768,tblChannels[Channel ID],0)),0),"Watched","Unwatched"))</f>
        <v/>
      </c>
      <c r="C1768" s="37" t="n"/>
      <c r="D1768" s="38" t="n"/>
      <c r="E1768" s="39" t="n">
        <v>43720.74375</v>
      </c>
      <c r="F1768" s="47" t="inlineStr">
        <is>
          <t>Super Carlin Brothers</t>
        </is>
      </c>
      <c r="G1768" t="inlineStr">
        <is>
          <t>How Old Is Captain America In Endgame? | Avengers Explained</t>
        </is>
      </c>
      <c r="H1768" s="41" t="n">
        <v>0.008298611111111111</v>
      </c>
      <c r="I1768" s="42" t="n">
        <v>276926</v>
      </c>
      <c r="J1768" s="42" t="n">
        <v>11341</v>
      </c>
      <c r="K1768" s="42" t="n">
        <v>1238</v>
      </c>
      <c r="L1768" s="43" t="n"/>
      <c r="M1768" s="44" t="n"/>
      <c r="N1768" s="44" t="inlineStr">
        <is>
          <t>UCKZo4N0lVPccBkSiuyVh4yg</t>
        </is>
      </c>
      <c r="O1768" s="45" t="n">
        <v>43720.91041666667</v>
      </c>
      <c r="P1768" s="46" t="n">
        <v>43720</v>
      </c>
      <c r="Q1768" s="44" t="n">
        <v>1504</v>
      </c>
      <c r="R1768" s="44" t="inlineStr">
        <is>
          <t>No Video ID yet</t>
        </is>
      </c>
      <c r="S1768" s="46" t="n"/>
      <c r="T1768" s="46" t="n"/>
      <c r="U1768" s="44" t="n"/>
      <c r="V1768" s="44">
        <f>IF(AND(P1768&gt;=Calendar!$K$2,P1768&lt;EDATE(Calendar!$K$2,1),OR(Calendar!$K$4="*",N1768=Calendar!$K$4)),P1768*100+COUNTIFS($P$6:$P$3271,P1768,$Q$6:$Q$3271,"&lt;="&amp;Q1768,$N$6:$N$3271,Calendar!$K$4),"")</f>
        <v/>
      </c>
      <c r="W1768" s="44">
        <f>IF(AND(B1768=Queue!$C$4,OR(Queue!$K$4="*",N1768=Queue!$K$4)),Q1768,"")</f>
        <v/>
      </c>
    </row>
    <row r="1769">
      <c r="A1769" s="35">
        <f>IF(M1769="","",HYPERLINK("https://www.youtube.com/watch?v="&amp;M1769,"▶"))</f>
        <v/>
      </c>
      <c r="B1769" s="36">
        <f>IF(C1769&lt;&gt;"",C1769,IF(P1769&lt;=IFERROR(INDEX(tblChannels[Watched Through],MATCH(N1769,tblChannels[Channel ID],0)),0),"Watched","Unwatched"))</f>
        <v/>
      </c>
      <c r="C1769" s="37" t="n"/>
      <c r="D1769" s="38" t="n"/>
      <c r="E1769" s="39" t="n">
        <v>43719.41666666666</v>
      </c>
      <c r="F1769" s="49" t="inlineStr">
        <is>
          <t>Super Carlin Gaming</t>
        </is>
      </c>
      <c r="G1769" t="inlineStr">
        <is>
          <t>THE FINAL GYM BATTLE |  Pokémon X Nuzlocke #40</t>
        </is>
      </c>
      <c r="H1769" s="41" t="n">
        <v>0.02737268518518518</v>
      </c>
      <c r="I1769" s="42" t="n">
        <v>17005</v>
      </c>
      <c r="J1769" s="42" t="n">
        <v>542</v>
      </c>
      <c r="K1769" s="42" t="n">
        <v>157</v>
      </c>
      <c r="L1769" s="43" t="n"/>
      <c r="M1769" s="44" t="n"/>
      <c r="N1769" s="44" t="inlineStr">
        <is>
          <t>UCor_9jRnNNZVzTuQ92PKsaQ</t>
        </is>
      </c>
      <c r="O1769" s="45" t="n">
        <v>43719.58333333334</v>
      </c>
      <c r="P1769" s="46" t="n">
        <v>43719</v>
      </c>
      <c r="Q1769" s="44" t="n">
        <v>1503</v>
      </c>
      <c r="R1769" s="44" t="inlineStr">
        <is>
          <t>No Video ID yet</t>
        </is>
      </c>
      <c r="S1769" s="46" t="n"/>
      <c r="T1769" s="46" t="n"/>
      <c r="U1769" s="44" t="n"/>
      <c r="V1769" s="44">
        <f>IF(AND(P1769&gt;=Calendar!$K$2,P1769&lt;EDATE(Calendar!$K$2,1),OR(Calendar!$K$4="*",N1769=Calendar!$K$4)),P1769*100+COUNTIFS($P$6:$P$3271,P1769,$Q$6:$Q$3271,"&lt;="&amp;Q1769,$N$6:$N$3271,Calendar!$K$4),"")</f>
        <v/>
      </c>
      <c r="W1769" s="44">
        <f>IF(AND(B1769=Queue!$C$4,OR(Queue!$K$4="*",N1769=Queue!$K$4)),Q1769,"")</f>
        <v/>
      </c>
    </row>
    <row r="1770">
      <c r="A1770" s="35">
        <f>IF(M1770="","",HYPERLINK("https://www.youtube.com/watch?v="&amp;M1770,"▶"))</f>
        <v/>
      </c>
      <c r="B1770" s="36">
        <f>IF(C1770&lt;&gt;"",C1770,IF(P1770&lt;=IFERROR(INDEX(tblChannels[Watched Through],MATCH(N1770,tblChannels[Channel ID],0)),0),"Watched","Unwatched"))</f>
        <v/>
      </c>
      <c r="C1770" s="37" t="n"/>
      <c r="D1770" s="38" t="n"/>
      <c r="E1770" s="39" t="n">
        <v>43718.89027777778</v>
      </c>
      <c r="F1770" s="47" t="inlineStr">
        <is>
          <t>Super Carlin Brothers</t>
        </is>
      </c>
      <c r="G1770" t="inlineStr">
        <is>
          <t>How Much Did Nemo Cost The Dentist? | Pixar Theory</t>
        </is>
      </c>
      <c r="H1770" s="41" t="n">
        <v>0.008622685185185185</v>
      </c>
      <c r="I1770" s="42" t="n">
        <v>314791</v>
      </c>
      <c r="J1770" s="42" t="n">
        <v>10719</v>
      </c>
      <c r="K1770" s="42" t="n">
        <v>1972</v>
      </c>
      <c r="L1770" s="43" t="n"/>
      <c r="M1770" s="44" t="n"/>
      <c r="N1770" s="44" t="inlineStr">
        <is>
          <t>UCKZo4N0lVPccBkSiuyVh4yg</t>
        </is>
      </c>
      <c r="O1770" s="45" t="n">
        <v>43719.05694444444</v>
      </c>
      <c r="P1770" s="46" t="n">
        <v>43718</v>
      </c>
      <c r="Q1770" s="44" t="n">
        <v>1502</v>
      </c>
      <c r="R1770" s="44" t="inlineStr">
        <is>
          <t>No Video ID yet</t>
        </is>
      </c>
      <c r="S1770" s="46" t="n"/>
      <c r="T1770" s="46" t="n"/>
      <c r="U1770" s="44" t="n"/>
      <c r="V1770" s="44">
        <f>IF(AND(P1770&gt;=Calendar!$K$2,P1770&lt;EDATE(Calendar!$K$2,1),OR(Calendar!$K$4="*",N1770=Calendar!$K$4)),P1770*100+COUNTIFS($P$6:$P$3271,P1770,$Q$6:$Q$3271,"&lt;="&amp;Q1770,$N$6:$N$3271,Calendar!$K$4),"")</f>
        <v/>
      </c>
      <c r="W1770" s="44">
        <f>IF(AND(B1770=Queue!$C$4,OR(Queue!$K$4="*",N1770=Queue!$K$4)),Q1770,"")</f>
        <v/>
      </c>
    </row>
    <row r="1771">
      <c r="A1771" s="35">
        <f>IF(M1771="","",HYPERLINK("https://www.youtube.com/watch?v="&amp;M1771,"▶"))</f>
        <v/>
      </c>
      <c r="B1771" s="36">
        <f>IF(C1771&lt;&gt;"",C1771,IF(P1771&lt;=IFERROR(INDEX(tblChannels[Watched Through],MATCH(N1771,tblChannels[Channel ID],0)),0),"Watched","Unwatched"))</f>
        <v/>
      </c>
      <c r="C1771" s="37" t="n"/>
      <c r="D1771" s="38" t="n"/>
      <c r="E1771" s="39" t="n">
        <v>43717.48333333333</v>
      </c>
      <c r="F1771" s="50" t="inlineStr">
        <is>
          <t>Jonathan Carlin</t>
        </is>
      </c>
      <c r="G1771" t="inlineStr">
        <is>
          <t>Technical Difficulties...</t>
        </is>
      </c>
      <c r="H1771" s="41" t="n">
        <v>0.003773148148148148</v>
      </c>
      <c r="I1771" s="42" t="n">
        <v>21883</v>
      </c>
      <c r="J1771" s="42" t="n">
        <v>1459</v>
      </c>
      <c r="K1771" s="42" t="n">
        <v>109</v>
      </c>
      <c r="L1771" s="43" t="n"/>
      <c r="M1771" s="44" t="n"/>
      <c r="N1771" s="44" t="inlineStr">
        <is>
          <t>UCYPKFe86e6nm4TVUYKLsFUQ</t>
        </is>
      </c>
      <c r="O1771" s="45" t="n">
        <v>43717.65</v>
      </c>
      <c r="P1771" s="46" t="n">
        <v>43717</v>
      </c>
      <c r="Q1771" s="44" t="n">
        <v>1501</v>
      </c>
      <c r="R1771" s="44" t="inlineStr">
        <is>
          <t>No Video ID yet</t>
        </is>
      </c>
      <c r="S1771" s="46" t="n"/>
      <c r="T1771" s="46" t="n"/>
      <c r="U1771" s="44" t="n"/>
      <c r="V1771" s="44">
        <f>IF(AND(P1771&gt;=Calendar!$K$2,P1771&lt;EDATE(Calendar!$K$2,1),OR(Calendar!$K$4="*",N1771=Calendar!$K$4)),P1771*100+COUNTIFS($P$6:$P$3271,P1771,$Q$6:$Q$3271,"&lt;="&amp;Q1771,$N$6:$N$3271,Calendar!$K$4),"")</f>
        <v/>
      </c>
      <c r="W1771" s="44">
        <f>IF(AND(B1771=Queue!$C$4,OR(Queue!$K$4="*",N1771=Queue!$K$4)),Q1771,"")</f>
        <v/>
      </c>
    </row>
    <row r="1772">
      <c r="A1772" s="35">
        <f>IF(M1772="","",HYPERLINK("https://www.youtube.com/watch?v="&amp;M1772,"▶"))</f>
        <v/>
      </c>
      <c r="B1772" s="36">
        <f>IF(C1772&lt;&gt;"",C1772,IF(P1772&lt;=IFERROR(INDEX(tblChannels[Watched Through],MATCH(N1772,tblChannels[Channel ID],0)),0),"Watched","Unwatched"))</f>
        <v/>
      </c>
      <c r="C1772" s="37" t="n"/>
      <c r="D1772" s="38" t="n"/>
      <c r="E1772" s="39" t="n">
        <v>43714.41666666666</v>
      </c>
      <c r="F1772" s="49" t="inlineStr">
        <is>
          <t>Super Carlin Gaming</t>
        </is>
      </c>
      <c r="G1772" t="inlineStr">
        <is>
          <t>Hogwarts Founders Build Ravenclaw Tower in SIMS 4 | Episode #3</t>
        </is>
      </c>
      <c r="H1772" s="41" t="n">
        <v>0.02434027777777778</v>
      </c>
      <c r="I1772" s="42" t="n">
        <v>57498</v>
      </c>
      <c r="J1772" s="42" t="n">
        <v>2021</v>
      </c>
      <c r="K1772" s="42" t="n">
        <v>405</v>
      </c>
      <c r="L1772" s="43" t="n"/>
      <c r="M1772" s="44" t="n"/>
      <c r="N1772" s="44" t="inlineStr">
        <is>
          <t>UCor_9jRnNNZVzTuQ92PKsaQ</t>
        </is>
      </c>
      <c r="O1772" s="45" t="n">
        <v>43714.58333333334</v>
      </c>
      <c r="P1772" s="46" t="n">
        <v>43714</v>
      </c>
      <c r="Q1772" s="44" t="n">
        <v>1500</v>
      </c>
      <c r="R1772" s="44" t="inlineStr">
        <is>
          <t>No Video ID yet</t>
        </is>
      </c>
      <c r="S1772" s="46" t="n"/>
      <c r="T1772" s="46" t="n"/>
      <c r="U1772" s="44" t="n"/>
      <c r="V1772" s="44">
        <f>IF(AND(P1772&gt;=Calendar!$K$2,P1772&lt;EDATE(Calendar!$K$2,1),OR(Calendar!$K$4="*",N1772=Calendar!$K$4)),P1772*100+COUNTIFS($P$6:$P$3271,P1772,$Q$6:$Q$3271,"&lt;="&amp;Q1772,$N$6:$N$3271,Calendar!$K$4),"")</f>
        <v/>
      </c>
      <c r="W1772" s="44">
        <f>IF(AND(B1772=Queue!$C$4,OR(Queue!$K$4="*",N1772=Queue!$K$4)),Q1772,"")</f>
        <v/>
      </c>
    </row>
    <row r="1773">
      <c r="A1773" s="35">
        <f>IF(M1773="","",HYPERLINK("https://www.youtube.com/watch?v="&amp;M1773,"▶"))</f>
        <v/>
      </c>
      <c r="B1773" s="36">
        <f>IF(C1773&lt;&gt;"",C1773,IF(P1773&lt;=IFERROR(INDEX(tblChannels[Watched Through],MATCH(N1773,tblChannels[Channel ID],0)),0),"Watched","Unwatched"))</f>
        <v/>
      </c>
      <c r="C1773" s="37" t="n"/>
      <c r="D1773" s="38" t="n"/>
      <c r="E1773" s="39" t="n">
        <v>43713.91180555556</v>
      </c>
      <c r="F1773" s="47" t="inlineStr">
        <is>
          <t>Super Carlin Brothers</t>
        </is>
      </c>
      <c r="G1773" t="inlineStr">
        <is>
          <t>Voldemort’s Grandmother REVEALED | Harry Potter Theory</t>
        </is>
      </c>
      <c r="H1773" s="41" t="n">
        <v>0.01049768518518518</v>
      </c>
      <c r="I1773" s="42" t="n">
        <v>814935</v>
      </c>
      <c r="J1773" s="42" t="n">
        <v>23388</v>
      </c>
      <c r="K1773" s="42" t="n">
        <v>2741</v>
      </c>
      <c r="L1773" s="43" t="n"/>
      <c r="M1773" s="44" t="n"/>
      <c r="N1773" s="44" t="inlineStr">
        <is>
          <t>UCKZo4N0lVPccBkSiuyVh4yg</t>
        </is>
      </c>
      <c r="O1773" s="45" t="n">
        <v>43714.07847222222</v>
      </c>
      <c r="P1773" s="46" t="n">
        <v>43713</v>
      </c>
      <c r="Q1773" s="44" t="n">
        <v>1499</v>
      </c>
      <c r="R1773" s="44" t="inlineStr">
        <is>
          <t>No Video ID yet</t>
        </is>
      </c>
      <c r="S1773" s="46" t="n"/>
      <c r="T1773" s="46" t="n"/>
      <c r="U1773" s="44" t="n"/>
      <c r="V1773" s="44">
        <f>IF(AND(P1773&gt;=Calendar!$K$2,P1773&lt;EDATE(Calendar!$K$2,1),OR(Calendar!$K$4="*",N1773=Calendar!$K$4)),P1773*100+COUNTIFS($P$6:$P$3271,P1773,$Q$6:$Q$3271,"&lt;="&amp;Q1773,$N$6:$N$3271,Calendar!$K$4),"")</f>
        <v/>
      </c>
      <c r="W1773" s="44">
        <f>IF(AND(B1773=Queue!$C$4,OR(Queue!$K$4="*",N1773=Queue!$K$4)),Q1773,"")</f>
        <v/>
      </c>
    </row>
    <row r="1774">
      <c r="A1774" s="35">
        <f>IF(M1774="","",HYPERLINK("https://www.youtube.com/watch?v="&amp;M1774,"▶"))</f>
        <v/>
      </c>
      <c r="B1774" s="36">
        <f>IF(C1774&lt;&gt;"",C1774,IF(P1774&lt;=IFERROR(INDEX(tblChannels[Watched Through],MATCH(N1774,tblChannels[Channel ID],0)),0),"Watched","Unwatched"))</f>
        <v/>
      </c>
      <c r="C1774" s="37" t="n"/>
      <c r="D1774" s="38" t="n"/>
      <c r="E1774" s="39" t="n">
        <v>43712.49930555555</v>
      </c>
      <c r="F1774" s="49" t="inlineStr">
        <is>
          <t>Super Carlin Gaming</t>
        </is>
      </c>
      <c r="G1774" t="inlineStr">
        <is>
          <t>THE BRIDGE OF BATTLES |  Pokémon X Nuzlocke #39</t>
        </is>
      </c>
      <c r="H1774" s="41" t="n">
        <v>0.01841435185185185</v>
      </c>
      <c r="I1774" s="42" t="n">
        <v>15287</v>
      </c>
      <c r="J1774" s="42" t="n">
        <v>534</v>
      </c>
      <c r="K1774" s="42" t="n">
        <v>126</v>
      </c>
      <c r="L1774" s="43" t="n"/>
      <c r="M1774" s="44" t="n"/>
      <c r="N1774" s="44" t="inlineStr">
        <is>
          <t>UCor_9jRnNNZVzTuQ92PKsaQ</t>
        </is>
      </c>
      <c r="O1774" s="45" t="n">
        <v>43712.66597222222</v>
      </c>
      <c r="P1774" s="46" t="n">
        <v>43712</v>
      </c>
      <c r="Q1774" s="44" t="n">
        <v>1498</v>
      </c>
      <c r="R1774" s="44" t="inlineStr">
        <is>
          <t>No Video ID yet</t>
        </is>
      </c>
      <c r="S1774" s="46" t="n"/>
      <c r="T1774" s="46" t="n"/>
      <c r="U1774" s="44" t="n"/>
      <c r="V1774" s="44">
        <f>IF(AND(P1774&gt;=Calendar!$K$2,P1774&lt;EDATE(Calendar!$K$2,1),OR(Calendar!$K$4="*",N1774=Calendar!$K$4)),P1774*100+COUNTIFS($P$6:$P$3271,P1774,$Q$6:$Q$3271,"&lt;="&amp;Q1774,$N$6:$N$3271,Calendar!$K$4),"")</f>
        <v/>
      </c>
      <c r="W1774" s="44">
        <f>IF(AND(B1774=Queue!$C$4,OR(Queue!$K$4="*",N1774=Queue!$K$4)),Q1774,"")</f>
        <v/>
      </c>
    </row>
    <row r="1775">
      <c r="A1775" s="35">
        <f>IF(M1775="","",HYPERLINK("https://www.youtube.com/watch?v="&amp;M1775,"▶"))</f>
        <v/>
      </c>
      <c r="B1775" s="36">
        <f>IF(C1775&lt;&gt;"",C1775,IF(P1775&lt;=IFERROR(INDEX(tblChannels[Watched Through],MATCH(N1775,tblChannels[Channel ID],0)),0),"Watched","Unwatched"))</f>
        <v/>
      </c>
      <c r="C1775" s="37" t="n"/>
      <c r="D1775" s="38" t="n"/>
      <c r="E1775" s="39" t="n">
        <v>43711.78958333333</v>
      </c>
      <c r="F1775" s="47" t="inlineStr">
        <is>
          <t>Super Carlin Brothers</t>
        </is>
      </c>
      <c r="G1775" t="inlineStr">
        <is>
          <t>Is Hagrid Secretly A Millionaire!? | Harry Potter Theory</t>
        </is>
      </c>
      <c r="H1775" s="41" t="n">
        <v>0.009548611111111112</v>
      </c>
      <c r="I1775" s="42" t="n">
        <v>1296695</v>
      </c>
      <c r="J1775" s="42" t="n">
        <v>35258</v>
      </c>
      <c r="K1775" s="42" t="n">
        <v>3816</v>
      </c>
      <c r="L1775" s="43" t="n"/>
      <c r="M1775" s="44" t="n"/>
      <c r="N1775" s="44" t="inlineStr">
        <is>
          <t>UCKZo4N0lVPccBkSiuyVh4yg</t>
        </is>
      </c>
      <c r="O1775" s="45" t="n">
        <v>43711.95625</v>
      </c>
      <c r="P1775" s="46" t="n">
        <v>43711</v>
      </c>
      <c r="Q1775" s="44" t="n">
        <v>1497</v>
      </c>
      <c r="R1775" s="44" t="inlineStr">
        <is>
          <t>No Video ID yet</t>
        </is>
      </c>
      <c r="S1775" s="46" t="n"/>
      <c r="T1775" s="46" t="n"/>
      <c r="U1775" s="44" t="n"/>
      <c r="V1775" s="44">
        <f>IF(AND(P1775&gt;=Calendar!$K$2,P1775&lt;EDATE(Calendar!$K$2,1),OR(Calendar!$K$4="*",N1775=Calendar!$K$4)),P1775*100+COUNTIFS($P$6:$P$3271,P1775,$Q$6:$Q$3271,"&lt;="&amp;Q1775,$N$6:$N$3271,Calendar!$K$4),"")</f>
        <v/>
      </c>
      <c r="W1775" s="44">
        <f>IF(AND(B1775=Queue!$C$4,OR(Queue!$K$4="*",N1775=Queue!$K$4)),Q1775,"")</f>
        <v/>
      </c>
    </row>
    <row r="1776">
      <c r="A1776" s="35">
        <f>IF(M1776="","",HYPERLINK("https://www.youtube.com/watch?v="&amp;M1776,"▶"))</f>
        <v/>
      </c>
      <c r="B1776" s="36">
        <f>IF(C1776&lt;&gt;"",C1776,IF(P1776&lt;=IFERROR(INDEX(tblChannels[Watched Through],MATCH(N1776,tblChannels[Channel ID],0)),0),"Watched","Unwatched"))</f>
        <v/>
      </c>
      <c r="C1776" s="37" t="n"/>
      <c r="D1776" s="38" t="n"/>
      <c r="E1776" s="39" t="n">
        <v>43707.41666666666</v>
      </c>
      <c r="F1776" s="49" t="inlineStr">
        <is>
          <t>Super Carlin Gaming</t>
        </is>
      </c>
      <c r="G1776" t="inlineStr">
        <is>
          <t>Hogwarts Founders Build the Common Rooms in SIMS 4 | Episode 2</t>
        </is>
      </c>
      <c r="H1776" s="41" t="n">
        <v>0.03998842592592593</v>
      </c>
      <c r="I1776" s="42" t="n">
        <v>83444</v>
      </c>
      <c r="J1776" s="42" t="n">
        <v>2572</v>
      </c>
      <c r="K1776" s="42" t="n">
        <v>530</v>
      </c>
      <c r="L1776" s="43" t="n"/>
      <c r="M1776" s="44" t="n"/>
      <c r="N1776" s="44" t="inlineStr">
        <is>
          <t>UCor_9jRnNNZVzTuQ92PKsaQ</t>
        </is>
      </c>
      <c r="O1776" s="45" t="n">
        <v>43707.58333333334</v>
      </c>
      <c r="P1776" s="46" t="n">
        <v>43707</v>
      </c>
      <c r="Q1776" s="44" t="n">
        <v>1496</v>
      </c>
      <c r="R1776" s="44" t="inlineStr">
        <is>
          <t>No Video ID yet</t>
        </is>
      </c>
      <c r="S1776" s="46" t="n"/>
      <c r="T1776" s="46" t="n"/>
      <c r="U1776" s="44" t="n"/>
      <c r="V1776" s="44">
        <f>IF(AND(P1776&gt;=Calendar!$K$2,P1776&lt;EDATE(Calendar!$K$2,1),OR(Calendar!$K$4="*",N1776=Calendar!$K$4)),P1776*100+COUNTIFS($P$6:$P$3271,P1776,$Q$6:$Q$3271,"&lt;="&amp;Q1776,$N$6:$N$3271,Calendar!$K$4),"")</f>
        <v/>
      </c>
      <c r="W1776" s="44">
        <f>IF(AND(B1776=Queue!$C$4,OR(Queue!$K$4="*",N1776=Queue!$K$4)),Q1776,"")</f>
        <v/>
      </c>
    </row>
    <row r="1777">
      <c r="A1777" s="35">
        <f>IF(M1777="","",HYPERLINK("https://www.youtube.com/watch?v="&amp;M1777,"▶"))</f>
        <v/>
      </c>
      <c r="B1777" s="36">
        <f>IF(C1777&lt;&gt;"",C1777,IF(P1777&lt;=IFERROR(INDEX(tblChannels[Watched Through],MATCH(N1777,tblChannels[Channel ID],0)),0),"Watched","Unwatched"))</f>
        <v/>
      </c>
      <c r="C1777" s="37" t="n"/>
      <c r="D1777" s="38" t="n"/>
      <c r="E1777" s="39" t="n">
        <v>43706.70972222222</v>
      </c>
      <c r="F1777" s="47" t="inlineStr">
        <is>
          <t>Super Carlin Brothers</t>
        </is>
      </c>
      <c r="G1777" t="inlineStr">
        <is>
          <t>J vs Ben: INSANE Harry Potter Trivia Quiz</t>
        </is>
      </c>
      <c r="H1777" s="41" t="n">
        <v>0.02180555555555556</v>
      </c>
      <c r="I1777" s="42" t="n">
        <v>821706</v>
      </c>
      <c r="J1777" s="42" t="n">
        <v>16837</v>
      </c>
      <c r="K1777" s="42" t="n">
        <v>2711</v>
      </c>
      <c r="L1777" s="43" t="n"/>
      <c r="M1777" s="44" t="n"/>
      <c r="N1777" s="44" t="inlineStr">
        <is>
          <t>UCKZo4N0lVPccBkSiuyVh4yg</t>
        </is>
      </c>
      <c r="O1777" s="45" t="n">
        <v>43706.87638888889</v>
      </c>
      <c r="P1777" s="46" t="n">
        <v>43706</v>
      </c>
      <c r="Q1777" s="44" t="n">
        <v>1495</v>
      </c>
      <c r="R1777" s="44" t="inlineStr">
        <is>
          <t>No Video ID yet</t>
        </is>
      </c>
      <c r="S1777" s="46" t="n"/>
      <c r="T1777" s="46" t="n"/>
      <c r="U1777" s="44" t="n"/>
      <c r="V1777" s="44">
        <f>IF(AND(P1777&gt;=Calendar!$K$2,P1777&lt;EDATE(Calendar!$K$2,1),OR(Calendar!$K$4="*",N1777=Calendar!$K$4)),P1777*100+COUNTIFS($P$6:$P$3271,P1777,$Q$6:$Q$3271,"&lt;="&amp;Q1777,$N$6:$N$3271,Calendar!$K$4),"")</f>
        <v/>
      </c>
      <c r="W1777" s="44">
        <f>IF(AND(B1777=Queue!$C$4,OR(Queue!$K$4="*",N1777=Queue!$K$4)),Q1777,"")</f>
        <v/>
      </c>
    </row>
    <row r="1778">
      <c r="A1778" s="35">
        <f>IF(M1778="","",HYPERLINK("https://www.youtube.com/watch?v="&amp;M1778,"▶"))</f>
        <v/>
      </c>
      <c r="B1778" s="36">
        <f>IF(C1778&lt;&gt;"",C1778,IF(P1778&lt;=IFERROR(INDEX(tblChannels[Watched Through],MATCH(N1778,tblChannels[Channel ID],0)),0),"Watched","Unwatched"))</f>
        <v/>
      </c>
      <c r="C1778" s="37" t="n"/>
      <c r="D1778" s="38" t="n"/>
      <c r="E1778" s="39" t="n">
        <v>43705.49236111111</v>
      </c>
      <c r="F1778" s="49" t="inlineStr">
        <is>
          <t>Super Carlin Gaming</t>
        </is>
      </c>
      <c r="G1778" t="inlineStr">
        <is>
          <t>Sycamore's Startling Surprise! |  Pokémon X Nuzlocke #38</t>
        </is>
      </c>
      <c r="H1778" s="41" t="n">
        <v>0.02333333333333333</v>
      </c>
      <c r="I1778" s="42" t="n">
        <v>17376</v>
      </c>
      <c r="J1778" s="42" t="n">
        <v>538</v>
      </c>
      <c r="K1778" s="42" t="n">
        <v>119</v>
      </c>
      <c r="L1778" s="43" t="n"/>
      <c r="M1778" s="44" t="n"/>
      <c r="N1778" s="44" t="inlineStr">
        <is>
          <t>UCor_9jRnNNZVzTuQ92PKsaQ</t>
        </is>
      </c>
      <c r="O1778" s="45" t="n">
        <v>43705.65902777778</v>
      </c>
      <c r="P1778" s="46" t="n">
        <v>43705</v>
      </c>
      <c r="Q1778" s="44" t="n">
        <v>1494</v>
      </c>
      <c r="R1778" s="44" t="inlineStr">
        <is>
          <t>No Video ID yet</t>
        </is>
      </c>
      <c r="S1778" s="46" t="n"/>
      <c r="T1778" s="46" t="n"/>
      <c r="U1778" s="44" t="n"/>
      <c r="V1778" s="44">
        <f>IF(AND(P1778&gt;=Calendar!$K$2,P1778&lt;EDATE(Calendar!$K$2,1),OR(Calendar!$K$4="*",N1778=Calendar!$K$4)),P1778*100+COUNTIFS($P$6:$P$3271,P1778,$Q$6:$Q$3271,"&lt;="&amp;Q1778,$N$6:$N$3271,Calendar!$K$4),"")</f>
        <v/>
      </c>
      <c r="W1778" s="44">
        <f>IF(AND(B1778=Queue!$C$4,OR(Queue!$K$4="*",N1778=Queue!$K$4)),Q1778,"")</f>
        <v/>
      </c>
    </row>
    <row r="1779">
      <c r="A1779" s="35">
        <f>IF(M1779="","",HYPERLINK("https://www.youtube.com/watch?v="&amp;M1779,"▶"))</f>
        <v/>
      </c>
      <c r="B1779" s="36">
        <f>IF(C1779&lt;&gt;"",C1779,IF(P1779&lt;=IFERROR(INDEX(tblChannels[Watched Through],MATCH(N1779,tblChannels[Channel ID],0)),0),"Watched","Unwatched"))</f>
        <v/>
      </c>
      <c r="C1779" s="37" t="n"/>
      <c r="D1779" s="38" t="n"/>
      <c r="E1779" s="39" t="n">
        <v>43704.86666666667</v>
      </c>
      <c r="F1779" s="47" t="inlineStr">
        <is>
          <t>Super Carlin Brothers</t>
        </is>
      </c>
      <c r="G1779" t="inlineStr">
        <is>
          <t>STAR WARS Dark Rey Explained | Episode 9 The Rise of Skywalker</t>
        </is>
      </c>
      <c r="H1779" s="41" t="n">
        <v>0.009918981481481482</v>
      </c>
      <c r="I1779" s="42" t="n">
        <v>378967</v>
      </c>
      <c r="J1779" s="42" t="n">
        <v>12258</v>
      </c>
      <c r="K1779" s="42" t="n">
        <v>1986</v>
      </c>
      <c r="L1779" s="43" t="n"/>
      <c r="M1779" s="44" t="n"/>
      <c r="N1779" s="44" t="inlineStr">
        <is>
          <t>UCKZo4N0lVPccBkSiuyVh4yg</t>
        </is>
      </c>
      <c r="O1779" s="45" t="n">
        <v>43705.03333333333</v>
      </c>
      <c r="P1779" s="46" t="n">
        <v>43704</v>
      </c>
      <c r="Q1779" s="44" t="n">
        <v>1493</v>
      </c>
      <c r="R1779" s="44" t="inlineStr">
        <is>
          <t>No Video ID yet</t>
        </is>
      </c>
      <c r="S1779" s="46" t="n"/>
      <c r="T1779" s="46" t="n"/>
      <c r="U1779" s="44" t="n"/>
      <c r="V1779" s="44">
        <f>IF(AND(P1779&gt;=Calendar!$K$2,P1779&lt;EDATE(Calendar!$K$2,1),OR(Calendar!$K$4="*",N1779=Calendar!$K$4)),P1779*100+COUNTIFS($P$6:$P$3271,P1779,$Q$6:$Q$3271,"&lt;="&amp;Q1779,$N$6:$N$3271,Calendar!$K$4),"")</f>
        <v/>
      </c>
      <c r="W1779" s="44">
        <f>IF(AND(B1779=Queue!$C$4,OR(Queue!$K$4="*",N1779=Queue!$K$4)),Q1779,"")</f>
        <v/>
      </c>
    </row>
    <row r="1780">
      <c r="A1780" s="35">
        <f>IF(M1780="","",HYPERLINK("https://www.youtube.com/watch?v="&amp;M1780,"▶"))</f>
        <v/>
      </c>
      <c r="B1780" s="36">
        <f>IF(C1780&lt;&gt;"",C1780,IF(P1780&lt;=IFERROR(INDEX(tblChannels[Watched Through],MATCH(N1780,tblChannels[Channel ID],0)),0),"Watched","Unwatched"))</f>
        <v/>
      </c>
      <c r="C1780" s="37" t="n"/>
      <c r="D1780" s="38" t="n"/>
      <c r="E1780" s="39" t="n">
        <v>43704.57152777778</v>
      </c>
      <c r="F1780" s="50" t="inlineStr">
        <is>
          <t>Jonathan Carlin</t>
        </is>
      </c>
      <c r="G1780" t="inlineStr">
        <is>
          <t>TOUCH A TRUCK RETURNS!</t>
        </is>
      </c>
      <c r="H1780" s="41" t="n">
        <v>0.004675925925925926</v>
      </c>
      <c r="I1780" s="42" t="n">
        <v>17968</v>
      </c>
      <c r="J1780" s="42" t="n">
        <v>1130</v>
      </c>
      <c r="K1780" s="42" t="n">
        <v>76</v>
      </c>
      <c r="L1780" s="43" t="n"/>
      <c r="M1780" s="44" t="n"/>
      <c r="N1780" s="44" t="inlineStr">
        <is>
          <t>UCYPKFe86e6nm4TVUYKLsFUQ</t>
        </is>
      </c>
      <c r="O1780" s="45" t="n">
        <v>43704.73819444444</v>
      </c>
      <c r="P1780" s="46" t="n">
        <v>43704</v>
      </c>
      <c r="Q1780" s="44" t="n">
        <v>1492</v>
      </c>
      <c r="R1780" s="44" t="inlineStr">
        <is>
          <t>No Video ID yet</t>
        </is>
      </c>
      <c r="S1780" s="46" t="n"/>
      <c r="T1780" s="46" t="n"/>
      <c r="U1780" s="44" t="n"/>
      <c r="V1780" s="44">
        <f>IF(AND(P1780&gt;=Calendar!$K$2,P1780&lt;EDATE(Calendar!$K$2,1),OR(Calendar!$K$4="*",N1780=Calendar!$K$4)),P1780*100+COUNTIFS($P$6:$P$3271,P1780,$Q$6:$Q$3271,"&lt;="&amp;Q1780,$N$6:$N$3271,Calendar!$K$4),"")</f>
        <v/>
      </c>
      <c r="W1780" s="44">
        <f>IF(AND(B1780=Queue!$C$4,OR(Queue!$K$4="*",N1780=Queue!$K$4)),Q1780,"")</f>
        <v/>
      </c>
    </row>
    <row r="1781">
      <c r="A1781" s="35">
        <f>IF(M1781="","",HYPERLINK("https://www.youtube.com/watch?v="&amp;M1781,"▶"))</f>
        <v/>
      </c>
      <c r="B1781" s="36">
        <f>IF(C1781&lt;&gt;"",C1781,IF(P1781&lt;=IFERROR(INDEX(tblChannels[Watched Through],MATCH(N1781,tblChannels[Channel ID],0)),0),"Watched","Unwatched"))</f>
        <v/>
      </c>
      <c r="C1781" s="37" t="n"/>
      <c r="D1781" s="38" t="n"/>
      <c r="E1781" s="39" t="n">
        <v>43700.45763888889</v>
      </c>
      <c r="F1781" s="49" t="inlineStr">
        <is>
          <t>Super Carlin Gaming</t>
        </is>
      </c>
      <c r="G1781" t="inlineStr">
        <is>
          <t>Hogwarts Founders GET CREATED in SIMS 4 | Episode 1</t>
        </is>
      </c>
      <c r="H1781" s="41" t="n">
        <v>0.02697916666666667</v>
      </c>
      <c r="I1781" s="42" t="n">
        <v>136742</v>
      </c>
      <c r="J1781" s="42" t="n">
        <v>4672</v>
      </c>
      <c r="K1781" s="42" t="n">
        <v>658</v>
      </c>
      <c r="L1781" s="43" t="n"/>
      <c r="M1781" s="44" t="n"/>
      <c r="N1781" s="44" t="inlineStr">
        <is>
          <t>UCor_9jRnNNZVzTuQ92PKsaQ</t>
        </is>
      </c>
      <c r="O1781" s="45" t="n">
        <v>43700.62430555555</v>
      </c>
      <c r="P1781" s="46" t="n">
        <v>43700</v>
      </c>
      <c r="Q1781" s="44" t="n">
        <v>1491</v>
      </c>
      <c r="R1781" s="44" t="inlineStr">
        <is>
          <t>No Video ID yet</t>
        </is>
      </c>
      <c r="S1781" s="46" t="n"/>
      <c r="T1781" s="46" t="n"/>
      <c r="U1781" s="44" t="n"/>
      <c r="V1781" s="44">
        <f>IF(AND(P1781&gt;=Calendar!$K$2,P1781&lt;EDATE(Calendar!$K$2,1),OR(Calendar!$K$4="*",N1781=Calendar!$K$4)),P1781*100+COUNTIFS($P$6:$P$3271,P1781,$Q$6:$Q$3271,"&lt;="&amp;Q1781,$N$6:$N$3271,Calendar!$K$4),"")</f>
        <v/>
      </c>
      <c r="W1781" s="44">
        <f>IF(AND(B1781=Queue!$C$4,OR(Queue!$K$4="*",N1781=Queue!$K$4)),Q1781,"")</f>
        <v/>
      </c>
    </row>
    <row r="1782">
      <c r="A1782" s="35">
        <f>IF(M1782="","",HYPERLINK("https://www.youtube.com/watch?v="&amp;M1782,"▶"))</f>
        <v/>
      </c>
      <c r="B1782" s="36">
        <f>IF(C1782&lt;&gt;"",C1782,IF(P1782&lt;=IFERROR(INDEX(tblChannels[Watched Through],MATCH(N1782,tblChannels[Channel ID],0)),0),"Watched","Unwatched"))</f>
        <v/>
      </c>
      <c r="C1782" s="37" t="n"/>
      <c r="D1782" s="38" t="n"/>
      <c r="E1782" s="39" t="n">
        <v>43699.83888888889</v>
      </c>
      <c r="F1782" s="47" t="inlineStr">
        <is>
          <t>Super Carlin Brothers</t>
        </is>
      </c>
      <c r="G1782" t="inlineStr">
        <is>
          <t>Marvel Theory: Was Cap Always Worthy To Lift Mjolnir? | Avengers Endgame</t>
        </is>
      </c>
      <c r="H1782" s="41" t="n">
        <v>0.009131944444444444</v>
      </c>
      <c r="I1782" s="42" t="n">
        <v>339377</v>
      </c>
      <c r="J1782" s="42" t="n">
        <v>14886</v>
      </c>
      <c r="K1782" s="42" t="n">
        <v>1964</v>
      </c>
      <c r="L1782" s="43" t="n"/>
      <c r="M1782" s="44" t="n"/>
      <c r="N1782" s="44" t="inlineStr">
        <is>
          <t>UCKZo4N0lVPccBkSiuyVh4yg</t>
        </is>
      </c>
      <c r="O1782" s="45" t="n">
        <v>43700.00555555556</v>
      </c>
      <c r="P1782" s="46" t="n">
        <v>43699</v>
      </c>
      <c r="Q1782" s="44" t="n">
        <v>1490</v>
      </c>
      <c r="R1782" s="44" t="inlineStr">
        <is>
          <t>No Video ID yet</t>
        </is>
      </c>
      <c r="S1782" s="46" t="n"/>
      <c r="T1782" s="46" t="n"/>
      <c r="U1782" s="44" t="n"/>
      <c r="V1782" s="44">
        <f>IF(AND(P1782&gt;=Calendar!$K$2,P1782&lt;EDATE(Calendar!$K$2,1),OR(Calendar!$K$4="*",N1782=Calendar!$K$4)),P1782*100+COUNTIFS($P$6:$P$3271,P1782,$Q$6:$Q$3271,"&lt;="&amp;Q1782,$N$6:$N$3271,Calendar!$K$4),"")</f>
        <v/>
      </c>
      <c r="W1782" s="44">
        <f>IF(AND(B1782=Queue!$C$4,OR(Queue!$K$4="*",N1782=Queue!$K$4)),Q1782,"")</f>
        <v/>
      </c>
    </row>
    <row r="1783">
      <c r="A1783" s="35">
        <f>IF(M1783="","",HYPERLINK("https://www.youtube.com/watch?v="&amp;M1783,"▶"))</f>
        <v/>
      </c>
      <c r="B1783" s="36">
        <f>IF(C1783&lt;&gt;"",C1783,IF(P1783&lt;=IFERROR(INDEX(tblChannels[Watched Through],MATCH(N1783,tblChannels[Channel ID],0)),0),"Watched","Unwatched"))</f>
        <v/>
      </c>
      <c r="C1783" s="37" t="n"/>
      <c r="D1783" s="38" t="n"/>
      <c r="E1783" s="39" t="n">
        <v>43699.40625</v>
      </c>
      <c r="F1783" s="49" t="inlineStr">
        <is>
          <t>Super Carlin Gaming</t>
        </is>
      </c>
      <c r="G1783" t="inlineStr">
        <is>
          <t>LYSANDRE FINAL BATTLE |  Pokémon X Nuzlocke #37</t>
        </is>
      </c>
      <c r="H1783" s="41" t="n">
        <v>0.02465277777777778</v>
      </c>
      <c r="I1783" s="42" t="n">
        <v>17552</v>
      </c>
      <c r="J1783" s="42" t="n">
        <v>596</v>
      </c>
      <c r="K1783" s="42" t="n">
        <v>101</v>
      </c>
      <c r="L1783" s="43" t="n"/>
      <c r="M1783" s="44" t="n"/>
      <c r="N1783" s="44" t="inlineStr">
        <is>
          <t>UCor_9jRnNNZVzTuQ92PKsaQ</t>
        </is>
      </c>
      <c r="O1783" s="45" t="n">
        <v>43699.57291666666</v>
      </c>
      <c r="P1783" s="46" t="n">
        <v>43699</v>
      </c>
      <c r="Q1783" s="44" t="n">
        <v>1489</v>
      </c>
      <c r="R1783" s="44" t="inlineStr">
        <is>
          <t>No Video ID yet</t>
        </is>
      </c>
      <c r="S1783" s="46" t="n"/>
      <c r="T1783" s="46" t="n"/>
      <c r="U1783" s="44" t="n"/>
      <c r="V1783" s="44">
        <f>IF(AND(P1783&gt;=Calendar!$K$2,P1783&lt;EDATE(Calendar!$K$2,1),OR(Calendar!$K$4="*",N1783=Calendar!$K$4)),P1783*100+COUNTIFS($P$6:$P$3271,P1783,$Q$6:$Q$3271,"&lt;="&amp;Q1783,$N$6:$N$3271,Calendar!$K$4),"")</f>
        <v/>
      </c>
      <c r="W1783" s="44">
        <f>IF(AND(B1783=Queue!$C$4,OR(Queue!$K$4="*",N1783=Queue!$K$4)),Q1783,"")</f>
        <v/>
      </c>
    </row>
    <row r="1784">
      <c r="A1784" s="35">
        <f>IF(M1784="","",HYPERLINK("https://www.youtube.com/watch?v="&amp;M1784,"▶"))</f>
        <v/>
      </c>
      <c r="B1784" s="36">
        <f>IF(C1784&lt;&gt;"",C1784,IF(P1784&lt;=IFERROR(INDEX(tblChannels[Watched Through],MATCH(N1784,tblChannels[Channel ID],0)),0),"Watched","Unwatched"))</f>
        <v/>
      </c>
      <c r="C1784" s="37" t="n"/>
      <c r="D1784" s="38" t="n"/>
      <c r="E1784" s="39" t="n">
        <v>43697.80208333334</v>
      </c>
      <c r="F1784" s="47" t="inlineStr">
        <is>
          <t>Super Carlin Brothers</t>
        </is>
      </c>
      <c r="G1784" t="inlineStr">
        <is>
          <t>Why Did Fawkes’s Feather Choose Voldemort? | Harry Potter Theory</t>
        </is>
      </c>
      <c r="H1784" s="41" t="n">
        <v>0.007650462962962963</v>
      </c>
      <c r="I1784" s="42" t="n">
        <v>1325876</v>
      </c>
      <c r="J1784" s="42" t="n">
        <v>35349</v>
      </c>
      <c r="K1784" s="42" t="n">
        <v>4145</v>
      </c>
      <c r="L1784" s="43" t="n"/>
      <c r="M1784" s="44" t="n"/>
      <c r="N1784" s="44" t="inlineStr">
        <is>
          <t>UCKZo4N0lVPccBkSiuyVh4yg</t>
        </is>
      </c>
      <c r="O1784" s="45" t="n">
        <v>43697.96875</v>
      </c>
      <c r="P1784" s="46" t="n">
        <v>43697</v>
      </c>
      <c r="Q1784" s="44" t="n">
        <v>1488</v>
      </c>
      <c r="R1784" s="44" t="inlineStr">
        <is>
          <t>No Video ID yet</t>
        </is>
      </c>
      <c r="S1784" s="46" t="n"/>
      <c r="T1784" s="46" t="n"/>
      <c r="U1784" s="44" t="n"/>
      <c r="V1784" s="44">
        <f>IF(AND(P1784&gt;=Calendar!$K$2,P1784&lt;EDATE(Calendar!$K$2,1),OR(Calendar!$K$4="*",N1784=Calendar!$K$4)),P1784*100+COUNTIFS($P$6:$P$3271,P1784,$Q$6:$Q$3271,"&lt;="&amp;Q1784,$N$6:$N$3271,Calendar!$K$4),"")</f>
        <v/>
      </c>
      <c r="W1784" s="44">
        <f>IF(AND(B1784=Queue!$C$4,OR(Queue!$K$4="*",N1784=Queue!$K$4)),Q1784,"")</f>
        <v/>
      </c>
    </row>
    <row r="1785">
      <c r="A1785" s="35">
        <f>IF(M1785="","",HYPERLINK("https://www.youtube.com/watch?v="&amp;M1785,"▶"))</f>
        <v/>
      </c>
      <c r="B1785" s="36">
        <f>IF(C1785&lt;&gt;"",C1785,IF(P1785&lt;=IFERROR(INDEX(tblChannels[Watched Through],MATCH(N1785,tblChannels[Channel ID],0)),0),"Watched","Unwatched"))</f>
        <v/>
      </c>
      <c r="C1785" s="37" t="n"/>
      <c r="D1785" s="38" t="n"/>
      <c r="E1785" s="39" t="n">
        <v>43696.41666666666</v>
      </c>
      <c r="F1785" s="50" t="inlineStr">
        <is>
          <t>Jonathan Carlin</t>
        </is>
      </c>
      <c r="G1785" t="inlineStr">
        <is>
          <t>CHICAGO MEETUP</t>
        </is>
      </c>
      <c r="H1785" s="41" t="n">
        <v>0.006388888888888889</v>
      </c>
      <c r="I1785" s="42" t="n">
        <v>19202</v>
      </c>
      <c r="J1785" s="42" t="n">
        <v>1140</v>
      </c>
      <c r="K1785" s="42" t="n">
        <v>156</v>
      </c>
      <c r="L1785" s="43" t="n"/>
      <c r="M1785" s="44" t="n"/>
      <c r="N1785" s="44" t="inlineStr">
        <is>
          <t>UCYPKFe86e6nm4TVUYKLsFUQ</t>
        </is>
      </c>
      <c r="O1785" s="45" t="n">
        <v>43696.58333333334</v>
      </c>
      <c r="P1785" s="46" t="n">
        <v>43696</v>
      </c>
      <c r="Q1785" s="44" t="n">
        <v>1487</v>
      </c>
      <c r="R1785" s="44" t="inlineStr">
        <is>
          <t>No Video ID yet</t>
        </is>
      </c>
      <c r="S1785" s="46" t="n"/>
      <c r="T1785" s="46" t="n"/>
      <c r="U1785" s="44" t="n"/>
      <c r="V1785" s="44">
        <f>IF(AND(P1785&gt;=Calendar!$K$2,P1785&lt;EDATE(Calendar!$K$2,1),OR(Calendar!$K$4="*",N1785=Calendar!$K$4)),P1785*100+COUNTIFS($P$6:$P$3271,P1785,$Q$6:$Q$3271,"&lt;="&amp;Q1785,$N$6:$N$3271,Calendar!$K$4),"")</f>
        <v/>
      </c>
      <c r="W1785" s="44">
        <f>IF(AND(B1785=Queue!$C$4,OR(Queue!$K$4="*",N1785=Queue!$K$4)),Q1785,"")</f>
        <v/>
      </c>
    </row>
    <row r="1786">
      <c r="A1786" s="35">
        <f>IF(M1786="","",HYPERLINK("https://www.youtube.com/watch?v="&amp;M1786,"▶"))</f>
        <v/>
      </c>
      <c r="B1786" s="36">
        <f>IF(C1786&lt;&gt;"",C1786,IF(P1786&lt;=IFERROR(INDEX(tblChannels[Watched Through],MATCH(N1786,tblChannels[Channel ID],0)),0),"Watched","Unwatched"))</f>
        <v/>
      </c>
      <c r="C1786" s="37" t="n"/>
      <c r="D1786" s="38" t="n"/>
      <c r="E1786" s="39" t="n">
        <v>43692.82986111111</v>
      </c>
      <c r="F1786" s="47" t="inlineStr">
        <is>
          <t>Super Carlin Brothers</t>
        </is>
      </c>
      <c r="G1786" t="inlineStr">
        <is>
          <t>In Defense Of Ravenclaw</t>
        </is>
      </c>
      <c r="H1786" s="41" t="n">
        <v>0.008194444444444445</v>
      </c>
      <c r="I1786" s="42" t="n">
        <v>744804</v>
      </c>
      <c r="J1786" s="42" t="n">
        <v>38514</v>
      </c>
      <c r="K1786" s="42" t="n">
        <v>10403</v>
      </c>
      <c r="L1786" s="43" t="n"/>
      <c r="M1786" s="44" t="n"/>
      <c r="N1786" s="44" t="inlineStr">
        <is>
          <t>UCKZo4N0lVPccBkSiuyVh4yg</t>
        </is>
      </c>
      <c r="O1786" s="45" t="n">
        <v>43692.99652777778</v>
      </c>
      <c r="P1786" s="46" t="n">
        <v>43692</v>
      </c>
      <c r="Q1786" s="44" t="n">
        <v>1486</v>
      </c>
      <c r="R1786" s="44" t="inlineStr">
        <is>
          <t>No Video ID yet</t>
        </is>
      </c>
      <c r="S1786" s="46" t="n"/>
      <c r="T1786" s="46" t="n"/>
      <c r="U1786" s="44" t="n"/>
      <c r="V1786" s="44">
        <f>IF(AND(P1786&gt;=Calendar!$K$2,P1786&lt;EDATE(Calendar!$K$2,1),OR(Calendar!$K$4="*",N1786=Calendar!$K$4)),P1786*100+COUNTIFS($P$6:$P$3271,P1786,$Q$6:$Q$3271,"&lt;="&amp;Q1786,$N$6:$N$3271,Calendar!$K$4),"")</f>
        <v/>
      </c>
      <c r="W1786" s="44">
        <f>IF(AND(B1786=Queue!$C$4,OR(Queue!$K$4="*",N1786=Queue!$K$4)),Q1786,"")</f>
        <v/>
      </c>
    </row>
    <row r="1787">
      <c r="A1787" s="35">
        <f>IF(M1787="","",HYPERLINK("https://www.youtube.com/watch?v="&amp;M1787,"▶"))</f>
        <v/>
      </c>
      <c r="B1787" s="36">
        <f>IF(C1787&lt;&gt;"",C1787,IF(P1787&lt;=IFERROR(INDEX(tblChannels[Watched Through],MATCH(N1787,tblChannels[Channel ID],0)),0),"Watched","Unwatched"))</f>
        <v/>
      </c>
      <c r="C1787" s="37" t="n"/>
      <c r="D1787" s="38" t="n"/>
      <c r="E1787" s="39" t="n">
        <v>43690.84097222222</v>
      </c>
      <c r="F1787" s="47" t="inlineStr">
        <is>
          <t>Super Carlin Brothers</t>
        </is>
      </c>
      <c r="G1787" t="inlineStr">
        <is>
          <t>Dumbledore Is A Phoenix | Harry Potter Theory</t>
        </is>
      </c>
      <c r="H1787" s="41" t="n">
        <v>0.009722222222222222</v>
      </c>
      <c r="I1787" s="42" t="n">
        <v>495305</v>
      </c>
      <c r="J1787" s="42" t="n">
        <v>18195</v>
      </c>
      <c r="K1787" s="42" t="n">
        <v>2163</v>
      </c>
      <c r="L1787" s="43" t="n"/>
      <c r="M1787" s="44" t="n"/>
      <c r="N1787" s="44" t="inlineStr">
        <is>
          <t>UCKZo4N0lVPccBkSiuyVh4yg</t>
        </is>
      </c>
      <c r="O1787" s="45" t="n">
        <v>43691.00763888889</v>
      </c>
      <c r="P1787" s="46" t="n">
        <v>43690</v>
      </c>
      <c r="Q1787" s="44" t="n">
        <v>1485</v>
      </c>
      <c r="R1787" s="44" t="inlineStr">
        <is>
          <t>No Video ID yet</t>
        </is>
      </c>
      <c r="S1787" s="46" t="n"/>
      <c r="T1787" s="46" t="n"/>
      <c r="U1787" s="44" t="n"/>
      <c r="V1787" s="44">
        <f>IF(AND(P1787&gt;=Calendar!$K$2,P1787&lt;EDATE(Calendar!$K$2,1),OR(Calendar!$K$4="*",N1787=Calendar!$K$4)),P1787*100+COUNTIFS($P$6:$P$3271,P1787,$Q$6:$Q$3271,"&lt;="&amp;Q1787,$N$6:$N$3271,Calendar!$K$4),"")</f>
        <v/>
      </c>
      <c r="W1787" s="44">
        <f>IF(AND(B1787=Queue!$C$4,OR(Queue!$K$4="*",N1787=Queue!$K$4)),Q1787,"")</f>
        <v/>
      </c>
    </row>
    <row r="1788">
      <c r="A1788" s="35">
        <f>IF(M1788="","",HYPERLINK("https://www.youtube.com/watch?v="&amp;M1788,"▶"))</f>
        <v/>
      </c>
      <c r="B1788" s="36">
        <f>IF(C1788&lt;&gt;"",C1788,IF(P1788&lt;=IFERROR(INDEX(tblChannels[Watched Through],MATCH(N1788,tblChannels[Channel ID],0)),0),"Watched","Unwatched"))</f>
        <v/>
      </c>
      <c r="C1788" s="37" t="n"/>
      <c r="D1788" s="38" t="n"/>
      <c r="E1788" s="39" t="n">
        <v>43689.41666666666</v>
      </c>
      <c r="F1788" s="50" t="inlineStr">
        <is>
          <t>Jonathan Carlin</t>
        </is>
      </c>
      <c r="G1788" t="inlineStr">
        <is>
          <t>VIDCON 2019</t>
        </is>
      </c>
      <c r="H1788" s="41" t="n">
        <v>0.006724537037037037</v>
      </c>
      <c r="I1788" s="42" t="n">
        <v>23604</v>
      </c>
      <c r="J1788" s="42" t="n">
        <v>1360</v>
      </c>
      <c r="K1788" s="42" t="n">
        <v>91</v>
      </c>
      <c r="L1788" s="43" t="n"/>
      <c r="M1788" s="44" t="n"/>
      <c r="N1788" s="44" t="inlineStr">
        <is>
          <t>UCYPKFe86e6nm4TVUYKLsFUQ</t>
        </is>
      </c>
      <c r="O1788" s="45" t="n">
        <v>43689.58333333334</v>
      </c>
      <c r="P1788" s="46" t="n">
        <v>43689</v>
      </c>
      <c r="Q1788" s="44" t="n">
        <v>1484</v>
      </c>
      <c r="R1788" s="44" t="inlineStr">
        <is>
          <t>No Video ID yet</t>
        </is>
      </c>
      <c r="S1788" s="46" t="n"/>
      <c r="T1788" s="46" t="n"/>
      <c r="U1788" s="44" t="n"/>
      <c r="V1788" s="44">
        <f>IF(AND(P1788&gt;=Calendar!$K$2,P1788&lt;EDATE(Calendar!$K$2,1),OR(Calendar!$K$4="*",N1788=Calendar!$K$4)),P1788*100+COUNTIFS($P$6:$P$3271,P1788,$Q$6:$Q$3271,"&lt;="&amp;Q1788,$N$6:$N$3271,Calendar!$K$4),"")</f>
        <v/>
      </c>
      <c r="W1788" s="44">
        <f>IF(AND(B1788=Queue!$C$4,OR(Queue!$K$4="*",N1788=Queue!$K$4)),Q1788,"")</f>
        <v/>
      </c>
    </row>
    <row r="1789">
      <c r="A1789" s="35">
        <f>IF(M1789="","",HYPERLINK("https://www.youtube.com/watch?v="&amp;M1789,"▶"))</f>
        <v/>
      </c>
      <c r="B1789" s="36">
        <f>IF(C1789&lt;&gt;"",C1789,IF(P1789&lt;=IFERROR(INDEX(tblChannels[Watched Through],MATCH(N1789,tblChannels[Channel ID],0)),0),"Watched","Unwatched"))</f>
        <v/>
      </c>
      <c r="C1789" s="37" t="n"/>
      <c r="D1789" s="38" t="n"/>
      <c r="E1789" s="39" t="n">
        <v>43689.41666666666</v>
      </c>
      <c r="F1789" s="49" t="inlineStr">
        <is>
          <t>Super Carlin Gaming</t>
        </is>
      </c>
      <c r="G1789" t="inlineStr">
        <is>
          <t>The Dwight Schrute Dating Profile |  Super Smash Bros #48</t>
        </is>
      </c>
      <c r="H1789" s="41" t="n">
        <v>0.01174768518518519</v>
      </c>
      <c r="I1789" s="42" t="n">
        <v>6723</v>
      </c>
      <c r="J1789" s="42" t="n">
        <v>235</v>
      </c>
      <c r="K1789" s="42" t="n">
        <v>57</v>
      </c>
      <c r="L1789" s="43" t="n"/>
      <c r="M1789" s="44" t="n"/>
      <c r="N1789" s="44" t="inlineStr">
        <is>
          <t>UCor_9jRnNNZVzTuQ92PKsaQ</t>
        </is>
      </c>
      <c r="O1789" s="45" t="n">
        <v>43689.58333333334</v>
      </c>
      <c r="P1789" s="46" t="n">
        <v>43689</v>
      </c>
      <c r="Q1789" s="44" t="n">
        <v>1483</v>
      </c>
      <c r="R1789" s="44" t="inlineStr">
        <is>
          <t>No Video ID yet</t>
        </is>
      </c>
      <c r="S1789" s="46" t="n"/>
      <c r="T1789" s="46" t="n"/>
      <c r="U1789" s="44" t="n"/>
      <c r="V1789" s="44">
        <f>IF(AND(P1789&gt;=Calendar!$K$2,P1789&lt;EDATE(Calendar!$K$2,1),OR(Calendar!$K$4="*",N1789=Calendar!$K$4)),P1789*100+COUNTIFS($P$6:$P$3271,P1789,$Q$6:$Q$3271,"&lt;="&amp;Q1789,$N$6:$N$3271,Calendar!$K$4),"")</f>
        <v/>
      </c>
      <c r="W1789" s="44">
        <f>IF(AND(B1789=Queue!$C$4,OR(Queue!$K$4="*",N1789=Queue!$K$4)),Q1789,"")</f>
        <v/>
      </c>
    </row>
    <row r="1790">
      <c r="A1790" s="35">
        <f>IF(M1790="","",HYPERLINK("https://www.youtube.com/watch?v="&amp;M1790,"▶"))</f>
        <v/>
      </c>
      <c r="B1790" s="36">
        <f>IF(C1790&lt;&gt;"",C1790,IF(P1790&lt;=IFERROR(INDEX(tblChannels[Watched Through],MATCH(N1790,tblChannels[Channel ID],0)),0),"Watched","Unwatched"))</f>
        <v/>
      </c>
      <c r="C1790" s="37" t="n"/>
      <c r="D1790" s="38" t="n"/>
      <c r="E1790" s="39" t="n">
        <v>43685.78472222222</v>
      </c>
      <c r="F1790" s="47" t="inlineStr">
        <is>
          <t>Super Carlin Brothers</t>
        </is>
      </c>
      <c r="G1790" t="inlineStr">
        <is>
          <t>Fast Facts: Avengers Endgame</t>
        </is>
      </c>
      <c r="H1790" s="41" t="n">
        <v>0.006631944444444445</v>
      </c>
      <c r="I1790" s="42" t="n">
        <v>421276</v>
      </c>
      <c r="J1790" s="42" t="n">
        <v>17358</v>
      </c>
      <c r="K1790" s="42" t="n">
        <v>1232</v>
      </c>
      <c r="L1790" s="43" t="n"/>
      <c r="M1790" s="44" t="n"/>
      <c r="N1790" s="44" t="inlineStr">
        <is>
          <t>UCKZo4N0lVPccBkSiuyVh4yg</t>
        </is>
      </c>
      <c r="O1790" s="45" t="n">
        <v>43685.95138888889</v>
      </c>
      <c r="P1790" s="46" t="n">
        <v>43685</v>
      </c>
      <c r="Q1790" s="44" t="n">
        <v>1482</v>
      </c>
      <c r="R1790" s="44" t="inlineStr">
        <is>
          <t>No Video ID yet</t>
        </is>
      </c>
      <c r="S1790" s="46" t="n"/>
      <c r="T1790" s="46" t="n"/>
      <c r="U1790" s="44" t="n"/>
      <c r="V1790" s="44">
        <f>IF(AND(P1790&gt;=Calendar!$K$2,P1790&lt;EDATE(Calendar!$K$2,1),OR(Calendar!$K$4="*",N1790=Calendar!$K$4)),P1790*100+COUNTIFS($P$6:$P$3271,P1790,$Q$6:$Q$3271,"&lt;="&amp;Q1790,$N$6:$N$3271,Calendar!$K$4),"")</f>
        <v/>
      </c>
      <c r="W1790" s="44">
        <f>IF(AND(B1790=Queue!$C$4,OR(Queue!$K$4="*",N1790=Queue!$K$4)),Q1790,"")</f>
        <v/>
      </c>
    </row>
    <row r="1791">
      <c r="A1791" s="35">
        <f>IF(M1791="","",HYPERLINK("https://www.youtube.com/watch?v="&amp;M1791,"▶"))</f>
        <v/>
      </c>
      <c r="B1791" s="36">
        <f>IF(C1791&lt;&gt;"",C1791,IF(P1791&lt;=IFERROR(INDEX(tblChannels[Watched Through],MATCH(N1791,tblChannels[Channel ID],0)),0),"Watched","Unwatched"))</f>
        <v/>
      </c>
      <c r="C1791" s="37" t="n"/>
      <c r="D1791" s="38" t="n"/>
      <c r="E1791" s="39" t="n">
        <v>43684.62222222222</v>
      </c>
      <c r="F1791" s="49" t="inlineStr">
        <is>
          <t>Super Carlin Gaming</t>
        </is>
      </c>
      <c r="G1791" t="inlineStr">
        <is>
          <t>Moo Moo Milk It Up |  Pokémon X Nuzlocke #36</t>
        </is>
      </c>
      <c r="H1791" s="41" t="n">
        <v>0.02579861111111111</v>
      </c>
      <c r="I1791" s="42" t="n">
        <v>18046</v>
      </c>
      <c r="J1791" s="42" t="n">
        <v>594</v>
      </c>
      <c r="K1791" s="42" t="n">
        <v>179</v>
      </c>
      <c r="L1791" s="43" t="n"/>
      <c r="M1791" s="44" t="n"/>
      <c r="N1791" s="44" t="inlineStr">
        <is>
          <t>UCor_9jRnNNZVzTuQ92PKsaQ</t>
        </is>
      </c>
      <c r="O1791" s="45" t="n">
        <v>43684.78888888889</v>
      </c>
      <c r="P1791" s="46" t="n">
        <v>43684</v>
      </c>
      <c r="Q1791" s="44" t="n">
        <v>1481</v>
      </c>
      <c r="R1791" s="44" t="inlineStr">
        <is>
          <t>No Video ID yet</t>
        </is>
      </c>
      <c r="S1791" s="46" t="n"/>
      <c r="T1791" s="46" t="n"/>
      <c r="U1791" s="44" t="n"/>
      <c r="V1791" s="44">
        <f>IF(AND(P1791&gt;=Calendar!$K$2,P1791&lt;EDATE(Calendar!$K$2,1),OR(Calendar!$K$4="*",N1791=Calendar!$K$4)),P1791*100+COUNTIFS($P$6:$P$3271,P1791,$Q$6:$Q$3271,"&lt;="&amp;Q1791,$N$6:$N$3271,Calendar!$K$4),"")</f>
        <v/>
      </c>
      <c r="W1791" s="44">
        <f>IF(AND(B1791=Queue!$C$4,OR(Queue!$K$4="*",N1791=Queue!$K$4)),Q1791,"")</f>
        <v/>
      </c>
    </row>
    <row r="1792">
      <c r="A1792" s="35">
        <f>IF(M1792="","",HYPERLINK("https://www.youtube.com/watch?v="&amp;M1792,"▶"))</f>
        <v/>
      </c>
      <c r="B1792" s="36">
        <f>IF(C1792&lt;&gt;"",C1792,IF(P1792&lt;=IFERROR(INDEX(tblChannels[Watched Through],MATCH(N1792,tblChannels[Channel ID],0)),0),"Watched","Unwatched"))</f>
        <v/>
      </c>
      <c r="C1792" s="37" t="n"/>
      <c r="D1792" s="38" t="n"/>
      <c r="E1792" s="39" t="n">
        <v>43683.87083333333</v>
      </c>
      <c r="F1792" s="47" t="inlineStr">
        <is>
          <t>Super Carlin Brothers</t>
        </is>
      </c>
      <c r="G1792" t="inlineStr">
        <is>
          <t>The Disney Renaissance Explained</t>
        </is>
      </c>
      <c r="H1792" s="41" t="n">
        <v>0.0149537037037037</v>
      </c>
      <c r="I1792" s="42" t="n">
        <v>611449</v>
      </c>
      <c r="J1792" s="42" t="n">
        <v>22619</v>
      </c>
      <c r="K1792" s="42" t="n">
        <v>3133</v>
      </c>
      <c r="L1792" s="43" t="n"/>
      <c r="M1792" s="44" t="n"/>
      <c r="N1792" s="44" t="inlineStr">
        <is>
          <t>UCKZo4N0lVPccBkSiuyVh4yg</t>
        </is>
      </c>
      <c r="O1792" s="45" t="n">
        <v>43684.0375</v>
      </c>
      <c r="P1792" s="46" t="n">
        <v>43683</v>
      </c>
      <c r="Q1792" s="44" t="n">
        <v>1480</v>
      </c>
      <c r="R1792" s="44" t="inlineStr">
        <is>
          <t>No Video ID yet</t>
        </is>
      </c>
      <c r="S1792" s="46" t="n"/>
      <c r="T1792" s="46" t="n"/>
      <c r="U1792" s="44" t="n"/>
      <c r="V1792" s="44">
        <f>IF(AND(P1792&gt;=Calendar!$K$2,P1792&lt;EDATE(Calendar!$K$2,1),OR(Calendar!$K$4="*",N1792=Calendar!$K$4)),P1792*100+COUNTIFS($P$6:$P$3271,P1792,$Q$6:$Q$3271,"&lt;="&amp;Q1792,$N$6:$N$3271,Calendar!$K$4),"")</f>
        <v/>
      </c>
      <c r="W1792" s="44">
        <f>IF(AND(B1792=Queue!$C$4,OR(Queue!$K$4="*",N1792=Queue!$K$4)),Q1792,"")</f>
        <v/>
      </c>
    </row>
    <row r="1793">
      <c r="A1793" s="35">
        <f>IF(M1793="","",HYPERLINK("https://www.youtube.com/watch?v="&amp;M1793,"▶"))</f>
        <v/>
      </c>
      <c r="B1793" s="36">
        <f>IF(C1793&lt;&gt;"",C1793,IF(P1793&lt;=IFERROR(INDEX(tblChannels[Watched Through],MATCH(N1793,tblChannels[Channel ID],0)),0),"Watched","Unwatched"))</f>
        <v/>
      </c>
      <c r="C1793" s="37" t="n"/>
      <c r="D1793" s="38" t="n"/>
      <c r="E1793" s="39" t="n">
        <v>43683.49513888889</v>
      </c>
      <c r="F1793" s="50" t="inlineStr">
        <is>
          <t>Jonathan Carlin</t>
        </is>
      </c>
      <c r="G1793" t="inlineStr">
        <is>
          <t>Beth Bakes SOURDOUGH!</t>
        </is>
      </c>
      <c r="H1793" s="41" t="n">
        <v>0.006377314814814815</v>
      </c>
      <c r="I1793" s="42" t="n">
        <v>22504</v>
      </c>
      <c r="J1793" s="42" t="n">
        <v>1464</v>
      </c>
      <c r="K1793" s="42" t="n">
        <v>264</v>
      </c>
      <c r="L1793" s="43" t="n"/>
      <c r="M1793" s="44" t="n"/>
      <c r="N1793" s="44" t="inlineStr">
        <is>
          <t>UCYPKFe86e6nm4TVUYKLsFUQ</t>
        </is>
      </c>
      <c r="O1793" s="45" t="n">
        <v>43683.66180555556</v>
      </c>
      <c r="P1793" s="46" t="n">
        <v>43683</v>
      </c>
      <c r="Q1793" s="44" t="n">
        <v>1479</v>
      </c>
      <c r="R1793" s="44" t="inlineStr">
        <is>
          <t>No Video ID yet</t>
        </is>
      </c>
      <c r="S1793" s="46" t="n"/>
      <c r="T1793" s="46" t="n"/>
      <c r="U1793" s="44" t="n"/>
      <c r="V1793" s="44">
        <f>IF(AND(P1793&gt;=Calendar!$K$2,P1793&lt;EDATE(Calendar!$K$2,1),OR(Calendar!$K$4="*",N1793=Calendar!$K$4)),P1793*100+COUNTIFS($P$6:$P$3271,P1793,$Q$6:$Q$3271,"&lt;="&amp;Q1793,$N$6:$N$3271,Calendar!$K$4),"")</f>
        <v/>
      </c>
      <c r="W1793" s="44">
        <f>IF(AND(B1793=Queue!$C$4,OR(Queue!$K$4="*",N1793=Queue!$K$4)),Q1793,"")</f>
        <v/>
      </c>
    </row>
    <row r="1794">
      <c r="A1794" s="35">
        <f>IF(M1794="","",HYPERLINK("https://www.youtube.com/watch?v="&amp;M1794,"▶"))</f>
        <v/>
      </c>
      <c r="B1794" s="36">
        <f>IF(C1794&lt;&gt;"",C1794,IF(P1794&lt;=IFERROR(INDEX(tblChannels[Watched Through],MATCH(N1794,tblChannels[Channel ID],0)),0),"Watched","Unwatched"))</f>
        <v/>
      </c>
      <c r="C1794" s="37" t="n"/>
      <c r="D1794" s="38" t="n"/>
      <c r="E1794" s="39" t="n">
        <v>43679.62708333333</v>
      </c>
      <c r="F1794" s="49" t="inlineStr">
        <is>
          <t>Super Carlin Gaming</t>
        </is>
      </c>
      <c r="G1794" t="inlineStr">
        <is>
          <t>Even More Dangerous |  Pokémon X Nuzlocke #35</t>
        </is>
      </c>
      <c r="H1794" s="41" t="n">
        <v>0.02431712962962963</v>
      </c>
      <c r="I1794" s="42" t="n">
        <v>17927</v>
      </c>
      <c r="J1794" s="42" t="n">
        <v>584</v>
      </c>
      <c r="K1794" s="42" t="n">
        <v>160</v>
      </c>
      <c r="L1794" s="43" t="n"/>
      <c r="M1794" s="44" t="n"/>
      <c r="N1794" s="44" t="inlineStr">
        <is>
          <t>UCor_9jRnNNZVzTuQ92PKsaQ</t>
        </is>
      </c>
      <c r="O1794" s="45" t="n">
        <v>43679.79375</v>
      </c>
      <c r="P1794" s="46" t="n">
        <v>43679</v>
      </c>
      <c r="Q1794" s="44" t="n">
        <v>1478</v>
      </c>
      <c r="R1794" s="44" t="inlineStr">
        <is>
          <t>No Video ID yet</t>
        </is>
      </c>
      <c r="S1794" s="46" t="n"/>
      <c r="T1794" s="46" t="n"/>
      <c r="U1794" s="44" t="n"/>
      <c r="V1794" s="44">
        <f>IF(AND(P1794&gt;=Calendar!$K$2,P1794&lt;EDATE(Calendar!$K$2,1),OR(Calendar!$K$4="*",N1794=Calendar!$K$4)),P1794*100+COUNTIFS($P$6:$P$3271,P1794,$Q$6:$Q$3271,"&lt;="&amp;Q1794,$N$6:$N$3271,Calendar!$K$4),"")</f>
        <v/>
      </c>
      <c r="W1794" s="44">
        <f>IF(AND(B1794=Queue!$C$4,OR(Queue!$K$4="*",N1794=Queue!$K$4)),Q1794,"")</f>
        <v/>
      </c>
    </row>
    <row r="1795">
      <c r="A1795" s="35">
        <f>IF(M1795="","",HYPERLINK("https://www.youtube.com/watch?v="&amp;M1795,"▶"))</f>
        <v/>
      </c>
      <c r="B1795" s="36">
        <f>IF(C1795&lt;&gt;"",C1795,IF(P1795&lt;=IFERROR(INDEX(tblChannels[Watched Through],MATCH(N1795,tblChannels[Channel ID],0)),0),"Watched","Unwatched"))</f>
        <v/>
      </c>
      <c r="C1795" s="37" t="n"/>
      <c r="D1795" s="38" t="n"/>
      <c r="E1795" s="39" t="n">
        <v>43678.65833333333</v>
      </c>
      <c r="F1795" s="47" t="inlineStr">
        <is>
          <t>Super Carlin Brothers</t>
        </is>
      </c>
      <c r="G1795" t="inlineStr">
        <is>
          <t>J vs Ben: ULTIMATE Harry Potter Boy Who Lived TRIVIA Quiz</t>
        </is>
      </c>
      <c r="H1795" s="41" t="n">
        <v>0.0297337962962963</v>
      </c>
      <c r="I1795" s="42" t="n">
        <v>1465634</v>
      </c>
      <c r="J1795" s="42" t="n">
        <v>21745</v>
      </c>
      <c r="K1795" s="42" t="n">
        <v>3045</v>
      </c>
      <c r="L1795" s="43" t="n"/>
      <c r="M1795" s="44" t="n"/>
      <c r="N1795" s="44" t="inlineStr">
        <is>
          <t>UCKZo4N0lVPccBkSiuyVh4yg</t>
        </is>
      </c>
      <c r="O1795" s="45" t="n">
        <v>43678.825</v>
      </c>
      <c r="P1795" s="46" t="n">
        <v>43678</v>
      </c>
      <c r="Q1795" s="44" t="n">
        <v>1477</v>
      </c>
      <c r="R1795" s="44" t="inlineStr">
        <is>
          <t>No Video ID yet</t>
        </is>
      </c>
      <c r="S1795" s="46" t="n"/>
      <c r="T1795" s="46" t="n"/>
      <c r="U1795" s="44" t="n"/>
      <c r="V1795" s="44">
        <f>IF(AND(P1795&gt;=Calendar!$K$2,P1795&lt;EDATE(Calendar!$K$2,1),OR(Calendar!$K$4="*",N1795=Calendar!$K$4)),P1795*100+COUNTIFS($P$6:$P$3271,P1795,$Q$6:$Q$3271,"&lt;="&amp;Q1795,$N$6:$N$3271,Calendar!$K$4),"")</f>
        <v/>
      </c>
      <c r="W1795" s="44">
        <f>IF(AND(B1795=Queue!$C$4,OR(Queue!$K$4="*",N1795=Queue!$K$4)),Q1795,"")</f>
        <v/>
      </c>
    </row>
    <row r="1796">
      <c r="A1796" s="35">
        <f>IF(M1796="","",HYPERLINK("https://www.youtube.com/watch?v="&amp;M1796,"▶"))</f>
        <v/>
      </c>
      <c r="B1796" s="36">
        <f>IF(C1796&lt;&gt;"",C1796,IF(P1796&lt;=IFERROR(INDEX(tblChannels[Watched Through],MATCH(N1796,tblChannels[Channel ID],0)),0),"Watched","Unwatched"))</f>
        <v/>
      </c>
      <c r="C1796" s="37" t="n"/>
      <c r="D1796" s="38" t="n"/>
      <c r="E1796" s="39" t="n">
        <v>43677.63402777778</v>
      </c>
      <c r="F1796" s="49" t="inlineStr">
        <is>
          <t>Super Carlin Gaming</t>
        </is>
      </c>
      <c r="G1796" t="inlineStr">
        <is>
          <t>Psychic. |  Pokémon X Nuzlocke #34</t>
        </is>
      </c>
      <c r="H1796" s="41" t="n">
        <v>0.02013888888888889</v>
      </c>
      <c r="I1796" s="42" t="n">
        <v>17372</v>
      </c>
      <c r="J1796" s="42" t="n">
        <v>624</v>
      </c>
      <c r="K1796" s="42" t="n">
        <v>147</v>
      </c>
      <c r="L1796" s="43" t="n"/>
      <c r="M1796" s="44" t="n"/>
      <c r="N1796" s="44" t="inlineStr">
        <is>
          <t>UCor_9jRnNNZVzTuQ92PKsaQ</t>
        </is>
      </c>
      <c r="O1796" s="45" t="n">
        <v>43677.80069444444</v>
      </c>
      <c r="P1796" s="46" t="n">
        <v>43677</v>
      </c>
      <c r="Q1796" s="44" t="n">
        <v>1476</v>
      </c>
      <c r="R1796" s="44" t="inlineStr">
        <is>
          <t>No Video ID yet</t>
        </is>
      </c>
      <c r="S1796" s="46" t="n"/>
      <c r="T1796" s="46" t="n"/>
      <c r="U1796" s="44" t="n"/>
      <c r="V1796" s="44">
        <f>IF(AND(P1796&gt;=Calendar!$K$2,P1796&lt;EDATE(Calendar!$K$2,1),OR(Calendar!$K$4="*",N1796=Calendar!$K$4)),P1796*100+COUNTIFS($P$6:$P$3271,P1796,$Q$6:$Q$3271,"&lt;="&amp;Q1796,$N$6:$N$3271,Calendar!$K$4),"")</f>
        <v/>
      </c>
      <c r="W1796" s="44">
        <f>IF(AND(B1796=Queue!$C$4,OR(Queue!$K$4="*",N1796=Queue!$K$4)),Q1796,"")</f>
        <v/>
      </c>
    </row>
    <row r="1797">
      <c r="A1797" s="35">
        <f>IF(M1797="","",HYPERLINK("https://www.youtube.com/watch?v="&amp;M1797,"▶"))</f>
        <v/>
      </c>
      <c r="B1797" s="36">
        <f>IF(C1797&lt;&gt;"",C1797,IF(P1797&lt;=IFERROR(INDEX(tblChannels[Watched Through],MATCH(N1797,tblChannels[Channel ID],0)),0),"Watched","Unwatched"))</f>
        <v/>
      </c>
      <c r="C1797" s="37" t="n"/>
      <c r="D1797" s="38" t="n"/>
      <c r="E1797" s="39" t="n">
        <v>43676.72013888889</v>
      </c>
      <c r="F1797" s="47" t="inlineStr">
        <is>
          <t>Super Carlin Brothers</t>
        </is>
      </c>
      <c r="G1797" t="inlineStr">
        <is>
          <t>Who Was Carl's Monster? | Pixar Theory</t>
        </is>
      </c>
      <c r="H1797" s="41" t="n">
        <v>0.007962962962962963</v>
      </c>
      <c r="I1797" s="42" t="n">
        <v>1192140</v>
      </c>
      <c r="J1797" s="42" t="n">
        <v>35145</v>
      </c>
      <c r="K1797" s="42" t="n">
        <v>2227</v>
      </c>
      <c r="L1797" s="43" t="n"/>
      <c r="M1797" s="44" t="n"/>
      <c r="N1797" s="44" t="inlineStr">
        <is>
          <t>UCKZo4N0lVPccBkSiuyVh4yg</t>
        </is>
      </c>
      <c r="O1797" s="45" t="n">
        <v>43676.88680555556</v>
      </c>
      <c r="P1797" s="46" t="n">
        <v>43676</v>
      </c>
      <c r="Q1797" s="44" t="n">
        <v>1475</v>
      </c>
      <c r="R1797" s="44" t="inlineStr">
        <is>
          <t>No Video ID yet</t>
        </is>
      </c>
      <c r="S1797" s="46" t="n"/>
      <c r="T1797" s="46" t="n"/>
      <c r="U1797" s="44" t="n"/>
      <c r="V1797" s="44">
        <f>IF(AND(P1797&gt;=Calendar!$K$2,P1797&lt;EDATE(Calendar!$K$2,1),OR(Calendar!$K$4="*",N1797=Calendar!$K$4)),P1797*100+COUNTIFS($P$6:$P$3271,P1797,$Q$6:$Q$3271,"&lt;="&amp;Q1797,$N$6:$N$3271,Calendar!$K$4),"")</f>
        <v/>
      </c>
      <c r="W1797" s="44">
        <f>IF(AND(B1797=Queue!$C$4,OR(Queue!$K$4="*",N1797=Queue!$K$4)),Q1797,"")</f>
        <v/>
      </c>
    </row>
    <row r="1798">
      <c r="A1798" s="35">
        <f>IF(M1798="","",HYPERLINK("https://www.youtube.com/watch?v="&amp;M1798,"▶"))</f>
        <v/>
      </c>
      <c r="B1798" s="36">
        <f>IF(C1798&lt;&gt;"",C1798,IF(P1798&lt;=IFERROR(INDEX(tblChannels[Watched Through],MATCH(N1798,tblChannels[Channel ID],0)),0),"Watched","Unwatched"))</f>
        <v/>
      </c>
      <c r="C1798" s="37" t="n"/>
      <c r="D1798" s="38" t="n"/>
      <c r="E1798" s="39" t="n">
        <v>43675.47638888889</v>
      </c>
      <c r="F1798" s="50" t="inlineStr">
        <is>
          <t>Jonathan Carlin</t>
        </is>
      </c>
      <c r="G1798" t="inlineStr">
        <is>
          <t>THE SPARTAN RACE RETURNS | DC MEET UP</t>
        </is>
      </c>
      <c r="H1798" s="41" t="n">
        <v>0.006990740740740741</v>
      </c>
      <c r="I1798" s="42" t="n">
        <v>22540</v>
      </c>
      <c r="J1798" s="42" t="n">
        <v>1295</v>
      </c>
      <c r="K1798" s="42" t="n">
        <v>110</v>
      </c>
      <c r="L1798" s="43" t="n"/>
      <c r="M1798" s="44" t="n"/>
      <c r="N1798" s="44" t="inlineStr">
        <is>
          <t>UCYPKFe86e6nm4TVUYKLsFUQ</t>
        </is>
      </c>
      <c r="O1798" s="45" t="n">
        <v>43675.64305555556</v>
      </c>
      <c r="P1798" s="46" t="n">
        <v>43675</v>
      </c>
      <c r="Q1798" s="44" t="n">
        <v>1474</v>
      </c>
      <c r="R1798" s="44" t="inlineStr">
        <is>
          <t>No Video ID yet</t>
        </is>
      </c>
      <c r="S1798" s="46" t="n"/>
      <c r="T1798" s="46" t="n"/>
      <c r="U1798" s="44" t="n"/>
      <c r="V1798" s="44">
        <f>IF(AND(P1798&gt;=Calendar!$K$2,P1798&lt;EDATE(Calendar!$K$2,1),OR(Calendar!$K$4="*",N1798=Calendar!$K$4)),P1798*100+COUNTIFS($P$6:$P$3271,P1798,$Q$6:$Q$3271,"&lt;="&amp;Q1798,$N$6:$N$3271,Calendar!$K$4),"")</f>
        <v/>
      </c>
      <c r="W1798" s="44">
        <f>IF(AND(B1798=Queue!$C$4,OR(Queue!$K$4="*",N1798=Queue!$K$4)),Q1798,"")</f>
        <v/>
      </c>
    </row>
    <row r="1799">
      <c r="A1799" s="35">
        <f>IF(M1799="","",HYPERLINK("https://www.youtube.com/watch?v="&amp;M1799,"▶"))</f>
        <v/>
      </c>
      <c r="B1799" s="36">
        <f>IF(C1799&lt;&gt;"",C1799,IF(P1799&lt;=IFERROR(INDEX(tblChannels[Watched Through],MATCH(N1799,tblChannels[Channel ID],0)),0),"Watched","Unwatched"))</f>
        <v/>
      </c>
      <c r="C1799" s="37" t="n"/>
      <c r="D1799" s="38" t="n"/>
      <c r="E1799" s="39" t="n">
        <v>43672.61666666667</v>
      </c>
      <c r="F1799" s="49" t="inlineStr">
        <is>
          <t>Super Carlin Gaming</t>
        </is>
      </c>
      <c r="G1799" t="inlineStr">
        <is>
          <t>The Hugger |  Pokémon X Nuzlocke #33</t>
        </is>
      </c>
      <c r="H1799" s="41" t="n">
        <v>0.01515046296296296</v>
      </c>
      <c r="I1799" s="42" t="n">
        <v>16740</v>
      </c>
      <c r="J1799" s="42" t="n">
        <v>620</v>
      </c>
      <c r="K1799" s="42" t="n">
        <v>126</v>
      </c>
      <c r="L1799" s="43" t="n"/>
      <c r="M1799" s="44" t="n"/>
      <c r="N1799" s="44" t="inlineStr">
        <is>
          <t>UCor_9jRnNNZVzTuQ92PKsaQ</t>
        </is>
      </c>
      <c r="O1799" s="45" t="n">
        <v>43672.78333333333</v>
      </c>
      <c r="P1799" s="46" t="n">
        <v>43672</v>
      </c>
      <c r="Q1799" s="44" t="n">
        <v>1473</v>
      </c>
      <c r="R1799" s="44" t="inlineStr">
        <is>
          <t>No Video ID yet</t>
        </is>
      </c>
      <c r="S1799" s="46" t="n"/>
      <c r="T1799" s="46" t="n"/>
      <c r="U1799" s="44" t="n"/>
      <c r="V1799" s="44">
        <f>IF(AND(P1799&gt;=Calendar!$K$2,P1799&lt;EDATE(Calendar!$K$2,1),OR(Calendar!$K$4="*",N1799=Calendar!$K$4)),P1799*100+COUNTIFS($P$6:$P$3271,P1799,$Q$6:$Q$3271,"&lt;="&amp;Q1799,$N$6:$N$3271,Calendar!$K$4),"")</f>
        <v/>
      </c>
      <c r="W1799" s="44">
        <f>IF(AND(B1799=Queue!$C$4,OR(Queue!$K$4="*",N1799=Queue!$K$4)),Q1799,"")</f>
        <v/>
      </c>
    </row>
    <row r="1800">
      <c r="A1800" s="35">
        <f>IF(M1800="","",HYPERLINK("https://www.youtube.com/watch?v="&amp;M1800,"▶"))</f>
        <v/>
      </c>
      <c r="B1800" s="36">
        <f>IF(C1800&lt;&gt;"",C1800,IF(P1800&lt;=IFERROR(INDEX(tblChannels[Watched Through],MATCH(N1800,tblChannels[Channel ID],0)),0),"Watched","Unwatched"))</f>
        <v/>
      </c>
      <c r="C1800" s="37" t="n"/>
      <c r="D1800" s="38" t="n"/>
      <c r="E1800" s="39" t="n">
        <v>43671.86180555556</v>
      </c>
      <c r="F1800" s="47" t="inlineStr">
        <is>
          <t>Super Carlin Brothers</t>
        </is>
      </c>
      <c r="G1800" t="inlineStr">
        <is>
          <t>Future Of The MCU | Marvel Phase 4 Explained</t>
        </is>
      </c>
      <c r="H1800" s="41" t="n">
        <v>0.009930555555555555</v>
      </c>
      <c r="I1800" s="42" t="n">
        <v>260873</v>
      </c>
      <c r="J1800" s="42" t="n">
        <v>10580</v>
      </c>
      <c r="K1800" s="42" t="n">
        <v>1445</v>
      </c>
      <c r="L1800" s="43" t="n"/>
      <c r="M1800" s="44" t="n"/>
      <c r="N1800" s="44" t="inlineStr">
        <is>
          <t>UCKZo4N0lVPccBkSiuyVh4yg</t>
        </is>
      </c>
      <c r="O1800" s="45" t="n">
        <v>43672.02847222222</v>
      </c>
      <c r="P1800" s="46" t="n">
        <v>43671</v>
      </c>
      <c r="Q1800" s="44" t="n">
        <v>1472</v>
      </c>
      <c r="R1800" s="44" t="inlineStr">
        <is>
          <t>No Video ID yet</t>
        </is>
      </c>
      <c r="S1800" s="46" t="n"/>
      <c r="T1800" s="46" t="n"/>
      <c r="U1800" s="44" t="n"/>
      <c r="V1800" s="44">
        <f>IF(AND(P1800&gt;=Calendar!$K$2,P1800&lt;EDATE(Calendar!$K$2,1),OR(Calendar!$K$4="*",N1800=Calendar!$K$4)),P1800*100+COUNTIFS($P$6:$P$3271,P1800,$Q$6:$Q$3271,"&lt;="&amp;Q1800,$N$6:$N$3271,Calendar!$K$4),"")</f>
        <v/>
      </c>
      <c r="W1800" s="44">
        <f>IF(AND(B1800=Queue!$C$4,OR(Queue!$K$4="*",N1800=Queue!$K$4)),Q1800,"")</f>
        <v/>
      </c>
    </row>
    <row r="1801">
      <c r="A1801" s="35">
        <f>IF(M1801="","",HYPERLINK("https://www.youtube.com/watch?v="&amp;M1801,"▶"))</f>
        <v/>
      </c>
      <c r="B1801" s="36">
        <f>IF(C1801&lt;&gt;"",C1801,IF(P1801&lt;=IFERROR(INDEX(tblChannels[Watched Through],MATCH(N1801,tblChannels[Channel ID],0)),0),"Watched","Unwatched"))</f>
        <v/>
      </c>
      <c r="C1801" s="37" t="n"/>
      <c r="D1801" s="38" t="n"/>
      <c r="E1801" s="39" t="n">
        <v>43670.72361111111</v>
      </c>
      <c r="F1801" s="49" t="inlineStr">
        <is>
          <t>Super Carlin Gaming</t>
        </is>
      </c>
      <c r="G1801" t="inlineStr">
        <is>
          <t>I Hate This Game |  Pokémon X Nuzlocke #32</t>
        </is>
      </c>
      <c r="H1801" s="41" t="n">
        <v>0.02369212962962963</v>
      </c>
      <c r="I1801" s="42" t="n">
        <v>19707</v>
      </c>
      <c r="J1801" s="42" t="n">
        <v>649</v>
      </c>
      <c r="K1801" s="42" t="n">
        <v>272</v>
      </c>
      <c r="L1801" s="43" t="n"/>
      <c r="M1801" s="44" t="n"/>
      <c r="N1801" s="44" t="inlineStr">
        <is>
          <t>UCor_9jRnNNZVzTuQ92PKsaQ</t>
        </is>
      </c>
      <c r="O1801" s="45" t="n">
        <v>43670.89027777778</v>
      </c>
      <c r="P1801" s="46" t="n">
        <v>43670</v>
      </c>
      <c r="Q1801" s="44" t="n">
        <v>1471</v>
      </c>
      <c r="R1801" s="44" t="inlineStr">
        <is>
          <t>No Video ID yet</t>
        </is>
      </c>
      <c r="S1801" s="46" t="n"/>
      <c r="T1801" s="46" t="n"/>
      <c r="U1801" s="44" t="n"/>
      <c r="V1801" s="44">
        <f>IF(AND(P1801&gt;=Calendar!$K$2,P1801&lt;EDATE(Calendar!$K$2,1),OR(Calendar!$K$4="*",N1801=Calendar!$K$4)),P1801*100+COUNTIFS($P$6:$P$3271,P1801,$Q$6:$Q$3271,"&lt;="&amp;Q1801,$N$6:$N$3271,Calendar!$K$4),"")</f>
        <v/>
      </c>
      <c r="W1801" s="44">
        <f>IF(AND(B1801=Queue!$C$4,OR(Queue!$K$4="*",N1801=Queue!$K$4)),Q1801,"")</f>
        <v/>
      </c>
    </row>
    <row r="1802">
      <c r="A1802" s="35">
        <f>IF(M1802="","",HYPERLINK("https://www.youtube.com/watch?v="&amp;M1802,"▶"))</f>
        <v/>
      </c>
      <c r="B1802" s="36">
        <f>IF(C1802&lt;&gt;"",C1802,IF(P1802&lt;=IFERROR(INDEX(tblChannels[Watched Through],MATCH(N1802,tblChannels[Channel ID],0)),0),"Watched","Unwatched"))</f>
        <v/>
      </c>
      <c r="C1802" s="37" t="n"/>
      <c r="D1802" s="38" t="n"/>
      <c r="E1802" s="39" t="n">
        <v>43669.69791666666</v>
      </c>
      <c r="F1802" s="47" t="inlineStr">
        <is>
          <t>Super Carlin Brothers</t>
        </is>
      </c>
      <c r="G1802" t="inlineStr">
        <is>
          <t>The Lion King: Was It Worth It? | SCB Review</t>
        </is>
      </c>
      <c r="H1802" s="41" t="n">
        <v>0.04020833333333333</v>
      </c>
      <c r="I1802" s="42" t="n">
        <v>316716</v>
      </c>
      <c r="J1802" s="42" t="n">
        <v>8507</v>
      </c>
      <c r="K1802" s="42" t="n">
        <v>2512</v>
      </c>
      <c r="L1802" s="43" t="n"/>
      <c r="M1802" s="44" t="n"/>
      <c r="N1802" s="44" t="inlineStr">
        <is>
          <t>UCKZo4N0lVPccBkSiuyVh4yg</t>
        </is>
      </c>
      <c r="O1802" s="45" t="n">
        <v>43669.86458333334</v>
      </c>
      <c r="P1802" s="46" t="n">
        <v>43669</v>
      </c>
      <c r="Q1802" s="44" t="n">
        <v>1470</v>
      </c>
      <c r="R1802" s="44" t="inlineStr">
        <is>
          <t>No Video ID yet</t>
        </is>
      </c>
      <c r="S1802" s="46" t="n"/>
      <c r="T1802" s="46" t="n"/>
      <c r="U1802" s="44" t="n"/>
      <c r="V1802" s="44">
        <f>IF(AND(P1802&gt;=Calendar!$K$2,P1802&lt;EDATE(Calendar!$K$2,1),OR(Calendar!$K$4="*",N1802=Calendar!$K$4)),P1802*100+COUNTIFS($P$6:$P$3271,P1802,$Q$6:$Q$3271,"&lt;="&amp;Q1802,$N$6:$N$3271,Calendar!$K$4),"")</f>
        <v/>
      </c>
      <c r="W1802" s="44">
        <f>IF(AND(B1802=Queue!$C$4,OR(Queue!$K$4="*",N1802=Queue!$K$4)),Q1802,"")</f>
        <v/>
      </c>
    </row>
    <row r="1803">
      <c r="A1803" s="35">
        <f>IF(M1803="","",HYPERLINK("https://www.youtube.com/watch?v="&amp;M1803,"▶"))</f>
        <v/>
      </c>
      <c r="B1803" s="36">
        <f>IF(C1803&lt;&gt;"",C1803,IF(P1803&lt;=IFERROR(INDEX(tblChannels[Watched Through],MATCH(N1803,tblChannels[Channel ID],0)),0),"Watched","Unwatched"))</f>
        <v/>
      </c>
      <c r="C1803" s="37" t="n"/>
      <c r="D1803" s="38" t="n"/>
      <c r="E1803" s="39" t="n">
        <v>43669.42777777778</v>
      </c>
      <c r="F1803" s="50" t="inlineStr">
        <is>
          <t>Jonathan Carlin</t>
        </is>
      </c>
      <c r="G1803" t="inlineStr">
        <is>
          <t>A Week Of Milestones | 2-Million Subscribers!</t>
        </is>
      </c>
      <c r="H1803" s="41" t="n">
        <v>0.007777777777777778</v>
      </c>
      <c r="I1803" s="42" t="n">
        <v>29145</v>
      </c>
      <c r="J1803" s="42" t="n">
        <v>1871</v>
      </c>
      <c r="K1803" s="42" t="n">
        <v>162</v>
      </c>
      <c r="L1803" s="43" t="n"/>
      <c r="M1803" s="44" t="n"/>
      <c r="N1803" s="44" t="inlineStr">
        <is>
          <t>UCYPKFe86e6nm4TVUYKLsFUQ</t>
        </is>
      </c>
      <c r="O1803" s="45" t="n">
        <v>43669.59444444445</v>
      </c>
      <c r="P1803" s="46" t="n">
        <v>43669</v>
      </c>
      <c r="Q1803" s="44" t="n">
        <v>1469</v>
      </c>
      <c r="R1803" s="44" t="inlineStr">
        <is>
          <t>No Video ID yet</t>
        </is>
      </c>
      <c r="S1803" s="46" t="n"/>
      <c r="T1803" s="46" t="n"/>
      <c r="U1803" s="44" t="n"/>
      <c r="V1803" s="44">
        <f>IF(AND(P1803&gt;=Calendar!$K$2,P1803&lt;EDATE(Calendar!$K$2,1),OR(Calendar!$K$4="*",N1803=Calendar!$K$4)),P1803*100+COUNTIFS($P$6:$P$3271,P1803,$Q$6:$Q$3271,"&lt;="&amp;Q1803,$N$6:$N$3271,Calendar!$K$4),"")</f>
        <v/>
      </c>
      <c r="W1803" s="44">
        <f>IF(AND(B1803=Queue!$C$4,OR(Queue!$K$4="*",N1803=Queue!$K$4)),Q1803,"")</f>
        <v/>
      </c>
    </row>
    <row r="1804">
      <c r="A1804" s="35">
        <f>IF(M1804="","",HYPERLINK("https://www.youtube.com/watch?v="&amp;M1804,"▶"))</f>
        <v/>
      </c>
      <c r="B1804" s="36">
        <f>IF(C1804&lt;&gt;"",C1804,IF(P1804&lt;=IFERROR(INDEX(tblChannels[Watched Through],MATCH(N1804,tblChannels[Channel ID],0)),0),"Watched","Unwatched"))</f>
        <v/>
      </c>
      <c r="C1804" s="37" t="n"/>
      <c r="D1804" s="38" t="n"/>
      <c r="E1804" s="39" t="n">
        <v>43668.71875</v>
      </c>
      <c r="F1804" s="49" t="inlineStr">
        <is>
          <t>Super Carlin Gaming</t>
        </is>
      </c>
      <c r="G1804" t="inlineStr">
        <is>
          <t>Fun with Flags |  Super Smash Brothers #47</t>
        </is>
      </c>
      <c r="H1804" s="41" t="n">
        <v>0.01395833333333333</v>
      </c>
      <c r="I1804" s="42" t="n">
        <v>4877</v>
      </c>
      <c r="J1804" s="42" t="n">
        <v>229</v>
      </c>
      <c r="K1804" s="42" t="n">
        <v>79</v>
      </c>
      <c r="L1804" s="43" t="n"/>
      <c r="M1804" s="44" t="n"/>
      <c r="N1804" s="44" t="inlineStr">
        <is>
          <t>UCor_9jRnNNZVzTuQ92PKsaQ</t>
        </is>
      </c>
      <c r="O1804" s="45" t="n">
        <v>43668.88541666666</v>
      </c>
      <c r="P1804" s="46" t="n">
        <v>43668</v>
      </c>
      <c r="Q1804" s="44" t="n">
        <v>1468</v>
      </c>
      <c r="R1804" s="44" t="inlineStr">
        <is>
          <t>No Video ID yet</t>
        </is>
      </c>
      <c r="S1804" s="46" t="n"/>
      <c r="T1804" s="46" t="n"/>
      <c r="U1804" s="44" t="n"/>
      <c r="V1804" s="44">
        <f>IF(AND(P1804&gt;=Calendar!$K$2,P1804&lt;EDATE(Calendar!$K$2,1),OR(Calendar!$K$4="*",N1804=Calendar!$K$4)),P1804*100+COUNTIFS($P$6:$P$3271,P1804,$Q$6:$Q$3271,"&lt;="&amp;Q1804,$N$6:$N$3271,Calendar!$K$4),"")</f>
        <v/>
      </c>
      <c r="W1804" s="44">
        <f>IF(AND(B1804=Queue!$C$4,OR(Queue!$K$4="*",N1804=Queue!$K$4)),Q1804,"")</f>
        <v/>
      </c>
    </row>
    <row r="1805">
      <c r="A1805" s="35">
        <f>IF(M1805="","",HYPERLINK("https://www.youtube.com/watch?v="&amp;M1805,"▶"))</f>
        <v/>
      </c>
      <c r="B1805" s="36">
        <f>IF(C1805&lt;&gt;"",C1805,IF(P1805&lt;=IFERROR(INDEX(tblChannels[Watched Through],MATCH(N1805,tblChannels[Channel ID],0)),0),"Watched","Unwatched"))</f>
        <v/>
      </c>
      <c r="C1805" s="37" t="n"/>
      <c r="D1805" s="38" t="n"/>
      <c r="E1805" s="39" t="n">
        <v>43665.41666666666</v>
      </c>
      <c r="F1805" s="49" t="inlineStr">
        <is>
          <t>Super Carlin Gaming</t>
        </is>
      </c>
      <c r="G1805" t="inlineStr">
        <is>
          <t>Return of Tomjon |  Pokémon X Nuzlocke #31</t>
        </is>
      </c>
      <c r="H1805" s="41" t="n">
        <v>0.02193287037037037</v>
      </c>
      <c r="I1805" s="42" t="n">
        <v>18218</v>
      </c>
      <c r="J1805" s="42" t="n">
        <v>635</v>
      </c>
      <c r="K1805" s="42" t="n">
        <v>347</v>
      </c>
      <c r="L1805" s="43" t="n"/>
      <c r="M1805" s="44" t="n"/>
      <c r="N1805" s="44" t="inlineStr">
        <is>
          <t>UCor_9jRnNNZVzTuQ92PKsaQ</t>
        </is>
      </c>
      <c r="O1805" s="45" t="n">
        <v>43665.58333333334</v>
      </c>
      <c r="P1805" s="46" t="n">
        <v>43665</v>
      </c>
      <c r="Q1805" s="44" t="n">
        <v>1467</v>
      </c>
      <c r="R1805" s="44" t="inlineStr">
        <is>
          <t>No Video ID yet</t>
        </is>
      </c>
      <c r="S1805" s="46" t="n"/>
      <c r="T1805" s="46" t="n"/>
      <c r="U1805" s="44" t="n"/>
      <c r="V1805" s="44">
        <f>IF(AND(P1805&gt;=Calendar!$K$2,P1805&lt;EDATE(Calendar!$K$2,1),OR(Calendar!$K$4="*",N1805=Calendar!$K$4)),P1805*100+COUNTIFS($P$6:$P$3271,P1805,$Q$6:$Q$3271,"&lt;="&amp;Q1805,$N$6:$N$3271,Calendar!$K$4),"")</f>
        <v/>
      </c>
      <c r="W1805" s="44">
        <f>IF(AND(B1805=Queue!$C$4,OR(Queue!$K$4="*",N1805=Queue!$K$4)),Q1805,"")</f>
        <v/>
      </c>
    </row>
    <row r="1806">
      <c r="A1806" s="35">
        <f>IF(M1806="","",HYPERLINK("https://www.youtube.com/watch?v="&amp;M1806,"▶"))</f>
        <v/>
      </c>
      <c r="B1806" s="36">
        <f>IF(C1806&lt;&gt;"",C1806,IF(P1806&lt;=IFERROR(INDEX(tblChannels[Watched Through],MATCH(N1806,tblChannels[Channel ID],0)),0),"Watched","Unwatched"))</f>
        <v/>
      </c>
      <c r="C1806" s="37" t="n"/>
      <c r="D1806" s="38" t="n"/>
      <c r="E1806" s="39" t="n">
        <v>43664.79166666666</v>
      </c>
      <c r="F1806" s="47" t="inlineStr">
        <is>
          <t>Super Carlin Brothers</t>
        </is>
      </c>
      <c r="G1806" t="inlineStr">
        <is>
          <t>Fast Facts: The Lion King</t>
        </is>
      </c>
      <c r="H1806" s="41" t="n">
        <v>0.005995370370370371</v>
      </c>
      <c r="I1806" s="42" t="n">
        <v>422122</v>
      </c>
      <c r="J1806" s="42" t="n">
        <v>13038</v>
      </c>
      <c r="K1806" s="42" t="n">
        <v>895</v>
      </c>
      <c r="L1806" s="43" t="n"/>
      <c r="M1806" s="44" t="n"/>
      <c r="N1806" s="44" t="inlineStr">
        <is>
          <t>UCKZo4N0lVPccBkSiuyVh4yg</t>
        </is>
      </c>
      <c r="O1806" s="45" t="n">
        <v>43664.95833333334</v>
      </c>
      <c r="P1806" s="46" t="n">
        <v>43664</v>
      </c>
      <c r="Q1806" s="44" t="n">
        <v>1466</v>
      </c>
      <c r="R1806" s="44" t="inlineStr">
        <is>
          <t>No Video ID yet</t>
        </is>
      </c>
      <c r="S1806" s="46" t="n"/>
      <c r="T1806" s="46" t="n"/>
      <c r="U1806" s="44" t="n"/>
      <c r="V1806" s="44">
        <f>IF(AND(P1806&gt;=Calendar!$K$2,P1806&lt;EDATE(Calendar!$K$2,1),OR(Calendar!$K$4="*",N1806=Calendar!$K$4)),P1806*100+COUNTIFS($P$6:$P$3271,P1806,$Q$6:$Q$3271,"&lt;="&amp;Q1806,$N$6:$N$3271,Calendar!$K$4),"")</f>
        <v/>
      </c>
      <c r="W1806" s="44">
        <f>IF(AND(B1806=Queue!$C$4,OR(Queue!$K$4="*",N1806=Queue!$K$4)),Q1806,"")</f>
        <v/>
      </c>
    </row>
    <row r="1807">
      <c r="A1807" s="35">
        <f>IF(M1807="","",HYPERLINK("https://www.youtube.com/watch?v="&amp;M1807,"▶"))</f>
        <v/>
      </c>
      <c r="B1807" s="36">
        <f>IF(C1807&lt;&gt;"",C1807,IF(P1807&lt;=IFERROR(INDEX(tblChannels[Watched Through],MATCH(N1807,tblChannels[Channel ID],0)),0),"Watched","Unwatched"))</f>
        <v/>
      </c>
      <c r="C1807" s="37" t="n"/>
      <c r="D1807" s="38" t="n"/>
      <c r="E1807" s="39" t="n">
        <v>43663.41666666666</v>
      </c>
      <c r="F1807" s="49" t="inlineStr">
        <is>
          <t>Super Carlin Gaming</t>
        </is>
      </c>
      <c r="G1807" t="inlineStr">
        <is>
          <t>Into the Ice Cave |  Pokémon X Nuzlocke #30</t>
        </is>
      </c>
      <c r="H1807" s="41" t="n">
        <v>0.02179398148148148</v>
      </c>
      <c r="I1807" s="42" t="n">
        <v>19215</v>
      </c>
      <c r="J1807" s="42" t="n">
        <v>649</v>
      </c>
      <c r="K1807" s="42" t="n">
        <v>102</v>
      </c>
      <c r="L1807" s="43" t="n"/>
      <c r="M1807" s="44" t="n"/>
      <c r="N1807" s="44" t="inlineStr">
        <is>
          <t>UCor_9jRnNNZVzTuQ92PKsaQ</t>
        </is>
      </c>
      <c r="O1807" s="45" t="n">
        <v>43663.58333333334</v>
      </c>
      <c r="P1807" s="46" t="n">
        <v>43663</v>
      </c>
      <c r="Q1807" s="44" t="n">
        <v>1465</v>
      </c>
      <c r="R1807" s="44" t="inlineStr">
        <is>
          <t>No Video ID yet</t>
        </is>
      </c>
      <c r="S1807" s="46" t="n"/>
      <c r="T1807" s="46" t="n"/>
      <c r="U1807" s="44" t="n"/>
      <c r="V1807" s="44">
        <f>IF(AND(P1807&gt;=Calendar!$K$2,P1807&lt;EDATE(Calendar!$K$2,1),OR(Calendar!$K$4="*",N1807=Calendar!$K$4)),P1807*100+COUNTIFS($P$6:$P$3271,P1807,$Q$6:$Q$3271,"&lt;="&amp;Q1807,$N$6:$N$3271,Calendar!$K$4),"")</f>
        <v/>
      </c>
      <c r="W1807" s="44">
        <f>IF(AND(B1807=Queue!$C$4,OR(Queue!$K$4="*",N1807=Queue!$K$4)),Q1807,"")</f>
        <v/>
      </c>
    </row>
    <row r="1808">
      <c r="A1808" s="35">
        <f>IF(M1808="","",HYPERLINK("https://www.youtube.com/watch?v="&amp;M1808,"▶"))</f>
        <v/>
      </c>
      <c r="B1808" s="36">
        <f>IF(C1808&lt;&gt;"",C1808,IF(P1808&lt;=IFERROR(INDEX(tblChannels[Watched Through],MATCH(N1808,tblChannels[Channel ID],0)),0),"Watched","Unwatched"))</f>
        <v/>
      </c>
      <c r="C1808" s="37" t="n"/>
      <c r="D1808" s="38" t="n"/>
      <c r="E1808" s="39" t="n">
        <v>43662.83819444444</v>
      </c>
      <c r="F1808" s="47" t="inlineStr">
        <is>
          <t>Super Carlin Brothers</t>
        </is>
      </c>
      <c r="G1808" t="inlineStr">
        <is>
          <t>How Toy Story 4 Fits Into The Pixar Theory</t>
        </is>
      </c>
      <c r="H1808" s="41" t="n">
        <v>0.007175925925925926</v>
      </c>
      <c r="I1808" s="42" t="n">
        <v>556220</v>
      </c>
      <c r="J1808" s="42" t="n">
        <v>19565</v>
      </c>
      <c r="K1808" s="42" t="n">
        <v>1965</v>
      </c>
      <c r="L1808" s="43" t="n"/>
      <c r="M1808" s="44" t="n"/>
      <c r="N1808" s="44" t="inlineStr">
        <is>
          <t>UCKZo4N0lVPccBkSiuyVh4yg</t>
        </is>
      </c>
      <c r="O1808" s="45" t="n">
        <v>43663.00486111111</v>
      </c>
      <c r="P1808" s="46" t="n">
        <v>43662</v>
      </c>
      <c r="Q1808" s="44" t="n">
        <v>1464</v>
      </c>
      <c r="R1808" s="44" t="inlineStr">
        <is>
          <t>No Video ID yet</t>
        </is>
      </c>
      <c r="S1808" s="46" t="n"/>
      <c r="T1808" s="46" t="n"/>
      <c r="U1808" s="44" t="n"/>
      <c r="V1808" s="44">
        <f>IF(AND(P1808&gt;=Calendar!$K$2,P1808&lt;EDATE(Calendar!$K$2,1),OR(Calendar!$K$4="*",N1808=Calendar!$K$4)),P1808*100+COUNTIFS($P$6:$P$3271,P1808,$Q$6:$Q$3271,"&lt;="&amp;Q1808,$N$6:$N$3271,Calendar!$K$4),"")</f>
        <v/>
      </c>
      <c r="W1808" s="44">
        <f>IF(AND(B1808=Queue!$C$4,OR(Queue!$K$4="*",N1808=Queue!$K$4)),Q1808,"")</f>
        <v/>
      </c>
    </row>
    <row r="1809">
      <c r="A1809" s="35">
        <f>IF(M1809="","",HYPERLINK("https://www.youtube.com/watch?v="&amp;M1809,"▶"))</f>
        <v/>
      </c>
      <c r="B1809" s="36">
        <f>IF(C1809&lt;&gt;"",C1809,IF(P1809&lt;=IFERROR(INDEX(tblChannels[Watched Through],MATCH(N1809,tblChannels[Channel ID],0)),0),"Watched","Unwatched"))</f>
        <v/>
      </c>
      <c r="C1809" s="37" t="n"/>
      <c r="D1809" s="38" t="n"/>
      <c r="E1809" s="39" t="n">
        <v>43661.58888888889</v>
      </c>
      <c r="F1809" s="49" t="inlineStr">
        <is>
          <t>Super Carlin Gaming</t>
        </is>
      </c>
      <c r="G1809" t="inlineStr">
        <is>
          <t>I Like Water |  Super Smash Brothers Ultimate #46</t>
        </is>
      </c>
      <c r="H1809" s="41" t="n">
        <v>0.01208333333333333</v>
      </c>
      <c r="I1809" s="42" t="n">
        <v>4507</v>
      </c>
      <c r="J1809" s="42" t="n">
        <v>206</v>
      </c>
      <c r="K1809" s="42" t="n">
        <v>50</v>
      </c>
      <c r="L1809" s="43" t="n"/>
      <c r="M1809" s="44" t="n"/>
      <c r="N1809" s="44" t="inlineStr">
        <is>
          <t>UCor_9jRnNNZVzTuQ92PKsaQ</t>
        </is>
      </c>
      <c r="O1809" s="45" t="n">
        <v>43661.75555555556</v>
      </c>
      <c r="P1809" s="46" t="n">
        <v>43661</v>
      </c>
      <c r="Q1809" s="44" t="n">
        <v>1463</v>
      </c>
      <c r="R1809" s="44" t="inlineStr">
        <is>
          <t>No Video ID yet</t>
        </is>
      </c>
      <c r="S1809" s="46" t="n"/>
      <c r="T1809" s="46" t="n"/>
      <c r="U1809" s="44" t="n"/>
      <c r="V1809" s="44">
        <f>IF(AND(P1809&gt;=Calendar!$K$2,P1809&lt;EDATE(Calendar!$K$2,1),OR(Calendar!$K$4="*",N1809=Calendar!$K$4)),P1809*100+COUNTIFS($P$6:$P$3271,P1809,$Q$6:$Q$3271,"&lt;="&amp;Q1809,$N$6:$N$3271,Calendar!$K$4),"")</f>
        <v/>
      </c>
      <c r="W1809" s="44">
        <f>IF(AND(B1809=Queue!$C$4,OR(Queue!$K$4="*",N1809=Queue!$K$4)),Q1809,"")</f>
        <v/>
      </c>
    </row>
    <row r="1810">
      <c r="A1810" s="35">
        <f>IF(M1810="","",HYPERLINK("https://www.youtube.com/watch?v="&amp;M1810,"▶"))</f>
        <v/>
      </c>
      <c r="B1810" s="36">
        <f>IF(C1810&lt;&gt;"",C1810,IF(P1810&lt;=IFERROR(INDEX(tblChannels[Watched Through],MATCH(N1810,tblChannels[Channel ID],0)),0),"Watched","Unwatched"))</f>
        <v/>
      </c>
      <c r="C1810" s="37" t="n"/>
      <c r="D1810" s="38" t="n"/>
      <c r="E1810" s="39" t="n">
        <v>43657.62222222222</v>
      </c>
      <c r="F1810" s="47" t="inlineStr">
        <is>
          <t>Super Carlin Brothers</t>
        </is>
      </c>
      <c r="G1810" t="inlineStr">
        <is>
          <t>Mulan's SECRET Legacy: McDonalds Szechuan Sauce</t>
        </is>
      </c>
      <c r="H1810" s="41" t="n">
        <v>0.01128472222222222</v>
      </c>
      <c r="I1810" s="42" t="n">
        <v>231427</v>
      </c>
      <c r="J1810" s="42" t="n">
        <v>10933</v>
      </c>
      <c r="K1810" s="42" t="n">
        <v>1415</v>
      </c>
      <c r="L1810" s="43" t="n"/>
      <c r="M1810" s="44" t="n"/>
      <c r="N1810" s="44" t="inlineStr">
        <is>
          <t>UCKZo4N0lVPccBkSiuyVh4yg</t>
        </is>
      </c>
      <c r="O1810" s="45" t="n">
        <v>43657.78888888889</v>
      </c>
      <c r="P1810" s="46" t="n">
        <v>43657</v>
      </c>
      <c r="Q1810" s="44" t="n">
        <v>1462</v>
      </c>
      <c r="R1810" s="44" t="inlineStr">
        <is>
          <t>No Video ID yet</t>
        </is>
      </c>
      <c r="S1810" s="46" t="n"/>
      <c r="T1810" s="46" t="n"/>
      <c r="U1810" s="44" t="n"/>
      <c r="V1810" s="44">
        <f>IF(AND(P1810&gt;=Calendar!$K$2,P1810&lt;EDATE(Calendar!$K$2,1),OR(Calendar!$K$4="*",N1810=Calendar!$K$4)),P1810*100+COUNTIFS($P$6:$P$3271,P1810,$Q$6:$Q$3271,"&lt;="&amp;Q1810,$N$6:$N$3271,Calendar!$K$4),"")</f>
        <v/>
      </c>
      <c r="W1810" s="44">
        <f>IF(AND(B1810=Queue!$C$4,OR(Queue!$K$4="*",N1810=Queue!$K$4)),Q1810,"")</f>
        <v/>
      </c>
    </row>
    <row r="1811">
      <c r="A1811" s="35">
        <f>IF(M1811="","",HYPERLINK("https://www.youtube.com/watch?v="&amp;M1811,"▶"))</f>
        <v/>
      </c>
      <c r="B1811" s="36">
        <f>IF(C1811&lt;&gt;"",C1811,IF(P1811&lt;=IFERROR(INDEX(tblChannels[Watched Through],MATCH(N1811,tblChannels[Channel ID],0)),0),"Watched","Unwatched"))</f>
        <v/>
      </c>
      <c r="C1811" s="37" t="n"/>
      <c r="D1811" s="38" t="n"/>
      <c r="E1811" s="39" t="n">
        <v>43656.41666666666</v>
      </c>
      <c r="F1811" s="49" t="inlineStr">
        <is>
          <t>Super Carlin Gaming</t>
        </is>
      </c>
      <c r="G1811" t="inlineStr">
        <is>
          <t>Literal Garbage |  Pokémon X Nuzlocke #29</t>
        </is>
      </c>
      <c r="H1811" s="41" t="n">
        <v>0.02600694444444444</v>
      </c>
      <c r="I1811" s="42" t="n">
        <v>21704</v>
      </c>
      <c r="J1811" s="42" t="n">
        <v>667</v>
      </c>
      <c r="K1811" s="42" t="n">
        <v>231</v>
      </c>
      <c r="L1811" s="43" t="n"/>
      <c r="M1811" s="44" t="n"/>
      <c r="N1811" s="44" t="inlineStr">
        <is>
          <t>UCor_9jRnNNZVzTuQ92PKsaQ</t>
        </is>
      </c>
      <c r="O1811" s="45" t="n">
        <v>43656.58333333334</v>
      </c>
      <c r="P1811" s="46" t="n">
        <v>43656</v>
      </c>
      <c r="Q1811" s="44" t="n">
        <v>1461</v>
      </c>
      <c r="R1811" s="44" t="inlineStr">
        <is>
          <t>No Video ID yet</t>
        </is>
      </c>
      <c r="S1811" s="46" t="n"/>
      <c r="T1811" s="46" t="n"/>
      <c r="U1811" s="44" t="n"/>
      <c r="V1811" s="44">
        <f>IF(AND(P1811&gt;=Calendar!$K$2,P1811&lt;EDATE(Calendar!$K$2,1),OR(Calendar!$K$4="*",N1811=Calendar!$K$4)),P1811*100+COUNTIFS($P$6:$P$3271,P1811,$Q$6:$Q$3271,"&lt;="&amp;Q1811,$N$6:$N$3271,Calendar!$K$4),"")</f>
        <v/>
      </c>
      <c r="W1811" s="44">
        <f>IF(AND(B1811=Queue!$C$4,OR(Queue!$K$4="*",N1811=Queue!$K$4)),Q1811,"")</f>
        <v/>
      </c>
    </row>
    <row r="1812">
      <c r="A1812" s="35">
        <f>IF(M1812="","",HYPERLINK("https://www.youtube.com/watch?v="&amp;M1812,"▶"))</f>
        <v/>
      </c>
      <c r="B1812" s="36">
        <f>IF(C1812&lt;&gt;"",C1812,IF(P1812&lt;=IFERROR(INDEX(tblChannels[Watched Through],MATCH(N1812,tblChannels[Channel ID],0)),0),"Watched","Unwatched"))</f>
        <v/>
      </c>
      <c r="C1812" s="37" t="n"/>
      <c r="D1812" s="38" t="n"/>
      <c r="E1812" s="39" t="n">
        <v>43655.63541666666</v>
      </c>
      <c r="F1812" s="47" t="inlineStr">
        <is>
          <t>Super Carlin Brothers</t>
        </is>
      </c>
      <c r="G1812" t="inlineStr">
        <is>
          <t>Spider-Man Far From Home REVIEW</t>
        </is>
      </c>
      <c r="H1812" s="41" t="n">
        <v>0.03456018518518519</v>
      </c>
      <c r="I1812" s="42" t="n">
        <v>391183</v>
      </c>
      <c r="J1812" s="42" t="n">
        <v>11643</v>
      </c>
      <c r="K1812" s="42" t="n">
        <v>2645</v>
      </c>
      <c r="L1812" s="43" t="n"/>
      <c r="M1812" s="44" t="n"/>
      <c r="N1812" s="44" t="inlineStr">
        <is>
          <t>UCKZo4N0lVPccBkSiuyVh4yg</t>
        </is>
      </c>
      <c r="O1812" s="45" t="n">
        <v>43655.80208333334</v>
      </c>
      <c r="P1812" s="46" t="n">
        <v>43655</v>
      </c>
      <c r="Q1812" s="44" t="n">
        <v>1460</v>
      </c>
      <c r="R1812" s="44" t="inlineStr">
        <is>
          <t>No Video ID yet</t>
        </is>
      </c>
      <c r="S1812" s="46" t="n"/>
      <c r="T1812" s="46" t="n"/>
      <c r="U1812" s="44" t="n"/>
      <c r="V1812" s="44">
        <f>IF(AND(P1812&gt;=Calendar!$K$2,P1812&lt;EDATE(Calendar!$K$2,1),OR(Calendar!$K$4="*",N1812=Calendar!$K$4)),P1812*100+COUNTIFS($P$6:$P$3271,P1812,$Q$6:$Q$3271,"&lt;="&amp;Q1812,$N$6:$N$3271,Calendar!$K$4),"")</f>
        <v/>
      </c>
      <c r="W1812" s="44">
        <f>IF(AND(B1812=Queue!$C$4,OR(Queue!$K$4="*",N1812=Queue!$K$4)),Q1812,"")</f>
        <v/>
      </c>
    </row>
    <row r="1813">
      <c r="A1813" s="35">
        <f>IF(M1813="","",HYPERLINK("https://www.youtube.com/watch?v="&amp;M1813,"▶"))</f>
        <v/>
      </c>
      <c r="B1813" s="36">
        <f>IF(C1813&lt;&gt;"",C1813,IF(P1813&lt;=IFERROR(INDEX(tblChannels[Watched Through],MATCH(N1813,tblChannels[Channel ID],0)),0),"Watched","Unwatched"))</f>
        <v/>
      </c>
      <c r="C1813" s="37" t="n"/>
      <c r="D1813" s="38" t="n"/>
      <c r="E1813" s="39" t="n">
        <v>43654.62430555555</v>
      </c>
      <c r="F1813" s="50" t="inlineStr">
        <is>
          <t>Jonathan Carlin</t>
        </is>
      </c>
      <c r="G1813" t="inlineStr">
        <is>
          <t>BACK TO FLORIDA</t>
        </is>
      </c>
      <c r="H1813" s="41" t="n">
        <v>0.01008101851851852</v>
      </c>
      <c r="I1813" s="42" t="n">
        <v>33986</v>
      </c>
      <c r="J1813" s="42" t="n">
        <v>1823</v>
      </c>
      <c r="K1813" s="42" t="n">
        <v>272</v>
      </c>
      <c r="L1813" s="43" t="n"/>
      <c r="M1813" s="44" t="n"/>
      <c r="N1813" s="44" t="inlineStr">
        <is>
          <t>UCYPKFe86e6nm4TVUYKLsFUQ</t>
        </is>
      </c>
      <c r="O1813" s="45" t="n">
        <v>43654.79097222222</v>
      </c>
      <c r="P1813" s="46" t="n">
        <v>43654</v>
      </c>
      <c r="Q1813" s="44" t="n">
        <v>1459</v>
      </c>
      <c r="R1813" s="44" t="inlineStr">
        <is>
          <t>No Video ID yet</t>
        </is>
      </c>
      <c r="S1813" s="46" t="n"/>
      <c r="T1813" s="46" t="n"/>
      <c r="U1813" s="44" t="n"/>
      <c r="V1813" s="44">
        <f>IF(AND(P1813&gt;=Calendar!$K$2,P1813&lt;EDATE(Calendar!$K$2,1),OR(Calendar!$K$4="*",N1813=Calendar!$K$4)),P1813*100+COUNTIFS($P$6:$P$3271,P1813,$Q$6:$Q$3271,"&lt;="&amp;Q1813,$N$6:$N$3271,Calendar!$K$4),"")</f>
        <v/>
      </c>
      <c r="W1813" s="44">
        <f>IF(AND(B1813=Queue!$C$4,OR(Queue!$K$4="*",N1813=Queue!$K$4)),Q1813,"")</f>
        <v/>
      </c>
    </row>
    <row r="1814">
      <c r="A1814" s="35">
        <f>IF(M1814="","",HYPERLINK("https://www.youtube.com/watch?v="&amp;M1814,"▶"))</f>
        <v/>
      </c>
      <c r="B1814" s="36">
        <f>IF(C1814&lt;&gt;"",C1814,IF(P1814&lt;=IFERROR(INDEX(tblChannels[Watched Through],MATCH(N1814,tblChannels[Channel ID],0)),0),"Watched","Unwatched"))</f>
        <v/>
      </c>
      <c r="C1814" s="37" t="n"/>
      <c r="D1814" s="38" t="n"/>
      <c r="E1814" s="39" t="n">
        <v>43650.625</v>
      </c>
      <c r="F1814" s="47" t="inlineStr">
        <is>
          <t>Super Carlin Brothers</t>
        </is>
      </c>
      <c r="G1814" t="inlineStr">
        <is>
          <t>Spider-Man Far From Home Post Credit Scene Explained</t>
        </is>
      </c>
      <c r="H1814" s="41" t="n">
        <v>0.008680555555555556</v>
      </c>
      <c r="I1814" s="42" t="n">
        <v>595998</v>
      </c>
      <c r="J1814" s="42" t="n">
        <v>16668</v>
      </c>
      <c r="K1814" s="42" t="n">
        <v>1882</v>
      </c>
      <c r="L1814" s="43" t="n"/>
      <c r="M1814" s="44" t="n"/>
      <c r="N1814" s="44" t="inlineStr">
        <is>
          <t>UCKZo4N0lVPccBkSiuyVh4yg</t>
        </is>
      </c>
      <c r="O1814" s="45" t="n">
        <v>43650.79166666666</v>
      </c>
      <c r="P1814" s="46" t="n">
        <v>43650</v>
      </c>
      <c r="Q1814" s="44" t="n">
        <v>1458</v>
      </c>
      <c r="R1814" s="44" t="inlineStr">
        <is>
          <t>No Video ID yet</t>
        </is>
      </c>
      <c r="S1814" s="46" t="n"/>
      <c r="T1814" s="46" t="n"/>
      <c r="U1814" s="44" t="n"/>
      <c r="V1814" s="44">
        <f>IF(AND(P1814&gt;=Calendar!$K$2,P1814&lt;EDATE(Calendar!$K$2,1),OR(Calendar!$K$4="*",N1814=Calendar!$K$4)),P1814*100+COUNTIFS($P$6:$P$3271,P1814,$Q$6:$Q$3271,"&lt;="&amp;Q1814,$N$6:$N$3271,Calendar!$K$4),"")</f>
        <v/>
      </c>
      <c r="W1814" s="44">
        <f>IF(AND(B1814=Queue!$C$4,OR(Queue!$K$4="*",N1814=Queue!$K$4)),Q1814,"")</f>
        <v/>
      </c>
    </row>
    <row r="1815">
      <c r="A1815" s="35">
        <f>IF(M1815="","",HYPERLINK("https://www.youtube.com/watch?v="&amp;M1815,"▶"))</f>
        <v/>
      </c>
      <c r="B1815" s="36">
        <f>IF(C1815&lt;&gt;"",C1815,IF(P1815&lt;=IFERROR(INDEX(tblChannels[Watched Through],MATCH(N1815,tblChannels[Channel ID],0)),0),"Watched","Unwatched"))</f>
        <v/>
      </c>
      <c r="C1815" s="37" t="n"/>
      <c r="D1815" s="38" t="n"/>
      <c r="E1815" s="39" t="n">
        <v>43649.65277777778</v>
      </c>
      <c r="F1815" s="49" t="inlineStr">
        <is>
          <t>Super Carlin Gaming</t>
        </is>
      </c>
      <c r="G1815" t="inlineStr">
        <is>
          <t>A Shadow Ball |  Pokémon X Nuzlocke #28</t>
        </is>
      </c>
      <c r="H1815" s="41" t="n">
        <v>0.02009259259259259</v>
      </c>
      <c r="I1815" s="42" t="n">
        <v>23088</v>
      </c>
      <c r="J1815" s="42" t="n">
        <v>706</v>
      </c>
      <c r="K1815" s="42" t="n">
        <v>375</v>
      </c>
      <c r="L1815" s="43" t="n"/>
      <c r="M1815" s="44" t="n"/>
      <c r="N1815" s="44" t="inlineStr">
        <is>
          <t>UCor_9jRnNNZVzTuQ92PKsaQ</t>
        </is>
      </c>
      <c r="O1815" s="45" t="n">
        <v>43649.81944444445</v>
      </c>
      <c r="P1815" s="46" t="n">
        <v>43649</v>
      </c>
      <c r="Q1815" s="44" t="n">
        <v>1457</v>
      </c>
      <c r="R1815" s="44" t="inlineStr">
        <is>
          <t>No Video ID yet</t>
        </is>
      </c>
      <c r="S1815" s="46" t="n"/>
      <c r="T1815" s="46" t="n"/>
      <c r="U1815" s="44" t="n"/>
      <c r="V1815" s="44">
        <f>IF(AND(P1815&gt;=Calendar!$K$2,P1815&lt;EDATE(Calendar!$K$2,1),OR(Calendar!$K$4="*",N1815=Calendar!$K$4)),P1815*100+COUNTIFS($P$6:$P$3271,P1815,$Q$6:$Q$3271,"&lt;="&amp;Q1815,$N$6:$N$3271,Calendar!$K$4),"")</f>
        <v/>
      </c>
      <c r="W1815" s="44">
        <f>IF(AND(B1815=Queue!$C$4,OR(Queue!$K$4="*",N1815=Queue!$K$4)),Q1815,"")</f>
        <v/>
      </c>
    </row>
    <row r="1816">
      <c r="A1816" s="35">
        <f>IF(M1816="","",HYPERLINK("https://www.youtube.com/watch?v="&amp;M1816,"▶"))</f>
        <v/>
      </c>
      <c r="B1816" s="36">
        <f>IF(C1816&lt;&gt;"",C1816,IF(P1816&lt;=IFERROR(INDEX(tblChannels[Watched Through],MATCH(N1816,tblChannels[Channel ID],0)),0),"Watched","Unwatched"))</f>
        <v/>
      </c>
      <c r="C1816" s="37" t="n"/>
      <c r="D1816" s="38" t="n"/>
      <c r="E1816" s="39" t="n">
        <v>43648.77916666667</v>
      </c>
      <c r="F1816" s="47" t="inlineStr">
        <is>
          <t>Super Carlin Brothers</t>
        </is>
      </c>
      <c r="G1816" t="inlineStr">
        <is>
          <t>HOW TO PLAY WIZARDS UNITE</t>
        </is>
      </c>
      <c r="H1816" s="41" t="n">
        <v>0.01329861111111111</v>
      </c>
      <c r="I1816" s="42" t="n">
        <v>205169</v>
      </c>
      <c r="J1816" s="42" t="n">
        <v>6766</v>
      </c>
      <c r="K1816" s="42" t="n">
        <v>1024</v>
      </c>
      <c r="L1816" s="43" t="n"/>
      <c r="M1816" s="44" t="n"/>
      <c r="N1816" s="44" t="inlineStr">
        <is>
          <t>UCKZo4N0lVPccBkSiuyVh4yg</t>
        </is>
      </c>
      <c r="O1816" s="45" t="n">
        <v>43648.94583333333</v>
      </c>
      <c r="P1816" s="46" t="n">
        <v>43648</v>
      </c>
      <c r="Q1816" s="44" t="n">
        <v>1456</v>
      </c>
      <c r="R1816" s="44" t="inlineStr">
        <is>
          <t>No Video ID yet</t>
        </is>
      </c>
      <c r="S1816" s="46" t="n"/>
      <c r="T1816" s="46" t="n"/>
      <c r="U1816" s="44" t="n"/>
      <c r="V1816" s="44">
        <f>IF(AND(P1816&gt;=Calendar!$K$2,P1816&lt;EDATE(Calendar!$K$2,1),OR(Calendar!$K$4="*",N1816=Calendar!$K$4)),P1816*100+COUNTIFS($P$6:$P$3271,P1816,$Q$6:$Q$3271,"&lt;="&amp;Q1816,$N$6:$N$3271,Calendar!$K$4),"")</f>
        <v/>
      </c>
      <c r="W1816" s="44">
        <f>IF(AND(B1816=Queue!$C$4,OR(Queue!$K$4="*",N1816=Queue!$K$4)),Q1816,"")</f>
        <v/>
      </c>
    </row>
    <row r="1817">
      <c r="A1817" s="35">
        <f>IF(M1817="","",HYPERLINK("https://www.youtube.com/watch?v="&amp;M1817,"▶"))</f>
        <v/>
      </c>
      <c r="B1817" s="36">
        <f>IF(C1817&lt;&gt;"",C1817,IF(P1817&lt;=IFERROR(INDEX(tblChannels[Watched Through],MATCH(N1817,tblChannels[Channel ID],0)),0),"Watched","Unwatched"))</f>
        <v/>
      </c>
      <c r="C1817" s="37" t="n"/>
      <c r="D1817" s="38" t="n"/>
      <c r="E1817" s="39" t="n">
        <v>43648.66875</v>
      </c>
      <c r="F1817" s="50" t="inlineStr">
        <is>
          <t>Jonathan Carlin</t>
        </is>
      </c>
      <c r="G1817" t="inlineStr">
        <is>
          <t>WE GOT A POPCORN MAKER</t>
        </is>
      </c>
      <c r="H1817" s="41" t="n">
        <v>0.004548611111111111</v>
      </c>
      <c r="I1817" s="42" t="n">
        <v>28098</v>
      </c>
      <c r="J1817" s="42" t="n">
        <v>1756</v>
      </c>
      <c r="K1817" s="42" t="n">
        <v>162</v>
      </c>
      <c r="L1817" s="43" t="n"/>
      <c r="M1817" s="44" t="n"/>
      <c r="N1817" s="44" t="inlineStr">
        <is>
          <t>UCYPKFe86e6nm4TVUYKLsFUQ</t>
        </is>
      </c>
      <c r="O1817" s="45" t="n">
        <v>43648.83541666667</v>
      </c>
      <c r="P1817" s="46" t="n">
        <v>43648</v>
      </c>
      <c r="Q1817" s="44" t="n">
        <v>1455</v>
      </c>
      <c r="R1817" s="44" t="inlineStr">
        <is>
          <t>No Video ID yet</t>
        </is>
      </c>
      <c r="S1817" s="46" t="n"/>
      <c r="T1817" s="46" t="n"/>
      <c r="U1817" s="44" t="n"/>
      <c r="V1817" s="44">
        <f>IF(AND(P1817&gt;=Calendar!$K$2,P1817&lt;EDATE(Calendar!$K$2,1),OR(Calendar!$K$4="*",N1817=Calendar!$K$4)),P1817*100+COUNTIFS($P$6:$P$3271,P1817,$Q$6:$Q$3271,"&lt;="&amp;Q1817,$N$6:$N$3271,Calendar!$K$4),"")</f>
        <v/>
      </c>
      <c r="W1817" s="44">
        <f>IF(AND(B1817=Queue!$C$4,OR(Queue!$K$4="*",N1817=Queue!$K$4)),Q1817,"")</f>
        <v/>
      </c>
    </row>
    <row r="1818">
      <c r="A1818" s="35">
        <f>IF(M1818="","",HYPERLINK("https://www.youtube.com/watch?v="&amp;M1818,"▶"))</f>
        <v/>
      </c>
      <c r="B1818" s="36">
        <f>IF(C1818&lt;&gt;"",C1818,IF(P1818&lt;=IFERROR(INDEX(tblChannels[Watched Through],MATCH(N1818,tblChannels[Channel ID],0)),0),"Watched","Unwatched"))</f>
        <v/>
      </c>
      <c r="C1818" s="37" t="n"/>
      <c r="D1818" s="38" t="n"/>
      <c r="E1818" s="39" t="n">
        <v>43648.56666666667</v>
      </c>
      <c r="F1818" s="49" t="inlineStr">
        <is>
          <t>Super Carlin Gaming</t>
        </is>
      </c>
      <c r="G1818" t="inlineStr">
        <is>
          <t>Building Your Dating Profile | Super Smash Bros #45</t>
        </is>
      </c>
      <c r="H1818" s="41" t="n">
        <v>0.01090277777777778</v>
      </c>
      <c r="I1818" s="42" t="n">
        <v>4219</v>
      </c>
      <c r="J1818" s="42" t="n">
        <v>199</v>
      </c>
      <c r="K1818" s="42" t="n">
        <v>50</v>
      </c>
      <c r="L1818" s="43" t="n"/>
      <c r="M1818" s="44" t="n"/>
      <c r="N1818" s="44" t="inlineStr">
        <is>
          <t>UCor_9jRnNNZVzTuQ92PKsaQ</t>
        </is>
      </c>
      <c r="O1818" s="45" t="n">
        <v>43648.73333333333</v>
      </c>
      <c r="P1818" s="46" t="n">
        <v>43648</v>
      </c>
      <c r="Q1818" s="44" t="n">
        <v>1454</v>
      </c>
      <c r="R1818" s="44" t="inlineStr">
        <is>
          <t>No Video ID yet</t>
        </is>
      </c>
      <c r="S1818" s="46" t="n"/>
      <c r="T1818" s="46" t="n"/>
      <c r="U1818" s="44" t="n"/>
      <c r="V1818" s="44">
        <f>IF(AND(P1818&gt;=Calendar!$K$2,P1818&lt;EDATE(Calendar!$K$2,1),OR(Calendar!$K$4="*",N1818=Calendar!$K$4)),P1818*100+COUNTIFS($P$6:$P$3271,P1818,$Q$6:$Q$3271,"&lt;="&amp;Q1818,$N$6:$N$3271,Calendar!$K$4),"")</f>
        <v/>
      </c>
      <c r="W1818" s="44">
        <f>IF(AND(B1818=Queue!$C$4,OR(Queue!$K$4="*",N1818=Queue!$K$4)),Q1818,"")</f>
        <v/>
      </c>
    </row>
    <row r="1819">
      <c r="A1819" s="35">
        <f>IF(M1819="","",HYPERLINK("https://www.youtube.com/watch?v="&amp;M1819,"▶"))</f>
        <v/>
      </c>
      <c r="B1819" s="36">
        <f>IF(C1819&lt;&gt;"",C1819,IF(P1819&lt;=IFERROR(INDEX(tblChannels[Watched Through],MATCH(N1819,tblChannels[Channel ID],0)),0),"Watched","Unwatched"))</f>
        <v/>
      </c>
      <c r="C1819" s="37" t="n"/>
      <c r="D1819" s="38" t="n"/>
      <c r="E1819" s="39" t="n">
        <v>43644.41666666666</v>
      </c>
      <c r="F1819" s="49" t="inlineStr">
        <is>
          <t>Super Carlin Gaming</t>
        </is>
      </c>
      <c r="G1819" t="inlineStr">
        <is>
          <t>The Pokéball Factory |  Pokémon X Nuzlocke #27</t>
        </is>
      </c>
      <c r="H1819" s="41" t="n">
        <v>0.02017361111111111</v>
      </c>
      <c r="I1819" s="42" t="n">
        <v>20929</v>
      </c>
      <c r="J1819" s="42" t="n">
        <v>647</v>
      </c>
      <c r="K1819" s="42" t="n">
        <v>139</v>
      </c>
      <c r="L1819" s="43" t="n"/>
      <c r="M1819" s="44" t="n"/>
      <c r="N1819" s="44" t="inlineStr">
        <is>
          <t>UCor_9jRnNNZVzTuQ92PKsaQ</t>
        </is>
      </c>
      <c r="O1819" s="45" t="n">
        <v>43644.58333333334</v>
      </c>
      <c r="P1819" s="46" t="n">
        <v>43644</v>
      </c>
      <c r="Q1819" s="44" t="n">
        <v>1453</v>
      </c>
      <c r="R1819" s="44" t="inlineStr">
        <is>
          <t>No Video ID yet</t>
        </is>
      </c>
      <c r="S1819" s="46" t="n"/>
      <c r="T1819" s="46" t="n"/>
      <c r="U1819" s="44" t="n"/>
      <c r="V1819" s="44">
        <f>IF(AND(P1819&gt;=Calendar!$K$2,P1819&lt;EDATE(Calendar!$K$2,1),OR(Calendar!$K$4="*",N1819=Calendar!$K$4)),P1819*100+COUNTIFS($P$6:$P$3271,P1819,$Q$6:$Q$3271,"&lt;="&amp;Q1819,$N$6:$N$3271,Calendar!$K$4),"")</f>
        <v/>
      </c>
      <c r="W1819" s="44">
        <f>IF(AND(B1819=Queue!$C$4,OR(Queue!$K$4="*",N1819=Queue!$K$4)),Q1819,"")</f>
        <v/>
      </c>
    </row>
    <row r="1820">
      <c r="A1820" s="35">
        <f>IF(M1820="","",HYPERLINK("https://www.youtube.com/watch?v="&amp;M1820,"▶"))</f>
        <v/>
      </c>
      <c r="B1820" s="36">
        <f>IF(C1820&lt;&gt;"",C1820,IF(P1820&lt;=IFERROR(INDEX(tblChannels[Watched Through],MATCH(N1820,tblChannels[Channel ID],0)),0),"Watched","Unwatched"))</f>
        <v/>
      </c>
      <c r="C1820" s="37" t="n"/>
      <c r="D1820" s="38" t="n"/>
      <c r="E1820" s="39" t="n">
        <v>43643.80208333334</v>
      </c>
      <c r="F1820" s="47" t="inlineStr">
        <is>
          <t>Super Carlin Brothers</t>
        </is>
      </c>
      <c r="G1820" t="inlineStr">
        <is>
          <t>J vs Ben: The BIGGEST Harry Potter Trivia Quiz EVER | 2-MILLION SUBSCRIBERS</t>
        </is>
      </c>
      <c r="H1820" s="41" t="n">
        <v>0.03475694444444444</v>
      </c>
      <c r="I1820" s="42" t="n">
        <v>1893099</v>
      </c>
      <c r="J1820" s="42" t="n">
        <v>27228</v>
      </c>
      <c r="K1820" s="42" t="n">
        <v>3524</v>
      </c>
      <c r="L1820" s="43" t="n"/>
      <c r="M1820" s="44" t="n"/>
      <c r="N1820" s="44" t="inlineStr">
        <is>
          <t>UCKZo4N0lVPccBkSiuyVh4yg</t>
        </is>
      </c>
      <c r="O1820" s="45" t="n">
        <v>43643.96875</v>
      </c>
      <c r="P1820" s="46" t="n">
        <v>43643</v>
      </c>
      <c r="Q1820" s="44" t="n">
        <v>1452</v>
      </c>
      <c r="R1820" s="44" t="inlineStr">
        <is>
          <t>No Video ID yet</t>
        </is>
      </c>
      <c r="S1820" s="46" t="n"/>
      <c r="T1820" s="46" t="n"/>
      <c r="U1820" s="44" t="n"/>
      <c r="V1820" s="44">
        <f>IF(AND(P1820&gt;=Calendar!$K$2,P1820&lt;EDATE(Calendar!$K$2,1),OR(Calendar!$K$4="*",N1820=Calendar!$K$4)),P1820*100+COUNTIFS($P$6:$P$3271,P1820,$Q$6:$Q$3271,"&lt;="&amp;Q1820,$N$6:$N$3271,Calendar!$K$4),"")</f>
        <v/>
      </c>
      <c r="W1820" s="44">
        <f>IF(AND(B1820=Queue!$C$4,OR(Queue!$K$4="*",N1820=Queue!$K$4)),Q1820,"")</f>
        <v/>
      </c>
    </row>
    <row r="1821">
      <c r="A1821" s="35">
        <f>IF(M1821="","",HYPERLINK("https://www.youtube.com/watch?v="&amp;M1821,"▶"))</f>
        <v/>
      </c>
      <c r="B1821" s="36">
        <f>IF(C1821&lt;&gt;"",C1821,IF(P1821&lt;=IFERROR(INDEX(tblChannels[Watched Through],MATCH(N1821,tblChannels[Channel ID],0)),0),"Watched","Unwatched"))</f>
        <v/>
      </c>
      <c r="C1821" s="37" t="n"/>
      <c r="D1821" s="38" t="n"/>
      <c r="E1821" s="39" t="n">
        <v>43643.41666666666</v>
      </c>
      <c r="F1821" s="49" t="inlineStr">
        <is>
          <t>Super Carlin Gaming</t>
        </is>
      </c>
      <c r="G1821" t="inlineStr">
        <is>
          <t>I Wanna Be an Actor |  Super Smash Bros #44</t>
        </is>
      </c>
      <c r="H1821" s="41" t="n">
        <v>0.01236111111111111</v>
      </c>
      <c r="I1821" s="42" t="n">
        <v>3941</v>
      </c>
      <c r="J1821" s="42" t="n">
        <v>205</v>
      </c>
      <c r="K1821" s="42" t="n">
        <v>38</v>
      </c>
      <c r="L1821" s="43" t="n"/>
      <c r="M1821" s="44" t="n"/>
      <c r="N1821" s="44" t="inlineStr">
        <is>
          <t>UCor_9jRnNNZVzTuQ92PKsaQ</t>
        </is>
      </c>
      <c r="O1821" s="45" t="n">
        <v>43643.58333333334</v>
      </c>
      <c r="P1821" s="46" t="n">
        <v>43643</v>
      </c>
      <c r="Q1821" s="44" t="n">
        <v>1451</v>
      </c>
      <c r="R1821" s="44" t="inlineStr">
        <is>
          <t>No Video ID yet</t>
        </is>
      </c>
      <c r="S1821" s="46" t="n"/>
      <c r="T1821" s="46" t="n"/>
      <c r="U1821" s="44" t="n"/>
      <c r="V1821" s="44">
        <f>IF(AND(P1821&gt;=Calendar!$K$2,P1821&lt;EDATE(Calendar!$K$2,1),OR(Calendar!$K$4="*",N1821=Calendar!$K$4)),P1821*100+COUNTIFS($P$6:$P$3271,P1821,$Q$6:$Q$3271,"&lt;="&amp;Q1821,$N$6:$N$3271,Calendar!$K$4),"")</f>
        <v/>
      </c>
      <c r="W1821" s="44">
        <f>IF(AND(B1821=Queue!$C$4,OR(Queue!$K$4="*",N1821=Queue!$K$4)),Q1821,"")</f>
        <v/>
      </c>
    </row>
    <row r="1822">
      <c r="A1822" s="35">
        <f>IF(M1822="","",HYPERLINK("https://www.youtube.com/watch?v="&amp;M1822,"▶"))</f>
        <v/>
      </c>
      <c r="B1822" s="36">
        <f>IF(C1822&lt;&gt;"",C1822,IF(P1822&lt;=IFERROR(INDEX(tblChannels[Watched Through],MATCH(N1822,tblChannels[Channel ID],0)),0),"Watched","Unwatched"))</f>
        <v/>
      </c>
      <c r="C1822" s="37" t="n"/>
      <c r="D1822" s="38" t="n"/>
      <c r="E1822" s="39" t="n">
        <v>43642.65416666667</v>
      </c>
      <c r="F1822" s="47" t="inlineStr">
        <is>
          <t>Super Carlin Brothers</t>
        </is>
      </c>
      <c r="G1822" t="inlineStr">
        <is>
          <t>COUNTDOWN to 2 Million Subs!</t>
        </is>
      </c>
      <c r="H1822" s="41" t="n">
        <v>0.0487037037037037</v>
      </c>
      <c r="I1822" s="42" t="n">
        <v>133493</v>
      </c>
      <c r="J1822" s="42" t="n">
        <v>5979</v>
      </c>
      <c r="K1822" s="42" t="n">
        <v>367</v>
      </c>
      <c r="L1822" s="43" t="n"/>
      <c r="M1822" s="44" t="n"/>
      <c r="N1822" s="44" t="inlineStr">
        <is>
          <t>UCKZo4N0lVPccBkSiuyVh4yg</t>
        </is>
      </c>
      <c r="O1822" s="45" t="n">
        <v>43642.82083333333</v>
      </c>
      <c r="P1822" s="46" t="n">
        <v>43642</v>
      </c>
      <c r="Q1822" s="44" t="n">
        <v>1450</v>
      </c>
      <c r="R1822" s="44" t="inlineStr">
        <is>
          <t>No Video ID yet</t>
        </is>
      </c>
      <c r="S1822" s="46" t="n"/>
      <c r="T1822" s="46" t="n"/>
      <c r="U1822" s="44" t="n"/>
      <c r="V1822" s="44">
        <f>IF(AND(P1822&gt;=Calendar!$K$2,P1822&lt;EDATE(Calendar!$K$2,1),OR(Calendar!$K$4="*",N1822=Calendar!$K$4)),P1822*100+COUNTIFS($P$6:$P$3271,P1822,$Q$6:$Q$3271,"&lt;="&amp;Q1822,$N$6:$N$3271,Calendar!$K$4),"")</f>
        <v/>
      </c>
      <c r="W1822" s="44">
        <f>IF(AND(B1822=Queue!$C$4,OR(Queue!$K$4="*",N1822=Queue!$K$4)),Q1822,"")</f>
        <v/>
      </c>
    </row>
    <row r="1823">
      <c r="A1823" s="35">
        <f>IF(M1823="","",HYPERLINK("https://www.youtube.com/watch?v="&amp;M1823,"▶"))</f>
        <v/>
      </c>
      <c r="B1823" s="36">
        <f>IF(C1823&lt;&gt;"",C1823,IF(P1823&lt;=IFERROR(INDEX(tblChannels[Watched Through],MATCH(N1823,tblChannels[Channel ID],0)),0),"Watched","Unwatched"))</f>
        <v/>
      </c>
      <c r="C1823" s="37" t="n"/>
      <c r="D1823" s="38" t="n"/>
      <c r="E1823" s="39" t="n">
        <v>43642.41666666666</v>
      </c>
      <c r="F1823" s="49" t="inlineStr">
        <is>
          <t>Super Carlin Gaming</t>
        </is>
      </c>
      <c r="G1823" t="inlineStr">
        <is>
          <t>The Fairy Gym |  Pokémon X Nuzlocke #26</t>
        </is>
      </c>
      <c r="H1823" s="41" t="n">
        <v>0.03483796296296297</v>
      </c>
      <c r="I1823" s="42" t="n">
        <v>23556</v>
      </c>
      <c r="J1823" s="42" t="n">
        <v>770</v>
      </c>
      <c r="K1823" s="42" t="n">
        <v>220</v>
      </c>
      <c r="L1823" s="43" t="n"/>
      <c r="M1823" s="44" t="n"/>
      <c r="N1823" s="44" t="inlineStr">
        <is>
          <t>UCor_9jRnNNZVzTuQ92PKsaQ</t>
        </is>
      </c>
      <c r="O1823" s="45" t="n">
        <v>43642.58333333334</v>
      </c>
      <c r="P1823" s="46" t="n">
        <v>43642</v>
      </c>
      <c r="Q1823" s="44" t="n">
        <v>1449</v>
      </c>
      <c r="R1823" s="44" t="inlineStr">
        <is>
          <t>No Video ID yet</t>
        </is>
      </c>
      <c r="S1823" s="46" t="n"/>
      <c r="T1823" s="46" t="n"/>
      <c r="U1823" s="44" t="n"/>
      <c r="V1823" s="44">
        <f>IF(AND(P1823&gt;=Calendar!$K$2,P1823&lt;EDATE(Calendar!$K$2,1),OR(Calendar!$K$4="*",N1823=Calendar!$K$4)),P1823*100+COUNTIFS($P$6:$P$3271,P1823,$Q$6:$Q$3271,"&lt;="&amp;Q1823,$N$6:$N$3271,Calendar!$K$4),"")</f>
        <v/>
      </c>
      <c r="W1823" s="44">
        <f>IF(AND(B1823=Queue!$C$4,OR(Queue!$K$4="*",N1823=Queue!$K$4)),Q1823,"")</f>
        <v/>
      </c>
    </row>
    <row r="1824">
      <c r="A1824" s="35">
        <f>IF(M1824="","",HYPERLINK("https://www.youtube.com/watch?v="&amp;M1824,"▶"))</f>
        <v/>
      </c>
      <c r="B1824" s="36">
        <f>IF(C1824&lt;&gt;"",C1824,IF(P1824&lt;=IFERROR(INDEX(tblChannels[Watched Through],MATCH(N1824,tblChannels[Channel ID],0)),0),"Watched","Unwatched"))</f>
        <v/>
      </c>
      <c r="C1824" s="37" t="n"/>
      <c r="D1824" s="38" t="n"/>
      <c r="E1824" s="39" t="n">
        <v>43641.64930555555</v>
      </c>
      <c r="F1824" s="47" t="inlineStr">
        <is>
          <t>Super Carlin Brothers</t>
        </is>
      </c>
      <c r="G1824" t="inlineStr">
        <is>
          <t>Is Toy Story 4 the Best Toy Story Movie? | Spoiler Review</t>
        </is>
      </c>
      <c r="H1824" s="41" t="n">
        <v>0.03347222222222222</v>
      </c>
      <c r="I1824" s="42" t="n">
        <v>369487</v>
      </c>
      <c r="J1824" s="42" t="n">
        <v>11877</v>
      </c>
      <c r="K1824" s="42" t="n">
        <v>3509</v>
      </c>
      <c r="L1824" s="43" t="n"/>
      <c r="M1824" s="44" t="n"/>
      <c r="N1824" s="44" t="inlineStr">
        <is>
          <t>UCKZo4N0lVPccBkSiuyVh4yg</t>
        </is>
      </c>
      <c r="O1824" s="45" t="n">
        <v>43641.81597222222</v>
      </c>
      <c r="P1824" s="46" t="n">
        <v>43641</v>
      </c>
      <c r="Q1824" s="44" t="n">
        <v>1448</v>
      </c>
      <c r="R1824" s="44" t="inlineStr">
        <is>
          <t>No Video ID yet</t>
        </is>
      </c>
      <c r="S1824" s="46" t="n"/>
      <c r="T1824" s="46" t="n"/>
      <c r="U1824" s="44" t="n"/>
      <c r="V1824" s="44">
        <f>IF(AND(P1824&gt;=Calendar!$K$2,P1824&lt;EDATE(Calendar!$K$2,1),OR(Calendar!$K$4="*",N1824=Calendar!$K$4)),P1824*100+COUNTIFS($P$6:$P$3271,P1824,$Q$6:$Q$3271,"&lt;="&amp;Q1824,$N$6:$N$3271,Calendar!$K$4),"")</f>
        <v/>
      </c>
      <c r="W1824" s="44">
        <f>IF(AND(B1824=Queue!$C$4,OR(Queue!$K$4="*",N1824=Queue!$K$4)),Q1824,"")</f>
        <v/>
      </c>
    </row>
    <row r="1825">
      <c r="A1825" s="35">
        <f>IF(M1825="","",HYPERLINK("https://www.youtube.com/watch?v="&amp;M1825,"▶"))</f>
        <v/>
      </c>
      <c r="B1825" s="36">
        <f>IF(C1825&lt;&gt;"",C1825,IF(P1825&lt;=IFERROR(INDEX(tblChannels[Watched Through],MATCH(N1825,tblChannels[Channel ID],0)),0),"Watched","Unwatched"))</f>
        <v/>
      </c>
      <c r="C1825" s="37" t="n"/>
      <c r="D1825" s="38" t="n"/>
      <c r="E1825" s="39" t="n">
        <v>43641.43888888889</v>
      </c>
      <c r="F1825" s="50" t="inlineStr">
        <is>
          <t>Jonathan Carlin</t>
        </is>
      </c>
      <c r="G1825" t="inlineStr">
        <is>
          <t>Luke Has Surgery</t>
        </is>
      </c>
      <c r="H1825" s="41" t="n">
        <v>0.00380787037037037</v>
      </c>
      <c r="I1825" s="42" t="n">
        <v>60498</v>
      </c>
      <c r="J1825" s="42" t="n">
        <v>3417</v>
      </c>
      <c r="K1825" s="42" t="n">
        <v>277</v>
      </c>
      <c r="L1825" s="43" t="n"/>
      <c r="M1825" s="44" t="n"/>
      <c r="N1825" s="44" t="inlineStr">
        <is>
          <t>UCYPKFe86e6nm4TVUYKLsFUQ</t>
        </is>
      </c>
      <c r="O1825" s="45" t="n">
        <v>43641.60555555556</v>
      </c>
      <c r="P1825" s="46" t="n">
        <v>43641</v>
      </c>
      <c r="Q1825" s="44" t="n">
        <v>1447</v>
      </c>
      <c r="R1825" s="44" t="inlineStr">
        <is>
          <t>No Video ID yet</t>
        </is>
      </c>
      <c r="S1825" s="46" t="n"/>
      <c r="T1825" s="46" t="n"/>
      <c r="U1825" s="44" t="n"/>
      <c r="V1825" s="44">
        <f>IF(AND(P1825&gt;=Calendar!$K$2,P1825&lt;EDATE(Calendar!$K$2,1),OR(Calendar!$K$4="*",N1825=Calendar!$K$4)),P1825*100+COUNTIFS($P$6:$P$3271,P1825,$Q$6:$Q$3271,"&lt;="&amp;Q1825,$N$6:$N$3271,Calendar!$K$4),"")</f>
        <v/>
      </c>
      <c r="W1825" s="44">
        <f>IF(AND(B1825=Queue!$C$4,OR(Queue!$K$4="*",N1825=Queue!$K$4)),Q1825,"")</f>
        <v/>
      </c>
    </row>
    <row r="1826">
      <c r="A1826" s="35">
        <f>IF(M1826="","",HYPERLINK("https://www.youtube.com/watch?v="&amp;M1826,"▶"))</f>
        <v/>
      </c>
      <c r="B1826" s="36">
        <f>IF(C1826&lt;&gt;"",C1826,IF(P1826&lt;=IFERROR(INDEX(tblChannels[Watched Through],MATCH(N1826,tblChannels[Channel ID],0)),0),"Watched","Unwatched"))</f>
        <v/>
      </c>
      <c r="C1826" s="37" t="n"/>
      <c r="D1826" s="38" t="n"/>
      <c r="E1826" s="39" t="n">
        <v>43640.65277777778</v>
      </c>
      <c r="F1826" s="49" t="inlineStr">
        <is>
          <t>Super Carlin Gaming</t>
        </is>
      </c>
      <c r="G1826" t="inlineStr">
        <is>
          <t>Best Friend In Love With ME!? | Super Smash Bros #43</t>
        </is>
      </c>
      <c r="H1826" s="41" t="n">
        <v>0.01482638888888889</v>
      </c>
      <c r="I1826" s="42" t="n">
        <v>3817</v>
      </c>
      <c r="J1826" s="42" t="n">
        <v>225</v>
      </c>
      <c r="K1826" s="42" t="n">
        <v>61</v>
      </c>
      <c r="L1826" s="43" t="n"/>
      <c r="M1826" s="44" t="n"/>
      <c r="N1826" s="44" t="inlineStr">
        <is>
          <t>UCor_9jRnNNZVzTuQ92PKsaQ</t>
        </is>
      </c>
      <c r="O1826" s="45" t="n">
        <v>43640.81944444445</v>
      </c>
      <c r="P1826" s="46" t="n">
        <v>43640</v>
      </c>
      <c r="Q1826" s="44" t="n">
        <v>1446</v>
      </c>
      <c r="R1826" s="44" t="inlineStr">
        <is>
          <t>No Video ID yet</t>
        </is>
      </c>
      <c r="S1826" s="46" t="n"/>
      <c r="T1826" s="46" t="n"/>
      <c r="U1826" s="44" t="n"/>
      <c r="V1826" s="44">
        <f>IF(AND(P1826&gt;=Calendar!$K$2,P1826&lt;EDATE(Calendar!$K$2,1),OR(Calendar!$K$4="*",N1826=Calendar!$K$4)),P1826*100+COUNTIFS($P$6:$P$3271,P1826,$Q$6:$Q$3271,"&lt;="&amp;Q1826,$N$6:$N$3271,Calendar!$K$4),"")</f>
        <v/>
      </c>
      <c r="W1826" s="44">
        <f>IF(AND(B1826=Queue!$C$4,OR(Queue!$K$4="*",N1826=Queue!$K$4)),Q1826,"")</f>
        <v/>
      </c>
    </row>
    <row r="1827">
      <c r="A1827" s="35">
        <f>IF(M1827="","",HYPERLINK("https://www.youtube.com/watch?v="&amp;M1827,"▶"))</f>
        <v/>
      </c>
      <c r="B1827" s="36">
        <f>IF(C1827&lt;&gt;"",C1827,IF(P1827&lt;=IFERROR(INDEX(tblChannels[Watched Through],MATCH(N1827,tblChannels[Channel ID],0)),0),"Watched","Unwatched"))</f>
        <v/>
      </c>
      <c r="C1827" s="37" t="n"/>
      <c r="D1827" s="38" t="n"/>
      <c r="E1827" s="39" t="n">
        <v>43637.41666666666</v>
      </c>
      <c r="F1827" s="49" t="inlineStr">
        <is>
          <t>Super Carlin Gaming</t>
        </is>
      </c>
      <c r="G1827" t="inlineStr">
        <is>
          <t>The Marsh March |  Pokémon X Nuzlocke #25</t>
        </is>
      </c>
      <c r="H1827" s="41" t="n">
        <v>0.01803240740740741</v>
      </c>
      <c r="I1827" s="42" t="n">
        <v>20918</v>
      </c>
      <c r="J1827" s="42" t="n">
        <v>681</v>
      </c>
      <c r="K1827" s="42" t="n">
        <v>262</v>
      </c>
      <c r="L1827" s="43" t="n"/>
      <c r="M1827" s="44" t="n"/>
      <c r="N1827" s="44" t="inlineStr">
        <is>
          <t>UCor_9jRnNNZVzTuQ92PKsaQ</t>
        </is>
      </c>
      <c r="O1827" s="45" t="n">
        <v>43637.58333333334</v>
      </c>
      <c r="P1827" s="46" t="n">
        <v>43637</v>
      </c>
      <c r="Q1827" s="44" t="n">
        <v>1445</v>
      </c>
      <c r="R1827" s="44" t="inlineStr">
        <is>
          <t>No Video ID yet</t>
        </is>
      </c>
      <c r="S1827" s="46" t="n"/>
      <c r="T1827" s="46" t="n"/>
      <c r="U1827" s="44" t="n"/>
      <c r="V1827" s="44">
        <f>IF(AND(P1827&gt;=Calendar!$K$2,P1827&lt;EDATE(Calendar!$K$2,1),OR(Calendar!$K$4="*",N1827=Calendar!$K$4)),P1827*100+COUNTIFS($P$6:$P$3271,P1827,$Q$6:$Q$3271,"&lt;="&amp;Q1827,$N$6:$N$3271,Calendar!$K$4),"")</f>
        <v/>
      </c>
      <c r="W1827" s="44">
        <f>IF(AND(B1827=Queue!$C$4,OR(Queue!$K$4="*",N1827=Queue!$K$4)),Q1827,"")</f>
        <v/>
      </c>
    </row>
    <row r="1828">
      <c r="A1828" s="35">
        <f>IF(M1828="","",HYPERLINK("https://www.youtube.com/watch?v="&amp;M1828,"▶"))</f>
        <v/>
      </c>
      <c r="B1828" s="36">
        <f>IF(C1828&lt;&gt;"",C1828,IF(P1828&lt;=IFERROR(INDEX(tblChannels[Watched Through],MATCH(N1828,tblChannels[Channel ID],0)),0),"Watched","Unwatched"))</f>
        <v/>
      </c>
      <c r="C1828" s="37" t="n"/>
      <c r="D1828" s="38" t="n"/>
      <c r="E1828" s="39" t="n">
        <v>43636.69375</v>
      </c>
      <c r="F1828" s="47" t="inlineStr">
        <is>
          <t>Super Carlin Brothers</t>
        </is>
      </c>
      <c r="G1828" t="inlineStr">
        <is>
          <t>Is Onward Andy's Imagination!? | Pixar Theory</t>
        </is>
      </c>
      <c r="H1828" s="41" t="n">
        <v>0.00869212962962963</v>
      </c>
      <c r="I1828" s="42" t="n">
        <v>701547</v>
      </c>
      <c r="J1828" s="42" t="n">
        <v>24022</v>
      </c>
      <c r="K1828" s="42" t="n">
        <v>2835</v>
      </c>
      <c r="L1828" s="43" t="n"/>
      <c r="M1828" s="44" t="n"/>
      <c r="N1828" s="44" t="inlineStr">
        <is>
          <t>UCKZo4N0lVPccBkSiuyVh4yg</t>
        </is>
      </c>
      <c r="O1828" s="45" t="n">
        <v>43636.86041666667</v>
      </c>
      <c r="P1828" s="46" t="n">
        <v>43636</v>
      </c>
      <c r="Q1828" s="44" t="n">
        <v>1444</v>
      </c>
      <c r="R1828" s="44" t="inlineStr">
        <is>
          <t>No Video ID yet</t>
        </is>
      </c>
      <c r="S1828" s="46" t="n"/>
      <c r="T1828" s="46" t="n"/>
      <c r="U1828" s="44" t="n"/>
      <c r="V1828" s="44">
        <f>IF(AND(P1828&gt;=Calendar!$K$2,P1828&lt;EDATE(Calendar!$K$2,1),OR(Calendar!$K$4="*",N1828=Calendar!$K$4)),P1828*100+COUNTIFS($P$6:$P$3271,P1828,$Q$6:$Q$3271,"&lt;="&amp;Q1828,$N$6:$N$3271,Calendar!$K$4),"")</f>
        <v/>
      </c>
      <c r="W1828" s="44">
        <f>IF(AND(B1828=Queue!$C$4,OR(Queue!$K$4="*",N1828=Queue!$K$4)),Q1828,"")</f>
        <v/>
      </c>
    </row>
    <row r="1829">
      <c r="A1829" s="35">
        <f>IF(M1829="","",HYPERLINK("https://www.youtube.com/watch?v="&amp;M1829,"▶"))</f>
        <v/>
      </c>
      <c r="B1829" s="36">
        <f>IF(C1829&lt;&gt;"",C1829,IF(P1829&lt;=IFERROR(INDEX(tblChannels[Watched Through],MATCH(N1829,tblChannels[Channel ID],0)),0),"Watched","Unwatched"))</f>
        <v/>
      </c>
      <c r="C1829" s="37" t="n"/>
      <c r="D1829" s="38" t="n"/>
      <c r="E1829" s="39" t="n">
        <v>43636.45277777778</v>
      </c>
      <c r="F1829" s="49" t="inlineStr">
        <is>
          <t>Super Carlin Gaming</t>
        </is>
      </c>
      <c r="G1829" t="inlineStr">
        <is>
          <t>Confuse Ray! |  Pokémon X Nuzlocke #24</t>
        </is>
      </c>
      <c r="H1829" s="41" t="n">
        <v>0.0237037037037037</v>
      </c>
      <c r="I1829" s="42" t="n">
        <v>21612</v>
      </c>
      <c r="J1829" s="42" t="n">
        <v>693</v>
      </c>
      <c r="K1829" s="42" t="n">
        <v>197</v>
      </c>
      <c r="L1829" s="43" t="n"/>
      <c r="M1829" s="44" t="n"/>
      <c r="N1829" s="44" t="inlineStr">
        <is>
          <t>UCor_9jRnNNZVzTuQ92PKsaQ</t>
        </is>
      </c>
      <c r="O1829" s="45" t="n">
        <v>43636.61944444444</v>
      </c>
      <c r="P1829" s="46" t="n">
        <v>43636</v>
      </c>
      <c r="Q1829" s="44" t="n">
        <v>1443</v>
      </c>
      <c r="R1829" s="44" t="inlineStr">
        <is>
          <t>No Video ID yet</t>
        </is>
      </c>
      <c r="S1829" s="46" t="n"/>
      <c r="T1829" s="46" t="n"/>
      <c r="U1829" s="44" t="n"/>
      <c r="V1829" s="44">
        <f>IF(AND(P1829&gt;=Calendar!$K$2,P1829&lt;EDATE(Calendar!$K$2,1),OR(Calendar!$K$4="*",N1829=Calendar!$K$4)),P1829*100+COUNTIFS($P$6:$P$3271,P1829,$Q$6:$Q$3271,"&lt;="&amp;Q1829,$N$6:$N$3271,Calendar!$K$4),"")</f>
        <v/>
      </c>
      <c r="W1829" s="44">
        <f>IF(AND(B1829=Queue!$C$4,OR(Queue!$K$4="*",N1829=Queue!$K$4)),Q1829,"")</f>
        <v/>
      </c>
    </row>
    <row r="1830">
      <c r="A1830" s="35">
        <f>IF(M1830="","",HYPERLINK("https://www.youtube.com/watch?v="&amp;M1830,"▶"))</f>
        <v/>
      </c>
      <c r="B1830" s="36">
        <f>IF(C1830&lt;&gt;"",C1830,IF(P1830&lt;=IFERROR(INDEX(tblChannels[Watched Through],MATCH(N1830,tblChannels[Channel ID],0)),0),"Watched","Unwatched"))</f>
        <v/>
      </c>
      <c r="C1830" s="37" t="n"/>
      <c r="D1830" s="38" t="n"/>
      <c r="E1830" s="39" t="n">
        <v>43634.625</v>
      </c>
      <c r="F1830" s="47" t="inlineStr">
        <is>
          <t>Super Carlin Brothers</t>
        </is>
      </c>
      <c r="G1830" t="inlineStr">
        <is>
          <t>The SECRETS of Cinderella Castle</t>
        </is>
      </c>
      <c r="H1830" s="41" t="n">
        <v>0.006238425925925926</v>
      </c>
      <c r="I1830" s="42" t="n">
        <v>278602</v>
      </c>
      <c r="J1830" s="42" t="n">
        <v>13049</v>
      </c>
      <c r="K1830" s="42" t="n">
        <v>882</v>
      </c>
      <c r="L1830" s="43" t="n"/>
      <c r="M1830" s="44" t="n"/>
      <c r="N1830" s="44" t="inlineStr">
        <is>
          <t>UCKZo4N0lVPccBkSiuyVh4yg</t>
        </is>
      </c>
      <c r="O1830" s="45" t="n">
        <v>43634.79166666666</v>
      </c>
      <c r="P1830" s="46" t="n">
        <v>43634</v>
      </c>
      <c r="Q1830" s="44" t="n">
        <v>1442</v>
      </c>
      <c r="R1830" s="44" t="inlineStr">
        <is>
          <t>No Video ID yet</t>
        </is>
      </c>
      <c r="S1830" s="46" t="n"/>
      <c r="T1830" s="46" t="n"/>
      <c r="U1830" s="44" t="n"/>
      <c r="V1830" s="44">
        <f>IF(AND(P1830&gt;=Calendar!$K$2,P1830&lt;EDATE(Calendar!$K$2,1),OR(Calendar!$K$4="*",N1830=Calendar!$K$4)),P1830*100+COUNTIFS($P$6:$P$3271,P1830,$Q$6:$Q$3271,"&lt;="&amp;Q1830,$N$6:$N$3271,Calendar!$K$4),"")</f>
        <v/>
      </c>
      <c r="W1830" s="44">
        <f>IF(AND(B1830=Queue!$C$4,OR(Queue!$K$4="*",N1830=Queue!$K$4)),Q1830,"")</f>
        <v/>
      </c>
    </row>
    <row r="1831">
      <c r="A1831" s="35">
        <f>IF(M1831="","",HYPERLINK("https://www.youtube.com/watch?v="&amp;M1831,"▶"))</f>
        <v/>
      </c>
      <c r="B1831" s="36">
        <f>IF(C1831&lt;&gt;"",C1831,IF(P1831&lt;=IFERROR(INDEX(tblChannels[Watched Through],MATCH(N1831,tblChannels[Channel ID],0)),0),"Watched","Unwatched"))</f>
        <v/>
      </c>
      <c r="C1831" s="37" t="n"/>
      <c r="D1831" s="38" t="n"/>
      <c r="E1831" s="39" t="n">
        <v>43633.65694444445</v>
      </c>
      <c r="F1831" s="49" t="inlineStr">
        <is>
          <t>Super Carlin Gaming</t>
        </is>
      </c>
      <c r="G1831" t="inlineStr">
        <is>
          <t>I've Got a Baby Face! |  Super Smash Bros #42</t>
        </is>
      </c>
      <c r="H1831" s="41" t="n">
        <v>0.01359953703703704</v>
      </c>
      <c r="I1831" s="42" t="n">
        <v>4366</v>
      </c>
      <c r="J1831" s="42" t="n">
        <v>215</v>
      </c>
      <c r="K1831" s="42" t="n">
        <v>81</v>
      </c>
      <c r="L1831" s="43" t="n"/>
      <c r="M1831" s="44" t="n"/>
      <c r="N1831" s="44" t="inlineStr">
        <is>
          <t>UCor_9jRnNNZVzTuQ92PKsaQ</t>
        </is>
      </c>
      <c r="O1831" s="45" t="n">
        <v>43633.82361111111</v>
      </c>
      <c r="P1831" s="46" t="n">
        <v>43633</v>
      </c>
      <c r="Q1831" s="44" t="n">
        <v>1441</v>
      </c>
      <c r="R1831" s="44" t="inlineStr">
        <is>
          <t>No Video ID yet</t>
        </is>
      </c>
      <c r="S1831" s="46" t="n"/>
      <c r="T1831" s="46" t="n"/>
      <c r="U1831" s="44" t="n"/>
      <c r="V1831" s="44">
        <f>IF(AND(P1831&gt;=Calendar!$K$2,P1831&lt;EDATE(Calendar!$K$2,1),OR(Calendar!$K$4="*",N1831=Calendar!$K$4)),P1831*100+COUNTIFS($P$6:$P$3271,P1831,$Q$6:$Q$3271,"&lt;="&amp;Q1831,$N$6:$N$3271,Calendar!$K$4),"")</f>
        <v/>
      </c>
      <c r="W1831" s="44">
        <f>IF(AND(B1831=Queue!$C$4,OR(Queue!$K$4="*",N1831=Queue!$K$4)),Q1831,"")</f>
        <v/>
      </c>
    </row>
    <row r="1832">
      <c r="A1832" s="35">
        <f>IF(M1832="","",HYPERLINK("https://www.youtube.com/watch?v="&amp;M1832,"▶"))</f>
        <v/>
      </c>
      <c r="B1832" s="36">
        <f>IF(C1832&lt;&gt;"",C1832,IF(P1832&lt;=IFERROR(INDEX(tblChannels[Watched Through],MATCH(N1832,tblChannels[Channel ID],0)),0),"Watched","Unwatched"))</f>
        <v/>
      </c>
      <c r="C1832" s="37" t="n"/>
      <c r="D1832" s="38" t="n"/>
      <c r="E1832" s="39" t="n">
        <v>43630.65486111111</v>
      </c>
      <c r="F1832" s="49" t="inlineStr">
        <is>
          <t>Super Carlin Gaming</t>
        </is>
      </c>
      <c r="G1832" t="inlineStr">
        <is>
          <t>Power Plant Problems |  Pokémon X Nuzlocke #23</t>
        </is>
      </c>
      <c r="H1832" s="41" t="n">
        <v>0.02422453703703704</v>
      </c>
      <c r="I1832" s="42" t="n">
        <v>22998</v>
      </c>
      <c r="J1832" s="42" t="n">
        <v>719</v>
      </c>
      <c r="K1832" s="42" t="n">
        <v>143</v>
      </c>
      <c r="L1832" s="43" t="n"/>
      <c r="M1832" s="44" t="n"/>
      <c r="N1832" s="44" t="inlineStr">
        <is>
          <t>UCor_9jRnNNZVzTuQ92PKsaQ</t>
        </is>
      </c>
      <c r="O1832" s="45" t="n">
        <v>43630.82152777778</v>
      </c>
      <c r="P1832" s="46" t="n">
        <v>43630</v>
      </c>
      <c r="Q1832" s="44" t="n">
        <v>1440</v>
      </c>
      <c r="R1832" s="44" t="inlineStr">
        <is>
          <t>No Video ID yet</t>
        </is>
      </c>
      <c r="S1832" s="46" t="n"/>
      <c r="T1832" s="46" t="n"/>
      <c r="U1832" s="44" t="n"/>
      <c r="V1832" s="44">
        <f>IF(AND(P1832&gt;=Calendar!$K$2,P1832&lt;EDATE(Calendar!$K$2,1),OR(Calendar!$K$4="*",N1832=Calendar!$K$4)),P1832*100+COUNTIFS($P$6:$P$3271,P1832,$Q$6:$Q$3271,"&lt;="&amp;Q1832,$N$6:$N$3271,Calendar!$K$4),"")</f>
        <v/>
      </c>
      <c r="W1832" s="44">
        <f>IF(AND(B1832=Queue!$C$4,OR(Queue!$K$4="*",N1832=Queue!$K$4)),Q1832,"")</f>
        <v/>
      </c>
    </row>
    <row r="1833">
      <c r="A1833" s="35">
        <f>IF(M1833="","",HYPERLINK("https://www.youtube.com/watch?v="&amp;M1833,"▶"))</f>
        <v/>
      </c>
      <c r="B1833" s="36">
        <f>IF(C1833&lt;&gt;"",C1833,IF(P1833&lt;=IFERROR(INDEX(tblChannels[Watched Through],MATCH(N1833,tblChannels[Channel ID],0)),0),"Watched","Unwatched"))</f>
        <v/>
      </c>
      <c r="C1833" s="37" t="n"/>
      <c r="D1833" s="38" t="n"/>
      <c r="E1833" s="39" t="n">
        <v>43629.79791666667</v>
      </c>
      <c r="F1833" s="47" t="inlineStr">
        <is>
          <t>Super Carlin Brothers</t>
        </is>
      </c>
      <c r="G1833" t="inlineStr">
        <is>
          <t>Elsa: The Last Ice Bender | Frozen 2 Theory</t>
        </is>
      </c>
      <c r="H1833" s="41" t="n">
        <v>0.0078125</v>
      </c>
      <c r="I1833" s="42" t="n">
        <v>409208</v>
      </c>
      <c r="J1833" s="42" t="n">
        <v>18335</v>
      </c>
      <c r="K1833" s="42" t="n">
        <v>2592</v>
      </c>
      <c r="L1833" s="43" t="n"/>
      <c r="M1833" s="44" t="n"/>
      <c r="N1833" s="44" t="inlineStr">
        <is>
          <t>UCKZo4N0lVPccBkSiuyVh4yg</t>
        </is>
      </c>
      <c r="O1833" s="45" t="n">
        <v>43629.96458333333</v>
      </c>
      <c r="P1833" s="46" t="n">
        <v>43629</v>
      </c>
      <c r="Q1833" s="44" t="n">
        <v>1439</v>
      </c>
      <c r="R1833" s="44" t="inlineStr">
        <is>
          <t>No Video ID yet</t>
        </is>
      </c>
      <c r="S1833" s="46" t="n"/>
      <c r="T1833" s="46" t="n"/>
      <c r="U1833" s="44" t="n"/>
      <c r="V1833" s="44">
        <f>IF(AND(P1833&gt;=Calendar!$K$2,P1833&lt;EDATE(Calendar!$K$2,1),OR(Calendar!$K$4="*",N1833=Calendar!$K$4)),P1833*100+COUNTIFS($P$6:$P$3271,P1833,$Q$6:$Q$3271,"&lt;="&amp;Q1833,$N$6:$N$3271,Calendar!$K$4),"")</f>
        <v/>
      </c>
      <c r="W1833" s="44">
        <f>IF(AND(B1833=Queue!$C$4,OR(Queue!$K$4="*",N1833=Queue!$K$4)),Q1833,"")</f>
        <v/>
      </c>
    </row>
    <row r="1834">
      <c r="A1834" s="35">
        <f>IF(M1834="","",HYPERLINK("https://www.youtube.com/watch?v="&amp;M1834,"▶"))</f>
        <v/>
      </c>
      <c r="B1834" s="36">
        <f>IF(C1834&lt;&gt;"",C1834,IF(P1834&lt;=IFERROR(INDEX(tblChannels[Watched Through],MATCH(N1834,tblChannels[Channel ID],0)),0),"Watched","Unwatched"))</f>
        <v/>
      </c>
      <c r="C1834" s="37" t="n"/>
      <c r="D1834" s="38" t="n"/>
      <c r="E1834" s="39" t="n">
        <v>43628.55</v>
      </c>
      <c r="F1834" s="49" t="inlineStr">
        <is>
          <t>Super Carlin Gaming</t>
        </is>
      </c>
      <c r="G1834" t="inlineStr">
        <is>
          <t>THE RISE OF JOOJ |  Pokémon X Nuzlocke #22</t>
        </is>
      </c>
      <c r="H1834" s="41" t="n">
        <v>0.0255787037037037</v>
      </c>
      <c r="I1834" s="42" t="n">
        <v>25349</v>
      </c>
      <c r="J1834" s="42" t="n">
        <v>777</v>
      </c>
      <c r="K1834" s="42" t="n">
        <v>234</v>
      </c>
      <c r="L1834" s="43" t="n"/>
      <c r="M1834" s="44" t="n"/>
      <c r="N1834" s="44" t="inlineStr">
        <is>
          <t>UCor_9jRnNNZVzTuQ92PKsaQ</t>
        </is>
      </c>
      <c r="O1834" s="45" t="n">
        <v>43628.71666666667</v>
      </c>
      <c r="P1834" s="46" t="n">
        <v>43628</v>
      </c>
      <c r="Q1834" s="44" t="n">
        <v>1438</v>
      </c>
      <c r="R1834" s="44" t="inlineStr">
        <is>
          <t>No Video ID yet</t>
        </is>
      </c>
      <c r="S1834" s="46" t="n"/>
      <c r="T1834" s="46" t="n"/>
      <c r="U1834" s="44" t="n"/>
      <c r="V1834" s="44">
        <f>IF(AND(P1834&gt;=Calendar!$K$2,P1834&lt;EDATE(Calendar!$K$2,1),OR(Calendar!$K$4="*",N1834=Calendar!$K$4)),P1834*100+COUNTIFS($P$6:$P$3271,P1834,$Q$6:$Q$3271,"&lt;="&amp;Q1834,$N$6:$N$3271,Calendar!$K$4),"")</f>
        <v/>
      </c>
      <c r="W1834" s="44">
        <f>IF(AND(B1834=Queue!$C$4,OR(Queue!$K$4="*",N1834=Queue!$K$4)),Q1834,"")</f>
        <v/>
      </c>
    </row>
    <row r="1835">
      <c r="A1835" s="35">
        <f>IF(M1835="","",HYPERLINK("https://www.youtube.com/watch?v="&amp;M1835,"▶"))</f>
        <v/>
      </c>
      <c r="B1835" s="36">
        <f>IF(C1835&lt;&gt;"",C1835,IF(P1835&lt;=IFERROR(INDEX(tblChannels[Watched Through],MATCH(N1835,tblChannels[Channel ID],0)),0),"Watched","Unwatched"))</f>
        <v/>
      </c>
      <c r="C1835" s="37" t="n"/>
      <c r="D1835" s="38" t="n"/>
      <c r="E1835" s="39" t="n">
        <v>43627.66805555556</v>
      </c>
      <c r="F1835" s="47" t="inlineStr">
        <is>
          <t>Super Carlin Brothers</t>
        </is>
      </c>
      <c r="G1835" t="inlineStr">
        <is>
          <t>Toy Story Land's CRAZY Google Maps Easter Egg Game</t>
        </is>
      </c>
      <c r="H1835" s="41" t="n">
        <v>0.007569444444444445</v>
      </c>
      <c r="I1835" s="42" t="n">
        <v>211953</v>
      </c>
      <c r="J1835" s="42" t="n">
        <v>9641</v>
      </c>
      <c r="K1835" s="42" t="n">
        <v>542</v>
      </c>
      <c r="L1835" s="43" t="n"/>
      <c r="M1835" s="44" t="n"/>
      <c r="N1835" s="44" t="inlineStr">
        <is>
          <t>UCKZo4N0lVPccBkSiuyVh4yg</t>
        </is>
      </c>
      <c r="O1835" s="45" t="n">
        <v>43627.83472222222</v>
      </c>
      <c r="P1835" s="46" t="n">
        <v>43627</v>
      </c>
      <c r="Q1835" s="44" t="n">
        <v>1437</v>
      </c>
      <c r="R1835" s="44" t="inlineStr">
        <is>
          <t>No Video ID yet</t>
        </is>
      </c>
      <c r="S1835" s="46" t="n"/>
      <c r="T1835" s="46" t="n"/>
      <c r="U1835" s="44" t="n"/>
      <c r="V1835" s="44">
        <f>IF(AND(P1835&gt;=Calendar!$K$2,P1835&lt;EDATE(Calendar!$K$2,1),OR(Calendar!$K$4="*",N1835=Calendar!$K$4)),P1835*100+COUNTIFS($P$6:$P$3271,P1835,$Q$6:$Q$3271,"&lt;="&amp;Q1835,$N$6:$N$3271,Calendar!$K$4),"")</f>
        <v/>
      </c>
      <c r="W1835" s="44">
        <f>IF(AND(B1835=Queue!$C$4,OR(Queue!$K$4="*",N1835=Queue!$K$4)),Q1835,"")</f>
        <v/>
      </c>
    </row>
    <row r="1836">
      <c r="A1836" s="35">
        <f>IF(M1836="","",HYPERLINK("https://www.youtube.com/watch?v="&amp;M1836,"▶"))</f>
        <v/>
      </c>
      <c r="B1836" s="36">
        <f>IF(C1836&lt;&gt;"",C1836,IF(P1836&lt;=IFERROR(INDEX(tblChannels[Watched Through],MATCH(N1836,tblChannels[Channel ID],0)),0),"Watched","Unwatched"))</f>
        <v/>
      </c>
      <c r="C1836" s="37" t="n"/>
      <c r="D1836" s="38" t="n"/>
      <c r="E1836" s="39" t="n">
        <v>43626.57847222222</v>
      </c>
      <c r="F1836" s="49" t="inlineStr">
        <is>
          <t>Super Carlin Gaming</t>
        </is>
      </c>
      <c r="G1836" t="inlineStr">
        <is>
          <t>5th Year Senior |  Super Smash Bros #41??</t>
        </is>
      </c>
      <c r="H1836" s="41" t="n">
        <v>0.01371527777777778</v>
      </c>
      <c r="I1836" s="42" t="n">
        <v>4500</v>
      </c>
      <c r="J1836" s="42" t="n">
        <v>217</v>
      </c>
      <c r="K1836" s="42" t="n">
        <v>45</v>
      </c>
      <c r="L1836" s="43" t="n"/>
      <c r="M1836" s="44" t="n"/>
      <c r="N1836" s="44" t="inlineStr">
        <is>
          <t>UCor_9jRnNNZVzTuQ92PKsaQ</t>
        </is>
      </c>
      <c r="O1836" s="45" t="n">
        <v>43626.74513888889</v>
      </c>
      <c r="P1836" s="46" t="n">
        <v>43626</v>
      </c>
      <c r="Q1836" s="44" t="n">
        <v>1436</v>
      </c>
      <c r="R1836" s="44" t="inlineStr">
        <is>
          <t>No Video ID yet</t>
        </is>
      </c>
      <c r="S1836" s="46" t="n"/>
      <c r="T1836" s="46" t="n"/>
      <c r="U1836" s="44" t="n"/>
      <c r="V1836" s="44">
        <f>IF(AND(P1836&gt;=Calendar!$K$2,P1836&lt;EDATE(Calendar!$K$2,1),OR(Calendar!$K$4="*",N1836=Calendar!$K$4)),P1836*100+COUNTIFS($P$6:$P$3271,P1836,$Q$6:$Q$3271,"&lt;="&amp;Q1836,$N$6:$N$3271,Calendar!$K$4),"")</f>
        <v/>
      </c>
      <c r="W1836" s="44">
        <f>IF(AND(B1836=Queue!$C$4,OR(Queue!$K$4="*",N1836=Queue!$K$4)),Q1836,"")</f>
        <v/>
      </c>
    </row>
    <row r="1837">
      <c r="A1837" s="35">
        <f>IF(M1837="","",HYPERLINK("https://www.youtube.com/watch?v="&amp;M1837,"▶"))</f>
        <v/>
      </c>
      <c r="B1837" s="36">
        <f>IF(C1837&lt;&gt;"",C1837,IF(P1837&lt;=IFERROR(INDEX(tblChannels[Watched Through],MATCH(N1837,tblChannels[Channel ID],0)),0),"Watched","Unwatched"))</f>
        <v/>
      </c>
      <c r="C1837" s="37" t="n"/>
      <c r="D1837" s="38" t="n"/>
      <c r="E1837" s="39" t="n">
        <v>43626.43402777778</v>
      </c>
      <c r="F1837" s="50" t="inlineStr">
        <is>
          <t>Jonathan Carlin</t>
        </is>
      </c>
      <c r="G1837" t="inlineStr">
        <is>
          <t>Luke Meets Mickey Mouse! | Disney World 2019</t>
        </is>
      </c>
      <c r="H1837" s="41" t="n">
        <v>0.01105324074074074</v>
      </c>
      <c r="I1837" s="42" t="n">
        <v>58687</v>
      </c>
      <c r="J1837" s="42" t="n">
        <v>2646</v>
      </c>
      <c r="K1837" s="42" t="n">
        <v>479</v>
      </c>
      <c r="L1837" s="43" t="n"/>
      <c r="M1837" s="44" t="n"/>
      <c r="N1837" s="44" t="inlineStr">
        <is>
          <t>UCYPKFe86e6nm4TVUYKLsFUQ</t>
        </is>
      </c>
      <c r="O1837" s="45" t="n">
        <v>43626.60069444445</v>
      </c>
      <c r="P1837" s="46" t="n">
        <v>43626</v>
      </c>
      <c r="Q1837" s="44" t="n">
        <v>1435</v>
      </c>
      <c r="R1837" s="44" t="inlineStr">
        <is>
          <t>No Video ID yet</t>
        </is>
      </c>
      <c r="S1837" s="46" t="n"/>
      <c r="T1837" s="46" t="n"/>
      <c r="U1837" s="44" t="n"/>
      <c r="V1837" s="44">
        <f>IF(AND(P1837&gt;=Calendar!$K$2,P1837&lt;EDATE(Calendar!$K$2,1),OR(Calendar!$K$4="*",N1837=Calendar!$K$4)),P1837*100+COUNTIFS($P$6:$P$3271,P1837,$Q$6:$Q$3271,"&lt;="&amp;Q1837,$N$6:$N$3271,Calendar!$K$4),"")</f>
        <v/>
      </c>
      <c r="W1837" s="44">
        <f>IF(AND(B1837=Queue!$C$4,OR(Queue!$K$4="*",N1837=Queue!$K$4)),Q1837,"")</f>
        <v/>
      </c>
    </row>
    <row r="1838">
      <c r="A1838" s="35">
        <f>IF(M1838="","",HYPERLINK("https://www.youtube.com/watch?v="&amp;M1838,"▶"))</f>
        <v/>
      </c>
      <c r="B1838" s="36">
        <f>IF(C1838&lt;&gt;"",C1838,IF(P1838&lt;=IFERROR(INDEX(tblChannels[Watched Through],MATCH(N1838,tblChannels[Channel ID],0)),0),"Watched","Unwatched"))</f>
        <v/>
      </c>
      <c r="C1838" s="37" t="n"/>
      <c r="D1838" s="38" t="n"/>
      <c r="E1838" s="39" t="n">
        <v>43623.56875</v>
      </c>
      <c r="F1838" s="49" t="inlineStr">
        <is>
          <t>Super Carlin Gaming</t>
        </is>
      </c>
      <c r="G1838" t="inlineStr">
        <is>
          <t>The Acrobatic Jumpluff.. |  Pokémon X Nuzlocke #21</t>
        </is>
      </c>
      <c r="H1838" s="41" t="n">
        <v>0.02078703703703704</v>
      </c>
      <c r="I1838" s="42" t="n">
        <v>23698</v>
      </c>
      <c r="J1838" s="42" t="n">
        <v>778</v>
      </c>
      <c r="K1838" s="42" t="n">
        <v>194</v>
      </c>
      <c r="L1838" s="43" t="n"/>
      <c r="M1838" s="44" t="n"/>
      <c r="N1838" s="44" t="inlineStr">
        <is>
          <t>UCor_9jRnNNZVzTuQ92PKsaQ</t>
        </is>
      </c>
      <c r="O1838" s="45" t="n">
        <v>43623.73541666667</v>
      </c>
      <c r="P1838" s="46" t="n">
        <v>43623</v>
      </c>
      <c r="Q1838" s="44" t="n">
        <v>1434</v>
      </c>
      <c r="R1838" s="44" t="inlineStr">
        <is>
          <t>No Video ID yet</t>
        </is>
      </c>
      <c r="S1838" s="46" t="n"/>
      <c r="T1838" s="46" t="n"/>
      <c r="U1838" s="44" t="n"/>
      <c r="V1838" s="44">
        <f>IF(AND(P1838&gt;=Calendar!$K$2,P1838&lt;EDATE(Calendar!$K$2,1),OR(Calendar!$K$4="*",N1838=Calendar!$K$4)),P1838*100+COUNTIFS($P$6:$P$3271,P1838,$Q$6:$Q$3271,"&lt;="&amp;Q1838,$N$6:$N$3271,Calendar!$K$4),"")</f>
        <v/>
      </c>
      <c r="W1838" s="44">
        <f>IF(AND(B1838=Queue!$C$4,OR(Queue!$K$4="*",N1838=Queue!$K$4)),Q1838,"")</f>
        <v/>
      </c>
    </row>
    <row r="1839">
      <c r="A1839" s="35">
        <f>IF(M1839="","",HYPERLINK("https://www.youtube.com/watch?v="&amp;M1839,"▶"))</f>
        <v/>
      </c>
      <c r="B1839" s="36">
        <f>IF(C1839&lt;&gt;"",C1839,IF(P1839&lt;=IFERROR(INDEX(tblChannels[Watched Through],MATCH(N1839,tblChannels[Channel ID],0)),0),"Watched","Unwatched"))</f>
        <v/>
      </c>
      <c r="C1839" s="37" t="n"/>
      <c r="D1839" s="38" t="n"/>
      <c r="E1839" s="39" t="n">
        <v>43622.79305555556</v>
      </c>
      <c r="F1839" s="47" t="inlineStr">
        <is>
          <t>Super Carlin Brothers</t>
        </is>
      </c>
      <c r="G1839" t="inlineStr">
        <is>
          <t>Who Is ACTUALLY The First Avenger?</t>
        </is>
      </c>
      <c r="H1839" s="41" t="n">
        <v>0.008090277777777778</v>
      </c>
      <c r="I1839" s="42" t="n">
        <v>349432</v>
      </c>
      <c r="J1839" s="42" t="n">
        <v>13811</v>
      </c>
      <c r="K1839" s="42" t="n">
        <v>3269</v>
      </c>
      <c r="L1839" s="43" t="n"/>
      <c r="M1839" s="44" t="n"/>
      <c r="N1839" s="44" t="inlineStr">
        <is>
          <t>UCKZo4N0lVPccBkSiuyVh4yg</t>
        </is>
      </c>
      <c r="O1839" s="45" t="n">
        <v>43622.95972222222</v>
      </c>
      <c r="P1839" s="46" t="n">
        <v>43622</v>
      </c>
      <c r="Q1839" s="44" t="n">
        <v>1433</v>
      </c>
      <c r="R1839" s="44" t="inlineStr">
        <is>
          <t>No Video ID yet</t>
        </is>
      </c>
      <c r="S1839" s="46" t="n"/>
      <c r="T1839" s="46" t="n"/>
      <c r="U1839" s="44" t="n"/>
      <c r="V1839" s="44">
        <f>IF(AND(P1839&gt;=Calendar!$K$2,P1839&lt;EDATE(Calendar!$K$2,1),OR(Calendar!$K$4="*",N1839=Calendar!$K$4)),P1839*100+COUNTIFS($P$6:$P$3271,P1839,$Q$6:$Q$3271,"&lt;="&amp;Q1839,$N$6:$N$3271,Calendar!$K$4),"")</f>
        <v/>
      </c>
      <c r="W1839" s="44">
        <f>IF(AND(B1839=Queue!$C$4,OR(Queue!$K$4="*",N1839=Queue!$K$4)),Q1839,"")</f>
        <v/>
      </c>
    </row>
    <row r="1840">
      <c r="A1840" s="35">
        <f>IF(M1840="","",HYPERLINK("https://www.youtube.com/watch?v="&amp;M1840,"▶"))</f>
        <v/>
      </c>
      <c r="B1840" s="36">
        <f>IF(C1840&lt;&gt;"",C1840,IF(P1840&lt;=IFERROR(INDEX(tblChannels[Watched Through],MATCH(N1840,tblChannels[Channel ID],0)),0),"Watched","Unwatched"))</f>
        <v/>
      </c>
      <c r="C1840" s="37" t="n"/>
      <c r="D1840" s="38" t="n"/>
      <c r="E1840" s="39" t="n">
        <v>43620.61319444444</v>
      </c>
      <c r="F1840" s="47" t="inlineStr">
        <is>
          <t>Super Carlin Brothers</t>
        </is>
      </c>
      <c r="G1840" t="inlineStr">
        <is>
          <t>Could Onward BREAK The Pixar Theory?!</t>
        </is>
      </c>
      <c r="H1840" s="41" t="n">
        <v>0.007615740740740741</v>
      </c>
      <c r="I1840" s="42" t="n">
        <v>1168410</v>
      </c>
      <c r="J1840" s="42" t="n">
        <v>40004</v>
      </c>
      <c r="K1840" s="42" t="n">
        <v>6156</v>
      </c>
      <c r="L1840" s="43" t="n"/>
      <c r="M1840" s="44" t="n"/>
      <c r="N1840" s="44" t="inlineStr">
        <is>
          <t>UCKZo4N0lVPccBkSiuyVh4yg</t>
        </is>
      </c>
      <c r="O1840" s="45" t="n">
        <v>43620.77986111111</v>
      </c>
      <c r="P1840" s="46" t="n">
        <v>43620</v>
      </c>
      <c r="Q1840" s="44" t="n">
        <v>1432</v>
      </c>
      <c r="R1840" s="44" t="inlineStr">
        <is>
          <t>No Video ID yet</t>
        </is>
      </c>
      <c r="S1840" s="46" t="n"/>
      <c r="T1840" s="46" t="n"/>
      <c r="U1840" s="44" t="n"/>
      <c r="V1840" s="44">
        <f>IF(AND(P1840&gt;=Calendar!$K$2,P1840&lt;EDATE(Calendar!$K$2,1),OR(Calendar!$K$4="*",N1840=Calendar!$K$4)),P1840*100+COUNTIFS($P$6:$P$3271,P1840,$Q$6:$Q$3271,"&lt;="&amp;Q1840,$N$6:$N$3271,Calendar!$K$4),"")</f>
        <v/>
      </c>
      <c r="W1840" s="44">
        <f>IF(AND(B1840=Queue!$C$4,OR(Queue!$K$4="*",N1840=Queue!$K$4)),Q1840,"")</f>
        <v/>
      </c>
    </row>
    <row r="1841">
      <c r="A1841" s="35">
        <f>IF(M1841="","",HYPERLINK("https://www.youtube.com/watch?v="&amp;M1841,"▶"))</f>
        <v/>
      </c>
      <c r="B1841" s="36">
        <f>IF(C1841&lt;&gt;"",C1841,IF(P1841&lt;=IFERROR(INDEX(tblChannels[Watched Through],MATCH(N1841,tblChannels[Channel ID],0)),0),"Watched","Unwatched"))</f>
        <v/>
      </c>
      <c r="C1841" s="37" t="n"/>
      <c r="D1841" s="38" t="n"/>
      <c r="E1841" s="39" t="n">
        <v>43619.81180555555</v>
      </c>
      <c r="F1841" s="50" t="inlineStr">
        <is>
          <t>Jonathan Carlin</t>
        </is>
      </c>
      <c r="G1841" t="inlineStr">
        <is>
          <t>What Should I Pack for Disney World?</t>
        </is>
      </c>
      <c r="H1841" s="41" t="n">
        <v>0.005590277777777777</v>
      </c>
      <c r="I1841" s="42" t="n">
        <v>27519</v>
      </c>
      <c r="J1841" s="42" t="n">
        <v>1479</v>
      </c>
      <c r="K1841" s="42" t="n">
        <v>145</v>
      </c>
      <c r="L1841" s="43" t="n"/>
      <c r="M1841" s="44" t="n"/>
      <c r="N1841" s="44" t="inlineStr">
        <is>
          <t>UCYPKFe86e6nm4TVUYKLsFUQ</t>
        </is>
      </c>
      <c r="O1841" s="45" t="n">
        <v>43619.97847222222</v>
      </c>
      <c r="P1841" s="46" t="n">
        <v>43619</v>
      </c>
      <c r="Q1841" s="44" t="n">
        <v>1431</v>
      </c>
      <c r="R1841" s="44" t="inlineStr">
        <is>
          <t>No Video ID yet</t>
        </is>
      </c>
      <c r="S1841" s="46" t="n"/>
      <c r="T1841" s="46" t="n"/>
      <c r="U1841" s="44" t="n"/>
      <c r="V1841" s="44">
        <f>IF(AND(P1841&gt;=Calendar!$K$2,P1841&lt;EDATE(Calendar!$K$2,1),OR(Calendar!$K$4="*",N1841=Calendar!$K$4)),P1841*100+COUNTIFS($P$6:$P$3271,P1841,$Q$6:$Q$3271,"&lt;="&amp;Q1841,$N$6:$N$3271,Calendar!$K$4),"")</f>
        <v/>
      </c>
      <c r="W1841" s="44">
        <f>IF(AND(B1841=Queue!$C$4,OR(Queue!$K$4="*",N1841=Queue!$K$4)),Q1841,"")</f>
        <v/>
      </c>
    </row>
    <row r="1842">
      <c r="A1842" s="35">
        <f>IF(M1842="","",HYPERLINK("https://www.youtube.com/watch?v="&amp;M1842,"▶"))</f>
        <v/>
      </c>
      <c r="B1842" s="36">
        <f>IF(C1842&lt;&gt;"",C1842,IF(P1842&lt;=IFERROR(INDEX(tblChannels[Watched Through],MATCH(N1842,tblChannels[Channel ID],0)),0),"Watched","Unwatched"))</f>
        <v/>
      </c>
      <c r="C1842" s="37" t="n"/>
      <c r="D1842" s="38" t="n"/>
      <c r="E1842" s="39" t="n">
        <v>43615.625</v>
      </c>
      <c r="F1842" s="47" t="inlineStr">
        <is>
          <t>Super Carlin Brothers</t>
        </is>
      </c>
      <c r="G1842" t="inlineStr">
        <is>
          <t>J vs Ben: The HARDEST Hagrid Trivia Quiz EVER</t>
        </is>
      </c>
      <c r="H1842" s="41" t="n">
        <v>0.02225694444444444</v>
      </c>
      <c r="I1842" s="42" t="n">
        <v>740089</v>
      </c>
      <c r="J1842" s="42" t="n">
        <v>14741</v>
      </c>
      <c r="K1842" s="42" t="n">
        <v>1882</v>
      </c>
      <c r="L1842" s="43" t="n"/>
      <c r="M1842" s="44" t="n"/>
      <c r="N1842" s="44" t="inlineStr">
        <is>
          <t>UCKZo4N0lVPccBkSiuyVh4yg</t>
        </is>
      </c>
      <c r="O1842" s="45" t="n">
        <v>43615.79166666666</v>
      </c>
      <c r="P1842" s="46" t="n">
        <v>43615</v>
      </c>
      <c r="Q1842" s="44" t="n">
        <v>1430</v>
      </c>
      <c r="R1842" s="44" t="inlineStr">
        <is>
          <t>No Video ID yet</t>
        </is>
      </c>
      <c r="S1842" s="46" t="n"/>
      <c r="T1842" s="46" t="n"/>
      <c r="U1842" s="44" t="n"/>
      <c r="V1842" s="44">
        <f>IF(AND(P1842&gt;=Calendar!$K$2,P1842&lt;EDATE(Calendar!$K$2,1),OR(Calendar!$K$4="*",N1842=Calendar!$K$4)),P1842*100+COUNTIFS($P$6:$P$3271,P1842,$Q$6:$Q$3271,"&lt;="&amp;Q1842,$N$6:$N$3271,Calendar!$K$4),"")</f>
        <v/>
      </c>
      <c r="W1842" s="44">
        <f>IF(AND(B1842=Queue!$C$4,OR(Queue!$K$4="*",N1842=Queue!$K$4)),Q1842,"")</f>
        <v/>
      </c>
    </row>
    <row r="1843">
      <c r="A1843" s="35">
        <f>IF(M1843="","",HYPERLINK("https://www.youtube.com/watch?v="&amp;M1843,"▶"))</f>
        <v/>
      </c>
      <c r="B1843" s="36">
        <f>IF(C1843&lt;&gt;"",C1843,IF(P1843&lt;=IFERROR(INDEX(tblChannels[Watched Through],MATCH(N1843,tblChannels[Channel ID],0)),0),"Watched","Unwatched"))</f>
        <v/>
      </c>
      <c r="C1843" s="37" t="n"/>
      <c r="D1843" s="38" t="n"/>
      <c r="E1843" s="39" t="n">
        <v>43613.71875</v>
      </c>
      <c r="F1843" s="47" t="inlineStr">
        <is>
          <t>Super Carlin Brothers</t>
        </is>
      </c>
      <c r="G1843" t="inlineStr">
        <is>
          <t>Aladdin Review | Better Than The Original?</t>
        </is>
      </c>
      <c r="H1843" s="41" t="n">
        <v>0.03166666666666667</v>
      </c>
      <c r="I1843" s="42" t="n">
        <v>358855</v>
      </c>
      <c r="J1843" s="42" t="n">
        <v>10239</v>
      </c>
      <c r="K1843" s="42" t="n">
        <v>2717</v>
      </c>
      <c r="L1843" s="43" t="n"/>
      <c r="M1843" s="44" t="n"/>
      <c r="N1843" s="44" t="inlineStr">
        <is>
          <t>UCKZo4N0lVPccBkSiuyVh4yg</t>
        </is>
      </c>
      <c r="O1843" s="45" t="n">
        <v>43613.88541666666</v>
      </c>
      <c r="P1843" s="46" t="n">
        <v>43613</v>
      </c>
      <c r="Q1843" s="44" t="n">
        <v>1429</v>
      </c>
      <c r="R1843" s="44" t="inlineStr">
        <is>
          <t>No Video ID yet</t>
        </is>
      </c>
      <c r="S1843" s="46" t="n"/>
      <c r="T1843" s="46" t="n"/>
      <c r="U1843" s="44" t="n"/>
      <c r="V1843" s="44">
        <f>IF(AND(P1843&gt;=Calendar!$K$2,P1843&lt;EDATE(Calendar!$K$2,1),OR(Calendar!$K$4="*",N1843=Calendar!$K$4)),P1843*100+COUNTIFS($P$6:$P$3271,P1843,$Q$6:$Q$3271,"&lt;="&amp;Q1843,$N$6:$N$3271,Calendar!$K$4),"")</f>
        <v/>
      </c>
      <c r="W1843" s="44">
        <f>IF(AND(B1843=Queue!$C$4,OR(Queue!$K$4="*",N1843=Queue!$K$4)),Q1843,"")</f>
        <v/>
      </c>
    </row>
    <row r="1844">
      <c r="A1844" s="35">
        <f>IF(M1844="","",HYPERLINK("https://www.youtube.com/watch?v="&amp;M1844,"▶"))</f>
        <v/>
      </c>
      <c r="B1844" s="36">
        <f>IF(C1844&lt;&gt;"",C1844,IF(P1844&lt;=IFERROR(INDEX(tblChannels[Watched Through],MATCH(N1844,tblChannels[Channel ID],0)),0),"Watched","Unwatched"))</f>
        <v/>
      </c>
      <c r="C1844" s="37" t="n"/>
      <c r="D1844" s="38" t="n"/>
      <c r="E1844" s="39" t="n">
        <v>43612.41666666666</v>
      </c>
      <c r="F1844" s="50" t="inlineStr">
        <is>
          <t>Jonathan Carlin</t>
        </is>
      </c>
      <c r="G1844" t="inlineStr">
        <is>
          <t>How Can I Drink More Water?</t>
        </is>
      </c>
      <c r="H1844" s="41" t="n">
        <v>0.009097222222222222</v>
      </c>
      <c r="I1844" s="42" t="n">
        <v>36673</v>
      </c>
      <c r="J1844" s="42" t="n">
        <v>1826</v>
      </c>
      <c r="K1844" s="42" t="n">
        <v>393</v>
      </c>
      <c r="L1844" s="43" t="n"/>
      <c r="M1844" s="44" t="n"/>
      <c r="N1844" s="44" t="inlineStr">
        <is>
          <t>UCYPKFe86e6nm4TVUYKLsFUQ</t>
        </is>
      </c>
      <c r="O1844" s="45" t="n">
        <v>43612.58333333334</v>
      </c>
      <c r="P1844" s="46" t="n">
        <v>43612</v>
      </c>
      <c r="Q1844" s="44" t="n">
        <v>1428</v>
      </c>
      <c r="R1844" s="44" t="inlineStr">
        <is>
          <t>No Video ID yet</t>
        </is>
      </c>
      <c r="S1844" s="46" t="n"/>
      <c r="T1844" s="46" t="n"/>
      <c r="U1844" s="44" t="n"/>
      <c r="V1844" s="44">
        <f>IF(AND(P1844&gt;=Calendar!$K$2,P1844&lt;EDATE(Calendar!$K$2,1),OR(Calendar!$K$4="*",N1844=Calendar!$K$4)),P1844*100+COUNTIFS($P$6:$P$3271,P1844,$Q$6:$Q$3271,"&lt;="&amp;Q1844,$N$6:$N$3271,Calendar!$K$4),"")</f>
        <v/>
      </c>
      <c r="W1844" s="44">
        <f>IF(AND(B1844=Queue!$C$4,OR(Queue!$K$4="*",N1844=Queue!$K$4)),Q1844,"")</f>
        <v/>
      </c>
    </row>
    <row r="1845">
      <c r="A1845" s="35">
        <f>IF(M1845="","",HYPERLINK("https://www.youtube.com/watch?v="&amp;M1845,"▶"))</f>
        <v/>
      </c>
      <c r="B1845" s="36">
        <f>IF(C1845&lt;&gt;"",C1845,IF(P1845&lt;=IFERROR(INDEX(tblChannels[Watched Through],MATCH(N1845,tblChannels[Channel ID],0)),0),"Watched","Unwatched"))</f>
        <v/>
      </c>
      <c r="C1845" s="37" t="n"/>
      <c r="D1845" s="38" t="n"/>
      <c r="E1845" s="39" t="n">
        <v>43609.4375</v>
      </c>
      <c r="F1845" s="49" t="inlineStr">
        <is>
          <t>Super Carlin Gaming</t>
        </is>
      </c>
      <c r="G1845" t="inlineStr">
        <is>
          <t>What's with all the Ice Attacks? |  Pokémon X Nuzlocke #20</t>
        </is>
      </c>
      <c r="H1845" s="41" t="n">
        <v>0.02679398148148148</v>
      </c>
      <c r="I1845" s="42" t="n">
        <v>29015</v>
      </c>
      <c r="J1845" s="42" t="n">
        <v>927</v>
      </c>
      <c r="K1845" s="42" t="n">
        <v>306</v>
      </c>
      <c r="L1845" s="43" t="n"/>
      <c r="M1845" s="44" t="n"/>
      <c r="N1845" s="44" t="inlineStr">
        <is>
          <t>UCor_9jRnNNZVzTuQ92PKsaQ</t>
        </is>
      </c>
      <c r="O1845" s="45" t="n">
        <v>43609.60416666666</v>
      </c>
      <c r="P1845" s="46" t="n">
        <v>43609</v>
      </c>
      <c r="Q1845" s="44" t="n">
        <v>1427</v>
      </c>
      <c r="R1845" s="44" t="inlineStr">
        <is>
          <t>No Video ID yet</t>
        </is>
      </c>
      <c r="S1845" s="46" t="n"/>
      <c r="T1845" s="46" t="n"/>
      <c r="U1845" s="44" t="n"/>
      <c r="V1845" s="44">
        <f>IF(AND(P1845&gt;=Calendar!$K$2,P1845&lt;EDATE(Calendar!$K$2,1),OR(Calendar!$K$4="*",N1845=Calendar!$K$4)),P1845*100+COUNTIFS($P$6:$P$3271,P1845,$Q$6:$Q$3271,"&lt;="&amp;Q1845,$N$6:$N$3271,Calendar!$K$4),"")</f>
        <v/>
      </c>
      <c r="W1845" s="44">
        <f>IF(AND(B1845=Queue!$C$4,OR(Queue!$K$4="*",N1845=Queue!$K$4)),Q1845,"")</f>
        <v/>
      </c>
    </row>
    <row r="1846">
      <c r="A1846" s="35">
        <f>IF(M1846="","",HYPERLINK("https://www.youtube.com/watch?v="&amp;M1846,"▶"))</f>
        <v/>
      </c>
      <c r="B1846" s="36">
        <f>IF(C1846&lt;&gt;"",C1846,IF(P1846&lt;=IFERROR(INDEX(tblChannels[Watched Through],MATCH(N1846,tblChannels[Channel ID],0)),0),"Watched","Unwatched"))</f>
        <v/>
      </c>
      <c r="C1846" s="37" t="n"/>
      <c r="D1846" s="38" t="n"/>
      <c r="E1846" s="39" t="n">
        <v>43608.6875</v>
      </c>
      <c r="F1846" s="47" t="inlineStr">
        <is>
          <t>Super Carlin Brothers</t>
        </is>
      </c>
      <c r="G1846" t="inlineStr">
        <is>
          <t>What Happened To Aladdin’s Mother?</t>
        </is>
      </c>
      <c r="H1846" s="41" t="n">
        <v>0.008275462962962964</v>
      </c>
      <c r="I1846" s="42" t="n">
        <v>361762</v>
      </c>
      <c r="J1846" s="42" t="n">
        <v>13221</v>
      </c>
      <c r="K1846" s="42" t="n">
        <v>1201</v>
      </c>
      <c r="L1846" s="43" t="n"/>
      <c r="M1846" s="44" t="n"/>
      <c r="N1846" s="44" t="inlineStr">
        <is>
          <t>UCKZo4N0lVPccBkSiuyVh4yg</t>
        </is>
      </c>
      <c r="O1846" s="45" t="n">
        <v>43608.85416666666</v>
      </c>
      <c r="P1846" s="46" t="n">
        <v>43608</v>
      </c>
      <c r="Q1846" s="44" t="n">
        <v>1426</v>
      </c>
      <c r="R1846" s="44" t="inlineStr">
        <is>
          <t>No Video ID yet</t>
        </is>
      </c>
      <c r="S1846" s="46" t="n"/>
      <c r="T1846" s="46" t="n"/>
      <c r="U1846" s="44" t="n"/>
      <c r="V1846" s="44">
        <f>IF(AND(P1846&gt;=Calendar!$K$2,P1846&lt;EDATE(Calendar!$K$2,1),OR(Calendar!$K$4="*",N1846=Calendar!$K$4)),P1846*100+COUNTIFS($P$6:$P$3271,P1846,$Q$6:$Q$3271,"&lt;="&amp;Q1846,$N$6:$N$3271,Calendar!$K$4),"")</f>
        <v/>
      </c>
      <c r="W1846" s="44">
        <f>IF(AND(B1846=Queue!$C$4,OR(Queue!$K$4="*",N1846=Queue!$K$4)),Q1846,"")</f>
        <v/>
      </c>
    </row>
    <row r="1847">
      <c r="A1847" s="35">
        <f>IF(M1847="","",HYPERLINK("https://www.youtube.com/watch?v="&amp;M1847,"▶"))</f>
        <v/>
      </c>
      <c r="B1847" s="36">
        <f>IF(C1847&lt;&gt;"",C1847,IF(P1847&lt;=IFERROR(INDEX(tblChannels[Watched Through],MATCH(N1847,tblChannels[Channel ID],0)),0),"Watched","Unwatched"))</f>
        <v/>
      </c>
      <c r="C1847" s="37" t="n"/>
      <c r="D1847" s="38" t="n"/>
      <c r="E1847" s="39" t="n">
        <v>43607.60972222222</v>
      </c>
      <c r="F1847" s="49" t="inlineStr">
        <is>
          <t>Super Carlin Gaming</t>
        </is>
      </c>
      <c r="G1847" t="inlineStr">
        <is>
          <t>A Dangerous Pursuit |  Pokémon X Nuzlocke #19</t>
        </is>
      </c>
      <c r="H1847" s="41" t="n">
        <v>0.02311342592592593</v>
      </c>
      <c r="I1847" s="42" t="n">
        <v>28234</v>
      </c>
      <c r="J1847" s="42" t="n">
        <v>950</v>
      </c>
      <c r="K1847" s="42" t="n">
        <v>566</v>
      </c>
      <c r="L1847" s="43" t="n"/>
      <c r="M1847" s="44" t="n"/>
      <c r="N1847" s="44" t="inlineStr">
        <is>
          <t>UCor_9jRnNNZVzTuQ92PKsaQ</t>
        </is>
      </c>
      <c r="O1847" s="45" t="n">
        <v>43607.77638888889</v>
      </c>
      <c r="P1847" s="46" t="n">
        <v>43607</v>
      </c>
      <c r="Q1847" s="44" t="n">
        <v>1425</v>
      </c>
      <c r="R1847" s="44" t="inlineStr">
        <is>
          <t>No Video ID yet</t>
        </is>
      </c>
      <c r="S1847" s="46" t="n"/>
      <c r="T1847" s="46" t="n"/>
      <c r="U1847" s="44" t="n"/>
      <c r="V1847" s="44">
        <f>IF(AND(P1847&gt;=Calendar!$K$2,P1847&lt;EDATE(Calendar!$K$2,1),OR(Calendar!$K$4="*",N1847=Calendar!$K$4)),P1847*100+COUNTIFS($P$6:$P$3271,P1847,$Q$6:$Q$3271,"&lt;="&amp;Q1847,$N$6:$N$3271,Calendar!$K$4),"")</f>
        <v/>
      </c>
      <c r="W1847" s="44">
        <f>IF(AND(B1847=Queue!$C$4,OR(Queue!$K$4="*",N1847=Queue!$K$4)),Q1847,"")</f>
        <v/>
      </c>
    </row>
    <row r="1848">
      <c r="A1848" s="35">
        <f>IF(M1848="","",HYPERLINK("https://www.youtube.com/watch?v="&amp;M1848,"▶"))</f>
        <v/>
      </c>
      <c r="B1848" s="36">
        <f>IF(C1848&lt;&gt;"",C1848,IF(P1848&lt;=IFERROR(INDEX(tblChannels[Watched Through],MATCH(N1848,tblChannels[Channel ID],0)),0),"Watched","Unwatched"))</f>
        <v/>
      </c>
      <c r="C1848" s="37" t="n"/>
      <c r="D1848" s="38" t="n"/>
      <c r="E1848" s="39" t="n">
        <v>43606.66319444445</v>
      </c>
      <c r="F1848" s="47" t="inlineStr">
        <is>
          <t>Super Carlin Brothers</t>
        </is>
      </c>
      <c r="G1848" t="inlineStr">
        <is>
          <t>The SECRET Message In Incredibles 2</t>
        </is>
      </c>
      <c r="H1848" s="41" t="n">
        <v>0.006377314814814815</v>
      </c>
      <c r="I1848" s="42" t="n">
        <v>377927</v>
      </c>
      <c r="J1848" s="42" t="n">
        <v>17252</v>
      </c>
      <c r="K1848" s="42" t="n">
        <v>1879</v>
      </c>
      <c r="L1848" s="43" t="n"/>
      <c r="M1848" s="44" t="n"/>
      <c r="N1848" s="44" t="inlineStr">
        <is>
          <t>UCKZo4N0lVPccBkSiuyVh4yg</t>
        </is>
      </c>
      <c r="O1848" s="45" t="n">
        <v>43606.82986111111</v>
      </c>
      <c r="P1848" s="46" t="n">
        <v>43606</v>
      </c>
      <c r="Q1848" s="44" t="n">
        <v>1424</v>
      </c>
      <c r="R1848" s="44" t="inlineStr">
        <is>
          <t>No Video ID yet</t>
        </is>
      </c>
      <c r="S1848" s="46" t="n"/>
      <c r="T1848" s="46" t="n"/>
      <c r="U1848" s="44" t="n"/>
      <c r="V1848" s="44">
        <f>IF(AND(P1848&gt;=Calendar!$K$2,P1848&lt;EDATE(Calendar!$K$2,1),OR(Calendar!$K$4="*",N1848=Calendar!$K$4)),P1848*100+COUNTIFS($P$6:$P$3271,P1848,$Q$6:$Q$3271,"&lt;="&amp;Q1848,$N$6:$N$3271,Calendar!$K$4),"")</f>
        <v/>
      </c>
      <c r="W1848" s="44">
        <f>IF(AND(B1848=Queue!$C$4,OR(Queue!$K$4="*",N1848=Queue!$K$4)),Q1848,"")</f>
        <v/>
      </c>
    </row>
    <row r="1849">
      <c r="A1849" s="35">
        <f>IF(M1849="","",HYPERLINK("https://www.youtube.com/watch?v="&amp;M1849,"▶"))</f>
        <v/>
      </c>
      <c r="B1849" s="36">
        <f>IF(C1849&lt;&gt;"",C1849,IF(P1849&lt;=IFERROR(INDEX(tblChannels[Watched Through],MATCH(N1849,tblChannels[Channel ID],0)),0),"Watched","Unwatched"))</f>
        <v/>
      </c>
      <c r="C1849" s="37" t="n"/>
      <c r="D1849" s="38" t="n"/>
      <c r="E1849" s="39" t="n">
        <v>43605.62361111111</v>
      </c>
      <c r="F1849" s="49" t="inlineStr">
        <is>
          <t>Super Carlin Gaming</t>
        </is>
      </c>
      <c r="G1849" t="inlineStr">
        <is>
          <t>Keeping Friends is Hard | Super Smash Bros #40</t>
        </is>
      </c>
      <c r="H1849" s="41" t="n">
        <v>0.01295138888888889</v>
      </c>
      <c r="I1849" s="42" t="n">
        <v>5542</v>
      </c>
      <c r="J1849" s="42" t="n">
        <v>246</v>
      </c>
      <c r="K1849" s="42" t="n">
        <v>60</v>
      </c>
      <c r="L1849" s="43" t="n"/>
      <c r="M1849" s="44" t="n"/>
      <c r="N1849" s="44" t="inlineStr">
        <is>
          <t>UCor_9jRnNNZVzTuQ92PKsaQ</t>
        </is>
      </c>
      <c r="O1849" s="45" t="n">
        <v>43605.79027777778</v>
      </c>
      <c r="P1849" s="46" t="n">
        <v>43605</v>
      </c>
      <c r="Q1849" s="44" t="n">
        <v>1423</v>
      </c>
      <c r="R1849" s="44" t="inlineStr">
        <is>
          <t>No Video ID yet</t>
        </is>
      </c>
      <c r="S1849" s="46" t="n"/>
      <c r="T1849" s="46" t="n"/>
      <c r="U1849" s="44" t="n"/>
      <c r="V1849" s="44">
        <f>IF(AND(P1849&gt;=Calendar!$K$2,P1849&lt;EDATE(Calendar!$K$2,1),OR(Calendar!$K$4="*",N1849=Calendar!$K$4)),P1849*100+COUNTIFS($P$6:$P$3271,P1849,$Q$6:$Q$3271,"&lt;="&amp;Q1849,$N$6:$N$3271,Calendar!$K$4),"")</f>
        <v/>
      </c>
      <c r="W1849" s="44">
        <f>IF(AND(B1849=Queue!$C$4,OR(Queue!$K$4="*",N1849=Queue!$K$4)),Q1849,"")</f>
        <v/>
      </c>
    </row>
    <row r="1850">
      <c r="A1850" s="35">
        <f>IF(M1850="","",HYPERLINK("https://www.youtube.com/watch?v="&amp;M1850,"▶"))</f>
        <v/>
      </c>
      <c r="B1850" s="36">
        <f>IF(C1850&lt;&gt;"",C1850,IF(P1850&lt;=IFERROR(INDEX(tblChannels[Watched Through],MATCH(N1850,tblChannels[Channel ID],0)),0),"Watched","Unwatched"))</f>
        <v/>
      </c>
      <c r="C1850" s="37" t="n"/>
      <c r="D1850" s="38" t="n"/>
      <c r="E1850" s="39" t="n">
        <v>43605.45347222222</v>
      </c>
      <c r="F1850" s="50" t="inlineStr">
        <is>
          <t>Jonathan Carlin</t>
        </is>
      </c>
      <c r="G1850" t="inlineStr">
        <is>
          <t>Mother's Day! ..and LUKE GETS A HAT!</t>
        </is>
      </c>
      <c r="H1850" s="41" t="n">
        <v>0.005694444444444445</v>
      </c>
      <c r="I1850" s="42" t="n">
        <v>25972</v>
      </c>
      <c r="J1850" s="42" t="n">
        <v>1454</v>
      </c>
      <c r="K1850" s="42" t="n">
        <v>118</v>
      </c>
      <c r="L1850" s="43" t="n"/>
      <c r="M1850" s="44" t="n"/>
      <c r="N1850" s="44" t="inlineStr">
        <is>
          <t>UCYPKFe86e6nm4TVUYKLsFUQ</t>
        </is>
      </c>
      <c r="O1850" s="45" t="n">
        <v>43605.62013888889</v>
      </c>
      <c r="P1850" s="46" t="n">
        <v>43605</v>
      </c>
      <c r="Q1850" s="44" t="n">
        <v>1422</v>
      </c>
      <c r="R1850" s="44" t="inlineStr">
        <is>
          <t>No Video ID yet</t>
        </is>
      </c>
      <c r="S1850" s="46" t="n"/>
      <c r="T1850" s="46" t="n"/>
      <c r="U1850" s="44" t="n"/>
      <c r="V1850" s="44">
        <f>IF(AND(P1850&gt;=Calendar!$K$2,P1850&lt;EDATE(Calendar!$K$2,1),OR(Calendar!$K$4="*",N1850=Calendar!$K$4)),P1850*100+COUNTIFS($P$6:$P$3271,P1850,$Q$6:$Q$3271,"&lt;="&amp;Q1850,$N$6:$N$3271,Calendar!$K$4),"")</f>
        <v/>
      </c>
      <c r="W1850" s="44">
        <f>IF(AND(B1850=Queue!$C$4,OR(Queue!$K$4="*",N1850=Queue!$K$4)),Q1850,"")</f>
        <v/>
      </c>
    </row>
    <row r="1851">
      <c r="A1851" s="35">
        <f>IF(M1851="","",HYPERLINK("https://www.youtube.com/watch?v="&amp;M1851,"▶"))</f>
        <v/>
      </c>
      <c r="B1851" s="36">
        <f>IF(C1851&lt;&gt;"",C1851,IF(P1851&lt;=IFERROR(INDEX(tblChannels[Watched Through],MATCH(N1851,tblChannels[Channel ID],0)),0),"Watched","Unwatched"))</f>
        <v/>
      </c>
      <c r="C1851" s="37" t="n"/>
      <c r="D1851" s="38" t="n"/>
      <c r="E1851" s="39" t="n">
        <v>43602.43194444444</v>
      </c>
      <c r="F1851" s="49" t="inlineStr">
        <is>
          <t>Super Carlin Gaming</t>
        </is>
      </c>
      <c r="G1851" t="inlineStr">
        <is>
          <t>LETS GET READY TO RUMBLE |  Pokémon X Nuzlocke #18</t>
        </is>
      </c>
      <c r="H1851" s="41" t="n">
        <v>0.01771990740740741</v>
      </c>
      <c r="I1851" s="42" t="n">
        <v>24886</v>
      </c>
      <c r="J1851" s="42" t="n">
        <v>751</v>
      </c>
      <c r="K1851" s="42" t="n">
        <v>342</v>
      </c>
      <c r="L1851" s="43" t="n"/>
      <c r="M1851" s="44" t="n"/>
      <c r="N1851" s="44" t="inlineStr">
        <is>
          <t>UCor_9jRnNNZVzTuQ92PKsaQ</t>
        </is>
      </c>
      <c r="O1851" s="45" t="n">
        <v>43602.59861111111</v>
      </c>
      <c r="P1851" s="46" t="n">
        <v>43602</v>
      </c>
      <c r="Q1851" s="44" t="n">
        <v>1421</v>
      </c>
      <c r="R1851" s="44" t="inlineStr">
        <is>
          <t>No Video ID yet</t>
        </is>
      </c>
      <c r="S1851" s="46" t="n"/>
      <c r="T1851" s="46" t="n"/>
      <c r="U1851" s="44" t="n"/>
      <c r="V1851" s="44">
        <f>IF(AND(P1851&gt;=Calendar!$K$2,P1851&lt;EDATE(Calendar!$K$2,1),OR(Calendar!$K$4="*",N1851=Calendar!$K$4)),P1851*100+COUNTIFS($P$6:$P$3271,P1851,$Q$6:$Q$3271,"&lt;="&amp;Q1851,$N$6:$N$3271,Calendar!$K$4),"")</f>
        <v/>
      </c>
      <c r="W1851" s="44">
        <f>IF(AND(B1851=Queue!$C$4,OR(Queue!$K$4="*",N1851=Queue!$K$4)),Q1851,"")</f>
        <v/>
      </c>
    </row>
    <row r="1852">
      <c r="A1852" s="35">
        <f>IF(M1852="","",HYPERLINK("https://www.youtube.com/watch?v="&amp;M1852,"▶"))</f>
        <v/>
      </c>
      <c r="B1852" s="36">
        <f>IF(C1852&lt;&gt;"",C1852,IF(P1852&lt;=IFERROR(INDEX(tblChannels[Watched Through],MATCH(N1852,tblChannels[Channel ID],0)),0),"Watched","Unwatched"))</f>
        <v/>
      </c>
      <c r="C1852" s="37" t="n"/>
      <c r="D1852" s="38" t="n"/>
      <c r="E1852" s="39" t="n">
        <v>43601.75625</v>
      </c>
      <c r="F1852" s="47" t="inlineStr">
        <is>
          <t>Super Carlin Brothers</t>
        </is>
      </c>
      <c r="G1852" t="inlineStr">
        <is>
          <t>Will There ACTUALLY Be A Marvel Multiverse?</t>
        </is>
      </c>
      <c r="H1852" s="41" t="n">
        <v>0.007465277777777778</v>
      </c>
      <c r="I1852" s="42" t="n">
        <v>245847</v>
      </c>
      <c r="J1852" s="42" t="n">
        <v>13098</v>
      </c>
      <c r="K1852" s="42" t="n">
        <v>1945</v>
      </c>
      <c r="L1852" s="43" t="n"/>
      <c r="M1852" s="44" t="n"/>
      <c r="N1852" s="44" t="inlineStr">
        <is>
          <t>UCKZo4N0lVPccBkSiuyVh4yg</t>
        </is>
      </c>
      <c r="O1852" s="45" t="n">
        <v>43601.92291666667</v>
      </c>
      <c r="P1852" s="46" t="n">
        <v>43601</v>
      </c>
      <c r="Q1852" s="44" t="n">
        <v>1420</v>
      </c>
      <c r="R1852" s="44" t="inlineStr">
        <is>
          <t>No Video ID yet</t>
        </is>
      </c>
      <c r="S1852" s="46" t="n"/>
      <c r="T1852" s="46" t="n"/>
      <c r="U1852" s="44" t="n"/>
      <c r="V1852" s="44">
        <f>IF(AND(P1852&gt;=Calendar!$K$2,P1852&lt;EDATE(Calendar!$K$2,1),OR(Calendar!$K$4="*",N1852=Calendar!$K$4)),P1852*100+COUNTIFS($P$6:$P$3271,P1852,$Q$6:$Q$3271,"&lt;="&amp;Q1852,$N$6:$N$3271,Calendar!$K$4),"")</f>
        <v/>
      </c>
      <c r="W1852" s="44">
        <f>IF(AND(B1852=Queue!$C$4,OR(Queue!$K$4="*",N1852=Queue!$K$4)),Q1852,"")</f>
        <v/>
      </c>
    </row>
    <row r="1853">
      <c r="A1853" s="35">
        <f>IF(M1853="","",HYPERLINK("https://www.youtube.com/watch?v="&amp;M1853,"▶"))</f>
        <v/>
      </c>
      <c r="B1853" s="36">
        <f>IF(C1853&lt;&gt;"",C1853,IF(P1853&lt;=IFERROR(INDEX(tblChannels[Watched Through],MATCH(N1853,tblChannels[Channel ID],0)),0),"Watched","Unwatched"))</f>
        <v/>
      </c>
      <c r="C1853" s="37" t="n"/>
      <c r="D1853" s="38" t="n"/>
      <c r="E1853" s="39" t="n">
        <v>43600.41666666666</v>
      </c>
      <c r="F1853" s="49" t="inlineStr">
        <is>
          <t>Super Carlin Gaming</t>
        </is>
      </c>
      <c r="G1853" t="inlineStr">
        <is>
          <t>Heracrossed |  Pokémon X Nuzlocke #17</t>
        </is>
      </c>
      <c r="H1853" s="41" t="n">
        <v>0.02023148148148148</v>
      </c>
      <c r="I1853" s="42" t="n">
        <v>25419</v>
      </c>
      <c r="J1853" s="42" t="n">
        <v>806</v>
      </c>
      <c r="K1853" s="42" t="n">
        <v>192</v>
      </c>
      <c r="L1853" s="43" t="n"/>
      <c r="M1853" s="44" t="n"/>
      <c r="N1853" s="44" t="inlineStr">
        <is>
          <t>UCor_9jRnNNZVzTuQ92PKsaQ</t>
        </is>
      </c>
      <c r="O1853" s="45" t="n">
        <v>43600.58333333334</v>
      </c>
      <c r="P1853" s="46" t="n">
        <v>43600</v>
      </c>
      <c r="Q1853" s="44" t="n">
        <v>1419</v>
      </c>
      <c r="R1853" s="44" t="inlineStr">
        <is>
          <t>No Video ID yet</t>
        </is>
      </c>
      <c r="S1853" s="46" t="n"/>
      <c r="T1853" s="46" t="n"/>
      <c r="U1853" s="44" t="n"/>
      <c r="V1853" s="44">
        <f>IF(AND(P1853&gt;=Calendar!$K$2,P1853&lt;EDATE(Calendar!$K$2,1),OR(Calendar!$K$4="*",N1853=Calendar!$K$4)),P1853*100+COUNTIFS($P$6:$P$3271,P1853,$Q$6:$Q$3271,"&lt;="&amp;Q1853,$N$6:$N$3271,Calendar!$K$4),"")</f>
        <v/>
      </c>
      <c r="W1853" s="44">
        <f>IF(AND(B1853=Queue!$C$4,OR(Queue!$K$4="*",N1853=Queue!$K$4)),Q1853,"")</f>
        <v/>
      </c>
    </row>
    <row r="1854">
      <c r="A1854" s="35">
        <f>IF(M1854="","",HYPERLINK("https://www.youtube.com/watch?v="&amp;M1854,"▶"))</f>
        <v/>
      </c>
      <c r="B1854" s="36">
        <f>IF(C1854&lt;&gt;"",C1854,IF(P1854&lt;=IFERROR(INDEX(tblChannels[Watched Through],MATCH(N1854,tblChannels[Channel ID],0)),0),"Watched","Unwatched"))</f>
        <v/>
      </c>
      <c r="C1854" s="37" t="n"/>
      <c r="D1854" s="38" t="n"/>
      <c r="E1854" s="39" t="n">
        <v>43599.72708333333</v>
      </c>
      <c r="F1854" s="47" t="inlineStr">
        <is>
          <t>Super Carlin Brothers</t>
        </is>
      </c>
      <c r="G1854" t="inlineStr">
        <is>
          <t>Is Thanos Gamora’s BIOLOGICAL Father? | Avengers Theory</t>
        </is>
      </c>
      <c r="H1854" s="41" t="n">
        <v>0.009155092592592593</v>
      </c>
      <c r="I1854" s="42" t="n">
        <v>315604</v>
      </c>
      <c r="J1854" s="42" t="n">
        <v>13169</v>
      </c>
      <c r="K1854" s="42" t="n">
        <v>2000</v>
      </c>
      <c r="L1854" s="43" t="n"/>
      <c r="M1854" s="44" t="n"/>
      <c r="N1854" s="44" t="inlineStr">
        <is>
          <t>UCKZo4N0lVPccBkSiuyVh4yg</t>
        </is>
      </c>
      <c r="O1854" s="45" t="n">
        <v>43599.89375</v>
      </c>
      <c r="P1854" s="46" t="n">
        <v>43599</v>
      </c>
      <c r="Q1854" s="44" t="n">
        <v>1418</v>
      </c>
      <c r="R1854" s="44" t="inlineStr">
        <is>
          <t>No Video ID yet</t>
        </is>
      </c>
      <c r="S1854" s="46" t="n"/>
      <c r="T1854" s="46" t="n"/>
      <c r="U1854" s="44" t="n"/>
      <c r="V1854" s="44">
        <f>IF(AND(P1854&gt;=Calendar!$K$2,P1854&lt;EDATE(Calendar!$K$2,1),OR(Calendar!$K$4="*",N1854=Calendar!$K$4)),P1854*100+COUNTIFS($P$6:$P$3271,P1854,$Q$6:$Q$3271,"&lt;="&amp;Q1854,$N$6:$N$3271,Calendar!$K$4),"")</f>
        <v/>
      </c>
      <c r="W1854" s="44">
        <f>IF(AND(B1854=Queue!$C$4,OR(Queue!$K$4="*",N1854=Queue!$K$4)),Q1854,"")</f>
        <v/>
      </c>
    </row>
    <row r="1855">
      <c r="A1855" s="35">
        <f>IF(M1855="","",HYPERLINK("https://www.youtube.com/watch?v="&amp;M1855,"▶"))</f>
        <v/>
      </c>
      <c r="B1855" s="36">
        <f>IF(C1855&lt;&gt;"",C1855,IF(P1855&lt;=IFERROR(INDEX(tblChannels[Watched Through],MATCH(N1855,tblChannels[Channel ID],0)),0),"Watched","Unwatched"))</f>
        <v/>
      </c>
      <c r="C1855" s="37" t="n"/>
      <c r="D1855" s="38" t="n"/>
      <c r="E1855" s="39" t="n">
        <v>43598.6375</v>
      </c>
      <c r="F1855" s="49" t="inlineStr">
        <is>
          <t>Super Carlin Gaming</t>
        </is>
      </c>
      <c r="G1855" t="inlineStr">
        <is>
          <t>In Love With My Best Friend |  Super Smash Bros #39</t>
        </is>
      </c>
      <c r="H1855" s="41" t="n">
        <v>0.01405092592592593</v>
      </c>
      <c r="I1855" s="42" t="n">
        <v>5976</v>
      </c>
      <c r="J1855" s="42" t="n">
        <v>292</v>
      </c>
      <c r="K1855" s="42" t="n">
        <v>90</v>
      </c>
      <c r="L1855" s="43" t="n"/>
      <c r="M1855" s="44" t="n"/>
      <c r="N1855" s="44" t="inlineStr">
        <is>
          <t>UCor_9jRnNNZVzTuQ92PKsaQ</t>
        </is>
      </c>
      <c r="O1855" s="45" t="n">
        <v>43598.80416666667</v>
      </c>
      <c r="P1855" s="46" t="n">
        <v>43598</v>
      </c>
      <c r="Q1855" s="44" t="n">
        <v>1417</v>
      </c>
      <c r="R1855" s="44" t="inlineStr">
        <is>
          <t>No Video ID yet</t>
        </is>
      </c>
      <c r="S1855" s="46" t="n"/>
      <c r="T1855" s="46" t="n"/>
      <c r="U1855" s="44" t="n"/>
      <c r="V1855" s="44">
        <f>IF(AND(P1855&gt;=Calendar!$K$2,P1855&lt;EDATE(Calendar!$K$2,1),OR(Calendar!$K$4="*",N1855=Calendar!$K$4)),P1855*100+COUNTIFS($P$6:$P$3271,P1855,$Q$6:$Q$3271,"&lt;="&amp;Q1855,$N$6:$N$3271,Calendar!$K$4),"")</f>
        <v/>
      </c>
      <c r="W1855" s="44">
        <f>IF(AND(B1855=Queue!$C$4,OR(Queue!$K$4="*",N1855=Queue!$K$4)),Q1855,"")</f>
        <v/>
      </c>
    </row>
    <row r="1856">
      <c r="A1856" s="35">
        <f>IF(M1856="","",HYPERLINK("https://www.youtube.com/watch?v="&amp;M1856,"▶"))</f>
        <v/>
      </c>
      <c r="B1856" s="36">
        <f>IF(C1856&lt;&gt;"",C1856,IF(P1856&lt;=IFERROR(INDEX(tblChannels[Watched Through],MATCH(N1856,tblChannels[Channel ID],0)),0),"Watched","Unwatched"))</f>
        <v/>
      </c>
      <c r="C1856" s="37" t="n"/>
      <c r="D1856" s="38" t="n"/>
      <c r="E1856" s="39" t="n">
        <v>43598.44375</v>
      </c>
      <c r="F1856" s="50" t="inlineStr">
        <is>
          <t>Jonathan Carlin</t>
        </is>
      </c>
      <c r="G1856" t="inlineStr">
        <is>
          <t>The Kentucky Derby Party</t>
        </is>
      </c>
      <c r="H1856" s="41" t="n">
        <v>0.009108796296296297</v>
      </c>
      <c r="I1856" s="42" t="n">
        <v>28577</v>
      </c>
      <c r="J1856" s="42" t="n">
        <v>1356</v>
      </c>
      <c r="K1856" s="42" t="n">
        <v>130</v>
      </c>
      <c r="L1856" s="43" t="n"/>
      <c r="M1856" s="44" t="n"/>
      <c r="N1856" s="44" t="inlineStr">
        <is>
          <t>UCYPKFe86e6nm4TVUYKLsFUQ</t>
        </is>
      </c>
      <c r="O1856" s="45" t="n">
        <v>43598.61041666667</v>
      </c>
      <c r="P1856" s="46" t="n">
        <v>43598</v>
      </c>
      <c r="Q1856" s="44" t="n">
        <v>1416</v>
      </c>
      <c r="R1856" s="44" t="inlineStr">
        <is>
          <t>No Video ID yet</t>
        </is>
      </c>
      <c r="S1856" s="46" t="n"/>
      <c r="T1856" s="46" t="n"/>
      <c r="U1856" s="44" t="n"/>
      <c r="V1856" s="44">
        <f>IF(AND(P1856&gt;=Calendar!$K$2,P1856&lt;EDATE(Calendar!$K$2,1),OR(Calendar!$K$4="*",N1856=Calendar!$K$4)),P1856*100+COUNTIFS($P$6:$P$3271,P1856,$Q$6:$Q$3271,"&lt;="&amp;Q1856,$N$6:$N$3271,Calendar!$K$4),"")</f>
        <v/>
      </c>
      <c r="W1856" s="44">
        <f>IF(AND(B1856=Queue!$C$4,OR(Queue!$K$4="*",N1856=Queue!$K$4)),Q1856,"")</f>
        <v/>
      </c>
    </row>
    <row r="1857">
      <c r="A1857" s="35">
        <f>IF(M1857="","",HYPERLINK("https://www.youtube.com/watch?v="&amp;M1857,"▶"))</f>
        <v/>
      </c>
      <c r="B1857" s="36">
        <f>IF(C1857&lt;&gt;"",C1857,IF(P1857&lt;=IFERROR(INDEX(tblChannels[Watched Through],MATCH(N1857,tblChannels[Channel ID],0)),0),"Watched","Unwatched"))</f>
        <v/>
      </c>
      <c r="C1857" s="37" t="n"/>
      <c r="D1857" s="38" t="n"/>
      <c r="E1857" s="39" t="n">
        <v>43595.68194444444</v>
      </c>
      <c r="F1857" s="49" t="inlineStr">
        <is>
          <t>Super Carlin Gaming</t>
        </is>
      </c>
      <c r="G1857" t="inlineStr">
        <is>
          <t>The Cave to Shalour City |  Pokémon X Nuzlocke #16</t>
        </is>
      </c>
      <c r="H1857" s="41" t="n">
        <v>0.0212962962962963</v>
      </c>
      <c r="I1857" s="42" t="n">
        <v>26973</v>
      </c>
      <c r="J1857" s="42" t="n">
        <v>779</v>
      </c>
      <c r="K1857" s="42" t="n">
        <v>243</v>
      </c>
      <c r="L1857" s="43" t="n"/>
      <c r="M1857" s="44" t="n"/>
      <c r="N1857" s="44" t="inlineStr">
        <is>
          <t>UCor_9jRnNNZVzTuQ92PKsaQ</t>
        </is>
      </c>
      <c r="O1857" s="45" t="n">
        <v>43595.84861111111</v>
      </c>
      <c r="P1857" s="46" t="n">
        <v>43595</v>
      </c>
      <c r="Q1857" s="44" t="n">
        <v>1415</v>
      </c>
      <c r="R1857" s="44" t="inlineStr">
        <is>
          <t>No Video ID yet</t>
        </is>
      </c>
      <c r="S1857" s="46" t="n"/>
      <c r="T1857" s="46" t="n"/>
      <c r="U1857" s="44" t="n"/>
      <c r="V1857" s="44">
        <f>IF(AND(P1857&gt;=Calendar!$K$2,P1857&lt;EDATE(Calendar!$K$2,1),OR(Calendar!$K$4="*",N1857=Calendar!$K$4)),P1857*100+COUNTIFS($P$6:$P$3271,P1857,$Q$6:$Q$3271,"&lt;="&amp;Q1857,$N$6:$N$3271,Calendar!$K$4),"")</f>
        <v/>
      </c>
      <c r="W1857" s="44">
        <f>IF(AND(B1857=Queue!$C$4,OR(Queue!$K$4="*",N1857=Queue!$K$4)),Q1857,"")</f>
        <v/>
      </c>
    </row>
    <row r="1858">
      <c r="A1858" s="35">
        <f>IF(M1858="","",HYPERLINK("https://www.youtube.com/watch?v="&amp;M1858,"▶"))</f>
        <v/>
      </c>
      <c r="B1858" s="36">
        <f>IF(C1858&lt;&gt;"",C1858,IF(P1858&lt;=IFERROR(INDEX(tblChannels[Watched Through],MATCH(N1858,tblChannels[Channel ID],0)),0),"Watched","Unwatched"))</f>
        <v/>
      </c>
      <c r="C1858" s="37" t="n"/>
      <c r="D1858" s="38" t="n"/>
      <c r="E1858" s="39" t="n">
        <v>43594.76180555556</v>
      </c>
      <c r="F1858" s="47" t="inlineStr">
        <is>
          <t>Super Carlin Brothers</t>
        </is>
      </c>
      <c r="G1858" t="inlineStr">
        <is>
          <t>Avengers Endgame Shows Us The Five Stages Of Grief</t>
        </is>
      </c>
      <c r="H1858" s="41" t="n">
        <v>0.009537037037037037</v>
      </c>
      <c r="I1858" s="42" t="n">
        <v>704271</v>
      </c>
      <c r="J1858" s="42" t="n">
        <v>27437</v>
      </c>
      <c r="K1858" s="42" t="n">
        <v>3561</v>
      </c>
      <c r="L1858" s="43" t="n"/>
      <c r="M1858" s="44" t="n"/>
      <c r="N1858" s="44" t="inlineStr">
        <is>
          <t>UCKZo4N0lVPccBkSiuyVh4yg</t>
        </is>
      </c>
      <c r="O1858" s="45" t="n">
        <v>43594.92847222222</v>
      </c>
      <c r="P1858" s="46" t="n">
        <v>43594</v>
      </c>
      <c r="Q1858" s="44" t="n">
        <v>1414</v>
      </c>
      <c r="R1858" s="44" t="inlineStr">
        <is>
          <t>No Video ID yet</t>
        </is>
      </c>
      <c r="S1858" s="46" t="n"/>
      <c r="T1858" s="46" t="n"/>
      <c r="U1858" s="44" t="n"/>
      <c r="V1858" s="44">
        <f>IF(AND(P1858&gt;=Calendar!$K$2,P1858&lt;EDATE(Calendar!$K$2,1),OR(Calendar!$K$4="*",N1858=Calendar!$K$4)),P1858*100+COUNTIFS($P$6:$P$3271,P1858,$Q$6:$Q$3271,"&lt;="&amp;Q1858,$N$6:$N$3271,Calendar!$K$4),"")</f>
        <v/>
      </c>
      <c r="W1858" s="44">
        <f>IF(AND(B1858=Queue!$C$4,OR(Queue!$K$4="*",N1858=Queue!$K$4)),Q1858,"")</f>
        <v/>
      </c>
    </row>
    <row r="1859">
      <c r="A1859" s="35">
        <f>IF(M1859="","",HYPERLINK("https://www.youtube.com/watch?v="&amp;M1859,"▶"))</f>
        <v/>
      </c>
      <c r="B1859" s="36">
        <f>IF(C1859&lt;&gt;"",C1859,IF(P1859&lt;=IFERROR(INDEX(tblChannels[Watched Through],MATCH(N1859,tblChannels[Channel ID],0)),0),"Watched","Unwatched"))</f>
        <v/>
      </c>
      <c r="C1859" s="37" t="n"/>
      <c r="D1859" s="38" t="n"/>
      <c r="E1859" s="39" t="n">
        <v>43593.57013888889</v>
      </c>
      <c r="F1859" s="49" t="inlineStr">
        <is>
          <t>Super Carlin Gaming</t>
        </is>
      </c>
      <c r="G1859" t="inlineStr">
        <is>
          <t>Double-Double-Double-Slap |  Pokémon X Nuzlocke #15</t>
        </is>
      </c>
      <c r="H1859" s="41" t="n">
        <v>0.02302083333333333</v>
      </c>
      <c r="I1859" s="42" t="n">
        <v>27561</v>
      </c>
      <c r="J1859" s="42" t="n">
        <v>816</v>
      </c>
      <c r="K1859" s="42" t="n">
        <v>236</v>
      </c>
      <c r="L1859" s="43" t="n"/>
      <c r="M1859" s="44" t="n"/>
      <c r="N1859" s="44" t="inlineStr">
        <is>
          <t>UCor_9jRnNNZVzTuQ92PKsaQ</t>
        </is>
      </c>
      <c r="O1859" s="45" t="n">
        <v>43593.73680555556</v>
      </c>
      <c r="P1859" s="46" t="n">
        <v>43593</v>
      </c>
      <c r="Q1859" s="44" t="n">
        <v>1413</v>
      </c>
      <c r="R1859" s="44" t="inlineStr">
        <is>
          <t>No Video ID yet</t>
        </is>
      </c>
      <c r="S1859" s="46" t="n"/>
      <c r="T1859" s="46" t="n"/>
      <c r="U1859" s="44" t="n"/>
      <c r="V1859" s="44">
        <f>IF(AND(P1859&gt;=Calendar!$K$2,P1859&lt;EDATE(Calendar!$K$2,1),OR(Calendar!$K$4="*",N1859=Calendar!$K$4)),P1859*100+COUNTIFS($P$6:$P$3271,P1859,$Q$6:$Q$3271,"&lt;="&amp;Q1859,$N$6:$N$3271,Calendar!$K$4),"")</f>
        <v/>
      </c>
      <c r="W1859" s="44">
        <f>IF(AND(B1859=Queue!$C$4,OR(Queue!$K$4="*",N1859=Queue!$K$4)),Q1859,"")</f>
        <v/>
      </c>
    </row>
    <row r="1860">
      <c r="A1860" s="35">
        <f>IF(M1860="","",HYPERLINK("https://www.youtube.com/watch?v="&amp;M1860,"▶"))</f>
        <v/>
      </c>
      <c r="B1860" s="36">
        <f>IF(C1860&lt;&gt;"",C1860,IF(P1860&lt;=IFERROR(INDEX(tblChannels[Watched Through],MATCH(N1860,tblChannels[Channel ID],0)),0),"Watched","Unwatched"))</f>
        <v/>
      </c>
      <c r="C1860" s="37" t="n"/>
      <c r="D1860" s="38" t="n"/>
      <c r="E1860" s="39" t="n">
        <v>43592.71666666667</v>
      </c>
      <c r="F1860" s="47" t="inlineStr">
        <is>
          <t>Super Carlin Brothers</t>
        </is>
      </c>
      <c r="G1860" t="inlineStr">
        <is>
          <t>J vs Ben: Sorting Marvel Characters Into Hogwarts Houses</t>
        </is>
      </c>
      <c r="H1860" s="41" t="n">
        <v>0.0209837962962963</v>
      </c>
      <c r="I1860" s="42" t="n">
        <v>768360</v>
      </c>
      <c r="J1860" s="42" t="n">
        <v>23113</v>
      </c>
      <c r="K1860" s="42" t="n">
        <v>5814</v>
      </c>
      <c r="L1860" s="43" t="n"/>
      <c r="M1860" s="44" t="n"/>
      <c r="N1860" s="44" t="inlineStr">
        <is>
          <t>UCKZo4N0lVPccBkSiuyVh4yg</t>
        </is>
      </c>
      <c r="O1860" s="45" t="n">
        <v>43592.88333333333</v>
      </c>
      <c r="P1860" s="46" t="n">
        <v>43592</v>
      </c>
      <c r="Q1860" s="44" t="n">
        <v>1412</v>
      </c>
      <c r="R1860" s="44" t="inlineStr">
        <is>
          <t>No Video ID yet</t>
        </is>
      </c>
      <c r="S1860" s="46" t="n"/>
      <c r="T1860" s="46" t="n"/>
      <c r="U1860" s="44" t="n"/>
      <c r="V1860" s="44">
        <f>IF(AND(P1860&gt;=Calendar!$K$2,P1860&lt;EDATE(Calendar!$K$2,1),OR(Calendar!$K$4="*",N1860=Calendar!$K$4)),P1860*100+COUNTIFS($P$6:$P$3271,P1860,$Q$6:$Q$3271,"&lt;="&amp;Q1860,$N$6:$N$3271,Calendar!$K$4),"")</f>
        <v/>
      </c>
      <c r="W1860" s="44">
        <f>IF(AND(B1860=Queue!$C$4,OR(Queue!$K$4="*",N1860=Queue!$K$4)),Q1860,"")</f>
        <v/>
      </c>
    </row>
    <row r="1861">
      <c r="A1861" s="35">
        <f>IF(M1861="","",HYPERLINK("https://www.youtube.com/watch?v="&amp;M1861,"▶"))</f>
        <v/>
      </c>
      <c r="B1861" s="36">
        <f>IF(C1861&lt;&gt;"",C1861,IF(P1861&lt;=IFERROR(INDEX(tblChannels[Watched Through],MATCH(N1861,tblChannels[Channel ID],0)),0),"Watched","Unwatched"))</f>
        <v/>
      </c>
      <c r="C1861" s="37" t="n"/>
      <c r="D1861" s="38" t="n"/>
      <c r="E1861" s="39" t="n">
        <v>43591.71319444444</v>
      </c>
      <c r="F1861" s="49" t="inlineStr">
        <is>
          <t>Super Carlin Gaming</t>
        </is>
      </c>
      <c r="G1861" t="inlineStr">
        <is>
          <t>Dealing With Imposter Syndrome |  Smash Bros #38</t>
        </is>
      </c>
      <c r="H1861" s="41" t="n">
        <v>0.01237268518518518</v>
      </c>
      <c r="I1861" s="42" t="n">
        <v>5118</v>
      </c>
      <c r="J1861" s="42" t="n">
        <v>267</v>
      </c>
      <c r="K1861" s="42" t="n">
        <v>57</v>
      </c>
      <c r="L1861" s="43" t="n"/>
      <c r="M1861" s="44" t="n"/>
      <c r="N1861" s="44" t="inlineStr">
        <is>
          <t>UCor_9jRnNNZVzTuQ92PKsaQ</t>
        </is>
      </c>
      <c r="O1861" s="45" t="n">
        <v>43591.87986111111</v>
      </c>
      <c r="P1861" s="46" t="n">
        <v>43591</v>
      </c>
      <c r="Q1861" s="44" t="n">
        <v>1411</v>
      </c>
      <c r="R1861" s="44" t="inlineStr">
        <is>
          <t>No Video ID yet</t>
        </is>
      </c>
      <c r="S1861" s="46" t="n"/>
      <c r="T1861" s="46" t="n"/>
      <c r="U1861" s="44" t="n"/>
      <c r="V1861" s="44">
        <f>IF(AND(P1861&gt;=Calendar!$K$2,P1861&lt;EDATE(Calendar!$K$2,1),OR(Calendar!$K$4="*",N1861=Calendar!$K$4)),P1861*100+COUNTIFS($P$6:$P$3271,P1861,$Q$6:$Q$3271,"&lt;="&amp;Q1861,$N$6:$N$3271,Calendar!$K$4),"")</f>
        <v/>
      </c>
      <c r="W1861" s="44">
        <f>IF(AND(B1861=Queue!$C$4,OR(Queue!$K$4="*",N1861=Queue!$K$4)),Q1861,"")</f>
        <v/>
      </c>
    </row>
    <row r="1862">
      <c r="A1862" s="35">
        <f>IF(M1862="","",HYPERLINK("https://www.youtube.com/watch?v="&amp;M1862,"▶"))</f>
        <v/>
      </c>
      <c r="B1862" s="36">
        <f>IF(C1862&lt;&gt;"",C1862,IF(P1862&lt;=IFERROR(INDEX(tblChannels[Watched Through],MATCH(N1862,tblChannels[Channel ID],0)),0),"Watched","Unwatched"))</f>
        <v/>
      </c>
      <c r="C1862" s="37" t="n"/>
      <c r="D1862" s="38" t="n"/>
      <c r="E1862" s="39" t="n">
        <v>43591.56041666667</v>
      </c>
      <c r="F1862" s="50" t="inlineStr">
        <is>
          <t>Jonathan Carlin</t>
        </is>
      </c>
      <c r="G1862" t="inlineStr">
        <is>
          <t>ENDGAME FEVER</t>
        </is>
      </c>
      <c r="H1862" s="41" t="n">
        <v>0.006990740740740741</v>
      </c>
      <c r="I1862" s="42" t="n">
        <v>30453</v>
      </c>
      <c r="J1862" s="42" t="n">
        <v>1536</v>
      </c>
      <c r="K1862" s="42" t="n">
        <v>192</v>
      </c>
      <c r="L1862" s="43" t="n"/>
      <c r="M1862" s="44" t="n"/>
      <c r="N1862" s="44" t="inlineStr">
        <is>
          <t>UCYPKFe86e6nm4TVUYKLsFUQ</t>
        </is>
      </c>
      <c r="O1862" s="45" t="n">
        <v>43591.72708333333</v>
      </c>
      <c r="P1862" s="46" t="n">
        <v>43591</v>
      </c>
      <c r="Q1862" s="44" t="n">
        <v>1410</v>
      </c>
      <c r="R1862" s="44" t="inlineStr">
        <is>
          <t>No Video ID yet</t>
        </is>
      </c>
      <c r="S1862" s="46" t="n"/>
      <c r="T1862" s="46" t="n"/>
      <c r="U1862" s="44" t="n"/>
      <c r="V1862" s="44">
        <f>IF(AND(P1862&gt;=Calendar!$K$2,P1862&lt;EDATE(Calendar!$K$2,1),OR(Calendar!$K$4="*",N1862=Calendar!$K$4)),P1862*100+COUNTIFS($P$6:$P$3271,P1862,$Q$6:$Q$3271,"&lt;="&amp;Q1862,$N$6:$N$3271,Calendar!$K$4),"")</f>
        <v/>
      </c>
      <c r="W1862" s="44">
        <f>IF(AND(B1862=Queue!$C$4,OR(Queue!$K$4="*",N1862=Queue!$K$4)),Q1862,"")</f>
        <v/>
      </c>
    </row>
    <row r="1863">
      <c r="A1863" s="35">
        <f>IF(M1863="","",HYPERLINK("https://www.youtube.com/watch?v="&amp;M1863,"▶"))</f>
        <v/>
      </c>
      <c r="B1863" s="36">
        <f>IF(C1863&lt;&gt;"",C1863,IF(P1863&lt;=IFERROR(INDEX(tblChannels[Watched Through],MATCH(N1863,tblChannels[Channel ID],0)),0),"Watched","Unwatched"))</f>
        <v/>
      </c>
      <c r="C1863" s="37" t="n"/>
      <c r="D1863" s="38" t="n"/>
      <c r="E1863" s="39" t="n">
        <v>43588.4375</v>
      </c>
      <c r="F1863" s="49" t="inlineStr">
        <is>
          <t>Super Carlin Gaming</t>
        </is>
      </c>
      <c r="G1863" t="inlineStr">
        <is>
          <t>LucariOH NO! |  Pokémon X Nuzlocke #14</t>
        </is>
      </c>
      <c r="H1863" s="41" t="n">
        <v>0.02355324074074074</v>
      </c>
      <c r="I1863" s="42" t="n">
        <v>30459</v>
      </c>
      <c r="J1863" s="42" t="n">
        <v>868</v>
      </c>
      <c r="K1863" s="42" t="n">
        <v>221</v>
      </c>
      <c r="L1863" s="43" t="n"/>
      <c r="M1863" s="44" t="n"/>
      <c r="N1863" s="44" t="inlineStr">
        <is>
          <t>UCor_9jRnNNZVzTuQ92PKsaQ</t>
        </is>
      </c>
      <c r="O1863" s="45" t="n">
        <v>43588.60416666666</v>
      </c>
      <c r="P1863" s="46" t="n">
        <v>43588</v>
      </c>
      <c r="Q1863" s="44" t="n">
        <v>1409</v>
      </c>
      <c r="R1863" s="44" t="inlineStr">
        <is>
          <t>No Video ID yet</t>
        </is>
      </c>
      <c r="S1863" s="46" t="n"/>
      <c r="T1863" s="46" t="n"/>
      <c r="U1863" s="44" t="n"/>
      <c r="V1863" s="44">
        <f>IF(AND(P1863&gt;=Calendar!$K$2,P1863&lt;EDATE(Calendar!$K$2,1),OR(Calendar!$K$4="*",N1863=Calendar!$K$4)),P1863*100+COUNTIFS($P$6:$P$3271,P1863,$Q$6:$Q$3271,"&lt;="&amp;Q1863,$N$6:$N$3271,Calendar!$K$4),"")</f>
        <v/>
      </c>
      <c r="W1863" s="44">
        <f>IF(AND(B1863=Queue!$C$4,OR(Queue!$K$4="*",N1863=Queue!$K$4)),Q1863,"")</f>
        <v/>
      </c>
    </row>
    <row r="1864">
      <c r="A1864" s="35">
        <f>IF(M1864="","",HYPERLINK("https://www.youtube.com/watch?v="&amp;M1864,"▶"))</f>
        <v/>
      </c>
      <c r="B1864" s="36">
        <f>IF(C1864&lt;&gt;"",C1864,IF(P1864&lt;=IFERROR(INDEX(tblChannels[Watched Through],MATCH(N1864,tblChannels[Channel ID],0)),0),"Watched","Unwatched"))</f>
        <v/>
      </c>
      <c r="C1864" s="37" t="n"/>
      <c r="D1864" s="38" t="n"/>
      <c r="E1864" s="39" t="n">
        <v>43587.74305555555</v>
      </c>
      <c r="F1864" s="47" t="inlineStr">
        <is>
          <t>Super Carlin Brothers</t>
        </is>
      </c>
      <c r="G1864" t="inlineStr">
        <is>
          <t>What Happened To Gamora | Endgame Theory</t>
        </is>
      </c>
      <c r="H1864" s="41" t="n">
        <v>0.009282407407407408</v>
      </c>
      <c r="I1864" s="42" t="n">
        <v>588594</v>
      </c>
      <c r="J1864" s="42" t="n">
        <v>20706</v>
      </c>
      <c r="K1864" s="42" t="n">
        <v>4217</v>
      </c>
      <c r="L1864" s="43" t="n"/>
      <c r="M1864" s="44" t="n"/>
      <c r="N1864" s="44" t="inlineStr">
        <is>
          <t>UCKZo4N0lVPccBkSiuyVh4yg</t>
        </is>
      </c>
      <c r="O1864" s="45" t="n">
        <v>43587.90972222222</v>
      </c>
      <c r="P1864" s="46" t="n">
        <v>43587</v>
      </c>
      <c r="Q1864" s="44" t="n">
        <v>1408</v>
      </c>
      <c r="R1864" s="44" t="inlineStr">
        <is>
          <t>No Video ID yet</t>
        </is>
      </c>
      <c r="S1864" s="46" t="n"/>
      <c r="T1864" s="46" t="n"/>
      <c r="U1864" s="44" t="n"/>
      <c r="V1864" s="44">
        <f>IF(AND(P1864&gt;=Calendar!$K$2,P1864&lt;EDATE(Calendar!$K$2,1),OR(Calendar!$K$4="*",N1864=Calendar!$K$4)),P1864*100+COUNTIFS($P$6:$P$3271,P1864,$Q$6:$Q$3271,"&lt;="&amp;Q1864,$N$6:$N$3271,Calendar!$K$4),"")</f>
        <v/>
      </c>
      <c r="W1864" s="44">
        <f>IF(AND(B1864=Queue!$C$4,OR(Queue!$K$4="*",N1864=Queue!$K$4)),Q1864,"")</f>
        <v/>
      </c>
    </row>
    <row r="1865">
      <c r="A1865" s="35">
        <f>IF(M1865="","",HYPERLINK("https://www.youtube.com/watch?v="&amp;M1865,"▶"))</f>
        <v/>
      </c>
      <c r="B1865" s="36">
        <f>IF(C1865&lt;&gt;"",C1865,IF(P1865&lt;=IFERROR(INDEX(tblChannels[Watched Through],MATCH(N1865,tblChannels[Channel ID],0)),0),"Watched","Unwatched"))</f>
        <v/>
      </c>
      <c r="C1865" s="37" t="n"/>
      <c r="D1865" s="38" t="n"/>
      <c r="E1865" s="39" t="n">
        <v>43586.63541666666</v>
      </c>
      <c r="F1865" s="49" t="inlineStr">
        <is>
          <t>Super Carlin Gaming</t>
        </is>
      </c>
      <c r="G1865" t="inlineStr">
        <is>
          <t>SHE'S EVOLVING! | Pokémon X Nuzlocke #13</t>
        </is>
      </c>
      <c r="H1865" s="41" t="n">
        <v>0.0169212962962963</v>
      </c>
      <c r="I1865" s="42" t="n">
        <v>29370</v>
      </c>
      <c r="J1865" s="42" t="n">
        <v>903</v>
      </c>
      <c r="K1865" s="42" t="n">
        <v>321</v>
      </c>
      <c r="L1865" s="43" t="n"/>
      <c r="M1865" s="44" t="n"/>
      <c r="N1865" s="44" t="inlineStr">
        <is>
          <t>UCor_9jRnNNZVzTuQ92PKsaQ</t>
        </is>
      </c>
      <c r="O1865" s="45" t="n">
        <v>43586.80208333334</v>
      </c>
      <c r="P1865" s="46" t="n">
        <v>43586</v>
      </c>
      <c r="Q1865" s="44" t="n">
        <v>1407</v>
      </c>
      <c r="R1865" s="44" t="inlineStr">
        <is>
          <t>No Video ID yet</t>
        </is>
      </c>
      <c r="S1865" s="46" t="n"/>
      <c r="T1865" s="46" t="n"/>
      <c r="U1865" s="44" t="n"/>
      <c r="V1865" s="44">
        <f>IF(AND(P1865&gt;=Calendar!$K$2,P1865&lt;EDATE(Calendar!$K$2,1),OR(Calendar!$K$4="*",N1865=Calendar!$K$4)),P1865*100+COUNTIFS($P$6:$P$3271,P1865,$Q$6:$Q$3271,"&lt;="&amp;Q1865,$N$6:$N$3271,Calendar!$K$4),"")</f>
        <v/>
      </c>
      <c r="W1865" s="44">
        <f>IF(AND(B1865=Queue!$C$4,OR(Queue!$K$4="*",N1865=Queue!$K$4)),Q1865,"")</f>
        <v/>
      </c>
    </row>
    <row r="1866">
      <c r="A1866" s="35">
        <f>IF(M1866="","",HYPERLINK("https://www.youtube.com/watch?v="&amp;M1866,"▶"))</f>
        <v/>
      </c>
      <c r="B1866" s="36">
        <f>IF(C1866&lt;&gt;"",C1866,IF(P1866&lt;=IFERROR(INDEX(tblChannels[Watched Through],MATCH(N1866,tblChannels[Channel ID],0)),0),"Watched","Unwatched"))</f>
        <v/>
      </c>
      <c r="C1866" s="37" t="n"/>
      <c r="D1866" s="38" t="n"/>
      <c r="E1866" s="39" t="n">
        <v>43585.72152777778</v>
      </c>
      <c r="F1866" s="47" t="inlineStr">
        <is>
          <t>Super Carlin Brothers</t>
        </is>
      </c>
      <c r="G1866" t="inlineStr">
        <is>
          <t>Why Thanos' Plan Would Never Work | Endgame Theory</t>
        </is>
      </c>
      <c r="H1866" s="41" t="n">
        <v>0.008159722222222223</v>
      </c>
      <c r="I1866" s="42" t="n">
        <v>639413</v>
      </c>
      <c r="J1866" s="42" t="n">
        <v>23375</v>
      </c>
      <c r="K1866" s="42" t="n">
        <v>2813</v>
      </c>
      <c r="L1866" s="43" t="n"/>
      <c r="M1866" s="44" t="n"/>
      <c r="N1866" s="44" t="inlineStr">
        <is>
          <t>UCKZo4N0lVPccBkSiuyVh4yg</t>
        </is>
      </c>
      <c r="O1866" s="45" t="n">
        <v>43585.88819444444</v>
      </c>
      <c r="P1866" s="46" t="n">
        <v>43585</v>
      </c>
      <c r="Q1866" s="44" t="n">
        <v>1406</v>
      </c>
      <c r="R1866" s="44" t="inlineStr">
        <is>
          <t>No Video ID yet</t>
        </is>
      </c>
      <c r="S1866" s="46" t="n"/>
      <c r="T1866" s="46" t="n"/>
      <c r="U1866" s="44" t="n"/>
      <c r="V1866" s="44">
        <f>IF(AND(P1866&gt;=Calendar!$K$2,P1866&lt;EDATE(Calendar!$K$2,1),OR(Calendar!$K$4="*",N1866=Calendar!$K$4)),P1866*100+COUNTIFS($P$6:$P$3271,P1866,$Q$6:$Q$3271,"&lt;="&amp;Q1866,$N$6:$N$3271,Calendar!$K$4),"")</f>
        <v/>
      </c>
      <c r="W1866" s="44">
        <f>IF(AND(B1866=Queue!$C$4,OR(Queue!$K$4="*",N1866=Queue!$K$4)),Q1866,"")</f>
        <v/>
      </c>
    </row>
    <row r="1867">
      <c r="A1867" s="35">
        <f>IF(M1867="","",HYPERLINK("https://www.youtube.com/watch?v="&amp;M1867,"▶"))</f>
        <v/>
      </c>
      <c r="B1867" s="36">
        <f>IF(C1867&lt;&gt;"",C1867,IF(P1867&lt;=IFERROR(INDEX(tblChannels[Watched Through],MATCH(N1867,tblChannels[Channel ID],0)),0),"Watched","Unwatched"))</f>
        <v/>
      </c>
      <c r="C1867" s="37" t="n"/>
      <c r="D1867" s="38" t="n"/>
      <c r="E1867" s="39" t="n">
        <v>43584.63402777778</v>
      </c>
      <c r="F1867" s="49" t="inlineStr">
        <is>
          <t>Super Carlin Gaming</t>
        </is>
      </c>
      <c r="G1867" t="inlineStr">
        <is>
          <t>On The Hook? |  Super Smash Bros #37</t>
        </is>
      </c>
      <c r="H1867" s="41" t="n">
        <v>0.01118055555555555</v>
      </c>
      <c r="I1867" s="42" t="n">
        <v>5357</v>
      </c>
      <c r="J1867" s="42" t="n">
        <v>245</v>
      </c>
      <c r="K1867" s="42" t="n">
        <v>52</v>
      </c>
      <c r="L1867" s="43" t="n"/>
      <c r="M1867" s="44" t="n"/>
      <c r="N1867" s="44" t="inlineStr">
        <is>
          <t>UCor_9jRnNNZVzTuQ92PKsaQ</t>
        </is>
      </c>
      <c r="O1867" s="45" t="n">
        <v>43584.80069444444</v>
      </c>
      <c r="P1867" s="46" t="n">
        <v>43584</v>
      </c>
      <c r="Q1867" s="44" t="n">
        <v>1405</v>
      </c>
      <c r="R1867" s="44" t="inlineStr">
        <is>
          <t>No Video ID yet</t>
        </is>
      </c>
      <c r="S1867" s="46" t="n"/>
      <c r="T1867" s="46" t="n"/>
      <c r="U1867" s="44" t="n"/>
      <c r="V1867" s="44">
        <f>IF(AND(P1867&gt;=Calendar!$K$2,P1867&lt;EDATE(Calendar!$K$2,1),OR(Calendar!$K$4="*",N1867=Calendar!$K$4)),P1867*100+COUNTIFS($P$6:$P$3271,P1867,$Q$6:$Q$3271,"&lt;="&amp;Q1867,$N$6:$N$3271,Calendar!$K$4),"")</f>
        <v/>
      </c>
      <c r="W1867" s="44">
        <f>IF(AND(B1867=Queue!$C$4,OR(Queue!$K$4="*",N1867=Queue!$K$4)),Q1867,"")</f>
        <v/>
      </c>
    </row>
    <row r="1868">
      <c r="A1868" s="35">
        <f>IF(M1868="","",HYPERLINK("https://www.youtube.com/watch?v="&amp;M1868,"▶"))</f>
        <v/>
      </c>
      <c r="B1868" s="36">
        <f>IF(C1868&lt;&gt;"",C1868,IF(P1868&lt;=IFERROR(INDEX(tblChannels[Watched Through],MATCH(N1868,tblChannels[Channel ID],0)),0),"Watched","Unwatched"))</f>
        <v/>
      </c>
      <c r="C1868" s="37" t="n"/>
      <c r="D1868" s="38" t="n"/>
      <c r="E1868" s="39" t="n">
        <v>43584.57847222222</v>
      </c>
      <c r="F1868" s="50" t="inlineStr">
        <is>
          <t>Jonathan Carlin</t>
        </is>
      </c>
      <c r="G1868" t="inlineStr">
        <is>
          <t>How To Make Easter S'Mores!</t>
        </is>
      </c>
      <c r="H1868" s="41" t="n">
        <v>0.003854166666666667</v>
      </c>
      <c r="I1868" s="42" t="n">
        <v>20731</v>
      </c>
      <c r="J1868" s="42" t="n">
        <v>1284</v>
      </c>
      <c r="K1868" s="42" t="n">
        <v>121</v>
      </c>
      <c r="L1868" s="43" t="n"/>
      <c r="M1868" s="44" t="n"/>
      <c r="N1868" s="44" t="inlineStr">
        <is>
          <t>UCYPKFe86e6nm4TVUYKLsFUQ</t>
        </is>
      </c>
      <c r="O1868" s="45" t="n">
        <v>43584.74513888889</v>
      </c>
      <c r="P1868" s="46" t="n">
        <v>43584</v>
      </c>
      <c r="Q1868" s="44" t="n">
        <v>1404</v>
      </c>
      <c r="R1868" s="44" t="inlineStr">
        <is>
          <t>No Video ID yet</t>
        </is>
      </c>
      <c r="S1868" s="46" t="n"/>
      <c r="T1868" s="46" t="n"/>
      <c r="U1868" s="44" t="n"/>
      <c r="V1868" s="44">
        <f>IF(AND(P1868&gt;=Calendar!$K$2,P1868&lt;EDATE(Calendar!$K$2,1),OR(Calendar!$K$4="*",N1868=Calendar!$K$4)),P1868*100+COUNTIFS($P$6:$P$3271,P1868,$Q$6:$Q$3271,"&lt;="&amp;Q1868,$N$6:$N$3271,Calendar!$K$4),"")</f>
        <v/>
      </c>
      <c r="W1868" s="44">
        <f>IF(AND(B1868=Queue!$C$4,OR(Queue!$K$4="*",N1868=Queue!$K$4)),Q1868,"")</f>
        <v/>
      </c>
    </row>
    <row r="1869">
      <c r="A1869" s="35">
        <f>IF(M1869="","",HYPERLINK("https://www.youtube.com/watch?v="&amp;M1869,"▶"))</f>
        <v/>
      </c>
      <c r="B1869" s="36">
        <f>IF(C1869&lt;&gt;"",C1869,IF(P1869&lt;=IFERROR(INDEX(tblChannels[Watched Through],MATCH(N1869,tblChannels[Channel ID],0)),0),"Watched","Unwatched"))</f>
        <v/>
      </c>
      <c r="C1869" s="37" t="n"/>
      <c r="D1869" s="38" t="n"/>
      <c r="E1869" s="39" t="n">
        <v>43581.85347222222</v>
      </c>
      <c r="F1869" s="47" t="inlineStr">
        <is>
          <t>Super Carlin Brothers</t>
        </is>
      </c>
      <c r="G1869" t="inlineStr">
        <is>
          <t>Avengers Endgame Spoiler Review</t>
        </is>
      </c>
      <c r="H1869" s="41" t="n">
        <v>0.04365740740740741</v>
      </c>
      <c r="I1869" s="42" t="n">
        <v>905517</v>
      </c>
      <c r="J1869" s="42" t="n">
        <v>26433</v>
      </c>
      <c r="K1869" s="42" t="n">
        <v>8750</v>
      </c>
      <c r="L1869" s="43" t="n"/>
      <c r="M1869" s="44" t="n"/>
      <c r="N1869" s="44" t="inlineStr">
        <is>
          <t>UCKZo4N0lVPccBkSiuyVh4yg</t>
        </is>
      </c>
      <c r="O1869" s="45" t="n">
        <v>43582.02013888889</v>
      </c>
      <c r="P1869" s="46" t="n">
        <v>43581</v>
      </c>
      <c r="Q1869" s="44" t="n">
        <v>1403</v>
      </c>
      <c r="R1869" s="44" t="inlineStr">
        <is>
          <t>No Video ID yet</t>
        </is>
      </c>
      <c r="S1869" s="46" t="n"/>
      <c r="T1869" s="46" t="n"/>
      <c r="U1869" s="44" t="n"/>
      <c r="V1869" s="44">
        <f>IF(AND(P1869&gt;=Calendar!$K$2,P1869&lt;EDATE(Calendar!$K$2,1),OR(Calendar!$K$4="*",N1869=Calendar!$K$4)),P1869*100+COUNTIFS($P$6:$P$3271,P1869,$Q$6:$Q$3271,"&lt;="&amp;Q1869,$N$6:$N$3271,Calendar!$K$4),"")</f>
        <v/>
      </c>
      <c r="W1869" s="44">
        <f>IF(AND(B1869=Queue!$C$4,OR(Queue!$K$4="*",N1869=Queue!$K$4)),Q1869,"")</f>
        <v/>
      </c>
    </row>
    <row r="1870">
      <c r="A1870" s="35">
        <f>IF(M1870="","",HYPERLINK("https://www.youtube.com/watch?v="&amp;M1870,"▶"))</f>
        <v/>
      </c>
      <c r="B1870" s="36">
        <f>IF(C1870&lt;&gt;"",C1870,IF(P1870&lt;=IFERROR(INDEX(tblChannels[Watched Through],MATCH(N1870,tblChannels[Channel ID],0)),0),"Watched","Unwatched"))</f>
        <v/>
      </c>
      <c r="C1870" s="37" t="n"/>
      <c r="D1870" s="38" t="n"/>
      <c r="E1870" s="39" t="n">
        <v>43581.56597222222</v>
      </c>
      <c r="F1870" s="49" t="inlineStr">
        <is>
          <t>Super Carlin Gaming</t>
        </is>
      </c>
      <c r="G1870" t="inlineStr">
        <is>
          <t>A Rocky Takedown |  Pokémon X Nuzlocke #12</t>
        </is>
      </c>
      <c r="H1870" s="41" t="n">
        <v>0.02335648148148148</v>
      </c>
      <c r="I1870" s="42" t="n">
        <v>33584</v>
      </c>
      <c r="J1870" s="42" t="n">
        <v>937</v>
      </c>
      <c r="K1870" s="42" t="n">
        <v>522</v>
      </c>
      <c r="L1870" s="43" t="n"/>
      <c r="M1870" s="44" t="n"/>
      <c r="N1870" s="44" t="inlineStr">
        <is>
          <t>UCor_9jRnNNZVzTuQ92PKsaQ</t>
        </is>
      </c>
      <c r="O1870" s="45" t="n">
        <v>43581.73263888889</v>
      </c>
      <c r="P1870" s="46" t="n">
        <v>43581</v>
      </c>
      <c r="Q1870" s="44" t="n">
        <v>1402</v>
      </c>
      <c r="R1870" s="44" t="inlineStr">
        <is>
          <t>No Video ID yet</t>
        </is>
      </c>
      <c r="S1870" s="46" t="n"/>
      <c r="T1870" s="46" t="n"/>
      <c r="U1870" s="44" t="n"/>
      <c r="V1870" s="44">
        <f>IF(AND(P1870&gt;=Calendar!$K$2,P1870&lt;EDATE(Calendar!$K$2,1),OR(Calendar!$K$4="*",N1870=Calendar!$K$4)),P1870*100+COUNTIFS($P$6:$P$3271,P1870,$Q$6:$Q$3271,"&lt;="&amp;Q1870,$N$6:$N$3271,Calendar!$K$4),"")</f>
        <v/>
      </c>
      <c r="W1870" s="44">
        <f>IF(AND(B1870=Queue!$C$4,OR(Queue!$K$4="*",N1870=Queue!$K$4)),Q1870,"")</f>
        <v/>
      </c>
    </row>
    <row r="1871">
      <c r="A1871" s="35">
        <f>IF(M1871="","",HYPERLINK("https://www.youtube.com/watch?v="&amp;M1871,"▶"))</f>
        <v/>
      </c>
      <c r="B1871" s="36">
        <f>IF(C1871&lt;&gt;"",C1871,IF(P1871&lt;=IFERROR(INDEX(tblChannels[Watched Through],MATCH(N1871,tblChannels[Channel ID],0)),0),"Watched","Unwatched"))</f>
        <v/>
      </c>
      <c r="C1871" s="37" t="n"/>
      <c r="D1871" s="38" t="n"/>
      <c r="E1871" s="39" t="n">
        <v>43579.61041666667</v>
      </c>
      <c r="F1871" s="49" t="inlineStr">
        <is>
          <t>Super Carlin Gaming</t>
        </is>
      </c>
      <c r="G1871" t="inlineStr">
        <is>
          <t>A Tough Decision |  Pokémon X Nuzlocke #11</t>
        </is>
      </c>
      <c r="H1871" s="41" t="n">
        <v>0.02638888888888889</v>
      </c>
      <c r="I1871" s="42" t="n">
        <v>33135</v>
      </c>
      <c r="J1871" s="42" t="n">
        <v>929</v>
      </c>
      <c r="K1871" s="42" t="n">
        <v>379</v>
      </c>
      <c r="L1871" s="43" t="n"/>
      <c r="M1871" s="44" t="n"/>
      <c r="N1871" s="44" t="inlineStr">
        <is>
          <t>UCor_9jRnNNZVzTuQ92PKsaQ</t>
        </is>
      </c>
      <c r="O1871" s="45" t="n">
        <v>43579.77708333333</v>
      </c>
      <c r="P1871" s="46" t="n">
        <v>43579</v>
      </c>
      <c r="Q1871" s="44" t="n">
        <v>1401</v>
      </c>
      <c r="R1871" s="44" t="inlineStr">
        <is>
          <t>No Video ID yet</t>
        </is>
      </c>
      <c r="S1871" s="46" t="n"/>
      <c r="T1871" s="46" t="n"/>
      <c r="U1871" s="44" t="n"/>
      <c r="V1871" s="44">
        <f>IF(AND(P1871&gt;=Calendar!$K$2,P1871&lt;EDATE(Calendar!$K$2,1),OR(Calendar!$K$4="*",N1871=Calendar!$K$4)),P1871*100+COUNTIFS($P$6:$P$3271,P1871,$Q$6:$Q$3271,"&lt;="&amp;Q1871,$N$6:$N$3271,Calendar!$K$4),"")</f>
        <v/>
      </c>
      <c r="W1871" s="44">
        <f>IF(AND(B1871=Queue!$C$4,OR(Queue!$K$4="*",N1871=Queue!$K$4)),Q1871,"")</f>
        <v/>
      </c>
    </row>
    <row r="1872">
      <c r="A1872" s="35">
        <f>IF(M1872="","",HYPERLINK("https://www.youtube.com/watch?v="&amp;M1872,"▶"))</f>
        <v/>
      </c>
      <c r="B1872" s="36">
        <f>IF(C1872&lt;&gt;"",C1872,IF(P1872&lt;=IFERROR(INDEX(tblChannels[Watched Through],MATCH(N1872,tblChannels[Channel ID],0)),0),"Watched","Unwatched"))</f>
        <v/>
      </c>
      <c r="C1872" s="37" t="n"/>
      <c r="D1872" s="38" t="n"/>
      <c r="E1872" s="39" t="n">
        <v>43578.76944444444</v>
      </c>
      <c r="F1872" s="47" t="inlineStr">
        <is>
          <t>Super Carlin Brothers</t>
        </is>
      </c>
      <c r="G1872" t="inlineStr">
        <is>
          <t>Which Villain Comes After Thanos?! | Endgame Theory</t>
        </is>
      </c>
      <c r="H1872" s="41" t="n">
        <v>0.007939814814814814</v>
      </c>
      <c r="I1872" s="42" t="n">
        <v>755258</v>
      </c>
      <c r="J1872" s="42" t="n">
        <v>19722</v>
      </c>
      <c r="K1872" s="42" t="n">
        <v>3233</v>
      </c>
      <c r="L1872" s="43" t="n"/>
      <c r="M1872" s="44" t="n"/>
      <c r="N1872" s="44" t="inlineStr">
        <is>
          <t>UCKZo4N0lVPccBkSiuyVh4yg</t>
        </is>
      </c>
      <c r="O1872" s="45" t="n">
        <v>43578.93611111111</v>
      </c>
      <c r="P1872" s="46" t="n">
        <v>43578</v>
      </c>
      <c r="Q1872" s="44" t="n">
        <v>1400</v>
      </c>
      <c r="R1872" s="44" t="inlineStr">
        <is>
          <t>No Video ID yet</t>
        </is>
      </c>
      <c r="S1872" s="46" t="n"/>
      <c r="T1872" s="46" t="n"/>
      <c r="U1872" s="44" t="n"/>
      <c r="V1872" s="44">
        <f>IF(AND(P1872&gt;=Calendar!$K$2,P1872&lt;EDATE(Calendar!$K$2,1),OR(Calendar!$K$4="*",N1872=Calendar!$K$4)),P1872*100+COUNTIFS($P$6:$P$3271,P1872,$Q$6:$Q$3271,"&lt;="&amp;Q1872,$N$6:$N$3271,Calendar!$K$4),"")</f>
        <v/>
      </c>
      <c r="W1872" s="44">
        <f>IF(AND(B1872=Queue!$C$4,OR(Queue!$K$4="*",N1872=Queue!$K$4)),Q1872,"")</f>
        <v/>
      </c>
    </row>
    <row r="1873">
      <c r="A1873" s="35">
        <f>IF(M1873="","",HYPERLINK("https://www.youtube.com/watch?v="&amp;M1873,"▶"))</f>
        <v/>
      </c>
      <c r="B1873" s="36">
        <f>IF(C1873&lt;&gt;"",C1873,IF(P1873&lt;=IFERROR(INDEX(tblChannels[Watched Through],MATCH(N1873,tblChannels[Channel ID],0)),0),"Watched","Unwatched"))</f>
        <v/>
      </c>
      <c r="C1873" s="37" t="n"/>
      <c r="D1873" s="38" t="n"/>
      <c r="E1873" s="39" t="n">
        <v>43577.83472222222</v>
      </c>
      <c r="F1873" s="50" t="inlineStr">
        <is>
          <t>Jonathan Carlin</t>
        </is>
      </c>
      <c r="G1873" t="inlineStr">
        <is>
          <t>RUN BETH RUN</t>
        </is>
      </c>
      <c r="H1873" s="41" t="n">
        <v>0.006851851851851852</v>
      </c>
      <c r="I1873" s="42" t="n">
        <v>23571</v>
      </c>
      <c r="J1873" s="42" t="n">
        <v>1353</v>
      </c>
      <c r="K1873" s="42" t="n">
        <v>138</v>
      </c>
      <c r="L1873" s="43" t="n"/>
      <c r="M1873" s="44" t="n"/>
      <c r="N1873" s="44" t="inlineStr">
        <is>
          <t>UCYPKFe86e6nm4TVUYKLsFUQ</t>
        </is>
      </c>
      <c r="O1873" s="45" t="n">
        <v>43578.00138888889</v>
      </c>
      <c r="P1873" s="46" t="n">
        <v>43577</v>
      </c>
      <c r="Q1873" s="44" t="n">
        <v>1399</v>
      </c>
      <c r="R1873" s="44" t="inlineStr">
        <is>
          <t>No Video ID yet</t>
        </is>
      </c>
      <c r="S1873" s="46" t="n"/>
      <c r="T1873" s="46" t="n"/>
      <c r="U1873" s="44" t="n"/>
      <c r="V1873" s="44">
        <f>IF(AND(P1873&gt;=Calendar!$K$2,P1873&lt;EDATE(Calendar!$K$2,1),OR(Calendar!$K$4="*",N1873=Calendar!$K$4)),P1873*100+COUNTIFS($P$6:$P$3271,P1873,$Q$6:$Q$3271,"&lt;="&amp;Q1873,$N$6:$N$3271,Calendar!$K$4),"")</f>
        <v/>
      </c>
      <c r="W1873" s="44">
        <f>IF(AND(B1873=Queue!$C$4,OR(Queue!$K$4="*",N1873=Queue!$K$4)),Q1873,"")</f>
        <v/>
      </c>
    </row>
    <row r="1874">
      <c r="A1874" s="35">
        <f>IF(M1874="","",HYPERLINK("https://www.youtube.com/watch?v="&amp;M1874,"▶"))</f>
        <v/>
      </c>
      <c r="B1874" s="36">
        <f>IF(C1874&lt;&gt;"",C1874,IF(P1874&lt;=IFERROR(INDEX(tblChannels[Watched Through],MATCH(N1874,tblChannels[Channel ID],0)),0),"Watched","Unwatched"))</f>
        <v/>
      </c>
      <c r="C1874" s="37" t="n"/>
      <c r="D1874" s="38" t="n"/>
      <c r="E1874" s="39" t="n">
        <v>43577.4375</v>
      </c>
      <c r="F1874" s="49" t="inlineStr">
        <is>
          <t>Super Carlin Gaming</t>
        </is>
      </c>
      <c r="G1874" t="inlineStr">
        <is>
          <t>Too Young To Be Engaged? |  Super Smash Bros #36</t>
        </is>
      </c>
      <c r="H1874" s="41" t="n">
        <v>0.01315972222222222</v>
      </c>
      <c r="I1874" s="42" t="n">
        <v>5334</v>
      </c>
      <c r="J1874" s="42" t="n">
        <v>273</v>
      </c>
      <c r="K1874" s="42" t="n">
        <v>65</v>
      </c>
      <c r="L1874" s="43" t="n"/>
      <c r="M1874" s="44" t="n"/>
      <c r="N1874" s="44" t="inlineStr">
        <is>
          <t>UCor_9jRnNNZVzTuQ92PKsaQ</t>
        </is>
      </c>
      <c r="O1874" s="45" t="n">
        <v>43577.60416666666</v>
      </c>
      <c r="P1874" s="46" t="n">
        <v>43577</v>
      </c>
      <c r="Q1874" s="44" t="n">
        <v>1398</v>
      </c>
      <c r="R1874" s="44" t="inlineStr">
        <is>
          <t>No Video ID yet</t>
        </is>
      </c>
      <c r="S1874" s="46" t="n"/>
      <c r="T1874" s="46" t="n"/>
      <c r="U1874" s="44" t="n"/>
      <c r="V1874" s="44">
        <f>IF(AND(P1874&gt;=Calendar!$K$2,P1874&lt;EDATE(Calendar!$K$2,1),OR(Calendar!$K$4="*",N1874=Calendar!$K$4)),P1874*100+COUNTIFS($P$6:$P$3271,P1874,$Q$6:$Q$3271,"&lt;="&amp;Q1874,$N$6:$N$3271,Calendar!$K$4),"")</f>
        <v/>
      </c>
      <c r="W1874" s="44">
        <f>IF(AND(B1874=Queue!$C$4,OR(Queue!$K$4="*",N1874=Queue!$K$4)),Q1874,"")</f>
        <v/>
      </c>
    </row>
    <row r="1875">
      <c r="A1875" s="35">
        <f>IF(M1875="","",HYPERLINK("https://www.youtube.com/watch?v="&amp;M1875,"▶"))</f>
        <v/>
      </c>
      <c r="B1875" s="36">
        <f>IF(C1875&lt;&gt;"",C1875,IF(P1875&lt;=IFERROR(INDEX(tblChannels[Watched Through],MATCH(N1875,tblChannels[Channel ID],0)),0),"Watched","Unwatched"))</f>
        <v/>
      </c>
      <c r="C1875" s="37" t="n"/>
      <c r="D1875" s="38" t="n"/>
      <c r="E1875" s="39" t="n">
        <v>43574.4375</v>
      </c>
      <c r="F1875" s="49" t="inlineStr">
        <is>
          <t>Super Carlin Gaming</t>
        </is>
      </c>
      <c r="G1875" t="inlineStr">
        <is>
          <t>Fossil Find |  Pokémon X Nuzlocke #10</t>
        </is>
      </c>
      <c r="H1875" s="41" t="n">
        <v>0.01924768518518518</v>
      </c>
      <c r="I1875" s="42" t="n">
        <v>32389</v>
      </c>
      <c r="J1875" s="42" t="n">
        <v>938</v>
      </c>
      <c r="K1875" s="42" t="n">
        <v>369</v>
      </c>
      <c r="L1875" s="43" t="n"/>
      <c r="M1875" s="44" t="n"/>
      <c r="N1875" s="44" t="inlineStr">
        <is>
          <t>UCor_9jRnNNZVzTuQ92PKsaQ</t>
        </is>
      </c>
      <c r="O1875" s="45" t="n">
        <v>43574.60416666666</v>
      </c>
      <c r="P1875" s="46" t="n">
        <v>43574</v>
      </c>
      <c r="Q1875" s="44" t="n">
        <v>1397</v>
      </c>
      <c r="R1875" s="44" t="inlineStr">
        <is>
          <t>No Video ID yet</t>
        </is>
      </c>
      <c r="S1875" s="46" t="n"/>
      <c r="T1875" s="46" t="n"/>
      <c r="U1875" s="44" t="n"/>
      <c r="V1875" s="44">
        <f>IF(AND(P1875&gt;=Calendar!$K$2,P1875&lt;EDATE(Calendar!$K$2,1),OR(Calendar!$K$4="*",N1875=Calendar!$K$4)),P1875*100+COUNTIFS($P$6:$P$3271,P1875,$Q$6:$Q$3271,"&lt;="&amp;Q1875,$N$6:$N$3271,Calendar!$K$4),"")</f>
        <v/>
      </c>
      <c r="W1875" s="44">
        <f>IF(AND(B1875=Queue!$C$4,OR(Queue!$K$4="*",N1875=Queue!$K$4)),Q1875,"")</f>
        <v/>
      </c>
    </row>
    <row r="1876">
      <c r="A1876" s="35">
        <f>IF(M1876="","",HYPERLINK("https://www.youtube.com/watch?v="&amp;M1876,"▶"))</f>
        <v/>
      </c>
      <c r="B1876" s="36">
        <f>IF(C1876&lt;&gt;"",C1876,IF(P1876&lt;=IFERROR(INDEX(tblChannels[Watched Through],MATCH(N1876,tblChannels[Channel ID],0)),0),"Watched","Unwatched"))</f>
        <v/>
      </c>
      <c r="C1876" s="37" t="n"/>
      <c r="D1876" s="38" t="n"/>
      <c r="E1876" s="39" t="n">
        <v>43573.75972222222</v>
      </c>
      <c r="F1876" s="47" t="inlineStr">
        <is>
          <t>Super Carlin Brothers</t>
        </is>
      </c>
      <c r="G1876" t="inlineStr">
        <is>
          <t>How Dumbledore Will Destroy The Blood Pact | Harry Potter Theory</t>
        </is>
      </c>
      <c r="H1876" s="41" t="n">
        <v>0.008356481481481482</v>
      </c>
      <c r="I1876" s="42" t="n">
        <v>918413</v>
      </c>
      <c r="J1876" s="42" t="n">
        <v>23255</v>
      </c>
      <c r="K1876" s="42" t="n">
        <v>1791</v>
      </c>
      <c r="L1876" s="43" t="n"/>
      <c r="M1876" s="44" t="n"/>
      <c r="N1876" s="44" t="inlineStr">
        <is>
          <t>UCKZo4N0lVPccBkSiuyVh4yg</t>
        </is>
      </c>
      <c r="O1876" s="45" t="n">
        <v>43573.92638888889</v>
      </c>
      <c r="P1876" s="46" t="n">
        <v>43573</v>
      </c>
      <c r="Q1876" s="44" t="n">
        <v>1396</v>
      </c>
      <c r="R1876" s="44" t="inlineStr">
        <is>
          <t>No Video ID yet</t>
        </is>
      </c>
      <c r="S1876" s="46" t="n"/>
      <c r="T1876" s="46" t="n"/>
      <c r="U1876" s="44" t="n"/>
      <c r="V1876" s="44">
        <f>IF(AND(P1876&gt;=Calendar!$K$2,P1876&lt;EDATE(Calendar!$K$2,1),OR(Calendar!$K$4="*",N1876=Calendar!$K$4)),P1876*100+COUNTIFS($P$6:$P$3271,P1876,$Q$6:$Q$3271,"&lt;="&amp;Q1876,$N$6:$N$3271,Calendar!$K$4),"")</f>
        <v/>
      </c>
      <c r="W1876" s="44">
        <f>IF(AND(B1876=Queue!$C$4,OR(Queue!$K$4="*",N1876=Queue!$K$4)),Q1876,"")</f>
        <v/>
      </c>
    </row>
    <row r="1877">
      <c r="A1877" s="35">
        <f>IF(M1877="","",HYPERLINK("https://www.youtube.com/watch?v="&amp;M1877,"▶"))</f>
        <v/>
      </c>
      <c r="B1877" s="36">
        <f>IF(C1877&lt;&gt;"",C1877,IF(P1877&lt;=IFERROR(INDEX(tblChannels[Watched Through],MATCH(N1877,tblChannels[Channel ID],0)),0),"Watched","Unwatched"))</f>
        <v/>
      </c>
      <c r="C1877" s="37" t="n"/>
      <c r="D1877" s="38" t="n"/>
      <c r="E1877" s="39" t="n">
        <v>43572.4375</v>
      </c>
      <c r="F1877" s="49" t="inlineStr">
        <is>
          <t>Super Carlin Gaming</t>
        </is>
      </c>
      <c r="G1877" t="inlineStr">
        <is>
          <t>Second Grass |  Pokémon X Nuzlocke #9</t>
        </is>
      </c>
      <c r="H1877" s="41" t="n">
        <v>0.02114583333333333</v>
      </c>
      <c r="I1877" s="42" t="n">
        <v>34535</v>
      </c>
      <c r="J1877" s="42" t="n">
        <v>1030</v>
      </c>
      <c r="K1877" s="42" t="n">
        <v>440</v>
      </c>
      <c r="L1877" s="43" t="n"/>
      <c r="M1877" s="44" t="n"/>
      <c r="N1877" s="44" t="inlineStr">
        <is>
          <t>UCor_9jRnNNZVzTuQ92PKsaQ</t>
        </is>
      </c>
      <c r="O1877" s="45" t="n">
        <v>43572.60416666666</v>
      </c>
      <c r="P1877" s="46" t="n">
        <v>43572</v>
      </c>
      <c r="Q1877" s="44" t="n">
        <v>1395</v>
      </c>
      <c r="R1877" s="44" t="inlineStr">
        <is>
          <t>No Video ID yet</t>
        </is>
      </c>
      <c r="S1877" s="46" t="n"/>
      <c r="T1877" s="46" t="n"/>
      <c r="U1877" s="44" t="n"/>
      <c r="V1877" s="44">
        <f>IF(AND(P1877&gt;=Calendar!$K$2,P1877&lt;EDATE(Calendar!$K$2,1),OR(Calendar!$K$4="*",N1877=Calendar!$K$4)),P1877*100+COUNTIFS($P$6:$P$3271,P1877,$Q$6:$Q$3271,"&lt;="&amp;Q1877,$N$6:$N$3271,Calendar!$K$4),"")</f>
        <v/>
      </c>
      <c r="W1877" s="44">
        <f>IF(AND(B1877=Queue!$C$4,OR(Queue!$K$4="*",N1877=Queue!$K$4)),Q1877,"")</f>
        <v/>
      </c>
    </row>
    <row r="1878">
      <c r="A1878" s="35">
        <f>IF(M1878="","",HYPERLINK("https://www.youtube.com/watch?v="&amp;M1878,"▶"))</f>
        <v/>
      </c>
      <c r="B1878" s="36">
        <f>IF(C1878&lt;&gt;"",C1878,IF(P1878&lt;=IFERROR(INDEX(tblChannels[Watched Through],MATCH(N1878,tblChannels[Channel ID],0)),0),"Watched","Unwatched"))</f>
        <v/>
      </c>
      <c r="C1878" s="37" t="n"/>
      <c r="D1878" s="38" t="n"/>
      <c r="E1878" s="39" t="n">
        <v>43571.79583333333</v>
      </c>
      <c r="F1878" s="47" t="inlineStr">
        <is>
          <t>Super Carlin Brothers</t>
        </is>
      </c>
      <c r="G1878" t="inlineStr">
        <is>
          <t>How Palpatine Almost Definitely Created Rey | Star Wars Theory</t>
        </is>
      </c>
      <c r="H1878" s="41" t="n">
        <v>0.008958333333333334</v>
      </c>
      <c r="I1878" s="42" t="n">
        <v>564647</v>
      </c>
      <c r="J1878" s="42" t="n">
        <v>15786</v>
      </c>
      <c r="K1878" s="42" t="n">
        <v>2331</v>
      </c>
      <c r="L1878" s="43" t="n"/>
      <c r="M1878" s="44" t="n"/>
      <c r="N1878" s="44" t="inlineStr">
        <is>
          <t>UCKZo4N0lVPccBkSiuyVh4yg</t>
        </is>
      </c>
      <c r="O1878" s="45" t="n">
        <v>43571.9625</v>
      </c>
      <c r="P1878" s="46" t="n">
        <v>43571</v>
      </c>
      <c r="Q1878" s="44" t="n">
        <v>1394</v>
      </c>
      <c r="R1878" s="44" t="inlineStr">
        <is>
          <t>No Video ID yet</t>
        </is>
      </c>
      <c r="S1878" s="46" t="n"/>
      <c r="T1878" s="46" t="n"/>
      <c r="U1878" s="44" t="n"/>
      <c r="V1878" s="44">
        <f>IF(AND(P1878&gt;=Calendar!$K$2,P1878&lt;EDATE(Calendar!$K$2,1),OR(Calendar!$K$4="*",N1878=Calendar!$K$4)),P1878*100+COUNTIFS($P$6:$P$3271,P1878,$Q$6:$Q$3271,"&lt;="&amp;Q1878,$N$6:$N$3271,Calendar!$K$4),"")</f>
        <v/>
      </c>
      <c r="W1878" s="44">
        <f>IF(AND(B1878=Queue!$C$4,OR(Queue!$K$4="*",N1878=Queue!$K$4)),Q1878,"")</f>
        <v/>
      </c>
    </row>
    <row r="1879">
      <c r="A1879" s="35">
        <f>IF(M1879="","",HYPERLINK("https://www.youtube.com/watch?v="&amp;M1879,"▶"))</f>
        <v/>
      </c>
      <c r="B1879" s="36">
        <f>IF(C1879&lt;&gt;"",C1879,IF(P1879&lt;=IFERROR(INDEX(tblChannels[Watched Through],MATCH(N1879,tblChannels[Channel ID],0)),0),"Watched","Unwatched"))</f>
        <v/>
      </c>
      <c r="C1879" s="37" t="n"/>
      <c r="D1879" s="38" t="n"/>
      <c r="E1879" s="39" t="n">
        <v>43570.51597222222</v>
      </c>
      <c r="F1879" s="49" t="inlineStr">
        <is>
          <t>Super Carlin Gaming</t>
        </is>
      </c>
      <c r="G1879" t="inlineStr">
        <is>
          <t>What To Do For Mother's Day |  Super Smash Bros #35</t>
        </is>
      </c>
      <c r="H1879" s="41" t="n">
        <v>0.01016203703703704</v>
      </c>
      <c r="I1879" s="42" t="n">
        <v>4808</v>
      </c>
      <c r="J1879" s="42" t="n">
        <v>228</v>
      </c>
      <c r="K1879" s="42" t="n">
        <v>48</v>
      </c>
      <c r="L1879" s="43" t="n"/>
      <c r="M1879" s="44" t="n"/>
      <c r="N1879" s="44" t="inlineStr">
        <is>
          <t>UCor_9jRnNNZVzTuQ92PKsaQ</t>
        </is>
      </c>
      <c r="O1879" s="45" t="n">
        <v>43570.68263888889</v>
      </c>
      <c r="P1879" s="46" t="n">
        <v>43570</v>
      </c>
      <c r="Q1879" s="44" t="n">
        <v>1393</v>
      </c>
      <c r="R1879" s="44" t="inlineStr">
        <is>
          <t>No Video ID yet</t>
        </is>
      </c>
      <c r="S1879" s="46" t="n"/>
      <c r="T1879" s="46" t="n"/>
      <c r="U1879" s="44" t="n"/>
      <c r="V1879" s="44">
        <f>IF(AND(P1879&gt;=Calendar!$K$2,P1879&lt;EDATE(Calendar!$K$2,1),OR(Calendar!$K$4="*",N1879=Calendar!$K$4)),P1879*100+COUNTIFS($P$6:$P$3271,P1879,$Q$6:$Q$3271,"&lt;="&amp;Q1879,$N$6:$N$3271,Calendar!$K$4),"")</f>
        <v/>
      </c>
      <c r="W1879" s="44">
        <f>IF(AND(B1879=Queue!$C$4,OR(Queue!$K$4="*",N1879=Queue!$K$4)),Q1879,"")</f>
        <v/>
      </c>
    </row>
    <row r="1880">
      <c r="A1880" s="35">
        <f>IF(M1880="","",HYPERLINK("https://www.youtube.com/watch?v="&amp;M1880,"▶"))</f>
        <v/>
      </c>
      <c r="B1880" s="36">
        <f>IF(C1880&lt;&gt;"",C1880,IF(P1880&lt;=IFERROR(INDEX(tblChannels[Watched Through],MATCH(N1880,tblChannels[Channel ID],0)),0),"Watched","Unwatched"))</f>
        <v/>
      </c>
      <c r="C1880" s="37" t="n"/>
      <c r="D1880" s="38" t="n"/>
      <c r="E1880" s="39" t="n">
        <v>43570.45</v>
      </c>
      <c r="F1880" s="50" t="inlineStr">
        <is>
          <t>Jonathan Carlin</t>
        </is>
      </c>
      <c r="G1880" t="inlineStr">
        <is>
          <t>Boys Weekend: Will We Survive?</t>
        </is>
      </c>
      <c r="H1880" s="41" t="n">
        <v>0.005601851851851852</v>
      </c>
      <c r="I1880" s="42" t="n">
        <v>30557</v>
      </c>
      <c r="J1880" s="42" t="n">
        <v>1617</v>
      </c>
      <c r="K1880" s="42" t="n">
        <v>222</v>
      </c>
      <c r="L1880" s="43" t="n"/>
      <c r="M1880" s="44" t="n"/>
      <c r="N1880" s="44" t="inlineStr">
        <is>
          <t>UCYPKFe86e6nm4TVUYKLsFUQ</t>
        </is>
      </c>
      <c r="O1880" s="45" t="n">
        <v>43570.61666666667</v>
      </c>
      <c r="P1880" s="46" t="n">
        <v>43570</v>
      </c>
      <c r="Q1880" s="44" t="n">
        <v>1392</v>
      </c>
      <c r="R1880" s="44" t="inlineStr">
        <is>
          <t>No Video ID yet</t>
        </is>
      </c>
      <c r="S1880" s="46" t="n"/>
      <c r="T1880" s="46" t="n"/>
      <c r="U1880" s="44" t="n"/>
      <c r="V1880" s="44">
        <f>IF(AND(P1880&gt;=Calendar!$K$2,P1880&lt;EDATE(Calendar!$K$2,1),OR(Calendar!$K$4="*",N1880=Calendar!$K$4)),P1880*100+COUNTIFS($P$6:$P$3271,P1880,$Q$6:$Q$3271,"&lt;="&amp;Q1880,$N$6:$N$3271,Calendar!$K$4),"")</f>
        <v/>
      </c>
      <c r="W1880" s="44">
        <f>IF(AND(B1880=Queue!$C$4,OR(Queue!$K$4="*",N1880=Queue!$K$4)),Q1880,"")</f>
        <v/>
      </c>
    </row>
    <row r="1881">
      <c r="A1881" s="35">
        <f>IF(M1881="","",HYPERLINK("https://www.youtube.com/watch?v="&amp;M1881,"▶"))</f>
        <v/>
      </c>
      <c r="B1881" s="36">
        <f>IF(C1881&lt;&gt;"",C1881,IF(P1881&lt;=IFERROR(INDEX(tblChannels[Watched Through],MATCH(N1881,tblChannels[Channel ID],0)),0),"Watched","Unwatched"))</f>
        <v/>
      </c>
      <c r="C1881" s="37" t="n"/>
      <c r="D1881" s="38" t="n"/>
      <c r="E1881" s="39" t="n">
        <v>43567.75416666667</v>
      </c>
      <c r="F1881" s="49" t="inlineStr">
        <is>
          <t>Super Carlin Gaming</t>
        </is>
      </c>
      <c r="G1881" t="inlineStr">
        <is>
          <t>Mats &amp; Fats |  Pokémon X Nuzlocke #8</t>
        </is>
      </c>
      <c r="H1881" s="41" t="n">
        <v>0.02599537037037037</v>
      </c>
      <c r="I1881" s="42" t="n">
        <v>37557</v>
      </c>
      <c r="J1881" s="42" t="n">
        <v>1100</v>
      </c>
      <c r="K1881" s="42" t="n">
        <v>397</v>
      </c>
      <c r="L1881" s="43" t="n"/>
      <c r="M1881" s="44" t="n"/>
      <c r="N1881" s="44" t="inlineStr">
        <is>
          <t>UCor_9jRnNNZVzTuQ92PKsaQ</t>
        </is>
      </c>
      <c r="O1881" s="45" t="n">
        <v>43567.92083333333</v>
      </c>
      <c r="P1881" s="46" t="n">
        <v>43567</v>
      </c>
      <c r="Q1881" s="44" t="n">
        <v>1391</v>
      </c>
      <c r="R1881" s="44" t="inlineStr">
        <is>
          <t>No Video ID yet</t>
        </is>
      </c>
      <c r="S1881" s="46" t="n"/>
      <c r="T1881" s="46" t="n"/>
      <c r="U1881" s="44" t="n"/>
      <c r="V1881" s="44">
        <f>IF(AND(P1881&gt;=Calendar!$K$2,P1881&lt;EDATE(Calendar!$K$2,1),OR(Calendar!$K$4="*",N1881=Calendar!$K$4)),P1881*100+COUNTIFS($P$6:$P$3271,P1881,$Q$6:$Q$3271,"&lt;="&amp;Q1881,$N$6:$N$3271,Calendar!$K$4),"")</f>
        <v/>
      </c>
      <c r="W1881" s="44">
        <f>IF(AND(B1881=Queue!$C$4,OR(Queue!$K$4="*",N1881=Queue!$K$4)),Q1881,"")</f>
        <v/>
      </c>
    </row>
    <row r="1882">
      <c r="A1882" s="35">
        <f>IF(M1882="","",HYPERLINK("https://www.youtube.com/watch?v="&amp;M1882,"▶"))</f>
        <v/>
      </c>
      <c r="B1882" s="36">
        <f>IF(C1882&lt;&gt;"",C1882,IF(P1882&lt;=IFERROR(INDEX(tblChannels[Watched Through],MATCH(N1882,tblChannels[Channel ID],0)),0),"Watched","Unwatched"))</f>
        <v/>
      </c>
      <c r="C1882" s="37" t="n"/>
      <c r="D1882" s="38" t="n"/>
      <c r="E1882" s="39" t="n">
        <v>43566.69166666667</v>
      </c>
      <c r="F1882" s="47" t="inlineStr">
        <is>
          <t>Super Carlin Brothers</t>
        </is>
      </c>
      <c r="G1882" t="inlineStr">
        <is>
          <t>EVERY EASTER EGG IN TOY STORY LAND</t>
        </is>
      </c>
      <c r="H1882" s="41" t="n">
        <v>0.00681712962962963</v>
      </c>
      <c r="I1882" s="42" t="n">
        <v>198716</v>
      </c>
      <c r="J1882" s="42" t="n">
        <v>7846</v>
      </c>
      <c r="K1882" s="42" t="n">
        <v>621</v>
      </c>
      <c r="L1882" s="43" t="n"/>
      <c r="M1882" s="44" t="n"/>
      <c r="N1882" s="44" t="inlineStr">
        <is>
          <t>UCKZo4N0lVPccBkSiuyVh4yg</t>
        </is>
      </c>
      <c r="O1882" s="45" t="n">
        <v>43566.85833333333</v>
      </c>
      <c r="P1882" s="46" t="n">
        <v>43566</v>
      </c>
      <c r="Q1882" s="44" t="n">
        <v>1390</v>
      </c>
      <c r="R1882" s="44" t="inlineStr">
        <is>
          <t>No Video ID yet</t>
        </is>
      </c>
      <c r="S1882" s="46" t="n"/>
      <c r="T1882" s="46" t="n"/>
      <c r="U1882" s="44" t="n"/>
      <c r="V1882" s="44">
        <f>IF(AND(P1882&gt;=Calendar!$K$2,P1882&lt;EDATE(Calendar!$K$2,1),OR(Calendar!$K$4="*",N1882=Calendar!$K$4)),P1882*100+COUNTIFS($P$6:$P$3271,P1882,$Q$6:$Q$3271,"&lt;="&amp;Q1882,$N$6:$N$3271,Calendar!$K$4),"")</f>
        <v/>
      </c>
      <c r="W1882" s="44">
        <f>IF(AND(B1882=Queue!$C$4,OR(Queue!$K$4="*",N1882=Queue!$K$4)),Q1882,"")</f>
        <v/>
      </c>
    </row>
    <row r="1883">
      <c r="A1883" s="35">
        <f>IF(M1883="","",HYPERLINK("https://www.youtube.com/watch?v="&amp;M1883,"▶"))</f>
        <v/>
      </c>
      <c r="B1883" s="36">
        <f>IF(C1883&lt;&gt;"",C1883,IF(P1883&lt;=IFERROR(INDEX(tblChannels[Watched Through],MATCH(N1883,tblChannels[Channel ID],0)),0),"Watched","Unwatched"))</f>
        <v/>
      </c>
      <c r="C1883" s="37" t="n"/>
      <c r="D1883" s="38" t="n"/>
      <c r="E1883" s="39" t="n">
        <v>43565.65833333333</v>
      </c>
      <c r="F1883" s="49" t="inlineStr">
        <is>
          <t>Super Carlin Gaming</t>
        </is>
      </c>
      <c r="G1883" t="inlineStr">
        <is>
          <t>A GRUMPY RAGE! |  Pokémon X Nuzlocke #7</t>
        </is>
      </c>
      <c r="H1883" s="41" t="n">
        <v>0.02300925925925926</v>
      </c>
      <c r="I1883" s="42" t="n">
        <v>38290</v>
      </c>
      <c r="J1883" s="42" t="n">
        <v>1026</v>
      </c>
      <c r="K1883" s="42" t="n">
        <v>637</v>
      </c>
      <c r="L1883" s="43" t="n"/>
      <c r="M1883" s="44" t="n"/>
      <c r="N1883" s="44" t="inlineStr">
        <is>
          <t>UCor_9jRnNNZVzTuQ92PKsaQ</t>
        </is>
      </c>
      <c r="O1883" s="45" t="n">
        <v>43565.825</v>
      </c>
      <c r="P1883" s="46" t="n">
        <v>43565</v>
      </c>
      <c r="Q1883" s="44" t="n">
        <v>1389</v>
      </c>
      <c r="R1883" s="44" t="inlineStr">
        <is>
          <t>No Video ID yet</t>
        </is>
      </c>
      <c r="S1883" s="46" t="n"/>
      <c r="T1883" s="46" t="n"/>
      <c r="U1883" s="44" t="n"/>
      <c r="V1883" s="44">
        <f>IF(AND(P1883&gt;=Calendar!$K$2,P1883&lt;EDATE(Calendar!$K$2,1),OR(Calendar!$K$4="*",N1883=Calendar!$K$4)),P1883*100+COUNTIFS($P$6:$P$3271,P1883,$Q$6:$Q$3271,"&lt;="&amp;Q1883,$N$6:$N$3271,Calendar!$K$4),"")</f>
        <v/>
      </c>
      <c r="W1883" s="44">
        <f>IF(AND(B1883=Queue!$C$4,OR(Queue!$K$4="*",N1883=Queue!$K$4)),Q1883,"")</f>
        <v/>
      </c>
    </row>
    <row r="1884">
      <c r="A1884" s="35">
        <f>IF(M1884="","",HYPERLINK("https://www.youtube.com/watch?v="&amp;M1884,"▶"))</f>
        <v/>
      </c>
      <c r="B1884" s="36">
        <f>IF(C1884&lt;&gt;"",C1884,IF(P1884&lt;=IFERROR(INDEX(tblChannels[Watched Through],MATCH(N1884,tblChannels[Channel ID],0)),0),"Watched","Unwatched"))</f>
        <v/>
      </c>
      <c r="C1884" s="37" t="n"/>
      <c r="D1884" s="38" t="n"/>
      <c r="E1884" s="39" t="n">
        <v>43564.71736111111</v>
      </c>
      <c r="F1884" s="47" t="inlineStr">
        <is>
          <t>Super Carlin Brothers</t>
        </is>
      </c>
      <c r="G1884" t="inlineStr">
        <is>
          <t>Grindelwald’s Skull Explained | Harry Potter Theory</t>
        </is>
      </c>
      <c r="H1884" s="41" t="n">
        <v>0.008530092592592593</v>
      </c>
      <c r="I1884" s="42" t="n">
        <v>910313</v>
      </c>
      <c r="J1884" s="42" t="n">
        <v>23803</v>
      </c>
      <c r="K1884" s="42" t="n">
        <v>2036</v>
      </c>
      <c r="L1884" s="43" t="n"/>
      <c r="M1884" s="44" t="n"/>
      <c r="N1884" s="44" t="inlineStr">
        <is>
          <t>UCKZo4N0lVPccBkSiuyVh4yg</t>
        </is>
      </c>
      <c r="O1884" s="45" t="n">
        <v>43564.88402777778</v>
      </c>
      <c r="P1884" s="46" t="n">
        <v>43564</v>
      </c>
      <c r="Q1884" s="44" t="n">
        <v>1388</v>
      </c>
      <c r="R1884" s="44" t="inlineStr">
        <is>
          <t>No Video ID yet</t>
        </is>
      </c>
      <c r="S1884" s="46" t="n"/>
      <c r="T1884" s="46" t="n"/>
      <c r="U1884" s="44" t="n"/>
      <c r="V1884" s="44">
        <f>IF(AND(P1884&gt;=Calendar!$K$2,P1884&lt;EDATE(Calendar!$K$2,1),OR(Calendar!$K$4="*",N1884=Calendar!$K$4)),P1884*100+COUNTIFS($P$6:$P$3271,P1884,$Q$6:$Q$3271,"&lt;="&amp;Q1884,$N$6:$N$3271,Calendar!$K$4),"")</f>
        <v/>
      </c>
      <c r="W1884" s="44">
        <f>IF(AND(B1884=Queue!$C$4,OR(Queue!$K$4="*",N1884=Queue!$K$4)),Q1884,"")</f>
        <v/>
      </c>
    </row>
    <row r="1885">
      <c r="A1885" s="35">
        <f>IF(M1885="","",HYPERLINK("https://www.youtube.com/watch?v="&amp;M1885,"▶"))</f>
        <v/>
      </c>
      <c r="B1885" s="36">
        <f>IF(C1885&lt;&gt;"",C1885,IF(P1885&lt;=IFERROR(INDEX(tblChannels[Watched Through],MATCH(N1885,tblChannels[Channel ID],0)),0),"Watched","Unwatched"))</f>
        <v/>
      </c>
      <c r="C1885" s="37" t="n"/>
      <c r="D1885" s="38" t="n"/>
      <c r="E1885" s="39" t="n">
        <v>43564.43541666667</v>
      </c>
      <c r="F1885" s="50" t="inlineStr">
        <is>
          <t>Jonathan Carlin</t>
        </is>
      </c>
      <c r="G1885" t="inlineStr">
        <is>
          <t>SOUNDPROOFING MY LIFE</t>
        </is>
      </c>
      <c r="H1885" s="41" t="n">
        <v>0.00681712962962963</v>
      </c>
      <c r="I1885" s="42" t="n">
        <v>30553</v>
      </c>
      <c r="J1885" s="42" t="n">
        <v>1549</v>
      </c>
      <c r="K1885" s="42" t="n">
        <v>152</v>
      </c>
      <c r="L1885" s="43" t="n"/>
      <c r="M1885" s="44" t="n"/>
      <c r="N1885" s="44" t="inlineStr">
        <is>
          <t>UCYPKFe86e6nm4TVUYKLsFUQ</t>
        </is>
      </c>
      <c r="O1885" s="45" t="n">
        <v>43564.60208333333</v>
      </c>
      <c r="P1885" s="46" t="n">
        <v>43564</v>
      </c>
      <c r="Q1885" s="44" t="n">
        <v>1387</v>
      </c>
      <c r="R1885" s="44" t="inlineStr">
        <is>
          <t>No Video ID yet</t>
        </is>
      </c>
      <c r="S1885" s="46" t="n"/>
      <c r="T1885" s="46" t="n"/>
      <c r="U1885" s="44" t="n"/>
      <c r="V1885" s="44">
        <f>IF(AND(P1885&gt;=Calendar!$K$2,P1885&lt;EDATE(Calendar!$K$2,1),OR(Calendar!$K$4="*",N1885=Calendar!$K$4)),P1885*100+COUNTIFS($P$6:$P$3271,P1885,$Q$6:$Q$3271,"&lt;="&amp;Q1885,$N$6:$N$3271,Calendar!$K$4),"")</f>
        <v/>
      </c>
      <c r="W1885" s="44">
        <f>IF(AND(B1885=Queue!$C$4,OR(Queue!$K$4="*",N1885=Queue!$K$4)),Q1885,"")</f>
        <v/>
      </c>
    </row>
    <row r="1886">
      <c r="A1886" s="35">
        <f>IF(M1886="","",HYPERLINK("https://www.youtube.com/watch?v="&amp;M1886,"▶"))</f>
        <v/>
      </c>
      <c r="B1886" s="36">
        <f>IF(C1886&lt;&gt;"",C1886,IF(P1886&lt;=IFERROR(INDEX(tblChannels[Watched Through],MATCH(N1886,tblChannels[Channel ID],0)),0),"Watched","Unwatched"))</f>
        <v/>
      </c>
      <c r="C1886" s="37" t="n"/>
      <c r="D1886" s="38" t="n"/>
      <c r="E1886" s="39" t="n">
        <v>43563.68125</v>
      </c>
      <c r="F1886" s="49" t="inlineStr">
        <is>
          <t>Super Carlin Gaming</t>
        </is>
      </c>
      <c r="G1886" t="inlineStr">
        <is>
          <t>President Stepping On My Toes | Super Smash Bros #34</t>
        </is>
      </c>
      <c r="H1886" s="41" t="n">
        <v>0.01388888888888889</v>
      </c>
      <c r="I1886" s="42" t="n">
        <v>5620</v>
      </c>
      <c r="J1886" s="42" t="n">
        <v>242</v>
      </c>
      <c r="K1886" s="42" t="n">
        <v>60</v>
      </c>
      <c r="L1886" s="43" t="n"/>
      <c r="M1886" s="44" t="n"/>
      <c r="N1886" s="44" t="inlineStr">
        <is>
          <t>UCor_9jRnNNZVzTuQ92PKsaQ</t>
        </is>
      </c>
      <c r="O1886" s="45" t="n">
        <v>43563.84791666667</v>
      </c>
      <c r="P1886" s="46" t="n">
        <v>43563</v>
      </c>
      <c r="Q1886" s="44" t="n">
        <v>1386</v>
      </c>
      <c r="R1886" s="44" t="inlineStr">
        <is>
          <t>No Video ID yet</t>
        </is>
      </c>
      <c r="S1886" s="46" t="n"/>
      <c r="T1886" s="46" t="n"/>
      <c r="U1886" s="44" t="n"/>
      <c r="V1886" s="44">
        <f>IF(AND(P1886&gt;=Calendar!$K$2,P1886&lt;EDATE(Calendar!$K$2,1),OR(Calendar!$K$4="*",N1886=Calendar!$K$4)),P1886*100+COUNTIFS($P$6:$P$3271,P1886,$Q$6:$Q$3271,"&lt;="&amp;Q1886,$N$6:$N$3271,Calendar!$K$4),"")</f>
        <v/>
      </c>
      <c r="W1886" s="44">
        <f>IF(AND(B1886=Queue!$C$4,OR(Queue!$K$4="*",N1886=Queue!$K$4)),Q1886,"")</f>
        <v/>
      </c>
    </row>
    <row r="1887">
      <c r="A1887" s="35">
        <f>IF(M1887="","",HYPERLINK("https://www.youtube.com/watch?v="&amp;M1887,"▶"))</f>
        <v/>
      </c>
      <c r="B1887" s="36">
        <f>IF(C1887&lt;&gt;"",C1887,IF(P1887&lt;=IFERROR(INDEX(tblChannels[Watched Through],MATCH(N1887,tblChannels[Channel ID],0)),0),"Watched","Unwatched"))</f>
        <v/>
      </c>
      <c r="C1887" s="37" t="n"/>
      <c r="D1887" s="38" t="n"/>
      <c r="E1887" s="39" t="n">
        <v>43560.4375</v>
      </c>
      <c r="F1887" s="49" t="inlineStr">
        <is>
          <t>Super Carlin Gaming</t>
        </is>
      </c>
      <c r="G1887" t="inlineStr">
        <is>
          <t>One Wrong Turn... |  Pokémon X Nuzlocke #6</t>
        </is>
      </c>
      <c r="H1887" s="41" t="n">
        <v>0.02780092592592593</v>
      </c>
      <c r="I1887" s="42" t="n">
        <v>42884</v>
      </c>
      <c r="J1887" s="42" t="n">
        <v>1265</v>
      </c>
      <c r="K1887" s="42" t="n">
        <v>635</v>
      </c>
      <c r="L1887" s="43" t="n"/>
      <c r="M1887" s="44" t="n"/>
      <c r="N1887" s="44" t="inlineStr">
        <is>
          <t>UCor_9jRnNNZVzTuQ92PKsaQ</t>
        </is>
      </c>
      <c r="O1887" s="45" t="n">
        <v>43560.60416666666</v>
      </c>
      <c r="P1887" s="46" t="n">
        <v>43560</v>
      </c>
      <c r="Q1887" s="44" t="n">
        <v>1385</v>
      </c>
      <c r="R1887" s="44" t="inlineStr">
        <is>
          <t>No Video ID yet</t>
        </is>
      </c>
      <c r="S1887" s="46" t="n"/>
      <c r="T1887" s="46" t="n"/>
      <c r="U1887" s="44" t="n"/>
      <c r="V1887" s="44">
        <f>IF(AND(P1887&gt;=Calendar!$K$2,P1887&lt;EDATE(Calendar!$K$2,1),OR(Calendar!$K$4="*",N1887=Calendar!$K$4)),P1887*100+COUNTIFS($P$6:$P$3271,P1887,$Q$6:$Q$3271,"&lt;="&amp;Q1887,$N$6:$N$3271,Calendar!$K$4),"")</f>
        <v/>
      </c>
      <c r="W1887" s="44">
        <f>IF(AND(B1887=Queue!$C$4,OR(Queue!$K$4="*",N1887=Queue!$K$4)),Q1887,"")</f>
        <v/>
      </c>
    </row>
    <row r="1888">
      <c r="A1888" s="35">
        <f>IF(M1888="","",HYPERLINK("https://www.youtube.com/watch?v="&amp;M1888,"▶"))</f>
        <v/>
      </c>
      <c r="B1888" s="36">
        <f>IF(C1888&lt;&gt;"",C1888,IF(P1888&lt;=IFERROR(INDEX(tblChannels[Watched Through],MATCH(N1888,tblChannels[Channel ID],0)),0),"Watched","Unwatched"))</f>
        <v/>
      </c>
      <c r="C1888" s="37" t="n"/>
      <c r="D1888" s="38" t="n"/>
      <c r="E1888" s="39" t="n">
        <v>43559.80833333333</v>
      </c>
      <c r="F1888" s="47" t="inlineStr">
        <is>
          <t>Super Carlin Brothers</t>
        </is>
      </c>
      <c r="G1888" t="inlineStr">
        <is>
          <t>J vs Ben: ULTIMATE Harry Potter Defense Against The Dark Arts Quiz</t>
        </is>
      </c>
      <c r="H1888" s="41" t="n">
        <v>0.02923611111111111</v>
      </c>
      <c r="I1888" s="42" t="n">
        <v>1238542</v>
      </c>
      <c r="J1888" s="42" t="n">
        <v>19748</v>
      </c>
      <c r="K1888" s="42" t="n">
        <v>3661</v>
      </c>
      <c r="L1888" s="43" t="n"/>
      <c r="M1888" s="44" t="n"/>
      <c r="N1888" s="44" t="inlineStr">
        <is>
          <t>UCKZo4N0lVPccBkSiuyVh4yg</t>
        </is>
      </c>
      <c r="O1888" s="45" t="n">
        <v>43559.975</v>
      </c>
      <c r="P1888" s="46" t="n">
        <v>43559</v>
      </c>
      <c r="Q1888" s="44" t="n">
        <v>1384</v>
      </c>
      <c r="R1888" s="44" t="inlineStr">
        <is>
          <t>No Video ID yet</t>
        </is>
      </c>
      <c r="S1888" s="46" t="n"/>
      <c r="T1888" s="46" t="n"/>
      <c r="U1888" s="44" t="n"/>
      <c r="V1888" s="44">
        <f>IF(AND(P1888&gt;=Calendar!$K$2,P1888&lt;EDATE(Calendar!$K$2,1),OR(Calendar!$K$4="*",N1888=Calendar!$K$4)),P1888*100+COUNTIFS($P$6:$P$3271,P1888,$Q$6:$Q$3271,"&lt;="&amp;Q1888,$N$6:$N$3271,Calendar!$K$4),"")</f>
        <v/>
      </c>
      <c r="W1888" s="44">
        <f>IF(AND(B1888=Queue!$C$4,OR(Queue!$K$4="*",N1888=Queue!$K$4)),Q1888,"")</f>
        <v/>
      </c>
    </row>
    <row r="1889">
      <c r="A1889" s="35">
        <f>IF(M1889="","",HYPERLINK("https://www.youtube.com/watch?v="&amp;M1889,"▶"))</f>
        <v/>
      </c>
      <c r="B1889" s="36">
        <f>IF(C1889&lt;&gt;"",C1889,IF(P1889&lt;=IFERROR(INDEX(tblChannels[Watched Through],MATCH(N1889,tblChannels[Channel ID],0)),0),"Watched","Unwatched"))</f>
        <v/>
      </c>
      <c r="C1889" s="37" t="n"/>
      <c r="D1889" s="38" t="n"/>
      <c r="E1889" s="39" t="n">
        <v>43558.4375</v>
      </c>
      <c r="F1889" s="49" t="inlineStr">
        <is>
          <t>Super Carlin Gaming</t>
        </is>
      </c>
      <c r="G1889" t="inlineStr">
        <is>
          <t>HALT! |  Pokémon X Nuzlocke #5</t>
        </is>
      </c>
      <c r="H1889" s="41" t="n">
        <v>0.02866898148148148</v>
      </c>
      <c r="I1889" s="42" t="n">
        <v>49195</v>
      </c>
      <c r="J1889" s="42" t="n">
        <v>1297</v>
      </c>
      <c r="K1889" s="42" t="n">
        <v>545</v>
      </c>
      <c r="L1889" s="43" t="n"/>
      <c r="M1889" s="44" t="n"/>
      <c r="N1889" s="44" t="inlineStr">
        <is>
          <t>UCor_9jRnNNZVzTuQ92PKsaQ</t>
        </is>
      </c>
      <c r="O1889" s="45" t="n">
        <v>43558.60416666666</v>
      </c>
      <c r="P1889" s="46" t="n">
        <v>43558</v>
      </c>
      <c r="Q1889" s="44" t="n">
        <v>1383</v>
      </c>
      <c r="R1889" s="44" t="inlineStr">
        <is>
          <t>No Video ID yet</t>
        </is>
      </c>
      <c r="S1889" s="46" t="n"/>
      <c r="T1889" s="46" t="n"/>
      <c r="U1889" s="44" t="n"/>
      <c r="V1889" s="44">
        <f>IF(AND(P1889&gt;=Calendar!$K$2,P1889&lt;EDATE(Calendar!$K$2,1),OR(Calendar!$K$4="*",N1889=Calendar!$K$4)),P1889*100+COUNTIFS($P$6:$P$3271,P1889,$Q$6:$Q$3271,"&lt;="&amp;Q1889,$N$6:$N$3271,Calendar!$K$4),"")</f>
        <v/>
      </c>
      <c r="W1889" s="44">
        <f>IF(AND(B1889=Queue!$C$4,OR(Queue!$K$4="*",N1889=Queue!$K$4)),Q1889,"")</f>
        <v/>
      </c>
    </row>
    <row r="1890">
      <c r="A1890" s="35">
        <f>IF(M1890="","",HYPERLINK("https://www.youtube.com/watch?v="&amp;M1890,"▶"))</f>
        <v/>
      </c>
      <c r="B1890" s="36">
        <f>IF(C1890&lt;&gt;"",C1890,IF(P1890&lt;=IFERROR(INDEX(tblChannels[Watched Through],MATCH(N1890,tblChannels[Channel ID],0)),0),"Watched","Unwatched"))</f>
        <v/>
      </c>
      <c r="C1890" s="37" t="n"/>
      <c r="D1890" s="38" t="n"/>
      <c r="E1890" s="39" t="n">
        <v>43557.71805555555</v>
      </c>
      <c r="F1890" s="47" t="inlineStr">
        <is>
          <t>Super Carlin Brothers</t>
        </is>
      </c>
      <c r="G1890" t="inlineStr">
        <is>
          <t>Who Is The Real Captain Marvel? | SHAZAM Vs Captain Marvel</t>
        </is>
      </c>
      <c r="H1890" s="41" t="n">
        <v>0.008402777777777778</v>
      </c>
      <c r="I1890" s="42" t="n">
        <v>291933</v>
      </c>
      <c r="J1890" s="42" t="n">
        <v>10456</v>
      </c>
      <c r="K1890" s="42" t="n">
        <v>1573</v>
      </c>
      <c r="L1890" s="43" t="n"/>
      <c r="M1890" s="44" t="n"/>
      <c r="N1890" s="44" t="inlineStr">
        <is>
          <t>UCKZo4N0lVPccBkSiuyVh4yg</t>
        </is>
      </c>
      <c r="O1890" s="45" t="n">
        <v>43557.88472222222</v>
      </c>
      <c r="P1890" s="46" t="n">
        <v>43557</v>
      </c>
      <c r="Q1890" s="44" t="n">
        <v>1382</v>
      </c>
      <c r="R1890" s="44" t="inlineStr">
        <is>
          <t>No Video ID yet</t>
        </is>
      </c>
      <c r="S1890" s="46" t="n"/>
      <c r="T1890" s="46" t="n"/>
      <c r="U1890" s="44" t="n"/>
      <c r="V1890" s="44">
        <f>IF(AND(P1890&gt;=Calendar!$K$2,P1890&lt;EDATE(Calendar!$K$2,1),OR(Calendar!$K$4="*",N1890=Calendar!$K$4)),P1890*100+COUNTIFS($P$6:$P$3271,P1890,$Q$6:$Q$3271,"&lt;="&amp;Q1890,$N$6:$N$3271,Calendar!$K$4),"")</f>
        <v/>
      </c>
      <c r="W1890" s="44">
        <f>IF(AND(B1890=Queue!$C$4,OR(Queue!$K$4="*",N1890=Queue!$K$4)),Q1890,"")</f>
        <v/>
      </c>
    </row>
    <row r="1891">
      <c r="A1891" s="35">
        <f>IF(M1891="","",HYPERLINK("https://www.youtube.com/watch?v="&amp;M1891,"▶"))</f>
        <v/>
      </c>
      <c r="B1891" s="36">
        <f>IF(C1891&lt;&gt;"",C1891,IF(P1891&lt;=IFERROR(INDEX(tblChannels[Watched Through],MATCH(N1891,tblChannels[Channel ID],0)),0),"Watched","Unwatched"))</f>
        <v/>
      </c>
      <c r="C1891" s="37" t="n"/>
      <c r="D1891" s="38" t="n"/>
      <c r="E1891" s="39" t="n">
        <v>43556.80555555555</v>
      </c>
      <c r="F1891" s="50" t="inlineStr">
        <is>
          <t>Jonathan Carlin</t>
        </is>
      </c>
      <c r="G1891" t="inlineStr">
        <is>
          <t>SCOTT IS RYAN REYNOLDS?</t>
        </is>
      </c>
      <c r="H1891" s="41" t="n">
        <v>0.003391203703703704</v>
      </c>
      <c r="I1891" s="42" t="n">
        <v>20694</v>
      </c>
      <c r="J1891" s="42" t="n">
        <v>1242</v>
      </c>
      <c r="K1891" s="42" t="n">
        <v>96</v>
      </c>
      <c r="L1891" s="43" t="n"/>
      <c r="M1891" s="44" t="n"/>
      <c r="N1891" s="44" t="inlineStr">
        <is>
          <t>UCYPKFe86e6nm4TVUYKLsFUQ</t>
        </is>
      </c>
      <c r="O1891" s="45" t="n">
        <v>43556.97222222222</v>
      </c>
      <c r="P1891" s="46" t="n">
        <v>43556</v>
      </c>
      <c r="Q1891" s="44" t="n">
        <v>1381</v>
      </c>
      <c r="R1891" s="44" t="inlineStr">
        <is>
          <t>No Video ID yet</t>
        </is>
      </c>
      <c r="S1891" s="46" t="n"/>
      <c r="T1891" s="46" t="n"/>
      <c r="U1891" s="44" t="n"/>
      <c r="V1891" s="44">
        <f>IF(AND(P1891&gt;=Calendar!$K$2,P1891&lt;EDATE(Calendar!$K$2,1),OR(Calendar!$K$4="*",N1891=Calendar!$K$4)),P1891*100+COUNTIFS($P$6:$P$3271,P1891,$Q$6:$Q$3271,"&lt;="&amp;Q1891,$N$6:$N$3271,Calendar!$K$4),"")</f>
        <v/>
      </c>
      <c r="W1891" s="44">
        <f>IF(AND(B1891=Queue!$C$4,OR(Queue!$K$4="*",N1891=Queue!$K$4)),Q1891,"")</f>
        <v/>
      </c>
    </row>
    <row r="1892">
      <c r="A1892" s="35">
        <f>IF(M1892="","",HYPERLINK("https://www.youtube.com/watch?v="&amp;M1892,"▶"))</f>
        <v/>
      </c>
      <c r="B1892" s="36">
        <f>IF(C1892&lt;&gt;"",C1892,IF(P1892&lt;=IFERROR(INDEX(tblChannels[Watched Through],MATCH(N1892,tblChannels[Channel ID],0)),0),"Watched","Unwatched"))</f>
        <v/>
      </c>
      <c r="C1892" s="37" t="n"/>
      <c r="D1892" s="38" t="n"/>
      <c r="E1892" s="39" t="n">
        <v>43556.4375</v>
      </c>
      <c r="F1892" s="49" t="inlineStr">
        <is>
          <t>Super Carlin Gaming</t>
        </is>
      </c>
      <c r="G1892" t="inlineStr">
        <is>
          <t>Picking The Best Man |  Super Smash Bros #33</t>
        </is>
      </c>
      <c r="H1892" s="41" t="n">
        <v>0.01378472222222222</v>
      </c>
      <c r="I1892" s="42" t="n">
        <v>6318</v>
      </c>
      <c r="J1892" s="42" t="n">
        <v>273</v>
      </c>
      <c r="K1892" s="42" t="n">
        <v>59</v>
      </c>
      <c r="L1892" s="43" t="n"/>
      <c r="M1892" s="44" t="n"/>
      <c r="N1892" s="44" t="inlineStr">
        <is>
          <t>UCor_9jRnNNZVzTuQ92PKsaQ</t>
        </is>
      </c>
      <c r="O1892" s="45" t="n">
        <v>43556.60416666666</v>
      </c>
      <c r="P1892" s="46" t="n">
        <v>43556</v>
      </c>
      <c r="Q1892" s="44" t="n">
        <v>1380</v>
      </c>
      <c r="R1892" s="44" t="inlineStr">
        <is>
          <t>No Video ID yet</t>
        </is>
      </c>
      <c r="S1892" s="46" t="n"/>
      <c r="T1892" s="46" t="n"/>
      <c r="U1892" s="44" t="n"/>
      <c r="V1892" s="44">
        <f>IF(AND(P1892&gt;=Calendar!$K$2,P1892&lt;EDATE(Calendar!$K$2,1),OR(Calendar!$K$4="*",N1892=Calendar!$K$4)),P1892*100+COUNTIFS($P$6:$P$3271,P1892,$Q$6:$Q$3271,"&lt;="&amp;Q1892,$N$6:$N$3271,Calendar!$K$4),"")</f>
        <v/>
      </c>
      <c r="W1892" s="44">
        <f>IF(AND(B1892=Queue!$C$4,OR(Queue!$K$4="*",N1892=Queue!$K$4)),Q1892,"")</f>
        <v/>
      </c>
    </row>
    <row r="1893">
      <c r="A1893" s="35">
        <f>IF(M1893="","",HYPERLINK("https://www.youtube.com/watch?v="&amp;M1893,"▶"))</f>
        <v/>
      </c>
      <c r="B1893" s="36">
        <f>IF(C1893&lt;&gt;"",C1893,IF(P1893&lt;=IFERROR(INDEX(tblChannels[Watched Through],MATCH(N1893,tblChannels[Channel ID],0)),0),"Watched","Unwatched"))</f>
        <v/>
      </c>
      <c r="C1893" s="37" t="n"/>
      <c r="D1893" s="38" t="n"/>
      <c r="E1893" s="39" t="n">
        <v>43553.43472222222</v>
      </c>
      <c r="F1893" s="49" t="inlineStr">
        <is>
          <t>Super Carlin Gaming</t>
        </is>
      </c>
      <c r="G1893" t="inlineStr">
        <is>
          <t>He's Evolving! |  Pokémon X Nuzlocke #4</t>
        </is>
      </c>
      <c r="H1893" s="41" t="n">
        <v>0.02460648148148148</v>
      </c>
      <c r="I1893" s="42" t="n">
        <v>53242</v>
      </c>
      <c r="J1893" s="42" t="n">
        <v>1397</v>
      </c>
      <c r="K1893" s="42" t="n">
        <v>941</v>
      </c>
      <c r="L1893" s="43" t="n"/>
      <c r="M1893" s="44" t="n"/>
      <c r="N1893" s="44" t="inlineStr">
        <is>
          <t>UCor_9jRnNNZVzTuQ92PKsaQ</t>
        </is>
      </c>
      <c r="O1893" s="45" t="n">
        <v>43553.60138888889</v>
      </c>
      <c r="P1893" s="46" t="n">
        <v>43553</v>
      </c>
      <c r="Q1893" s="44" t="n">
        <v>1379</v>
      </c>
      <c r="R1893" s="44" t="inlineStr">
        <is>
          <t>No Video ID yet</t>
        </is>
      </c>
      <c r="S1893" s="46" t="n"/>
      <c r="T1893" s="46" t="n"/>
      <c r="U1893" s="44" t="n"/>
      <c r="V1893" s="44">
        <f>IF(AND(P1893&gt;=Calendar!$K$2,P1893&lt;EDATE(Calendar!$K$2,1),OR(Calendar!$K$4="*",N1893=Calendar!$K$4)),P1893*100+COUNTIFS($P$6:$P$3271,P1893,$Q$6:$Q$3271,"&lt;="&amp;Q1893,$N$6:$N$3271,Calendar!$K$4),"")</f>
        <v/>
      </c>
      <c r="W1893" s="44">
        <f>IF(AND(B1893=Queue!$C$4,OR(Queue!$K$4="*",N1893=Queue!$K$4)),Q1893,"")</f>
        <v/>
      </c>
    </row>
    <row r="1894">
      <c r="A1894" s="35">
        <f>IF(M1894="","",HYPERLINK("https://www.youtube.com/watch?v="&amp;M1894,"▶"))</f>
        <v/>
      </c>
      <c r="B1894" s="36">
        <f>IF(C1894&lt;&gt;"",C1894,IF(P1894&lt;=IFERROR(INDEX(tblChannels[Watched Through],MATCH(N1894,tblChannels[Channel ID],0)),0),"Watched","Unwatched"))</f>
        <v/>
      </c>
      <c r="C1894" s="37" t="n"/>
      <c r="D1894" s="38" t="n"/>
      <c r="E1894" s="39" t="n">
        <v>43552.82916666667</v>
      </c>
      <c r="F1894" s="47" t="inlineStr">
        <is>
          <t>Super Carlin Brothers</t>
        </is>
      </c>
      <c r="G1894" t="inlineStr">
        <is>
          <t>Star Wars Episode 9 LEAKED Poster Predictions</t>
        </is>
      </c>
      <c r="H1894" s="41" t="n">
        <v>0.009884259259259259</v>
      </c>
      <c r="I1894" s="42" t="n">
        <v>186368</v>
      </c>
      <c r="J1894" s="42" t="n">
        <v>6751</v>
      </c>
      <c r="K1894" s="42" t="n">
        <v>1189</v>
      </c>
      <c r="L1894" s="43" t="n"/>
      <c r="M1894" s="44" t="n"/>
      <c r="N1894" s="44" t="inlineStr">
        <is>
          <t>UCKZo4N0lVPccBkSiuyVh4yg</t>
        </is>
      </c>
      <c r="O1894" s="45" t="n">
        <v>43552.99583333333</v>
      </c>
      <c r="P1894" s="46" t="n">
        <v>43552</v>
      </c>
      <c r="Q1894" s="44" t="n">
        <v>1378</v>
      </c>
      <c r="R1894" s="44" t="inlineStr">
        <is>
          <t>No Video ID yet</t>
        </is>
      </c>
      <c r="S1894" s="46" t="n"/>
      <c r="T1894" s="46" t="n"/>
      <c r="U1894" s="44" t="n"/>
      <c r="V1894" s="44">
        <f>IF(AND(P1894&gt;=Calendar!$K$2,P1894&lt;EDATE(Calendar!$K$2,1),OR(Calendar!$K$4="*",N1894=Calendar!$K$4)),P1894*100+COUNTIFS($P$6:$P$3271,P1894,$Q$6:$Q$3271,"&lt;="&amp;Q1894,$N$6:$N$3271,Calendar!$K$4),"")</f>
        <v/>
      </c>
      <c r="W1894" s="44">
        <f>IF(AND(B1894=Queue!$C$4,OR(Queue!$K$4="*",N1894=Queue!$K$4)),Q1894,"")</f>
        <v/>
      </c>
    </row>
    <row r="1895">
      <c r="A1895" s="35">
        <f>IF(M1895="","",HYPERLINK("https://www.youtube.com/watch?v="&amp;M1895,"▶"))</f>
        <v/>
      </c>
      <c r="B1895" s="36">
        <f>IF(C1895&lt;&gt;"",C1895,IF(P1895&lt;=IFERROR(INDEX(tblChannels[Watched Through],MATCH(N1895,tblChannels[Channel ID],0)),0),"Watched","Unwatched"))</f>
        <v/>
      </c>
      <c r="C1895" s="37" t="n"/>
      <c r="D1895" s="38" t="n"/>
      <c r="E1895" s="39" t="n">
        <v>43551.56458333333</v>
      </c>
      <c r="F1895" s="49" t="inlineStr">
        <is>
          <t>Super Carlin Gaming</t>
        </is>
      </c>
      <c r="G1895" t="inlineStr">
        <is>
          <t>The First Gym Battle | Pokémon X Nuzlocke #3</t>
        </is>
      </c>
      <c r="H1895" s="41" t="n">
        <v>0.03072916666666667</v>
      </c>
      <c r="I1895" s="42" t="n">
        <v>64358</v>
      </c>
      <c r="J1895" s="42" t="n">
        <v>1624</v>
      </c>
      <c r="K1895" s="42" t="n">
        <v>1182</v>
      </c>
      <c r="L1895" s="43" t="n"/>
      <c r="M1895" s="44" t="n"/>
      <c r="N1895" s="44" t="inlineStr">
        <is>
          <t>UCor_9jRnNNZVzTuQ92PKsaQ</t>
        </is>
      </c>
      <c r="O1895" s="45" t="n">
        <v>43551.73125</v>
      </c>
      <c r="P1895" s="46" t="n">
        <v>43551</v>
      </c>
      <c r="Q1895" s="44" t="n">
        <v>1377</v>
      </c>
      <c r="R1895" s="44" t="inlineStr">
        <is>
          <t>No Video ID yet</t>
        </is>
      </c>
      <c r="S1895" s="46" t="n"/>
      <c r="T1895" s="46" t="n"/>
      <c r="U1895" s="44" t="n"/>
      <c r="V1895" s="44">
        <f>IF(AND(P1895&gt;=Calendar!$K$2,P1895&lt;EDATE(Calendar!$K$2,1),OR(Calendar!$K$4="*",N1895=Calendar!$K$4)),P1895*100+COUNTIFS($P$6:$P$3271,P1895,$Q$6:$Q$3271,"&lt;="&amp;Q1895,$N$6:$N$3271,Calendar!$K$4),"")</f>
        <v/>
      </c>
      <c r="W1895" s="44">
        <f>IF(AND(B1895=Queue!$C$4,OR(Queue!$K$4="*",N1895=Queue!$K$4)),Q1895,"")</f>
        <v/>
      </c>
    </row>
    <row r="1896">
      <c r="A1896" s="35">
        <f>IF(M1896="","",HYPERLINK("https://www.youtube.com/watch?v="&amp;M1896,"▶"))</f>
        <v/>
      </c>
      <c r="B1896" s="36">
        <f>IF(C1896&lt;&gt;"",C1896,IF(P1896&lt;=IFERROR(INDEX(tblChannels[Watched Through],MATCH(N1896,tblChannels[Channel ID],0)),0),"Watched","Unwatched"))</f>
        <v/>
      </c>
      <c r="C1896" s="37" t="n"/>
      <c r="D1896" s="38" t="n"/>
      <c r="E1896" s="39" t="n">
        <v>43550.71458333333</v>
      </c>
      <c r="F1896" s="47" t="inlineStr">
        <is>
          <t>Super Carlin Brothers</t>
        </is>
      </c>
      <c r="G1896" t="inlineStr">
        <is>
          <t>The Truth About DUKE CABOOM | Toy Story 4</t>
        </is>
      </c>
      <c r="H1896" s="41" t="n">
        <v>0.008310185185185184</v>
      </c>
      <c r="I1896" s="42" t="n">
        <v>360210</v>
      </c>
      <c r="J1896" s="42" t="n">
        <v>11195</v>
      </c>
      <c r="K1896" s="42" t="n">
        <v>830</v>
      </c>
      <c r="L1896" s="43" t="n"/>
      <c r="M1896" s="44" t="n"/>
      <c r="N1896" s="44" t="inlineStr">
        <is>
          <t>UCKZo4N0lVPccBkSiuyVh4yg</t>
        </is>
      </c>
      <c r="O1896" s="45" t="n">
        <v>43550.88125</v>
      </c>
      <c r="P1896" s="46" t="n">
        <v>43550</v>
      </c>
      <c r="Q1896" s="44" t="n">
        <v>1376</v>
      </c>
      <c r="R1896" s="44" t="inlineStr">
        <is>
          <t>No Video ID yet</t>
        </is>
      </c>
      <c r="S1896" s="46" t="n"/>
      <c r="T1896" s="46" t="n"/>
      <c r="U1896" s="44" t="n"/>
      <c r="V1896" s="44">
        <f>IF(AND(P1896&gt;=Calendar!$K$2,P1896&lt;EDATE(Calendar!$K$2,1),OR(Calendar!$K$4="*",N1896=Calendar!$K$4)),P1896*100+COUNTIFS($P$6:$P$3271,P1896,$Q$6:$Q$3271,"&lt;="&amp;Q1896,$N$6:$N$3271,Calendar!$K$4),"")</f>
        <v/>
      </c>
      <c r="W1896" s="44">
        <f>IF(AND(B1896=Queue!$C$4,OR(Queue!$K$4="*",N1896=Queue!$K$4)),Q1896,"")</f>
        <v/>
      </c>
    </row>
    <row r="1897">
      <c r="A1897" s="35">
        <f>IF(M1897="","",HYPERLINK("https://www.youtube.com/watch?v="&amp;M1897,"▶"))</f>
        <v/>
      </c>
      <c r="B1897" s="36">
        <f>IF(C1897&lt;&gt;"",C1897,IF(P1897&lt;=IFERROR(INDEX(tblChannels[Watched Through],MATCH(N1897,tblChannels[Channel ID],0)),0),"Watched","Unwatched"))</f>
        <v/>
      </c>
      <c r="C1897" s="37" t="n"/>
      <c r="D1897" s="38" t="n"/>
      <c r="E1897" s="39" t="n">
        <v>43549.58680555555</v>
      </c>
      <c r="F1897" s="49" t="inlineStr">
        <is>
          <t>Super Carlin Gaming</t>
        </is>
      </c>
      <c r="G1897" t="inlineStr">
        <is>
          <t>It Used To Be So Cute...  | Super Smash Bros #32</t>
        </is>
      </c>
      <c r="H1897" s="41" t="n">
        <v>0.01314814814814815</v>
      </c>
      <c r="I1897" s="42" t="n">
        <v>7398</v>
      </c>
      <c r="J1897" s="42" t="n">
        <v>359</v>
      </c>
      <c r="K1897" s="42" t="n">
        <v>86</v>
      </c>
      <c r="L1897" s="43" t="n"/>
      <c r="M1897" s="44" t="n"/>
      <c r="N1897" s="44" t="inlineStr">
        <is>
          <t>UCor_9jRnNNZVzTuQ92PKsaQ</t>
        </is>
      </c>
      <c r="O1897" s="45" t="n">
        <v>43549.75347222222</v>
      </c>
      <c r="P1897" s="46" t="n">
        <v>43549</v>
      </c>
      <c r="Q1897" s="44" t="n">
        <v>1375</v>
      </c>
      <c r="R1897" s="44" t="inlineStr">
        <is>
          <t>No Video ID yet</t>
        </is>
      </c>
      <c r="S1897" s="46" t="n"/>
      <c r="T1897" s="46" t="n"/>
      <c r="U1897" s="44" t="n"/>
      <c r="V1897" s="44">
        <f>IF(AND(P1897&gt;=Calendar!$K$2,P1897&lt;EDATE(Calendar!$K$2,1),OR(Calendar!$K$4="*",N1897=Calendar!$K$4)),P1897*100+COUNTIFS($P$6:$P$3271,P1897,$Q$6:$Q$3271,"&lt;="&amp;Q1897,$N$6:$N$3271,Calendar!$K$4),"")</f>
        <v/>
      </c>
      <c r="W1897" s="44">
        <f>IF(AND(B1897=Queue!$C$4,OR(Queue!$K$4="*",N1897=Queue!$K$4)),Q1897,"")</f>
        <v/>
      </c>
    </row>
    <row r="1898">
      <c r="A1898" s="35">
        <f>IF(M1898="","",HYPERLINK("https://www.youtube.com/watch?v="&amp;M1898,"▶"))</f>
        <v/>
      </c>
      <c r="B1898" s="36">
        <f>IF(C1898&lt;&gt;"",C1898,IF(P1898&lt;=IFERROR(INDEX(tblChannels[Watched Through],MATCH(N1898,tblChannels[Channel ID],0)),0),"Watched","Unwatched"))</f>
        <v/>
      </c>
      <c r="C1898" s="37" t="n"/>
      <c r="D1898" s="38" t="n"/>
      <c r="E1898" s="39" t="n">
        <v>43549.48541666667</v>
      </c>
      <c r="F1898" s="50" t="inlineStr">
        <is>
          <t>Jonathan Carlin</t>
        </is>
      </c>
      <c r="G1898" t="inlineStr">
        <is>
          <t>Luke's First Haircut</t>
        </is>
      </c>
      <c r="H1898" s="41" t="n">
        <v>0.006064814814814815</v>
      </c>
      <c r="I1898" s="42" t="n">
        <v>30341</v>
      </c>
      <c r="J1898" s="42" t="n">
        <v>1548</v>
      </c>
      <c r="K1898" s="42" t="n">
        <v>127</v>
      </c>
      <c r="L1898" s="43" t="n"/>
      <c r="M1898" s="44" t="n"/>
      <c r="N1898" s="44" t="inlineStr">
        <is>
          <t>UCYPKFe86e6nm4TVUYKLsFUQ</t>
        </is>
      </c>
      <c r="O1898" s="45" t="n">
        <v>43549.65208333333</v>
      </c>
      <c r="P1898" s="46" t="n">
        <v>43549</v>
      </c>
      <c r="Q1898" s="44" t="n">
        <v>1374</v>
      </c>
      <c r="R1898" s="44" t="inlineStr">
        <is>
          <t>No Video ID yet</t>
        </is>
      </c>
      <c r="S1898" s="46" t="n"/>
      <c r="T1898" s="46" t="n"/>
      <c r="U1898" s="44" t="n"/>
      <c r="V1898" s="44">
        <f>IF(AND(P1898&gt;=Calendar!$K$2,P1898&lt;EDATE(Calendar!$K$2,1),OR(Calendar!$K$4="*",N1898=Calendar!$K$4)),P1898*100+COUNTIFS($P$6:$P$3271,P1898,$Q$6:$Q$3271,"&lt;="&amp;Q1898,$N$6:$N$3271,Calendar!$K$4),"")</f>
        <v/>
      </c>
      <c r="W1898" s="44">
        <f>IF(AND(B1898=Queue!$C$4,OR(Queue!$K$4="*",N1898=Queue!$K$4)),Q1898,"")</f>
        <v/>
      </c>
    </row>
    <row r="1899">
      <c r="A1899" s="35">
        <f>IF(M1899="","",HYPERLINK("https://www.youtube.com/watch?v="&amp;M1899,"▶"))</f>
        <v/>
      </c>
      <c r="B1899" s="36">
        <f>IF(C1899&lt;&gt;"",C1899,IF(P1899&lt;=IFERROR(INDEX(tblChannels[Watched Through],MATCH(N1899,tblChannels[Channel ID],0)),0),"Watched","Unwatched"))</f>
        <v/>
      </c>
      <c r="C1899" s="37" t="n"/>
      <c r="D1899" s="38" t="n"/>
      <c r="E1899" s="39" t="n">
        <v>43546.71458333333</v>
      </c>
      <c r="F1899" s="49" t="inlineStr">
        <is>
          <t>Super Carlin Gaming</t>
        </is>
      </c>
      <c r="G1899" t="inlineStr">
        <is>
          <t>The First One... | Pokémon X Nuzlocke #2</t>
        </is>
      </c>
      <c r="H1899" s="41" t="n">
        <v>0.02568287037037037</v>
      </c>
      <c r="I1899" s="42" t="n">
        <v>75719</v>
      </c>
      <c r="J1899" s="42" t="n">
        <v>2002</v>
      </c>
      <c r="K1899" s="42" t="n">
        <v>904</v>
      </c>
      <c r="L1899" s="43" t="n"/>
      <c r="M1899" s="44" t="n"/>
      <c r="N1899" s="44" t="inlineStr">
        <is>
          <t>UCor_9jRnNNZVzTuQ92PKsaQ</t>
        </is>
      </c>
      <c r="O1899" s="45" t="n">
        <v>43546.88125</v>
      </c>
      <c r="P1899" s="46" t="n">
        <v>43546</v>
      </c>
      <c r="Q1899" s="44" t="n">
        <v>1373</v>
      </c>
      <c r="R1899" s="44" t="inlineStr">
        <is>
          <t>No Video ID yet</t>
        </is>
      </c>
      <c r="S1899" s="46" t="n"/>
      <c r="T1899" s="46" t="n"/>
      <c r="U1899" s="44" t="n"/>
      <c r="V1899" s="44">
        <f>IF(AND(P1899&gt;=Calendar!$K$2,P1899&lt;EDATE(Calendar!$K$2,1),OR(Calendar!$K$4="*",N1899=Calendar!$K$4)),P1899*100+COUNTIFS($P$6:$P$3271,P1899,$Q$6:$Q$3271,"&lt;="&amp;Q1899,$N$6:$N$3271,Calendar!$K$4),"")</f>
        <v/>
      </c>
      <c r="W1899" s="44">
        <f>IF(AND(B1899=Queue!$C$4,OR(Queue!$K$4="*",N1899=Queue!$K$4)),Q1899,"")</f>
        <v/>
      </c>
    </row>
    <row r="1900">
      <c r="A1900" s="35">
        <f>IF(M1900="","",HYPERLINK("https://www.youtube.com/watch?v="&amp;M1900,"▶"))</f>
        <v/>
      </c>
      <c r="B1900" s="36">
        <f>IF(C1900&lt;&gt;"",C1900,IF(P1900&lt;=IFERROR(INDEX(tblChannels[Watched Through],MATCH(N1900,tblChannels[Channel ID],0)),0),"Watched","Unwatched"))</f>
        <v/>
      </c>
      <c r="C1900" s="37" t="n"/>
      <c r="D1900" s="38" t="n"/>
      <c r="E1900" s="39" t="n">
        <v>43545.80763888889</v>
      </c>
      <c r="F1900" s="47" t="inlineStr">
        <is>
          <t>Super Carlin Brothers</t>
        </is>
      </c>
      <c r="G1900" t="inlineStr">
        <is>
          <t>Bo Peep Is The Villain In Toy Story 4? | Pixar Theory</t>
        </is>
      </c>
      <c r="H1900" s="41" t="n">
        <v>0.009421296296296296</v>
      </c>
      <c r="I1900" s="42" t="n">
        <v>847980</v>
      </c>
      <c r="J1900" s="42" t="n">
        <v>26039</v>
      </c>
      <c r="K1900" s="42" t="n">
        <v>4144</v>
      </c>
      <c r="L1900" s="43" t="n"/>
      <c r="M1900" s="44" t="n"/>
      <c r="N1900" s="44" t="inlineStr">
        <is>
          <t>UCKZo4N0lVPccBkSiuyVh4yg</t>
        </is>
      </c>
      <c r="O1900" s="45" t="n">
        <v>43545.97430555556</v>
      </c>
      <c r="P1900" s="46" t="n">
        <v>43545</v>
      </c>
      <c r="Q1900" s="44" t="n">
        <v>1372</v>
      </c>
      <c r="R1900" s="44" t="inlineStr">
        <is>
          <t>No Video ID yet</t>
        </is>
      </c>
      <c r="S1900" s="46" t="n"/>
      <c r="T1900" s="46" t="n"/>
      <c r="U1900" s="44" t="n"/>
      <c r="V1900" s="44">
        <f>IF(AND(P1900&gt;=Calendar!$K$2,P1900&lt;EDATE(Calendar!$K$2,1),OR(Calendar!$K$4="*",N1900=Calendar!$K$4)),P1900*100+COUNTIFS($P$6:$P$3271,P1900,$Q$6:$Q$3271,"&lt;="&amp;Q1900,$N$6:$N$3271,Calendar!$K$4),"")</f>
        <v/>
      </c>
      <c r="W1900" s="44">
        <f>IF(AND(B1900=Queue!$C$4,OR(Queue!$K$4="*",N1900=Queue!$K$4)),Q1900,"")</f>
        <v/>
      </c>
    </row>
    <row r="1901">
      <c r="A1901" s="35">
        <f>IF(M1901="","",HYPERLINK("https://www.youtube.com/watch?v="&amp;M1901,"▶"))</f>
        <v/>
      </c>
      <c r="B1901" s="36">
        <f>IF(C1901&lt;&gt;"",C1901,IF(P1901&lt;=IFERROR(INDEX(tblChannels[Watched Through],MATCH(N1901,tblChannels[Channel ID],0)),0),"Watched","Unwatched"))</f>
        <v/>
      </c>
      <c r="C1901" s="37" t="n"/>
      <c r="D1901" s="38" t="n"/>
      <c r="E1901" s="39" t="n">
        <v>43544.43541666667</v>
      </c>
      <c r="F1901" s="49" t="inlineStr">
        <is>
          <t>Super Carlin Gaming</t>
        </is>
      </c>
      <c r="G1901" t="inlineStr">
        <is>
          <t>Luke Chooses Our Starter | Pokémon X Nuzlocke #1</t>
        </is>
      </c>
      <c r="H1901" s="41" t="n">
        <v>0.02041666666666667</v>
      </c>
      <c r="I1901" s="42" t="n">
        <v>164610</v>
      </c>
      <c r="J1901" s="42" t="n">
        <v>4157</v>
      </c>
      <c r="K1901" s="42" t="n">
        <v>2146</v>
      </c>
      <c r="L1901" s="43" t="n"/>
      <c r="M1901" s="44" t="n"/>
      <c r="N1901" s="44" t="inlineStr">
        <is>
          <t>UCor_9jRnNNZVzTuQ92PKsaQ</t>
        </is>
      </c>
      <c r="O1901" s="45" t="n">
        <v>43544.60208333333</v>
      </c>
      <c r="P1901" s="46" t="n">
        <v>43544</v>
      </c>
      <c r="Q1901" s="44" t="n">
        <v>1371</v>
      </c>
      <c r="R1901" s="44" t="inlineStr">
        <is>
          <t>No Video ID yet</t>
        </is>
      </c>
      <c r="S1901" s="46" t="n"/>
      <c r="T1901" s="46" t="n"/>
      <c r="U1901" s="44" t="n"/>
      <c r="V1901" s="44">
        <f>IF(AND(P1901&gt;=Calendar!$K$2,P1901&lt;EDATE(Calendar!$K$2,1),OR(Calendar!$K$4="*",N1901=Calendar!$K$4)),P1901*100+COUNTIFS($P$6:$P$3271,P1901,$Q$6:$Q$3271,"&lt;="&amp;Q1901,$N$6:$N$3271,Calendar!$K$4),"")</f>
        <v/>
      </c>
      <c r="W1901" s="44">
        <f>IF(AND(B1901=Queue!$C$4,OR(Queue!$K$4="*",N1901=Queue!$K$4)),Q1901,"")</f>
        <v/>
      </c>
    </row>
    <row r="1902">
      <c r="A1902" s="35">
        <f>IF(M1902="","",HYPERLINK("https://www.youtube.com/watch?v="&amp;M1902,"▶"))</f>
        <v/>
      </c>
      <c r="B1902" s="36">
        <f>IF(C1902&lt;&gt;"",C1902,IF(P1902&lt;=IFERROR(INDEX(tblChannels[Watched Through],MATCH(N1902,tblChannels[Channel ID],0)),0),"Watched","Unwatched"))</f>
        <v/>
      </c>
      <c r="C1902" s="37" t="n"/>
      <c r="D1902" s="38" t="n"/>
      <c r="E1902" s="39" t="n">
        <v>43543.87430555555</v>
      </c>
      <c r="F1902" s="47" t="inlineStr">
        <is>
          <t>Super Carlin Brothers</t>
        </is>
      </c>
      <c r="G1902" t="inlineStr">
        <is>
          <t>How Endgame Will End | The Quantum Resource Theory</t>
        </is>
      </c>
      <c r="H1902" s="41" t="n">
        <v>0.01061342592592593</v>
      </c>
      <c r="I1902" s="42" t="n">
        <v>524309</v>
      </c>
      <c r="J1902" s="42" t="n">
        <v>19895</v>
      </c>
      <c r="K1902" s="42" t="n">
        <v>2546</v>
      </c>
      <c r="L1902" s="43" t="n"/>
      <c r="M1902" s="44" t="n"/>
      <c r="N1902" s="44" t="inlineStr">
        <is>
          <t>UCKZo4N0lVPccBkSiuyVh4yg</t>
        </is>
      </c>
      <c r="O1902" s="45" t="n">
        <v>43544.04097222222</v>
      </c>
      <c r="P1902" s="46" t="n">
        <v>43543</v>
      </c>
      <c r="Q1902" s="44" t="n">
        <v>1370</v>
      </c>
      <c r="R1902" s="44" t="inlineStr">
        <is>
          <t>No Video ID yet</t>
        </is>
      </c>
      <c r="S1902" s="46" t="n"/>
      <c r="T1902" s="46" t="n"/>
      <c r="U1902" s="44" t="n"/>
      <c r="V1902" s="44">
        <f>IF(AND(P1902&gt;=Calendar!$K$2,P1902&lt;EDATE(Calendar!$K$2,1),OR(Calendar!$K$4="*",N1902=Calendar!$K$4)),P1902*100+COUNTIFS($P$6:$P$3271,P1902,$Q$6:$Q$3271,"&lt;="&amp;Q1902,$N$6:$N$3271,Calendar!$K$4),"")</f>
        <v/>
      </c>
      <c r="W1902" s="44">
        <f>IF(AND(B1902=Queue!$C$4,OR(Queue!$K$4="*",N1902=Queue!$K$4)),Q1902,"")</f>
        <v/>
      </c>
    </row>
    <row r="1903">
      <c r="A1903" s="35">
        <f>IF(M1903="","",HYPERLINK("https://www.youtube.com/watch?v="&amp;M1903,"▶"))</f>
        <v/>
      </c>
      <c r="B1903" s="36">
        <f>IF(C1903&lt;&gt;"",C1903,IF(P1903&lt;=IFERROR(INDEX(tblChannels[Watched Through],MATCH(N1903,tblChannels[Channel ID],0)),0),"Watched","Unwatched"))</f>
        <v/>
      </c>
      <c r="C1903" s="37" t="n"/>
      <c r="D1903" s="38" t="n"/>
      <c r="E1903" s="39" t="n">
        <v>43542.69236111111</v>
      </c>
      <c r="F1903" s="50" t="inlineStr">
        <is>
          <t>Jonathan Carlin</t>
        </is>
      </c>
      <c r="G1903" t="inlineStr">
        <is>
          <t>GLAMPING IN ASHEVILLE</t>
        </is>
      </c>
      <c r="H1903" s="41" t="n">
        <v>0.006770833333333334</v>
      </c>
      <c r="I1903" s="42" t="n">
        <v>26661</v>
      </c>
      <c r="J1903" s="42" t="n">
        <v>1412</v>
      </c>
      <c r="K1903" s="42" t="n">
        <v>186</v>
      </c>
      <c r="L1903" s="43" t="n"/>
      <c r="M1903" s="44" t="n"/>
      <c r="N1903" s="44" t="inlineStr">
        <is>
          <t>UCYPKFe86e6nm4TVUYKLsFUQ</t>
        </is>
      </c>
      <c r="O1903" s="45" t="n">
        <v>43542.85902777778</v>
      </c>
      <c r="P1903" s="46" t="n">
        <v>43542</v>
      </c>
      <c r="Q1903" s="44" t="n">
        <v>1369</v>
      </c>
      <c r="R1903" s="44" t="inlineStr">
        <is>
          <t>No Video ID yet</t>
        </is>
      </c>
      <c r="S1903" s="46" t="n"/>
      <c r="T1903" s="46" t="n"/>
      <c r="U1903" s="44" t="n"/>
      <c r="V1903" s="44">
        <f>IF(AND(P1903&gt;=Calendar!$K$2,P1903&lt;EDATE(Calendar!$K$2,1),OR(Calendar!$K$4="*",N1903=Calendar!$K$4)),P1903*100+COUNTIFS($P$6:$P$3271,P1903,$Q$6:$Q$3271,"&lt;="&amp;Q1903,$N$6:$N$3271,Calendar!$K$4),"")</f>
        <v/>
      </c>
      <c r="W1903" s="44">
        <f>IF(AND(B1903=Queue!$C$4,OR(Queue!$K$4="*",N1903=Queue!$K$4)),Q1903,"")</f>
        <v/>
      </c>
    </row>
    <row r="1904">
      <c r="A1904" s="35">
        <f>IF(M1904="","",HYPERLINK("https://www.youtube.com/watch?v="&amp;M1904,"▶"))</f>
        <v/>
      </c>
      <c r="B1904" s="36">
        <f>IF(C1904&lt;&gt;"",C1904,IF(P1904&lt;=IFERROR(INDEX(tblChannels[Watched Through],MATCH(N1904,tblChannels[Channel ID],0)),0),"Watched","Unwatched"))</f>
        <v/>
      </c>
      <c r="C1904" s="37" t="n"/>
      <c r="D1904" s="38" t="n"/>
      <c r="E1904" s="39" t="n">
        <v>43542.63680555556</v>
      </c>
      <c r="F1904" s="49" t="inlineStr">
        <is>
          <t>Super Carlin Gaming</t>
        </is>
      </c>
      <c r="G1904" t="inlineStr">
        <is>
          <t>The Stinky Co-Worker | Super Smash Bros #31</t>
        </is>
      </c>
      <c r="H1904" s="41" t="n">
        <v>0.01849537037037037</v>
      </c>
      <c r="I1904" s="42" t="n">
        <v>7700</v>
      </c>
      <c r="J1904" s="42" t="n">
        <v>333</v>
      </c>
      <c r="K1904" s="42" t="n">
        <v>83</v>
      </c>
      <c r="L1904" s="43" t="n"/>
      <c r="M1904" s="44" t="n"/>
      <c r="N1904" s="44" t="inlineStr">
        <is>
          <t>UCor_9jRnNNZVzTuQ92PKsaQ</t>
        </is>
      </c>
      <c r="O1904" s="45" t="n">
        <v>43542.80347222222</v>
      </c>
      <c r="P1904" s="46" t="n">
        <v>43542</v>
      </c>
      <c r="Q1904" s="44" t="n">
        <v>1368</v>
      </c>
      <c r="R1904" s="44" t="inlineStr">
        <is>
          <t>No Video ID yet</t>
        </is>
      </c>
      <c r="S1904" s="46" t="n"/>
      <c r="T1904" s="46" t="n"/>
      <c r="U1904" s="44" t="n"/>
      <c r="V1904" s="44">
        <f>IF(AND(P1904&gt;=Calendar!$K$2,P1904&lt;EDATE(Calendar!$K$2,1),OR(Calendar!$K$4="*",N1904=Calendar!$K$4)),P1904*100+COUNTIFS($P$6:$P$3271,P1904,$Q$6:$Q$3271,"&lt;="&amp;Q1904,$N$6:$N$3271,Calendar!$K$4),"")</f>
        <v/>
      </c>
      <c r="W1904" s="44">
        <f>IF(AND(B1904=Queue!$C$4,OR(Queue!$K$4="*",N1904=Queue!$K$4)),Q1904,"")</f>
        <v/>
      </c>
    </row>
    <row r="1905">
      <c r="A1905" s="35">
        <f>IF(M1905="","",HYPERLINK("https://www.youtube.com/watch?v="&amp;M1905,"▶"))</f>
        <v/>
      </c>
      <c r="B1905" s="36">
        <f>IF(C1905&lt;&gt;"",C1905,IF(P1905&lt;=IFERROR(INDEX(tblChannels[Watched Through],MATCH(N1905,tblChannels[Channel ID],0)),0),"Watched","Unwatched"))</f>
        <v/>
      </c>
      <c r="C1905" s="37" t="n"/>
      <c r="D1905" s="38" t="n"/>
      <c r="E1905" s="39" t="n">
        <v>43539.67916666667</v>
      </c>
      <c r="F1905" s="49" t="inlineStr">
        <is>
          <t>Super Carlin Gaming</t>
        </is>
      </c>
      <c r="G1905" t="inlineStr">
        <is>
          <t>Is My Girlfriend Good Enough For Me? | Super Smash Bros #30</t>
        </is>
      </c>
      <c r="H1905" s="41" t="n">
        <v>0.009537037037037037</v>
      </c>
      <c r="I1905" s="42" t="n">
        <v>6555</v>
      </c>
      <c r="J1905" s="42" t="n">
        <v>324</v>
      </c>
      <c r="K1905" s="42" t="n">
        <v>68</v>
      </c>
      <c r="L1905" s="43" t="n"/>
      <c r="M1905" s="44" t="n"/>
      <c r="N1905" s="44" t="inlineStr">
        <is>
          <t>UCor_9jRnNNZVzTuQ92PKsaQ</t>
        </is>
      </c>
      <c r="O1905" s="45" t="n">
        <v>43539.84583333333</v>
      </c>
      <c r="P1905" s="46" t="n">
        <v>43539</v>
      </c>
      <c r="Q1905" s="44" t="n">
        <v>1367</v>
      </c>
      <c r="R1905" s="44" t="inlineStr">
        <is>
          <t>No Video ID yet</t>
        </is>
      </c>
      <c r="S1905" s="46" t="n"/>
      <c r="T1905" s="46" t="n"/>
      <c r="U1905" s="44" t="n"/>
      <c r="V1905" s="44">
        <f>IF(AND(P1905&gt;=Calendar!$K$2,P1905&lt;EDATE(Calendar!$K$2,1),OR(Calendar!$K$4="*",N1905=Calendar!$K$4)),P1905*100+COUNTIFS($P$6:$P$3271,P1905,$Q$6:$Q$3271,"&lt;="&amp;Q1905,$N$6:$N$3271,Calendar!$K$4),"")</f>
        <v/>
      </c>
      <c r="W1905" s="44">
        <f>IF(AND(B1905=Queue!$C$4,OR(Queue!$K$4="*",N1905=Queue!$K$4)),Q1905,"")</f>
        <v/>
      </c>
    </row>
    <row r="1906">
      <c r="A1906" s="35">
        <f>IF(M1906="","",HYPERLINK("https://www.youtube.com/watch?v="&amp;M1906,"▶"))</f>
        <v/>
      </c>
      <c r="B1906" s="36">
        <f>IF(C1906&lt;&gt;"",C1906,IF(P1906&lt;=IFERROR(INDEX(tblChannels[Watched Through],MATCH(N1906,tblChannels[Channel ID],0)),0),"Watched","Unwatched"))</f>
        <v/>
      </c>
      <c r="C1906" s="37" t="n"/>
      <c r="D1906" s="38" t="n"/>
      <c r="E1906" s="39" t="n">
        <v>43538.75277777778</v>
      </c>
      <c r="F1906" s="47" t="inlineStr">
        <is>
          <t>Super Carlin Brothers</t>
        </is>
      </c>
      <c r="G1906" t="inlineStr">
        <is>
          <t>Why Didn’t Nick Fury Call Captain Marvel Earlier? | Marvel Theory</t>
        </is>
      </c>
      <c r="H1906" s="41" t="n">
        <v>0.008171296296296296</v>
      </c>
      <c r="I1906" s="42" t="n">
        <v>461543</v>
      </c>
      <c r="J1906" s="42" t="n">
        <v>16359</v>
      </c>
      <c r="K1906" s="42" t="n">
        <v>1836</v>
      </c>
      <c r="L1906" s="43" t="n"/>
      <c r="M1906" s="44" t="n"/>
      <c r="N1906" s="44" t="inlineStr">
        <is>
          <t>UCKZo4N0lVPccBkSiuyVh4yg</t>
        </is>
      </c>
      <c r="O1906" s="45" t="n">
        <v>43538.91944444444</v>
      </c>
      <c r="P1906" s="46" t="n">
        <v>43538</v>
      </c>
      <c r="Q1906" s="44" t="n">
        <v>1366</v>
      </c>
      <c r="R1906" s="44" t="inlineStr">
        <is>
          <t>No Video ID yet</t>
        </is>
      </c>
      <c r="S1906" s="46" t="n"/>
      <c r="T1906" s="46" t="n"/>
      <c r="U1906" s="44" t="n"/>
      <c r="V1906" s="44">
        <f>IF(AND(P1906&gt;=Calendar!$K$2,P1906&lt;EDATE(Calendar!$K$2,1),OR(Calendar!$K$4="*",N1906=Calendar!$K$4)),P1906*100+COUNTIFS($P$6:$P$3271,P1906,$Q$6:$Q$3271,"&lt;="&amp;Q1906,$N$6:$N$3271,Calendar!$K$4),"")</f>
        <v/>
      </c>
      <c r="W1906" s="44">
        <f>IF(AND(B1906=Queue!$C$4,OR(Queue!$K$4="*",N1906=Queue!$K$4)),Q1906,"")</f>
        <v/>
      </c>
    </row>
    <row r="1907">
      <c r="A1907" s="35">
        <f>IF(M1907="","",HYPERLINK("https://www.youtube.com/watch?v="&amp;M1907,"▶"))</f>
        <v/>
      </c>
      <c r="B1907" s="36">
        <f>IF(C1907&lt;&gt;"",C1907,IF(P1907&lt;=IFERROR(INDEX(tblChannels[Watched Through],MATCH(N1907,tblChannels[Channel ID],0)),0),"Watched","Unwatched"))</f>
        <v/>
      </c>
      <c r="C1907" s="37" t="n"/>
      <c r="D1907" s="38" t="n"/>
      <c r="E1907" s="39" t="n">
        <v>43537.4375</v>
      </c>
      <c r="F1907" s="49" t="inlineStr">
        <is>
          <t>Super Carlin Gaming</t>
        </is>
      </c>
      <c r="G1907" t="inlineStr">
        <is>
          <t>Prom as a First Date? | Super Smash Bros #29</t>
        </is>
      </c>
      <c r="H1907" s="41" t="n">
        <v>0.009305555555555555</v>
      </c>
      <c r="I1907" s="42" t="n">
        <v>6331</v>
      </c>
      <c r="J1907" s="42" t="n">
        <v>283</v>
      </c>
      <c r="K1907" s="42" t="n">
        <v>70</v>
      </c>
      <c r="L1907" s="43" t="n"/>
      <c r="M1907" s="44" t="n"/>
      <c r="N1907" s="44" t="inlineStr">
        <is>
          <t>UCor_9jRnNNZVzTuQ92PKsaQ</t>
        </is>
      </c>
      <c r="O1907" s="45" t="n">
        <v>43537.60416666666</v>
      </c>
      <c r="P1907" s="46" t="n">
        <v>43537</v>
      </c>
      <c r="Q1907" s="44" t="n">
        <v>1365</v>
      </c>
      <c r="R1907" s="44" t="inlineStr">
        <is>
          <t>No Video ID yet</t>
        </is>
      </c>
      <c r="S1907" s="46" t="n"/>
      <c r="T1907" s="46" t="n"/>
      <c r="U1907" s="44" t="n"/>
      <c r="V1907" s="44">
        <f>IF(AND(P1907&gt;=Calendar!$K$2,P1907&lt;EDATE(Calendar!$K$2,1),OR(Calendar!$K$4="*",N1907=Calendar!$K$4)),P1907*100+COUNTIFS($P$6:$P$3271,P1907,$Q$6:$Q$3271,"&lt;="&amp;Q1907,$N$6:$N$3271,Calendar!$K$4),"")</f>
        <v/>
      </c>
      <c r="W1907" s="44">
        <f>IF(AND(B1907=Queue!$C$4,OR(Queue!$K$4="*",N1907=Queue!$K$4)),Q1907,"")</f>
        <v/>
      </c>
    </row>
    <row r="1908">
      <c r="A1908" s="35">
        <f>IF(M1908="","",HYPERLINK("https://www.youtube.com/watch?v="&amp;M1908,"▶"))</f>
        <v/>
      </c>
      <c r="B1908" s="36">
        <f>IF(C1908&lt;&gt;"",C1908,IF(P1908&lt;=IFERROR(INDEX(tblChannels[Watched Through],MATCH(N1908,tblChannels[Channel ID],0)),0),"Watched","Unwatched"))</f>
        <v/>
      </c>
      <c r="C1908" s="37" t="n"/>
      <c r="D1908" s="38" t="n"/>
      <c r="E1908" s="39" t="n">
        <v>43536.71736111111</v>
      </c>
      <c r="F1908" s="47" t="inlineStr">
        <is>
          <t>Super Carlin Brothers</t>
        </is>
      </c>
      <c r="G1908" t="inlineStr">
        <is>
          <t>Which Avenger Is A Skrull? | Marvel Theory</t>
        </is>
      </c>
      <c r="H1908" s="41" t="n">
        <v>0.007395833333333333</v>
      </c>
      <c r="I1908" s="42" t="n">
        <v>323421</v>
      </c>
      <c r="J1908" s="42" t="n">
        <v>10408</v>
      </c>
      <c r="K1908" s="42" t="n">
        <v>2393</v>
      </c>
      <c r="L1908" s="43" t="n"/>
      <c r="M1908" s="44" t="n"/>
      <c r="N1908" s="44" t="inlineStr">
        <is>
          <t>UCKZo4N0lVPccBkSiuyVh4yg</t>
        </is>
      </c>
      <c r="O1908" s="45" t="n">
        <v>43536.88402777778</v>
      </c>
      <c r="P1908" s="46" t="n">
        <v>43536</v>
      </c>
      <c r="Q1908" s="44" t="n">
        <v>1364</v>
      </c>
      <c r="R1908" s="44" t="inlineStr">
        <is>
          <t>No Video ID yet</t>
        </is>
      </c>
      <c r="S1908" s="46" t="n"/>
      <c r="T1908" s="46" t="n"/>
      <c r="U1908" s="44" t="n"/>
      <c r="V1908" s="44">
        <f>IF(AND(P1908&gt;=Calendar!$K$2,P1908&lt;EDATE(Calendar!$K$2,1),OR(Calendar!$K$4="*",N1908=Calendar!$K$4)),P1908*100+COUNTIFS($P$6:$P$3271,P1908,$Q$6:$Q$3271,"&lt;="&amp;Q1908,$N$6:$N$3271,Calendar!$K$4),"")</f>
        <v/>
      </c>
      <c r="W1908" s="44">
        <f>IF(AND(B1908=Queue!$C$4,OR(Queue!$K$4="*",N1908=Queue!$K$4)),Q1908,"")</f>
        <v/>
      </c>
    </row>
    <row r="1909">
      <c r="A1909" s="35">
        <f>IF(M1909="","",HYPERLINK("https://www.youtube.com/watch?v="&amp;M1909,"▶"))</f>
        <v/>
      </c>
      <c r="B1909" s="36">
        <f>IF(C1909&lt;&gt;"",C1909,IF(P1909&lt;=IFERROR(INDEX(tblChannels[Watched Through],MATCH(N1909,tblChannels[Channel ID],0)),0),"Watched","Unwatched"))</f>
        <v/>
      </c>
      <c r="C1909" s="37" t="n"/>
      <c r="D1909" s="38" t="n"/>
      <c r="E1909" s="39" t="n">
        <v>43535.69236111111</v>
      </c>
      <c r="F1909" s="49" t="inlineStr">
        <is>
          <t>Super Carlin Gaming</t>
        </is>
      </c>
      <c r="G1909" t="inlineStr">
        <is>
          <t>Where to Study Abroad? | Super Smash Bros #28</t>
        </is>
      </c>
      <c r="H1909" s="41" t="n">
        <v>0.01435185185185185</v>
      </c>
      <c r="I1909" s="42" t="n">
        <v>6233</v>
      </c>
      <c r="J1909" s="42" t="n">
        <v>288</v>
      </c>
      <c r="K1909" s="42" t="n">
        <v>91</v>
      </c>
      <c r="L1909" s="43" t="n"/>
      <c r="M1909" s="44" t="n"/>
      <c r="N1909" s="44" t="inlineStr">
        <is>
          <t>UCor_9jRnNNZVzTuQ92PKsaQ</t>
        </is>
      </c>
      <c r="O1909" s="45" t="n">
        <v>43535.85902777778</v>
      </c>
      <c r="P1909" s="46" t="n">
        <v>43535</v>
      </c>
      <c r="Q1909" s="44" t="n">
        <v>1363</v>
      </c>
      <c r="R1909" s="44" t="inlineStr">
        <is>
          <t>No Video ID yet</t>
        </is>
      </c>
      <c r="S1909" s="46" t="n"/>
      <c r="T1909" s="46" t="n"/>
      <c r="U1909" s="44" t="n"/>
      <c r="V1909" s="44">
        <f>IF(AND(P1909&gt;=Calendar!$K$2,P1909&lt;EDATE(Calendar!$K$2,1),OR(Calendar!$K$4="*",N1909=Calendar!$K$4)),P1909*100+COUNTIFS($P$6:$P$3271,P1909,$Q$6:$Q$3271,"&lt;="&amp;Q1909,$N$6:$N$3271,Calendar!$K$4),"")</f>
        <v/>
      </c>
      <c r="W1909" s="44">
        <f>IF(AND(B1909=Queue!$C$4,OR(Queue!$K$4="*",N1909=Queue!$K$4)),Q1909,"")</f>
        <v/>
      </c>
    </row>
    <row r="1910">
      <c r="A1910" s="35">
        <f>IF(M1910="","",HYPERLINK("https://www.youtube.com/watch?v="&amp;M1910,"▶"))</f>
        <v/>
      </c>
      <c r="B1910" s="36">
        <f>IF(C1910&lt;&gt;"",C1910,IF(P1910&lt;=IFERROR(INDEX(tblChannels[Watched Through],MATCH(N1910,tblChannels[Channel ID],0)),0),"Watched","Unwatched"))</f>
        <v/>
      </c>
      <c r="C1910" s="37" t="n"/>
      <c r="D1910" s="38" t="n"/>
      <c r="E1910" s="39" t="n">
        <v>43535.43194444444</v>
      </c>
      <c r="F1910" s="50" t="inlineStr">
        <is>
          <t>Jonathan Carlin</t>
        </is>
      </c>
      <c r="G1910" t="inlineStr">
        <is>
          <t>BEN &amp; ALYCE GET ENGAGED!!</t>
        </is>
      </c>
      <c r="H1910" s="41" t="n">
        <v>0.006168981481481482</v>
      </c>
      <c r="I1910" s="42" t="n">
        <v>82535</v>
      </c>
      <c r="J1910" s="42" t="n">
        <v>5198</v>
      </c>
      <c r="K1910" s="42" t="n">
        <v>731</v>
      </c>
      <c r="L1910" s="43" t="n"/>
      <c r="M1910" s="44" t="n"/>
      <c r="N1910" s="44" t="inlineStr">
        <is>
          <t>UCYPKFe86e6nm4TVUYKLsFUQ</t>
        </is>
      </c>
      <c r="O1910" s="45" t="n">
        <v>43535.59861111111</v>
      </c>
      <c r="P1910" s="46" t="n">
        <v>43535</v>
      </c>
      <c r="Q1910" s="44" t="n">
        <v>1362</v>
      </c>
      <c r="R1910" s="44" t="inlineStr">
        <is>
          <t>No Video ID yet</t>
        </is>
      </c>
      <c r="S1910" s="46" t="n"/>
      <c r="T1910" s="46" t="n"/>
      <c r="U1910" s="44" t="n"/>
      <c r="V1910" s="44">
        <f>IF(AND(P1910&gt;=Calendar!$K$2,P1910&lt;EDATE(Calendar!$K$2,1),OR(Calendar!$K$4="*",N1910=Calendar!$K$4)),P1910*100+COUNTIFS($P$6:$P$3271,P1910,$Q$6:$Q$3271,"&lt;="&amp;Q1910,$N$6:$N$3271,Calendar!$K$4),"")</f>
        <v/>
      </c>
      <c r="W1910" s="44">
        <f>IF(AND(B1910=Queue!$C$4,OR(Queue!$K$4="*",N1910=Queue!$K$4)),Q1910,"")</f>
        <v/>
      </c>
    </row>
    <row r="1911">
      <c r="A1911" s="35">
        <f>IF(M1911="","",HYPERLINK("https://www.youtube.com/watch?v="&amp;M1911,"▶"))</f>
        <v/>
      </c>
      <c r="B1911" s="36">
        <f>IF(C1911&lt;&gt;"",C1911,IF(P1911&lt;=IFERROR(INDEX(tblChannels[Watched Through],MATCH(N1911,tblChannels[Channel ID],0)),0),"Watched","Unwatched"))</f>
        <v/>
      </c>
      <c r="C1911" s="37" t="n"/>
      <c r="D1911" s="38" t="n"/>
      <c r="E1911" s="39" t="n">
        <v>43532.78472222222</v>
      </c>
      <c r="F1911" s="47" t="inlineStr">
        <is>
          <t>Super Carlin Brothers</t>
        </is>
      </c>
      <c r="G1911" t="inlineStr">
        <is>
          <t>CAPTAIN MARVEL - Movie Review (Spoilers)</t>
        </is>
      </c>
      <c r="H1911" s="41" t="n">
        <v>0.03377314814814815</v>
      </c>
      <c r="I1911" s="42" t="n">
        <v>323080</v>
      </c>
      <c r="J1911" s="42" t="n">
        <v>9951</v>
      </c>
      <c r="K1911" s="42" t="n">
        <v>3080</v>
      </c>
      <c r="L1911" s="43" t="n"/>
      <c r="M1911" s="44" t="n"/>
      <c r="N1911" s="44" t="inlineStr">
        <is>
          <t>UCKZo4N0lVPccBkSiuyVh4yg</t>
        </is>
      </c>
      <c r="O1911" s="45" t="n">
        <v>43532.99305555555</v>
      </c>
      <c r="P1911" s="46" t="n">
        <v>43532</v>
      </c>
      <c r="Q1911" s="44" t="n">
        <v>1361</v>
      </c>
      <c r="R1911" s="44" t="inlineStr">
        <is>
          <t>No Video ID yet</t>
        </is>
      </c>
      <c r="S1911" s="46" t="n"/>
      <c r="T1911" s="46" t="n"/>
      <c r="U1911" s="44" t="n"/>
      <c r="V1911" s="44">
        <f>IF(AND(P1911&gt;=Calendar!$K$2,P1911&lt;EDATE(Calendar!$K$2,1),OR(Calendar!$K$4="*",N1911=Calendar!$K$4)),P1911*100+COUNTIFS($P$6:$P$3271,P1911,$Q$6:$Q$3271,"&lt;="&amp;Q1911,$N$6:$N$3271,Calendar!$K$4),"")</f>
        <v/>
      </c>
      <c r="W1911" s="44">
        <f>IF(AND(B1911=Queue!$C$4,OR(Queue!$K$4="*",N1911=Queue!$K$4)),Q1911,"")</f>
        <v/>
      </c>
    </row>
    <row r="1912">
      <c r="A1912" s="35">
        <f>IF(M1912="","",HYPERLINK("https://www.youtube.com/watch?v="&amp;M1912,"▶"))</f>
        <v/>
      </c>
      <c r="B1912" s="36">
        <f>IF(C1912&lt;&gt;"",C1912,IF(P1912&lt;=IFERROR(INDEX(tblChannels[Watched Through],MATCH(N1912,tblChannels[Channel ID],0)),0),"Watched","Unwatched"))</f>
        <v/>
      </c>
      <c r="C1912" s="37" t="n"/>
      <c r="D1912" s="38" t="n"/>
      <c r="E1912" s="39" t="n">
        <v>43532.4375</v>
      </c>
      <c r="F1912" s="49" t="inlineStr">
        <is>
          <t>Super Carlin Gaming</t>
        </is>
      </c>
      <c r="G1912" t="inlineStr">
        <is>
          <t>I Don't Know What To Do With My Life | Super Smash Bros #27</t>
        </is>
      </c>
      <c r="H1912" s="41" t="n">
        <v>0.008379629629629629</v>
      </c>
      <c r="I1912" s="42" t="n">
        <v>6417</v>
      </c>
      <c r="J1912" s="42" t="n">
        <v>292</v>
      </c>
      <c r="K1912" s="42" t="n">
        <v>54</v>
      </c>
      <c r="L1912" s="43" t="n"/>
      <c r="M1912" s="44" t="n"/>
      <c r="N1912" s="44" t="inlineStr">
        <is>
          <t>UCor_9jRnNNZVzTuQ92PKsaQ</t>
        </is>
      </c>
      <c r="O1912" s="45" t="n">
        <v>43532.64583333334</v>
      </c>
      <c r="P1912" s="46" t="n">
        <v>43532</v>
      </c>
      <c r="Q1912" s="44" t="n">
        <v>1360</v>
      </c>
      <c r="R1912" s="44" t="inlineStr">
        <is>
          <t>No Video ID yet</t>
        </is>
      </c>
      <c r="S1912" s="46" t="n"/>
      <c r="T1912" s="46" t="n"/>
      <c r="U1912" s="44" t="n"/>
      <c r="V1912" s="44">
        <f>IF(AND(P1912&gt;=Calendar!$K$2,P1912&lt;EDATE(Calendar!$K$2,1),OR(Calendar!$K$4="*",N1912=Calendar!$K$4)),P1912*100+COUNTIFS($P$6:$P$3271,P1912,$Q$6:$Q$3271,"&lt;="&amp;Q1912,$N$6:$N$3271,Calendar!$K$4),"")</f>
        <v/>
      </c>
      <c r="W1912" s="44">
        <f>IF(AND(B1912=Queue!$C$4,OR(Queue!$K$4="*",N1912=Queue!$K$4)),Q1912,"")</f>
        <v/>
      </c>
    </row>
    <row r="1913">
      <c r="A1913" s="35">
        <f>IF(M1913="","",HYPERLINK("https://www.youtube.com/watch?v="&amp;M1913,"▶"))</f>
        <v/>
      </c>
      <c r="B1913" s="36">
        <f>IF(C1913&lt;&gt;"",C1913,IF(P1913&lt;=IFERROR(INDEX(tblChannels[Watched Through],MATCH(N1913,tblChannels[Channel ID],0)),0),"Watched","Unwatched"))</f>
        <v/>
      </c>
      <c r="C1913" s="37" t="n"/>
      <c r="D1913" s="38" t="n"/>
      <c r="E1913" s="39" t="n">
        <v>43530.56736111111</v>
      </c>
      <c r="F1913" s="49" t="inlineStr">
        <is>
          <t>Super Carlin Gaming</t>
        </is>
      </c>
      <c r="G1913" t="inlineStr">
        <is>
          <t>Head of the Committee | Super Smash Bros #26</t>
        </is>
      </c>
      <c r="H1913" s="41" t="n">
        <v>0.009375</v>
      </c>
      <c r="I1913" s="42" t="n">
        <v>6080</v>
      </c>
      <c r="J1913" s="42" t="n">
        <v>311</v>
      </c>
      <c r="K1913" s="42" t="n">
        <v>51</v>
      </c>
      <c r="L1913" s="43" t="n"/>
      <c r="M1913" s="44" t="n"/>
      <c r="N1913" s="44" t="inlineStr">
        <is>
          <t>UCor_9jRnNNZVzTuQ92PKsaQ</t>
        </is>
      </c>
      <c r="O1913" s="45" t="n">
        <v>43530.77569444444</v>
      </c>
      <c r="P1913" s="46" t="n">
        <v>43530</v>
      </c>
      <c r="Q1913" s="44" t="n">
        <v>1359</v>
      </c>
      <c r="R1913" s="44" t="inlineStr">
        <is>
          <t>No Video ID yet</t>
        </is>
      </c>
      <c r="S1913" s="46" t="n"/>
      <c r="T1913" s="46" t="n"/>
      <c r="U1913" s="44" t="n"/>
      <c r="V1913" s="44">
        <f>IF(AND(P1913&gt;=Calendar!$K$2,P1913&lt;EDATE(Calendar!$K$2,1),OR(Calendar!$K$4="*",N1913=Calendar!$K$4)),P1913*100+COUNTIFS($P$6:$P$3271,P1913,$Q$6:$Q$3271,"&lt;="&amp;Q1913,$N$6:$N$3271,Calendar!$K$4),"")</f>
        <v/>
      </c>
      <c r="W1913" s="44">
        <f>IF(AND(B1913=Queue!$C$4,OR(Queue!$K$4="*",N1913=Queue!$K$4)),Q1913,"")</f>
        <v/>
      </c>
    </row>
    <row r="1914">
      <c r="A1914" s="35">
        <f>IF(M1914="","",HYPERLINK("https://www.youtube.com/watch?v="&amp;M1914,"▶"))</f>
        <v/>
      </c>
      <c r="B1914" s="36">
        <f>IF(C1914&lt;&gt;"",C1914,IF(P1914&lt;=IFERROR(INDEX(tblChannels[Watched Through],MATCH(N1914,tblChannels[Channel ID],0)),0),"Watched","Unwatched"))</f>
        <v/>
      </c>
      <c r="C1914" s="37" t="n"/>
      <c r="D1914" s="38" t="n"/>
      <c r="E1914" s="39" t="n">
        <v>43529.71597222222</v>
      </c>
      <c r="F1914" s="47" t="inlineStr">
        <is>
          <t>Super Carlin Brothers</t>
        </is>
      </c>
      <c r="G1914" t="inlineStr">
        <is>
          <t>J vs Ben: Ultimate MCU Trivia Quiz</t>
        </is>
      </c>
      <c r="H1914" s="41" t="n">
        <v>0.01414351851851852</v>
      </c>
      <c r="I1914" s="42" t="n">
        <v>432481</v>
      </c>
      <c r="J1914" s="42" t="n">
        <v>12862</v>
      </c>
      <c r="K1914" s="42" t="n">
        <v>2219</v>
      </c>
      <c r="L1914" s="43" t="n"/>
      <c r="M1914" s="44" t="n"/>
      <c r="N1914" s="44" t="inlineStr">
        <is>
          <t>UCKZo4N0lVPccBkSiuyVh4yg</t>
        </is>
      </c>
      <c r="O1914" s="45" t="n">
        <v>43529.92430555556</v>
      </c>
      <c r="P1914" s="46" t="n">
        <v>43529</v>
      </c>
      <c r="Q1914" s="44" t="n">
        <v>1358</v>
      </c>
      <c r="R1914" s="44" t="inlineStr">
        <is>
          <t>No Video ID yet</t>
        </is>
      </c>
      <c r="S1914" s="46" t="n"/>
      <c r="T1914" s="46" t="n"/>
      <c r="U1914" s="44" t="n"/>
      <c r="V1914" s="44">
        <f>IF(AND(P1914&gt;=Calendar!$K$2,P1914&lt;EDATE(Calendar!$K$2,1),OR(Calendar!$K$4="*",N1914=Calendar!$K$4)),P1914*100+COUNTIFS($P$6:$P$3271,P1914,$Q$6:$Q$3271,"&lt;="&amp;Q1914,$N$6:$N$3271,Calendar!$K$4),"")</f>
        <v/>
      </c>
      <c r="W1914" s="44">
        <f>IF(AND(B1914=Queue!$C$4,OR(Queue!$K$4="*",N1914=Queue!$K$4)),Q1914,"")</f>
        <v/>
      </c>
    </row>
    <row r="1915">
      <c r="A1915" s="35">
        <f>IF(M1915="","",HYPERLINK("https://www.youtube.com/watch?v="&amp;M1915,"▶"))</f>
        <v/>
      </c>
      <c r="B1915" s="36">
        <f>IF(C1915&lt;&gt;"",C1915,IF(P1915&lt;=IFERROR(INDEX(tblChannels[Watched Through],MATCH(N1915,tblChannels[Channel ID],0)),0),"Watched","Unwatched"))</f>
        <v/>
      </c>
      <c r="C1915" s="37" t="n"/>
      <c r="D1915" s="38" t="n"/>
      <c r="E1915" s="39" t="n">
        <v>43528.66041666667</v>
      </c>
      <c r="F1915" s="49" t="inlineStr">
        <is>
          <t>Super Carlin Gaming</t>
        </is>
      </c>
      <c r="G1915" t="inlineStr">
        <is>
          <t>How Can I Talk With My Parents | Super Smash Bros #25</t>
        </is>
      </c>
      <c r="H1915" s="41" t="n">
        <v>0.01456018518518518</v>
      </c>
      <c r="I1915" s="42" t="n">
        <v>7342</v>
      </c>
      <c r="J1915" s="42" t="n">
        <v>358</v>
      </c>
      <c r="K1915" s="42" t="n">
        <v>92</v>
      </c>
      <c r="L1915" s="43" t="n"/>
      <c r="M1915" s="44" t="n"/>
      <c r="N1915" s="44" t="inlineStr">
        <is>
          <t>UCor_9jRnNNZVzTuQ92PKsaQ</t>
        </is>
      </c>
      <c r="O1915" s="45" t="n">
        <v>43528.86875</v>
      </c>
      <c r="P1915" s="46" t="n">
        <v>43528</v>
      </c>
      <c r="Q1915" s="44" t="n">
        <v>1357</v>
      </c>
      <c r="R1915" s="44" t="inlineStr">
        <is>
          <t>No Video ID yet</t>
        </is>
      </c>
      <c r="S1915" s="46" t="n"/>
      <c r="T1915" s="46" t="n"/>
      <c r="U1915" s="44" t="n"/>
      <c r="V1915" s="44">
        <f>IF(AND(P1915&gt;=Calendar!$K$2,P1915&lt;EDATE(Calendar!$K$2,1),OR(Calendar!$K$4="*",N1915=Calendar!$K$4)),P1915*100+COUNTIFS($P$6:$P$3271,P1915,$Q$6:$Q$3271,"&lt;="&amp;Q1915,$N$6:$N$3271,Calendar!$K$4),"")</f>
        <v/>
      </c>
      <c r="W1915" s="44">
        <f>IF(AND(B1915=Queue!$C$4,OR(Queue!$K$4="*",N1915=Queue!$K$4)),Q1915,"")</f>
        <v/>
      </c>
    </row>
    <row r="1916">
      <c r="A1916" s="35">
        <f>IF(M1916="","",HYPERLINK("https://www.youtube.com/watch?v="&amp;M1916,"▶"))</f>
        <v/>
      </c>
      <c r="B1916" s="36">
        <f>IF(C1916&lt;&gt;"",C1916,IF(P1916&lt;=IFERROR(INDEX(tblChannels[Watched Through],MATCH(N1916,tblChannels[Channel ID],0)),0),"Watched","Unwatched"))</f>
        <v/>
      </c>
      <c r="C1916" s="37" t="n"/>
      <c r="D1916" s="38" t="n"/>
      <c r="E1916" s="39" t="n">
        <v>43528.41666666666</v>
      </c>
      <c r="F1916" s="50" t="inlineStr">
        <is>
          <t>Jonathan Carlin</t>
        </is>
      </c>
      <c r="G1916" t="inlineStr">
        <is>
          <t>GETTING AHEAD</t>
        </is>
      </c>
      <c r="H1916" s="41" t="n">
        <v>0.007002314814814815</v>
      </c>
      <c r="I1916" s="42" t="n">
        <v>28776</v>
      </c>
      <c r="J1916" s="42" t="n">
        <v>1619</v>
      </c>
      <c r="K1916" s="42" t="n">
        <v>160</v>
      </c>
      <c r="L1916" s="43" t="n"/>
      <c r="M1916" s="44" t="n"/>
      <c r="N1916" s="44" t="inlineStr">
        <is>
          <t>UCYPKFe86e6nm4TVUYKLsFUQ</t>
        </is>
      </c>
      <c r="O1916" s="45" t="n">
        <v>43528.625</v>
      </c>
      <c r="P1916" s="46" t="n">
        <v>43528</v>
      </c>
      <c r="Q1916" s="44" t="n">
        <v>1356</v>
      </c>
      <c r="R1916" s="44" t="inlineStr">
        <is>
          <t>No Video ID yet</t>
        </is>
      </c>
      <c r="S1916" s="46" t="n"/>
      <c r="T1916" s="46" t="n"/>
      <c r="U1916" s="44" t="n"/>
      <c r="V1916" s="44">
        <f>IF(AND(P1916&gt;=Calendar!$K$2,P1916&lt;EDATE(Calendar!$K$2,1),OR(Calendar!$K$4="*",N1916=Calendar!$K$4)),P1916*100+COUNTIFS($P$6:$P$3271,P1916,$Q$6:$Q$3271,"&lt;="&amp;Q1916,$N$6:$N$3271,Calendar!$K$4),"")</f>
        <v/>
      </c>
      <c r="W1916" s="44">
        <f>IF(AND(B1916=Queue!$C$4,OR(Queue!$K$4="*",N1916=Queue!$K$4)),Q1916,"")</f>
        <v/>
      </c>
    </row>
    <row r="1917">
      <c r="A1917" s="35">
        <f>IF(M1917="","",HYPERLINK("https://www.youtube.com/watch?v="&amp;M1917,"▶"))</f>
        <v/>
      </c>
      <c r="B1917" s="36">
        <f>IF(C1917&lt;&gt;"",C1917,IF(P1917&lt;=IFERROR(INDEX(tblChannels[Watched Through],MATCH(N1917,tblChannels[Channel ID],0)),0),"Watched","Unwatched"))</f>
        <v/>
      </c>
      <c r="C1917" s="37" t="n"/>
      <c r="D1917" s="38" t="n"/>
      <c r="E1917" s="39" t="n">
        <v>43526.49861111111</v>
      </c>
      <c r="F1917" s="47" t="inlineStr">
        <is>
          <t>Super Carlin Brothers</t>
        </is>
      </c>
      <c r="G1917" t="inlineStr">
        <is>
          <t>Super Carlin Brothers Meet Ups Announcement!</t>
        </is>
      </c>
      <c r="H1917" s="41" t="n">
        <v>0.00193287037037037</v>
      </c>
      <c r="I1917" s="42" t="n">
        <v>117733</v>
      </c>
      <c r="J1917" s="42" t="n">
        <v>6031</v>
      </c>
      <c r="K1917" s="42" t="n">
        <v>811</v>
      </c>
      <c r="L1917" s="43" t="n"/>
      <c r="M1917" s="44" t="n"/>
      <c r="N1917" s="44" t="inlineStr">
        <is>
          <t>UCKZo4N0lVPccBkSiuyVh4yg</t>
        </is>
      </c>
      <c r="O1917" s="45" t="n">
        <v>43526.70694444444</v>
      </c>
      <c r="P1917" s="46" t="n">
        <v>43526</v>
      </c>
      <c r="Q1917" s="44" t="n">
        <v>1355</v>
      </c>
      <c r="R1917" s="44" t="inlineStr">
        <is>
          <t>No Video ID yet</t>
        </is>
      </c>
      <c r="S1917" s="46" t="n"/>
      <c r="T1917" s="46" t="n"/>
      <c r="U1917" s="44" t="n"/>
      <c r="V1917" s="44">
        <f>IF(AND(P1917&gt;=Calendar!$K$2,P1917&lt;EDATE(Calendar!$K$2,1),OR(Calendar!$K$4="*",N1917=Calendar!$K$4)),P1917*100+COUNTIFS($P$6:$P$3271,P1917,$Q$6:$Q$3271,"&lt;="&amp;Q1917,$N$6:$N$3271,Calendar!$K$4),"")</f>
        <v/>
      </c>
      <c r="W1917" s="44">
        <f>IF(AND(B1917=Queue!$C$4,OR(Queue!$K$4="*",N1917=Queue!$K$4)),Q1917,"")</f>
        <v/>
      </c>
    </row>
    <row r="1918">
      <c r="A1918" s="35">
        <f>IF(M1918="","",HYPERLINK("https://www.youtube.com/watch?v="&amp;M1918,"▶"))</f>
        <v/>
      </c>
      <c r="B1918" s="36">
        <f>IF(C1918&lt;&gt;"",C1918,IF(P1918&lt;=IFERROR(INDEX(tblChannels[Watched Through],MATCH(N1918,tblChannels[Channel ID],0)),0),"Watched","Unwatched"))</f>
        <v/>
      </c>
      <c r="C1918" s="37" t="n"/>
      <c r="D1918" s="38" t="n"/>
      <c r="E1918" s="39" t="n">
        <v>43525.60972222222</v>
      </c>
      <c r="F1918" s="49" t="inlineStr">
        <is>
          <t>Super Carlin Gaming</t>
        </is>
      </c>
      <c r="G1918" t="inlineStr">
        <is>
          <t>Should I Get Random Roommates? | Super Smash Bros #24</t>
        </is>
      </c>
      <c r="H1918" s="41" t="n">
        <v>0.01041666666666667</v>
      </c>
      <c r="I1918" s="42" t="n">
        <v>7173</v>
      </c>
      <c r="J1918" s="42" t="n">
        <v>336</v>
      </c>
      <c r="K1918" s="42" t="n">
        <v>58</v>
      </c>
      <c r="L1918" s="43" t="n"/>
      <c r="M1918" s="44" t="n"/>
      <c r="N1918" s="44" t="inlineStr">
        <is>
          <t>UCor_9jRnNNZVzTuQ92PKsaQ</t>
        </is>
      </c>
      <c r="O1918" s="45" t="n">
        <v>43525.81805555556</v>
      </c>
      <c r="P1918" s="46" t="n">
        <v>43525</v>
      </c>
      <c r="Q1918" s="44" t="n">
        <v>1354</v>
      </c>
      <c r="R1918" s="44" t="inlineStr">
        <is>
          <t>No Video ID yet</t>
        </is>
      </c>
      <c r="S1918" s="46" t="n"/>
      <c r="T1918" s="46" t="n"/>
      <c r="U1918" s="44" t="n"/>
      <c r="V1918" s="44">
        <f>IF(AND(P1918&gt;=Calendar!$K$2,P1918&lt;EDATE(Calendar!$K$2,1),OR(Calendar!$K$4="*",N1918=Calendar!$K$4)),P1918*100+COUNTIFS($P$6:$P$3271,P1918,$Q$6:$Q$3271,"&lt;="&amp;Q1918,$N$6:$N$3271,Calendar!$K$4),"")</f>
        <v/>
      </c>
      <c r="W1918" s="44">
        <f>IF(AND(B1918=Queue!$C$4,OR(Queue!$K$4="*",N1918=Queue!$K$4)),Q1918,"")</f>
        <v/>
      </c>
    </row>
    <row r="1919">
      <c r="A1919" s="35">
        <f>IF(M1919="","",HYPERLINK("https://www.youtube.com/watch?v="&amp;M1919,"▶"))</f>
        <v/>
      </c>
      <c r="B1919" s="36">
        <f>IF(C1919&lt;&gt;"",C1919,IF(P1919&lt;=IFERROR(INDEX(tblChannels[Watched Through],MATCH(N1919,tblChannels[Channel ID],0)),0),"Watched","Unwatched"))</f>
        <v/>
      </c>
      <c r="C1919" s="37" t="n"/>
      <c r="D1919" s="38" t="n"/>
      <c r="E1919" s="39" t="n">
        <v>43524.70347222222</v>
      </c>
      <c r="F1919" s="47" t="inlineStr">
        <is>
          <t>Super Carlin Brothers</t>
        </is>
      </c>
      <c r="G1919" t="inlineStr">
        <is>
          <t>The Body Swap Scene Explained | Crimes of Grindelwald</t>
        </is>
      </c>
      <c r="H1919" s="41" t="n">
        <v>0.008344907407407407</v>
      </c>
      <c r="I1919" s="42" t="n">
        <v>531781</v>
      </c>
      <c r="J1919" s="42" t="n">
        <v>17986</v>
      </c>
      <c r="K1919" s="42" t="n">
        <v>3977</v>
      </c>
      <c r="L1919" s="43" t="n"/>
      <c r="M1919" s="44" t="n"/>
      <c r="N1919" s="44" t="inlineStr">
        <is>
          <t>UCKZo4N0lVPccBkSiuyVh4yg</t>
        </is>
      </c>
      <c r="O1919" s="45" t="n">
        <v>43524.91180555556</v>
      </c>
      <c r="P1919" s="46" t="n">
        <v>43524</v>
      </c>
      <c r="Q1919" s="44" t="n">
        <v>1353</v>
      </c>
      <c r="R1919" s="44" t="inlineStr">
        <is>
          <t>No Video ID yet</t>
        </is>
      </c>
      <c r="S1919" s="46" t="n"/>
      <c r="T1919" s="46" t="n"/>
      <c r="U1919" s="44" t="n"/>
      <c r="V1919" s="44">
        <f>IF(AND(P1919&gt;=Calendar!$K$2,P1919&lt;EDATE(Calendar!$K$2,1),OR(Calendar!$K$4="*",N1919=Calendar!$K$4)),P1919*100+COUNTIFS($P$6:$P$3271,P1919,$Q$6:$Q$3271,"&lt;="&amp;Q1919,$N$6:$N$3271,Calendar!$K$4),"")</f>
        <v/>
      </c>
      <c r="W1919" s="44">
        <f>IF(AND(B1919=Queue!$C$4,OR(Queue!$K$4="*",N1919=Queue!$K$4)),Q1919,"")</f>
        <v/>
      </c>
    </row>
    <row r="1920">
      <c r="A1920" s="35">
        <f>IF(M1920="","",HYPERLINK("https://www.youtube.com/watch?v="&amp;M1920,"▶"))</f>
        <v/>
      </c>
      <c r="B1920" s="36">
        <f>IF(C1920&lt;&gt;"",C1920,IF(P1920&lt;=IFERROR(INDEX(tblChannels[Watched Through],MATCH(N1920,tblChannels[Channel ID],0)),0),"Watched","Unwatched"))</f>
        <v/>
      </c>
      <c r="C1920" s="37" t="n"/>
      <c r="D1920" s="38" t="n"/>
      <c r="E1920" s="39" t="n">
        <v>43523.53819444445</v>
      </c>
      <c r="F1920" s="49" t="inlineStr">
        <is>
          <t>Super Carlin Gaming</t>
        </is>
      </c>
      <c r="G1920" t="inlineStr">
        <is>
          <t>I'm a Good Leader | Super Smash Bros #23</t>
        </is>
      </c>
      <c r="H1920" s="41" t="n">
        <v>0.01251157407407407</v>
      </c>
      <c r="I1920" s="42" t="n">
        <v>6581</v>
      </c>
      <c r="J1920" s="42" t="n">
        <v>338</v>
      </c>
      <c r="K1920" s="42" t="n">
        <v>90</v>
      </c>
      <c r="L1920" s="43" t="n"/>
      <c r="M1920" s="44" t="n"/>
      <c r="N1920" s="44" t="inlineStr">
        <is>
          <t>UCor_9jRnNNZVzTuQ92PKsaQ</t>
        </is>
      </c>
      <c r="O1920" s="45" t="n">
        <v>43523.74652777778</v>
      </c>
      <c r="P1920" s="46" t="n">
        <v>43523</v>
      </c>
      <c r="Q1920" s="44" t="n">
        <v>1352</v>
      </c>
      <c r="R1920" s="44" t="inlineStr">
        <is>
          <t>No Video ID yet</t>
        </is>
      </c>
      <c r="S1920" s="46" t="n"/>
      <c r="T1920" s="46" t="n"/>
      <c r="U1920" s="44" t="n"/>
      <c r="V1920" s="44">
        <f>IF(AND(P1920&gt;=Calendar!$K$2,P1920&lt;EDATE(Calendar!$K$2,1),OR(Calendar!$K$4="*",N1920=Calendar!$K$4)),P1920*100+COUNTIFS($P$6:$P$3271,P1920,$Q$6:$Q$3271,"&lt;="&amp;Q1920,$N$6:$N$3271,Calendar!$K$4),"")</f>
        <v/>
      </c>
      <c r="W1920" s="44">
        <f>IF(AND(B1920=Queue!$C$4,OR(Queue!$K$4="*",N1920=Queue!$K$4)),Q1920,"")</f>
        <v/>
      </c>
    </row>
    <row r="1921">
      <c r="A1921" s="35">
        <f>IF(M1921="","",HYPERLINK("https://www.youtube.com/watch?v="&amp;M1921,"▶"))</f>
        <v/>
      </c>
      <c r="B1921" s="36">
        <f>IF(C1921&lt;&gt;"",C1921,IF(P1921&lt;=IFERROR(INDEX(tblChannels[Watched Through],MATCH(N1921,tblChannels[Channel ID],0)),0),"Watched","Unwatched"))</f>
        <v/>
      </c>
      <c r="C1921" s="37" t="n"/>
      <c r="D1921" s="38" t="n"/>
      <c r="E1921" s="39" t="n">
        <v>43522.65763888889</v>
      </c>
      <c r="F1921" s="47" t="inlineStr">
        <is>
          <t>Super Carlin Brothers</t>
        </is>
      </c>
      <c r="G1921" t="inlineStr">
        <is>
          <t>Why Azkaban Uses Dementors | Harry Potter Explained</t>
        </is>
      </c>
      <c r="H1921" s="41" t="n">
        <v>0.008518518518518519</v>
      </c>
      <c r="I1921" s="42" t="n">
        <v>1202540</v>
      </c>
      <c r="J1921" s="42" t="n">
        <v>30508</v>
      </c>
      <c r="K1921" s="42" t="n">
        <v>2515</v>
      </c>
      <c r="L1921" s="43" t="n"/>
      <c r="M1921" s="44" t="n"/>
      <c r="N1921" s="44" t="inlineStr">
        <is>
          <t>UCKZo4N0lVPccBkSiuyVh4yg</t>
        </is>
      </c>
      <c r="O1921" s="45" t="n">
        <v>43522.86597222222</v>
      </c>
      <c r="P1921" s="46" t="n">
        <v>43522</v>
      </c>
      <c r="Q1921" s="44" t="n">
        <v>1351</v>
      </c>
      <c r="R1921" s="44" t="inlineStr">
        <is>
          <t>No Video ID yet</t>
        </is>
      </c>
      <c r="S1921" s="46" t="n"/>
      <c r="T1921" s="46" t="n"/>
      <c r="U1921" s="44" t="n"/>
      <c r="V1921" s="44">
        <f>IF(AND(P1921&gt;=Calendar!$K$2,P1921&lt;EDATE(Calendar!$K$2,1),OR(Calendar!$K$4="*",N1921=Calendar!$K$4)),P1921*100+COUNTIFS($P$6:$P$3271,P1921,$Q$6:$Q$3271,"&lt;="&amp;Q1921,$N$6:$N$3271,Calendar!$K$4),"")</f>
        <v/>
      </c>
      <c r="W1921" s="44">
        <f>IF(AND(B1921=Queue!$C$4,OR(Queue!$K$4="*",N1921=Queue!$K$4)),Q1921,"")</f>
        <v/>
      </c>
    </row>
    <row r="1922">
      <c r="A1922" s="35">
        <f>IF(M1922="","",HYPERLINK("https://www.youtube.com/watch?v="&amp;M1922,"▶"))</f>
        <v/>
      </c>
      <c r="B1922" s="36">
        <f>IF(C1922&lt;&gt;"",C1922,IF(P1922&lt;=IFERROR(INDEX(tblChannels[Watched Through],MATCH(N1922,tblChannels[Channel ID],0)),0),"Watched","Unwatched"))</f>
        <v/>
      </c>
      <c r="C1922" s="37" t="n"/>
      <c r="D1922" s="38" t="n"/>
      <c r="E1922" s="39" t="n">
        <v>43521.54652777778</v>
      </c>
      <c r="F1922" s="50" t="inlineStr">
        <is>
          <t>Jonathan Carlin</t>
        </is>
      </c>
      <c r="G1922" t="inlineStr">
        <is>
          <t>Valentines Disney Surprise!</t>
        </is>
      </c>
      <c r="H1922" s="41" t="n">
        <v>0.007222222222222222</v>
      </c>
      <c r="I1922" s="42" t="n">
        <v>30285</v>
      </c>
      <c r="J1922" s="42" t="n">
        <v>1588</v>
      </c>
      <c r="K1922" s="42" t="n">
        <v>188</v>
      </c>
      <c r="L1922" s="43" t="n"/>
      <c r="M1922" s="44" t="n"/>
      <c r="N1922" s="44" t="inlineStr">
        <is>
          <t>UCYPKFe86e6nm4TVUYKLsFUQ</t>
        </is>
      </c>
      <c r="O1922" s="45" t="n">
        <v>43521.75486111111</v>
      </c>
      <c r="P1922" s="46" t="n">
        <v>43521</v>
      </c>
      <c r="Q1922" s="44" t="n">
        <v>1350</v>
      </c>
      <c r="R1922" s="44" t="inlineStr">
        <is>
          <t>No Video ID yet</t>
        </is>
      </c>
      <c r="S1922" s="46" t="n"/>
      <c r="T1922" s="46" t="n"/>
      <c r="U1922" s="44" t="n"/>
      <c r="V1922" s="44">
        <f>IF(AND(P1922&gt;=Calendar!$K$2,P1922&lt;EDATE(Calendar!$K$2,1),OR(Calendar!$K$4="*",N1922=Calendar!$K$4)),P1922*100+COUNTIFS($P$6:$P$3271,P1922,$Q$6:$Q$3271,"&lt;="&amp;Q1922,$N$6:$N$3271,Calendar!$K$4),"")</f>
        <v/>
      </c>
      <c r="W1922" s="44">
        <f>IF(AND(B1922=Queue!$C$4,OR(Queue!$K$4="*",N1922=Queue!$K$4)),Q1922,"")</f>
        <v/>
      </c>
    </row>
    <row r="1923">
      <c r="A1923" s="35">
        <f>IF(M1923="","",HYPERLINK("https://www.youtube.com/watch?v="&amp;M1923,"▶"))</f>
        <v/>
      </c>
      <c r="B1923" s="36">
        <f>IF(C1923&lt;&gt;"",C1923,IF(P1923&lt;=IFERROR(INDEX(tblChannels[Watched Through],MATCH(N1923,tblChannels[Channel ID],0)),0),"Watched","Unwatched"))</f>
        <v/>
      </c>
      <c r="C1923" s="37" t="n"/>
      <c r="D1923" s="38" t="n"/>
      <c r="E1923" s="39" t="n">
        <v>43521.48263888889</v>
      </c>
      <c r="F1923" s="49" t="inlineStr">
        <is>
          <t>Super Carlin Gaming</t>
        </is>
      </c>
      <c r="G1923" t="inlineStr">
        <is>
          <t>The Career Backup Plan | Super Smash Bros #22</t>
        </is>
      </c>
      <c r="H1923" s="41" t="n">
        <v>0.01251157407407407</v>
      </c>
      <c r="I1923" s="42" t="n">
        <v>7480</v>
      </c>
      <c r="J1923" s="42" t="n">
        <v>377</v>
      </c>
      <c r="K1923" s="42" t="n">
        <v>110</v>
      </c>
      <c r="L1923" s="43" t="n"/>
      <c r="M1923" s="44" t="n"/>
      <c r="N1923" s="44" t="inlineStr">
        <is>
          <t>UCor_9jRnNNZVzTuQ92PKsaQ</t>
        </is>
      </c>
      <c r="O1923" s="45" t="n">
        <v>43521.69097222222</v>
      </c>
      <c r="P1923" s="46" t="n">
        <v>43521</v>
      </c>
      <c r="Q1923" s="44" t="n">
        <v>1349</v>
      </c>
      <c r="R1923" s="44" t="inlineStr">
        <is>
          <t>No Video ID yet</t>
        </is>
      </c>
      <c r="S1923" s="46" t="n"/>
      <c r="T1923" s="46" t="n"/>
      <c r="U1923" s="44" t="n"/>
      <c r="V1923" s="44">
        <f>IF(AND(P1923&gt;=Calendar!$K$2,P1923&lt;EDATE(Calendar!$K$2,1),OR(Calendar!$K$4="*",N1923=Calendar!$K$4)),P1923*100+COUNTIFS($P$6:$P$3271,P1923,$Q$6:$Q$3271,"&lt;="&amp;Q1923,$N$6:$N$3271,Calendar!$K$4),"")</f>
        <v/>
      </c>
      <c r="W1923" s="44">
        <f>IF(AND(B1923=Queue!$C$4,OR(Queue!$K$4="*",N1923=Queue!$K$4)),Q1923,"")</f>
        <v/>
      </c>
    </row>
    <row r="1924">
      <c r="A1924" s="35">
        <f>IF(M1924="","",HYPERLINK("https://www.youtube.com/watch?v="&amp;M1924,"▶"))</f>
        <v/>
      </c>
      <c r="B1924" s="36">
        <f>IF(C1924&lt;&gt;"",C1924,IF(P1924&lt;=IFERROR(INDEX(tblChannels[Watched Through],MATCH(N1924,tblChannels[Channel ID],0)),0),"Watched","Unwatched"))</f>
        <v/>
      </c>
      <c r="C1924" s="37" t="n"/>
      <c r="D1924" s="38" t="n"/>
      <c r="E1924" s="39" t="n">
        <v>43518.56736111111</v>
      </c>
      <c r="F1924" s="49" t="inlineStr">
        <is>
          <t>Super Carlin Gaming</t>
        </is>
      </c>
      <c r="G1924" t="inlineStr">
        <is>
          <t>Best Friend Dating My Enemy | Super Smash Bros #21</t>
        </is>
      </c>
      <c r="H1924" s="41" t="n">
        <v>0.009606481481481481</v>
      </c>
      <c r="I1924" s="42" t="n">
        <v>8444</v>
      </c>
      <c r="J1924" s="42" t="n">
        <v>401</v>
      </c>
      <c r="K1924" s="42" t="n">
        <v>107</v>
      </c>
      <c r="L1924" s="43" t="n"/>
      <c r="M1924" s="44" t="n"/>
      <c r="N1924" s="44" t="inlineStr">
        <is>
          <t>UCor_9jRnNNZVzTuQ92PKsaQ</t>
        </is>
      </c>
      <c r="O1924" s="45" t="n">
        <v>43518.77569444444</v>
      </c>
      <c r="P1924" s="46" t="n">
        <v>43518</v>
      </c>
      <c r="Q1924" s="44" t="n">
        <v>1348</v>
      </c>
      <c r="R1924" s="44" t="inlineStr">
        <is>
          <t>No Video ID yet</t>
        </is>
      </c>
      <c r="S1924" s="46" t="n"/>
      <c r="T1924" s="46" t="n"/>
      <c r="U1924" s="44" t="n"/>
      <c r="V1924" s="44">
        <f>IF(AND(P1924&gt;=Calendar!$K$2,P1924&lt;EDATE(Calendar!$K$2,1),OR(Calendar!$K$4="*",N1924=Calendar!$K$4)),P1924*100+COUNTIFS($P$6:$P$3271,P1924,$Q$6:$Q$3271,"&lt;="&amp;Q1924,$N$6:$N$3271,Calendar!$K$4),"")</f>
        <v/>
      </c>
      <c r="W1924" s="44">
        <f>IF(AND(B1924=Queue!$C$4,OR(Queue!$K$4="*",N1924=Queue!$K$4)),Q1924,"")</f>
        <v/>
      </c>
    </row>
    <row r="1925">
      <c r="A1925" s="35">
        <f>IF(M1925="","",HYPERLINK("https://www.youtube.com/watch?v="&amp;M1925,"▶"))</f>
        <v/>
      </c>
      <c r="B1925" s="36">
        <f>IF(C1925&lt;&gt;"",C1925,IF(P1925&lt;=IFERROR(INDEX(tblChannels[Watched Through],MATCH(N1925,tblChannels[Channel ID],0)),0),"Watched","Unwatched"))</f>
        <v/>
      </c>
      <c r="C1925" s="37" t="n"/>
      <c r="D1925" s="38" t="n"/>
      <c r="E1925" s="39" t="n">
        <v>43518.41666666666</v>
      </c>
      <c r="F1925" s="50" t="inlineStr">
        <is>
          <t>Jonathan Carlin</t>
        </is>
      </c>
      <c r="G1925" t="inlineStr">
        <is>
          <t>TURNING 31</t>
        </is>
      </c>
      <c r="H1925" s="41" t="n">
        <v>0.009155092592592593</v>
      </c>
      <c r="I1925" s="42" t="n">
        <v>32879</v>
      </c>
      <c r="J1925" s="42" t="n">
        <v>1659</v>
      </c>
      <c r="K1925" s="42" t="n">
        <v>238</v>
      </c>
      <c r="L1925" s="43" t="n"/>
      <c r="M1925" s="44" t="n"/>
      <c r="N1925" s="44" t="inlineStr">
        <is>
          <t>UCYPKFe86e6nm4TVUYKLsFUQ</t>
        </is>
      </c>
      <c r="O1925" s="45" t="n">
        <v>43518.625</v>
      </c>
      <c r="P1925" s="46" t="n">
        <v>43518</v>
      </c>
      <c r="Q1925" s="44" t="n">
        <v>1347</v>
      </c>
      <c r="R1925" s="44" t="inlineStr">
        <is>
          <t>No Video ID yet</t>
        </is>
      </c>
      <c r="S1925" s="46" t="n"/>
      <c r="T1925" s="46" t="n"/>
      <c r="U1925" s="44" t="n"/>
      <c r="V1925" s="44">
        <f>IF(AND(P1925&gt;=Calendar!$K$2,P1925&lt;EDATE(Calendar!$K$2,1),OR(Calendar!$K$4="*",N1925=Calendar!$K$4)),P1925*100+COUNTIFS($P$6:$P$3271,P1925,$Q$6:$Q$3271,"&lt;="&amp;Q1925,$N$6:$N$3271,Calendar!$K$4),"")</f>
        <v/>
      </c>
      <c r="W1925" s="44">
        <f>IF(AND(B1925=Queue!$C$4,OR(Queue!$K$4="*",N1925=Queue!$K$4)),Q1925,"")</f>
        <v/>
      </c>
    </row>
    <row r="1926">
      <c r="A1926" s="35">
        <f>IF(M1926="","",HYPERLINK("https://www.youtube.com/watch?v="&amp;M1926,"▶"))</f>
        <v/>
      </c>
      <c r="B1926" s="36">
        <f>IF(C1926&lt;&gt;"",C1926,IF(P1926&lt;=IFERROR(INDEX(tblChannels[Watched Through],MATCH(N1926,tblChannels[Channel ID],0)),0),"Watched","Unwatched"))</f>
        <v/>
      </c>
      <c r="C1926" s="37" t="n"/>
      <c r="D1926" s="38" t="n"/>
      <c r="E1926" s="39" t="n">
        <v>43517.69444444445</v>
      </c>
      <c r="F1926" s="47" t="inlineStr">
        <is>
          <t>Super Carlin Brothers</t>
        </is>
      </c>
      <c r="G1926" t="inlineStr">
        <is>
          <t>Is Jacob A Squib? | Fantastic Beasts Theory</t>
        </is>
      </c>
      <c r="H1926" s="41" t="n">
        <v>0.008483796296296297</v>
      </c>
      <c r="I1926" s="42" t="n">
        <v>641875</v>
      </c>
      <c r="J1926" s="42" t="n">
        <v>19532</v>
      </c>
      <c r="K1926" s="42" t="n">
        <v>2264</v>
      </c>
      <c r="L1926" s="43" t="n"/>
      <c r="M1926" s="44" t="n"/>
      <c r="N1926" s="44" t="inlineStr">
        <is>
          <t>UCKZo4N0lVPccBkSiuyVh4yg</t>
        </is>
      </c>
      <c r="O1926" s="45" t="n">
        <v>43517.90277777778</v>
      </c>
      <c r="P1926" s="46" t="n">
        <v>43517</v>
      </c>
      <c r="Q1926" s="44" t="n">
        <v>1346</v>
      </c>
      <c r="R1926" s="44" t="inlineStr">
        <is>
          <t>No Video ID yet</t>
        </is>
      </c>
      <c r="S1926" s="46" t="n"/>
      <c r="T1926" s="46" t="n"/>
      <c r="U1926" s="44" t="n"/>
      <c r="V1926" s="44">
        <f>IF(AND(P1926&gt;=Calendar!$K$2,P1926&lt;EDATE(Calendar!$K$2,1),OR(Calendar!$K$4="*",N1926=Calendar!$K$4)),P1926*100+COUNTIFS($P$6:$P$3271,P1926,$Q$6:$Q$3271,"&lt;="&amp;Q1926,$N$6:$N$3271,Calendar!$K$4),"")</f>
        <v/>
      </c>
      <c r="W1926" s="44">
        <f>IF(AND(B1926=Queue!$C$4,OR(Queue!$K$4="*",N1926=Queue!$K$4)),Q1926,"")</f>
        <v/>
      </c>
    </row>
    <row r="1927">
      <c r="A1927" s="35">
        <f>IF(M1927="","",HYPERLINK("https://www.youtube.com/watch?v="&amp;M1927,"▶"))</f>
        <v/>
      </c>
      <c r="B1927" s="36">
        <f>IF(C1927&lt;&gt;"",C1927,IF(P1927&lt;=IFERROR(INDEX(tblChannels[Watched Through],MATCH(N1927,tblChannels[Channel ID],0)),0),"Watched","Unwatched"))</f>
        <v/>
      </c>
      <c r="C1927" s="37" t="n"/>
      <c r="D1927" s="38" t="n"/>
      <c r="E1927" s="39" t="n">
        <v>43516.67430555556</v>
      </c>
      <c r="F1927" s="49" t="inlineStr">
        <is>
          <t>Super Carlin Gaming</t>
        </is>
      </c>
      <c r="G1927" t="inlineStr">
        <is>
          <t>Friend is Jealous of Me | Super Smash Bros #20</t>
        </is>
      </c>
      <c r="H1927" s="41" t="n">
        <v>0.008217592592592592</v>
      </c>
      <c r="I1927" s="42" t="n">
        <v>8309</v>
      </c>
      <c r="J1927" s="42" t="n">
        <v>422</v>
      </c>
      <c r="K1927" s="42" t="n">
        <v>74</v>
      </c>
      <c r="L1927" s="43" t="n"/>
      <c r="M1927" s="44" t="n"/>
      <c r="N1927" s="44" t="inlineStr">
        <is>
          <t>UCor_9jRnNNZVzTuQ92PKsaQ</t>
        </is>
      </c>
      <c r="O1927" s="45" t="n">
        <v>43516.88263888889</v>
      </c>
      <c r="P1927" s="46" t="n">
        <v>43516</v>
      </c>
      <c r="Q1927" s="44" t="n">
        <v>1345</v>
      </c>
      <c r="R1927" s="44" t="inlineStr">
        <is>
          <t>No Video ID yet</t>
        </is>
      </c>
      <c r="S1927" s="46" t="n"/>
      <c r="T1927" s="46" t="n"/>
      <c r="U1927" s="44" t="n"/>
      <c r="V1927" s="44">
        <f>IF(AND(P1927&gt;=Calendar!$K$2,P1927&lt;EDATE(Calendar!$K$2,1),OR(Calendar!$K$4="*",N1927=Calendar!$K$4)),P1927*100+COUNTIFS($P$6:$P$3271,P1927,$Q$6:$Q$3271,"&lt;="&amp;Q1927,$N$6:$N$3271,Calendar!$K$4),"")</f>
        <v/>
      </c>
      <c r="W1927" s="44">
        <f>IF(AND(B1927=Queue!$C$4,OR(Queue!$K$4="*",N1927=Queue!$K$4)),Q1927,"")</f>
        <v/>
      </c>
    </row>
    <row r="1928">
      <c r="A1928" s="35">
        <f>IF(M1928="","",HYPERLINK("https://www.youtube.com/watch?v="&amp;M1928,"▶"))</f>
        <v/>
      </c>
      <c r="B1928" s="36">
        <f>IF(C1928&lt;&gt;"",C1928,IF(P1928&lt;=IFERROR(INDEX(tblChannels[Watched Through],MATCH(N1928,tblChannels[Channel ID],0)),0),"Watched","Unwatched"))</f>
        <v/>
      </c>
      <c r="C1928" s="37" t="n"/>
      <c r="D1928" s="38" t="n"/>
      <c r="E1928" s="39" t="n">
        <v>43516.41666666666</v>
      </c>
      <c r="F1928" s="50" t="inlineStr">
        <is>
          <t>Jonathan Carlin</t>
        </is>
      </c>
      <c r="G1928" t="inlineStr">
        <is>
          <t>MOVING TO THE NEW OFFICE!</t>
        </is>
      </c>
      <c r="H1928" s="41" t="n">
        <v>0.005347222222222222</v>
      </c>
      <c r="I1928" s="42" t="n">
        <v>34983</v>
      </c>
      <c r="J1928" s="42" t="n">
        <v>1894</v>
      </c>
      <c r="K1928" s="42" t="n">
        <v>218</v>
      </c>
      <c r="L1928" s="43" t="n"/>
      <c r="M1928" s="44" t="n"/>
      <c r="N1928" s="44" t="inlineStr">
        <is>
          <t>UCYPKFe86e6nm4TVUYKLsFUQ</t>
        </is>
      </c>
      <c r="O1928" s="45" t="n">
        <v>43516.625</v>
      </c>
      <c r="P1928" s="46" t="n">
        <v>43516</v>
      </c>
      <c r="Q1928" s="44" t="n">
        <v>1344</v>
      </c>
      <c r="R1928" s="44" t="inlineStr">
        <is>
          <t>No Video ID yet</t>
        </is>
      </c>
      <c r="S1928" s="46" t="n"/>
      <c r="T1928" s="46" t="n"/>
      <c r="U1928" s="44" t="n"/>
      <c r="V1928" s="44">
        <f>IF(AND(P1928&gt;=Calendar!$K$2,P1928&lt;EDATE(Calendar!$K$2,1),OR(Calendar!$K$4="*",N1928=Calendar!$K$4)),P1928*100+COUNTIFS($P$6:$P$3271,P1928,$Q$6:$Q$3271,"&lt;="&amp;Q1928,$N$6:$N$3271,Calendar!$K$4),"")</f>
        <v/>
      </c>
      <c r="W1928" s="44">
        <f>IF(AND(B1928=Queue!$C$4,OR(Queue!$K$4="*",N1928=Queue!$K$4)),Q1928,"")</f>
        <v/>
      </c>
    </row>
    <row r="1929">
      <c r="A1929" s="35">
        <f>IF(M1929="","",HYPERLINK("https://www.youtube.com/watch?v="&amp;M1929,"▶"))</f>
        <v/>
      </c>
      <c r="B1929" s="36">
        <f>IF(C1929&lt;&gt;"",C1929,IF(P1929&lt;=IFERROR(INDEX(tblChannels[Watched Through],MATCH(N1929,tblChannels[Channel ID],0)),0),"Watched","Unwatched"))</f>
        <v/>
      </c>
      <c r="C1929" s="37" t="n"/>
      <c r="D1929" s="38" t="n"/>
      <c r="E1929" s="39" t="n">
        <v>43515.78819444445</v>
      </c>
      <c r="F1929" s="47" t="inlineStr">
        <is>
          <t>Super Carlin Brothers</t>
        </is>
      </c>
      <c r="G1929" t="inlineStr">
        <is>
          <t>FROZEN 2 RUNES DECIPHERED!</t>
        </is>
      </c>
      <c r="H1929" s="41" t="n">
        <v>0.00982638888888889</v>
      </c>
      <c r="I1929" s="42" t="n">
        <v>593747</v>
      </c>
      <c r="J1929" s="42" t="n">
        <v>25904</v>
      </c>
      <c r="K1929" s="42" t="n">
        <v>4201</v>
      </c>
      <c r="L1929" s="43" t="n"/>
      <c r="M1929" s="44" t="n"/>
      <c r="N1929" s="44" t="inlineStr">
        <is>
          <t>UCKZo4N0lVPccBkSiuyVh4yg</t>
        </is>
      </c>
      <c r="O1929" s="45" t="n">
        <v>43515.99652777778</v>
      </c>
      <c r="P1929" s="46" t="n">
        <v>43515</v>
      </c>
      <c r="Q1929" s="44" t="n">
        <v>1343</v>
      </c>
      <c r="R1929" s="44" t="inlineStr">
        <is>
          <t>No Video ID yet</t>
        </is>
      </c>
      <c r="S1929" s="46" t="n"/>
      <c r="T1929" s="46" t="n"/>
      <c r="U1929" s="44" t="n"/>
      <c r="V1929" s="44">
        <f>IF(AND(P1929&gt;=Calendar!$K$2,P1929&lt;EDATE(Calendar!$K$2,1),OR(Calendar!$K$4="*",N1929=Calendar!$K$4)),P1929*100+COUNTIFS($P$6:$P$3271,P1929,$Q$6:$Q$3271,"&lt;="&amp;Q1929,$N$6:$N$3271,Calendar!$K$4),"")</f>
        <v/>
      </c>
      <c r="W1929" s="44">
        <f>IF(AND(B1929=Queue!$C$4,OR(Queue!$K$4="*",N1929=Queue!$K$4)),Q1929,"")</f>
        <v/>
      </c>
    </row>
    <row r="1930">
      <c r="A1930" s="35">
        <f>IF(M1930="","",HYPERLINK("https://www.youtube.com/watch?v="&amp;M1930,"▶"))</f>
        <v/>
      </c>
      <c r="B1930" s="36">
        <f>IF(C1930&lt;&gt;"",C1930,IF(P1930&lt;=IFERROR(INDEX(tblChannels[Watched Through],MATCH(N1930,tblChannels[Channel ID],0)),0),"Watched","Unwatched"))</f>
        <v/>
      </c>
      <c r="C1930" s="37" t="n"/>
      <c r="D1930" s="38" t="n"/>
      <c r="E1930" s="39" t="n">
        <v>43514.72638888889</v>
      </c>
      <c r="F1930" s="49" t="inlineStr">
        <is>
          <t>Super Carlin Gaming</t>
        </is>
      </c>
      <c r="G1930" t="inlineStr">
        <is>
          <t>Track or Dance? | Super Smash Bros #19</t>
        </is>
      </c>
      <c r="H1930" s="41" t="n">
        <v>0.009513888888888889</v>
      </c>
      <c r="I1930" s="42" t="n">
        <v>7934</v>
      </c>
      <c r="J1930" s="42" t="n">
        <v>435</v>
      </c>
      <c r="K1930" s="42" t="n">
        <v>78</v>
      </c>
      <c r="L1930" s="43" t="n"/>
      <c r="M1930" s="44" t="n"/>
      <c r="N1930" s="44" t="inlineStr">
        <is>
          <t>UCor_9jRnNNZVzTuQ92PKsaQ</t>
        </is>
      </c>
      <c r="O1930" s="45" t="n">
        <v>43514.93472222222</v>
      </c>
      <c r="P1930" s="46" t="n">
        <v>43514</v>
      </c>
      <c r="Q1930" s="44" t="n">
        <v>1342</v>
      </c>
      <c r="R1930" s="44" t="inlineStr">
        <is>
          <t>No Video ID yet</t>
        </is>
      </c>
      <c r="S1930" s="46" t="n"/>
      <c r="T1930" s="46" t="n"/>
      <c r="U1930" s="44" t="n"/>
      <c r="V1930" s="44">
        <f>IF(AND(P1930&gt;=Calendar!$K$2,P1930&lt;EDATE(Calendar!$K$2,1),OR(Calendar!$K$4="*",N1930=Calendar!$K$4)),P1930*100+COUNTIFS($P$6:$P$3271,P1930,$Q$6:$Q$3271,"&lt;="&amp;Q1930,$N$6:$N$3271,Calendar!$K$4),"")</f>
        <v/>
      </c>
      <c r="W1930" s="44">
        <f>IF(AND(B1930=Queue!$C$4,OR(Queue!$K$4="*",N1930=Queue!$K$4)),Q1930,"")</f>
        <v/>
      </c>
    </row>
    <row r="1931">
      <c r="A1931" s="35">
        <f>IF(M1931="","",HYPERLINK("https://www.youtube.com/watch?v="&amp;M1931,"▶"))</f>
        <v/>
      </c>
      <c r="B1931" s="36">
        <f>IF(C1931&lt;&gt;"",C1931,IF(P1931&lt;=IFERROR(INDEX(tblChannels[Watched Through],MATCH(N1931,tblChannels[Channel ID],0)),0),"Watched","Unwatched"))</f>
        <v/>
      </c>
      <c r="C1931" s="37" t="n"/>
      <c r="D1931" s="38" t="n"/>
      <c r="E1931" s="39" t="n">
        <v>43514.42361111111</v>
      </c>
      <c r="F1931" s="50" t="inlineStr">
        <is>
          <t>Jonathan Carlin</t>
        </is>
      </c>
      <c r="G1931" t="inlineStr">
        <is>
          <t>LUKE'S FIRST STEPS!</t>
        </is>
      </c>
      <c r="H1931" s="41" t="n">
        <v>0.006400462962962963</v>
      </c>
      <c r="I1931" s="42" t="n">
        <v>35201</v>
      </c>
      <c r="J1931" s="42" t="n">
        <v>2051</v>
      </c>
      <c r="K1931" s="42" t="n">
        <v>262</v>
      </c>
      <c r="L1931" s="43" t="n"/>
      <c r="M1931" s="44" t="n"/>
      <c r="N1931" s="44" t="inlineStr">
        <is>
          <t>UCYPKFe86e6nm4TVUYKLsFUQ</t>
        </is>
      </c>
      <c r="O1931" s="45" t="n">
        <v>43514.63194444445</v>
      </c>
      <c r="P1931" s="46" t="n">
        <v>43514</v>
      </c>
      <c r="Q1931" s="44" t="n">
        <v>1341</v>
      </c>
      <c r="R1931" s="44" t="inlineStr">
        <is>
          <t>No Video ID yet</t>
        </is>
      </c>
      <c r="S1931" s="46" t="n"/>
      <c r="T1931" s="46" t="n"/>
      <c r="U1931" s="44" t="n"/>
      <c r="V1931" s="44">
        <f>IF(AND(P1931&gt;=Calendar!$K$2,P1931&lt;EDATE(Calendar!$K$2,1),OR(Calendar!$K$4="*",N1931=Calendar!$K$4)),P1931*100+COUNTIFS($P$6:$P$3271,P1931,$Q$6:$Q$3271,"&lt;="&amp;Q1931,$N$6:$N$3271,Calendar!$K$4),"")</f>
        <v/>
      </c>
      <c r="W1931" s="44">
        <f>IF(AND(B1931=Queue!$C$4,OR(Queue!$K$4="*",N1931=Queue!$K$4)),Q1931,"")</f>
        <v/>
      </c>
    </row>
    <row r="1932">
      <c r="A1932" s="35">
        <f>IF(M1932="","",HYPERLINK("https://www.youtube.com/watch?v="&amp;M1932,"▶"))</f>
        <v/>
      </c>
      <c r="B1932" s="36">
        <f>IF(C1932&lt;&gt;"",C1932,IF(P1932&lt;=IFERROR(INDEX(tblChannels[Watched Through],MATCH(N1932,tblChannels[Channel ID],0)),0),"Watched","Unwatched"))</f>
        <v/>
      </c>
      <c r="C1932" s="37" t="n"/>
      <c r="D1932" s="38" t="n"/>
      <c r="E1932" s="39" t="n">
        <v>43511.56944444445</v>
      </c>
      <c r="F1932" s="49" t="inlineStr">
        <is>
          <t>Super Carlin Gaming</t>
        </is>
      </c>
      <c r="G1932" t="inlineStr">
        <is>
          <t>Parents Won't Let Me Drive! | Super Smash Bros #18</t>
        </is>
      </c>
      <c r="H1932" s="41" t="n">
        <v>0.008391203703703705</v>
      </c>
      <c r="I1932" s="42" t="n">
        <v>7675</v>
      </c>
      <c r="J1932" s="42" t="n">
        <v>422</v>
      </c>
      <c r="K1932" s="42" t="n">
        <v>70</v>
      </c>
      <c r="L1932" s="43" t="n"/>
      <c r="M1932" s="44" t="n"/>
      <c r="N1932" s="44" t="inlineStr">
        <is>
          <t>UCor_9jRnNNZVzTuQ92PKsaQ</t>
        </is>
      </c>
      <c r="O1932" s="45" t="n">
        <v>43511.77777777778</v>
      </c>
      <c r="P1932" s="46" t="n">
        <v>43511</v>
      </c>
      <c r="Q1932" s="44" t="n">
        <v>1340</v>
      </c>
      <c r="R1932" s="44" t="inlineStr">
        <is>
          <t>No Video ID yet</t>
        </is>
      </c>
      <c r="S1932" s="46" t="n"/>
      <c r="T1932" s="46" t="n"/>
      <c r="U1932" s="44" t="n"/>
      <c r="V1932" s="44">
        <f>IF(AND(P1932&gt;=Calendar!$K$2,P1932&lt;EDATE(Calendar!$K$2,1),OR(Calendar!$K$4="*",N1932=Calendar!$K$4)),P1932*100+COUNTIFS($P$6:$P$3271,P1932,$Q$6:$Q$3271,"&lt;="&amp;Q1932,$N$6:$N$3271,Calendar!$K$4),"")</f>
        <v/>
      </c>
      <c r="W1932" s="44">
        <f>IF(AND(B1932=Queue!$C$4,OR(Queue!$K$4="*",N1932=Queue!$K$4)),Q1932,"")</f>
        <v/>
      </c>
    </row>
    <row r="1933">
      <c r="A1933" s="35">
        <f>IF(M1933="","",HYPERLINK("https://www.youtube.com/watch?v="&amp;M1933,"▶"))</f>
        <v/>
      </c>
      <c r="B1933" s="36">
        <f>IF(C1933&lt;&gt;"",C1933,IF(P1933&lt;=IFERROR(INDEX(tblChannels[Watched Through],MATCH(N1933,tblChannels[Channel ID],0)),0),"Watched","Unwatched"))</f>
        <v/>
      </c>
      <c r="C1933" s="37" t="n"/>
      <c r="D1933" s="38" t="n"/>
      <c r="E1933" s="39" t="n">
        <v>43510.70208333333</v>
      </c>
      <c r="F1933" s="47" t="inlineStr">
        <is>
          <t>Super Carlin Brothers</t>
        </is>
      </c>
      <c r="G1933" t="inlineStr">
        <is>
          <t>J vs Ben: ULTIMATE Harry Potter Valentine’s Day Quiz</t>
        </is>
      </c>
      <c r="H1933" s="41" t="n">
        <v>0.02334490740740741</v>
      </c>
      <c r="I1933" s="42" t="n">
        <v>640931</v>
      </c>
      <c r="J1933" s="42" t="n">
        <v>14015</v>
      </c>
      <c r="K1933" s="42" t="n">
        <v>2521</v>
      </c>
      <c r="L1933" s="43" t="n"/>
      <c r="M1933" s="44" t="n"/>
      <c r="N1933" s="44" t="inlineStr">
        <is>
          <t>UCKZo4N0lVPccBkSiuyVh4yg</t>
        </is>
      </c>
      <c r="O1933" s="45" t="n">
        <v>43510.91041666667</v>
      </c>
      <c r="P1933" s="46" t="n">
        <v>43510</v>
      </c>
      <c r="Q1933" s="44" t="n">
        <v>1339</v>
      </c>
      <c r="R1933" s="44" t="inlineStr">
        <is>
          <t>No Video ID yet</t>
        </is>
      </c>
      <c r="S1933" s="46" t="n"/>
      <c r="T1933" s="46" t="n"/>
      <c r="U1933" s="44" t="n"/>
      <c r="V1933" s="44">
        <f>IF(AND(P1933&gt;=Calendar!$K$2,P1933&lt;EDATE(Calendar!$K$2,1),OR(Calendar!$K$4="*",N1933=Calendar!$K$4)),P1933*100+COUNTIFS($P$6:$P$3271,P1933,$Q$6:$Q$3271,"&lt;="&amp;Q1933,$N$6:$N$3271,Calendar!$K$4),"")</f>
        <v/>
      </c>
      <c r="W1933" s="44">
        <f>IF(AND(B1933=Queue!$C$4,OR(Queue!$K$4="*",N1933=Queue!$K$4)),Q1933,"")</f>
        <v/>
      </c>
    </row>
    <row r="1934">
      <c r="A1934" s="35">
        <f>IF(M1934="","",HYPERLINK("https://www.youtube.com/watch?v="&amp;M1934,"▶"))</f>
        <v/>
      </c>
      <c r="B1934" s="36">
        <f>IF(C1934&lt;&gt;"",C1934,IF(P1934&lt;=IFERROR(INDEX(tblChannels[Watched Through],MATCH(N1934,tblChannels[Channel ID],0)),0),"Watched","Unwatched"))</f>
        <v/>
      </c>
      <c r="C1934" s="37" t="n"/>
      <c r="D1934" s="38" t="n"/>
      <c r="E1934" s="39" t="n">
        <v>43510.63194444445</v>
      </c>
      <c r="F1934" s="50" t="inlineStr">
        <is>
          <t>Jonathan Carlin</t>
        </is>
      </c>
      <c r="G1934" t="inlineStr">
        <is>
          <t>How To Get Hurt While Sleeping..</t>
        </is>
      </c>
      <c r="H1934" s="41" t="n">
        <v>0.006423611111111111</v>
      </c>
      <c r="I1934" s="42" t="n">
        <v>31391</v>
      </c>
      <c r="J1934" s="42" t="n">
        <v>1546</v>
      </c>
      <c r="K1934" s="42" t="n">
        <v>194</v>
      </c>
      <c r="L1934" s="43" t="n"/>
      <c r="M1934" s="44" t="n"/>
      <c r="N1934" s="44" t="inlineStr">
        <is>
          <t>UCYPKFe86e6nm4TVUYKLsFUQ</t>
        </is>
      </c>
      <c r="O1934" s="45" t="n">
        <v>43510.84027777778</v>
      </c>
      <c r="P1934" s="46" t="n">
        <v>43510</v>
      </c>
      <c r="Q1934" s="44" t="n">
        <v>1338</v>
      </c>
      <c r="R1934" s="44" t="inlineStr">
        <is>
          <t>No Video ID yet</t>
        </is>
      </c>
      <c r="S1934" s="46" t="n"/>
      <c r="T1934" s="46" t="n"/>
      <c r="U1934" s="44" t="n"/>
      <c r="V1934" s="44">
        <f>IF(AND(P1934&gt;=Calendar!$K$2,P1934&lt;EDATE(Calendar!$K$2,1),OR(Calendar!$K$4="*",N1934=Calendar!$K$4)),P1934*100+COUNTIFS($P$6:$P$3271,P1934,$Q$6:$Q$3271,"&lt;="&amp;Q1934,$N$6:$N$3271,Calendar!$K$4),"")</f>
        <v/>
      </c>
      <c r="W1934" s="44">
        <f>IF(AND(B1934=Queue!$C$4,OR(Queue!$K$4="*",N1934=Queue!$K$4)),Q1934,"")</f>
        <v/>
      </c>
    </row>
    <row r="1935">
      <c r="A1935" s="35">
        <f>IF(M1935="","",HYPERLINK("https://www.youtube.com/watch?v="&amp;M1935,"▶"))</f>
        <v/>
      </c>
      <c r="B1935" s="36">
        <f>IF(C1935&lt;&gt;"",C1935,IF(P1935&lt;=IFERROR(INDEX(tblChannels[Watched Through],MATCH(N1935,tblChannels[Channel ID],0)),0),"Watched","Unwatched"))</f>
        <v/>
      </c>
      <c r="C1935" s="37" t="n"/>
      <c r="D1935" s="38" t="n"/>
      <c r="E1935" s="39" t="n">
        <v>43509.45763888889</v>
      </c>
      <c r="F1935" s="49" t="inlineStr">
        <is>
          <t>Super Carlin Gaming</t>
        </is>
      </c>
      <c r="G1935" t="inlineStr">
        <is>
          <t>Separate the Good Memories from the Bad | Super Smash Bros #17</t>
        </is>
      </c>
      <c r="H1935" s="41" t="n">
        <v>0.007673611111111111</v>
      </c>
      <c r="I1935" s="42" t="n">
        <v>7784</v>
      </c>
      <c r="J1935" s="42" t="n">
        <v>426</v>
      </c>
      <c r="K1935" s="42" t="n">
        <v>67</v>
      </c>
      <c r="L1935" s="43" t="n"/>
      <c r="M1935" s="44" t="n"/>
      <c r="N1935" s="44" t="inlineStr">
        <is>
          <t>UCor_9jRnNNZVzTuQ92PKsaQ</t>
        </is>
      </c>
      <c r="O1935" s="45" t="n">
        <v>43509.66597222222</v>
      </c>
      <c r="P1935" s="46" t="n">
        <v>43509</v>
      </c>
      <c r="Q1935" s="44" t="n">
        <v>1337</v>
      </c>
      <c r="R1935" s="44" t="inlineStr">
        <is>
          <t>No Video ID yet</t>
        </is>
      </c>
      <c r="S1935" s="46" t="n"/>
      <c r="T1935" s="46" t="n"/>
      <c r="U1935" s="44" t="n"/>
      <c r="V1935" s="44">
        <f>IF(AND(P1935&gt;=Calendar!$K$2,P1935&lt;EDATE(Calendar!$K$2,1),OR(Calendar!$K$4="*",N1935=Calendar!$K$4)),P1935*100+COUNTIFS($P$6:$P$3271,P1935,$Q$6:$Q$3271,"&lt;="&amp;Q1935,$N$6:$N$3271,Calendar!$K$4),"")</f>
        <v/>
      </c>
      <c r="W1935" s="44">
        <f>IF(AND(B1935=Queue!$C$4,OR(Queue!$K$4="*",N1935=Queue!$K$4)),Q1935,"")</f>
        <v/>
      </c>
    </row>
    <row r="1936">
      <c r="A1936" s="35">
        <f>IF(M1936="","",HYPERLINK("https://www.youtube.com/watch?v="&amp;M1936,"▶"))</f>
        <v/>
      </c>
      <c r="B1936" s="36">
        <f>IF(C1936&lt;&gt;"",C1936,IF(P1936&lt;=IFERROR(INDEX(tblChannels[Watched Through],MATCH(N1936,tblChannels[Channel ID],0)),0),"Watched","Unwatched"))</f>
        <v/>
      </c>
      <c r="C1936" s="37" t="n"/>
      <c r="D1936" s="38" t="n"/>
      <c r="E1936" s="39" t="n">
        <v>43508.85138888889</v>
      </c>
      <c r="F1936" s="47" t="inlineStr">
        <is>
          <t>Super Carlin Brothers</t>
        </is>
      </c>
      <c r="G1936" t="inlineStr">
        <is>
          <t>Which Infinity Stone Is The Most Powerful? | Avengers Theory</t>
        </is>
      </c>
      <c r="H1936" s="41" t="n">
        <v>0.009976851851851851</v>
      </c>
      <c r="I1936" s="42" t="n">
        <v>1938006</v>
      </c>
      <c r="J1936" s="42" t="n">
        <v>39483</v>
      </c>
      <c r="K1936" s="42" t="n">
        <v>6426</v>
      </c>
      <c r="L1936" s="43" t="n"/>
      <c r="M1936" s="44" t="n"/>
      <c r="N1936" s="44" t="inlineStr">
        <is>
          <t>UCKZo4N0lVPccBkSiuyVh4yg</t>
        </is>
      </c>
      <c r="O1936" s="45" t="n">
        <v>43509.05972222222</v>
      </c>
      <c r="P1936" s="46" t="n">
        <v>43508</v>
      </c>
      <c r="Q1936" s="44" t="n">
        <v>1336</v>
      </c>
      <c r="R1936" s="44" t="inlineStr">
        <is>
          <t>No Video ID yet</t>
        </is>
      </c>
      <c r="S1936" s="46" t="n"/>
      <c r="T1936" s="46" t="n"/>
      <c r="U1936" s="44" t="n"/>
      <c r="V1936" s="44">
        <f>IF(AND(P1936&gt;=Calendar!$K$2,P1936&lt;EDATE(Calendar!$K$2,1),OR(Calendar!$K$4="*",N1936=Calendar!$K$4)),P1936*100+COUNTIFS($P$6:$P$3271,P1936,$Q$6:$Q$3271,"&lt;="&amp;Q1936,$N$6:$N$3271,Calendar!$K$4),"")</f>
        <v/>
      </c>
      <c r="W1936" s="44">
        <f>IF(AND(B1936=Queue!$C$4,OR(Queue!$K$4="*",N1936=Queue!$K$4)),Q1936,"")</f>
        <v/>
      </c>
    </row>
    <row r="1937">
      <c r="A1937" s="35">
        <f>IF(M1937="","",HYPERLINK("https://www.youtube.com/watch?v="&amp;M1937,"▶"))</f>
        <v/>
      </c>
      <c r="B1937" s="36">
        <f>IF(C1937&lt;&gt;"",C1937,IF(P1937&lt;=IFERROR(INDEX(tblChannels[Watched Through],MATCH(N1937,tblChannels[Channel ID],0)),0),"Watched","Unwatched"))</f>
        <v/>
      </c>
      <c r="C1937" s="37" t="n"/>
      <c r="D1937" s="38" t="n"/>
      <c r="E1937" s="39" t="n">
        <v>43507.64027777778</v>
      </c>
      <c r="F1937" s="49" t="inlineStr">
        <is>
          <t>Super Carlin Gaming</t>
        </is>
      </c>
      <c r="G1937" t="inlineStr">
        <is>
          <t>Abandoning Your Old Friends | Super Smash Bros #16</t>
        </is>
      </c>
      <c r="H1937" s="41" t="n">
        <v>0.00849537037037037</v>
      </c>
      <c r="I1937" s="42" t="n">
        <v>9091</v>
      </c>
      <c r="J1937" s="42" t="n">
        <v>431</v>
      </c>
      <c r="K1937" s="42" t="n">
        <v>61</v>
      </c>
      <c r="L1937" s="43" t="n"/>
      <c r="M1937" s="44" t="n"/>
      <c r="N1937" s="44" t="inlineStr">
        <is>
          <t>UCor_9jRnNNZVzTuQ92PKsaQ</t>
        </is>
      </c>
      <c r="O1937" s="45" t="n">
        <v>43507.84861111111</v>
      </c>
      <c r="P1937" s="46" t="n">
        <v>43507</v>
      </c>
      <c r="Q1937" s="44" t="n">
        <v>1335</v>
      </c>
      <c r="R1937" s="44" t="inlineStr">
        <is>
          <t>No Video ID yet</t>
        </is>
      </c>
      <c r="S1937" s="46" t="n"/>
      <c r="T1937" s="46" t="n"/>
      <c r="U1937" s="44" t="n"/>
      <c r="V1937" s="44">
        <f>IF(AND(P1937&gt;=Calendar!$K$2,P1937&lt;EDATE(Calendar!$K$2,1),OR(Calendar!$K$4="*",N1937=Calendar!$K$4)),P1937*100+COUNTIFS($P$6:$P$3271,P1937,$Q$6:$Q$3271,"&lt;="&amp;Q1937,$N$6:$N$3271,Calendar!$K$4),"")</f>
        <v/>
      </c>
      <c r="W1937" s="44">
        <f>IF(AND(B1937=Queue!$C$4,OR(Queue!$K$4="*",N1937=Queue!$K$4)),Q1937,"")</f>
        <v/>
      </c>
    </row>
    <row r="1938">
      <c r="A1938" s="35">
        <f>IF(M1938="","",HYPERLINK("https://www.youtube.com/watch?v="&amp;M1938,"▶"))</f>
        <v/>
      </c>
      <c r="B1938" s="36">
        <f>IF(C1938&lt;&gt;"",C1938,IF(P1938&lt;=IFERROR(INDEX(tblChannels[Watched Through],MATCH(N1938,tblChannels[Channel ID],0)),0),"Watched","Unwatched"))</f>
        <v/>
      </c>
      <c r="C1938" s="37" t="n"/>
      <c r="D1938" s="38" t="n"/>
      <c r="E1938" s="39" t="n">
        <v>43507.63472222222</v>
      </c>
      <c r="F1938" s="50" t="inlineStr">
        <is>
          <t>Jonathan Carlin</t>
        </is>
      </c>
      <c r="G1938" t="inlineStr">
        <is>
          <t>SKI TRIP - Don't Hurt Yourself!</t>
        </is>
      </c>
      <c r="H1938" s="41" t="n">
        <v>0.009837962962962963</v>
      </c>
      <c r="I1938" s="42" t="n">
        <v>29754</v>
      </c>
      <c r="J1938" s="42" t="n">
        <v>1467</v>
      </c>
      <c r="K1938" s="42" t="n">
        <v>253</v>
      </c>
      <c r="L1938" s="43" t="n"/>
      <c r="M1938" s="44" t="n"/>
      <c r="N1938" s="44" t="inlineStr">
        <is>
          <t>UCYPKFe86e6nm4TVUYKLsFUQ</t>
        </is>
      </c>
      <c r="O1938" s="45" t="n">
        <v>43507.84305555555</v>
      </c>
      <c r="P1938" s="46" t="n">
        <v>43507</v>
      </c>
      <c r="Q1938" s="44" t="n">
        <v>1334</v>
      </c>
      <c r="R1938" s="44" t="inlineStr">
        <is>
          <t>No Video ID yet</t>
        </is>
      </c>
      <c r="S1938" s="46" t="n"/>
      <c r="T1938" s="46" t="n"/>
      <c r="U1938" s="44" t="n"/>
      <c r="V1938" s="44">
        <f>IF(AND(P1938&gt;=Calendar!$K$2,P1938&lt;EDATE(Calendar!$K$2,1),OR(Calendar!$K$4="*",N1938=Calendar!$K$4)),P1938*100+COUNTIFS($P$6:$P$3271,P1938,$Q$6:$Q$3271,"&lt;="&amp;Q1938,$N$6:$N$3271,Calendar!$K$4),"")</f>
        <v/>
      </c>
      <c r="W1938" s="44">
        <f>IF(AND(B1938=Queue!$C$4,OR(Queue!$K$4="*",N1938=Queue!$K$4)),Q1938,"")</f>
        <v/>
      </c>
    </row>
    <row r="1939">
      <c r="A1939" s="35">
        <f>IF(M1939="","",HYPERLINK("https://www.youtube.com/watch?v="&amp;M1939,"▶"))</f>
        <v/>
      </c>
      <c r="B1939" s="36">
        <f>IF(C1939&lt;&gt;"",C1939,IF(P1939&lt;=IFERROR(INDEX(tblChannels[Watched Through],MATCH(N1939,tblChannels[Channel ID],0)),0),"Watched","Unwatched"))</f>
        <v/>
      </c>
      <c r="C1939" s="37" t="n"/>
      <c r="D1939" s="38" t="n"/>
      <c r="E1939" s="39" t="n">
        <v>43504.4375</v>
      </c>
      <c r="F1939" s="49" t="inlineStr">
        <is>
          <t>Super Carlin Gaming</t>
        </is>
      </c>
      <c r="G1939" t="inlineStr">
        <is>
          <t>I Can't Get a New Job | Super Smash Bros #15</t>
        </is>
      </c>
      <c r="H1939" s="41" t="n">
        <v>0.008657407407407407</v>
      </c>
      <c r="I1939" s="42" t="n">
        <v>8419</v>
      </c>
      <c r="J1939" s="42" t="n">
        <v>364</v>
      </c>
      <c r="K1939" s="42" t="n">
        <v>84</v>
      </c>
      <c r="L1939" s="43" t="n"/>
      <c r="M1939" s="44" t="n"/>
      <c r="N1939" s="44" t="inlineStr">
        <is>
          <t>UCor_9jRnNNZVzTuQ92PKsaQ</t>
        </is>
      </c>
      <c r="O1939" s="45" t="n">
        <v>43504.64583333334</v>
      </c>
      <c r="P1939" s="46" t="n">
        <v>43504</v>
      </c>
      <c r="Q1939" s="44" t="n">
        <v>1333</v>
      </c>
      <c r="R1939" s="44" t="inlineStr">
        <is>
          <t>No Video ID yet</t>
        </is>
      </c>
      <c r="S1939" s="46" t="n"/>
      <c r="T1939" s="46" t="n"/>
      <c r="U1939" s="44" t="n"/>
      <c r="V1939" s="44">
        <f>IF(AND(P1939&gt;=Calendar!$K$2,P1939&lt;EDATE(Calendar!$K$2,1),OR(Calendar!$K$4="*",N1939=Calendar!$K$4)),P1939*100+COUNTIFS($P$6:$P$3271,P1939,$Q$6:$Q$3271,"&lt;="&amp;Q1939,$N$6:$N$3271,Calendar!$K$4),"")</f>
        <v/>
      </c>
      <c r="W1939" s="44">
        <f>IF(AND(B1939=Queue!$C$4,OR(Queue!$K$4="*",N1939=Queue!$K$4)),Q1939,"")</f>
        <v/>
      </c>
    </row>
    <row r="1940">
      <c r="A1940" s="35">
        <f>IF(M1940="","",HYPERLINK("https://www.youtube.com/watch?v="&amp;M1940,"▶"))</f>
        <v/>
      </c>
      <c r="B1940" s="36">
        <f>IF(C1940&lt;&gt;"",C1940,IF(P1940&lt;=IFERROR(INDEX(tblChannels[Watched Through],MATCH(N1940,tblChannels[Channel ID],0)),0),"Watched","Unwatched"))</f>
        <v/>
      </c>
      <c r="C1940" s="37" t="n"/>
      <c r="D1940" s="38" t="n"/>
      <c r="E1940" s="39" t="n">
        <v>43503.68819444445</v>
      </c>
      <c r="F1940" s="47" t="inlineStr">
        <is>
          <t>Super Carlin Brothers</t>
        </is>
      </c>
      <c r="G1940" t="inlineStr">
        <is>
          <t>Who Does Thanos Fear Most? | Avengers Theory</t>
        </is>
      </c>
      <c r="H1940" s="41" t="n">
        <v>0.008923611111111111</v>
      </c>
      <c r="I1940" s="42" t="n">
        <v>893635</v>
      </c>
      <c r="J1940" s="42" t="n">
        <v>22857</v>
      </c>
      <c r="K1940" s="42" t="n">
        <v>3356</v>
      </c>
      <c r="L1940" s="43" t="n"/>
      <c r="M1940" s="44" t="n"/>
      <c r="N1940" s="44" t="inlineStr">
        <is>
          <t>UCKZo4N0lVPccBkSiuyVh4yg</t>
        </is>
      </c>
      <c r="O1940" s="45" t="n">
        <v>43503.89652777778</v>
      </c>
      <c r="P1940" s="46" t="n">
        <v>43503</v>
      </c>
      <c r="Q1940" s="44" t="n">
        <v>1332</v>
      </c>
      <c r="R1940" s="44" t="inlineStr">
        <is>
          <t>No Video ID yet</t>
        </is>
      </c>
      <c r="S1940" s="46" t="n"/>
      <c r="T1940" s="46" t="n"/>
      <c r="U1940" s="44" t="n"/>
      <c r="V1940" s="44">
        <f>IF(AND(P1940&gt;=Calendar!$K$2,P1940&lt;EDATE(Calendar!$K$2,1),OR(Calendar!$K$4="*",N1940=Calendar!$K$4)),P1940*100+COUNTIFS($P$6:$P$3271,P1940,$Q$6:$Q$3271,"&lt;="&amp;Q1940,$N$6:$N$3271,Calendar!$K$4),"")</f>
        <v/>
      </c>
      <c r="W1940" s="44">
        <f>IF(AND(B1940=Queue!$C$4,OR(Queue!$K$4="*",N1940=Queue!$K$4)),Q1940,"")</f>
        <v/>
      </c>
    </row>
    <row r="1941">
      <c r="A1941" s="35">
        <f>IF(M1941="","",HYPERLINK("https://www.youtube.com/watch?v="&amp;M1941,"▶"))</f>
        <v/>
      </c>
      <c r="B1941" s="36">
        <f>IF(C1941&lt;&gt;"",C1941,IF(P1941&lt;=IFERROR(INDEX(tblChannels[Watched Through],MATCH(N1941,tblChannels[Channel ID],0)),0),"Watched","Unwatched"))</f>
        <v/>
      </c>
      <c r="C1941" s="37" t="n"/>
      <c r="D1941" s="38" t="n"/>
      <c r="E1941" s="39" t="n">
        <v>43502.47569444445</v>
      </c>
      <c r="F1941" s="49" t="inlineStr">
        <is>
          <t>Super Carlin Gaming</t>
        </is>
      </c>
      <c r="G1941" t="inlineStr">
        <is>
          <t>My Parents are Treating Me Like a Child | Super Smash Bros #14</t>
        </is>
      </c>
      <c r="H1941" s="41" t="n">
        <v>0.007824074074074074</v>
      </c>
      <c r="I1941" s="42" t="n">
        <v>8717</v>
      </c>
      <c r="J1941" s="42" t="n">
        <v>374</v>
      </c>
      <c r="K1941" s="42" t="n">
        <v>73</v>
      </c>
      <c r="L1941" s="43" t="n"/>
      <c r="M1941" s="44" t="n"/>
      <c r="N1941" s="44" t="inlineStr">
        <is>
          <t>UCor_9jRnNNZVzTuQ92PKsaQ</t>
        </is>
      </c>
      <c r="O1941" s="45" t="n">
        <v>43502.68402777778</v>
      </c>
      <c r="P1941" s="46" t="n">
        <v>43502</v>
      </c>
      <c r="Q1941" s="44" t="n">
        <v>1331</v>
      </c>
      <c r="R1941" s="44" t="inlineStr">
        <is>
          <t>No Video ID yet</t>
        </is>
      </c>
      <c r="S1941" s="46" t="n"/>
      <c r="T1941" s="46" t="n"/>
      <c r="U1941" s="44" t="n"/>
      <c r="V1941" s="44">
        <f>IF(AND(P1941&gt;=Calendar!$K$2,P1941&lt;EDATE(Calendar!$K$2,1),OR(Calendar!$K$4="*",N1941=Calendar!$K$4)),P1941*100+COUNTIFS($P$6:$P$3271,P1941,$Q$6:$Q$3271,"&lt;="&amp;Q1941,$N$6:$N$3271,Calendar!$K$4),"")</f>
        <v/>
      </c>
      <c r="W1941" s="44">
        <f>IF(AND(B1941=Queue!$C$4,OR(Queue!$K$4="*",N1941=Queue!$K$4)),Q1941,"")</f>
        <v/>
      </c>
    </row>
    <row r="1942">
      <c r="A1942" s="35">
        <f>IF(M1942="","",HYPERLINK("https://www.youtube.com/watch?v="&amp;M1942,"▶"))</f>
        <v/>
      </c>
      <c r="B1942" s="36">
        <f>IF(C1942&lt;&gt;"",C1942,IF(P1942&lt;=IFERROR(INDEX(tblChannels[Watched Through],MATCH(N1942,tblChannels[Channel ID],0)),0),"Watched","Unwatched"))</f>
        <v/>
      </c>
      <c r="C1942" s="37" t="n"/>
      <c r="D1942" s="38" t="n"/>
      <c r="E1942" s="39" t="n">
        <v>43502.41527777778</v>
      </c>
      <c r="F1942" s="50" t="inlineStr">
        <is>
          <t>Jonathan Carlin</t>
        </is>
      </c>
      <c r="G1942" t="inlineStr">
        <is>
          <t>The mini New Year's Vlog!</t>
        </is>
      </c>
      <c r="H1942" s="41" t="n">
        <v>0.003761574074074074</v>
      </c>
      <c r="I1942" s="42" t="n">
        <v>19864</v>
      </c>
      <c r="J1942" s="42" t="n">
        <v>1123</v>
      </c>
      <c r="K1942" s="42" t="n">
        <v>119</v>
      </c>
      <c r="L1942" s="43" t="n"/>
      <c r="M1942" s="44" t="n"/>
      <c r="N1942" s="44" t="inlineStr">
        <is>
          <t>UCYPKFe86e6nm4TVUYKLsFUQ</t>
        </is>
      </c>
      <c r="O1942" s="45" t="n">
        <v>43502.62361111111</v>
      </c>
      <c r="P1942" s="46" t="n">
        <v>43502</v>
      </c>
      <c r="Q1942" s="44" t="n">
        <v>1330</v>
      </c>
      <c r="R1942" s="44" t="inlineStr">
        <is>
          <t>No Video ID yet</t>
        </is>
      </c>
      <c r="S1942" s="46" t="n"/>
      <c r="T1942" s="46" t="n"/>
      <c r="U1942" s="44" t="n"/>
      <c r="V1942" s="44">
        <f>IF(AND(P1942&gt;=Calendar!$K$2,P1942&lt;EDATE(Calendar!$K$2,1),OR(Calendar!$K$4="*",N1942=Calendar!$K$4)),P1942*100+COUNTIFS($P$6:$P$3271,P1942,$Q$6:$Q$3271,"&lt;="&amp;Q1942,$N$6:$N$3271,Calendar!$K$4),"")</f>
        <v/>
      </c>
      <c r="W1942" s="44">
        <f>IF(AND(B1942=Queue!$C$4,OR(Queue!$K$4="*",N1942=Queue!$K$4)),Q1942,"")</f>
        <v/>
      </c>
    </row>
    <row r="1943">
      <c r="A1943" s="35">
        <f>IF(M1943="","",HYPERLINK("https://www.youtube.com/watch?v="&amp;M1943,"▶"))</f>
        <v/>
      </c>
      <c r="B1943" s="36">
        <f>IF(C1943&lt;&gt;"",C1943,IF(P1943&lt;=IFERROR(INDEX(tblChannels[Watched Through],MATCH(N1943,tblChannels[Channel ID],0)),0),"Watched","Unwatched"))</f>
        <v/>
      </c>
      <c r="C1943" s="37" t="n"/>
      <c r="D1943" s="38" t="n"/>
      <c r="E1943" s="39" t="n">
        <v>43501.79791666667</v>
      </c>
      <c r="F1943" s="47" t="inlineStr">
        <is>
          <t>Super Carlin Brothers</t>
        </is>
      </c>
      <c r="G1943" t="inlineStr">
        <is>
          <t>Was Salazar Slytherin EVIL? | Harry Potter</t>
        </is>
      </c>
      <c r="H1943" s="41" t="n">
        <v>0.009189814814814816</v>
      </c>
      <c r="I1943" s="42" t="n">
        <v>1213136</v>
      </c>
      <c r="J1943" s="42" t="n">
        <v>33229</v>
      </c>
      <c r="K1943" s="42" t="n">
        <v>5072</v>
      </c>
      <c r="L1943" s="43" t="n"/>
      <c r="M1943" s="44" t="n"/>
      <c r="N1943" s="44" t="inlineStr">
        <is>
          <t>UCKZo4N0lVPccBkSiuyVh4yg</t>
        </is>
      </c>
      <c r="O1943" s="45" t="n">
        <v>43502.00625</v>
      </c>
      <c r="P1943" s="46" t="n">
        <v>43501</v>
      </c>
      <c r="Q1943" s="44" t="n">
        <v>1329</v>
      </c>
      <c r="R1943" s="44" t="inlineStr">
        <is>
          <t>No Video ID yet</t>
        </is>
      </c>
      <c r="S1943" s="46" t="n"/>
      <c r="T1943" s="46" t="n"/>
      <c r="U1943" s="44" t="n"/>
      <c r="V1943" s="44">
        <f>IF(AND(P1943&gt;=Calendar!$K$2,P1943&lt;EDATE(Calendar!$K$2,1),OR(Calendar!$K$4="*",N1943=Calendar!$K$4)),P1943*100+COUNTIFS($P$6:$P$3271,P1943,$Q$6:$Q$3271,"&lt;="&amp;Q1943,$N$6:$N$3271,Calendar!$K$4),"")</f>
        <v/>
      </c>
      <c r="W1943" s="44">
        <f>IF(AND(B1943=Queue!$C$4,OR(Queue!$K$4="*",N1943=Queue!$K$4)),Q1943,"")</f>
        <v/>
      </c>
    </row>
    <row r="1944">
      <c r="A1944" s="35">
        <f>IF(M1944="","",HYPERLINK("https://www.youtube.com/watch?v="&amp;M1944,"▶"))</f>
        <v/>
      </c>
      <c r="B1944" s="36">
        <f>IF(C1944&lt;&gt;"",C1944,IF(P1944&lt;=IFERROR(INDEX(tblChannels[Watched Through],MATCH(N1944,tblChannels[Channel ID],0)),0),"Watched","Unwatched"))</f>
        <v/>
      </c>
      <c r="C1944" s="37" t="n"/>
      <c r="D1944" s="38" t="n"/>
      <c r="E1944" s="39" t="n">
        <v>43500.71458333333</v>
      </c>
      <c r="F1944" s="50" t="inlineStr">
        <is>
          <t>Jonathan Carlin</t>
        </is>
      </c>
      <c r="G1944" t="inlineStr">
        <is>
          <t>THE MEGA CHRISTMAS VLOG</t>
        </is>
      </c>
      <c r="H1944" s="41" t="n">
        <v>0.01386574074074074</v>
      </c>
      <c r="I1944" s="42" t="n">
        <v>44310</v>
      </c>
      <c r="J1944" s="42" t="n">
        <v>1822</v>
      </c>
      <c r="K1944" s="42" t="n">
        <v>253</v>
      </c>
      <c r="L1944" s="43" t="n"/>
      <c r="M1944" s="44" t="n"/>
      <c r="N1944" s="44" t="inlineStr">
        <is>
          <t>UCYPKFe86e6nm4TVUYKLsFUQ</t>
        </is>
      </c>
      <c r="O1944" s="45" t="n">
        <v>43500.92291666667</v>
      </c>
      <c r="P1944" s="46" t="n">
        <v>43500</v>
      </c>
      <c r="Q1944" s="44" t="n">
        <v>1328</v>
      </c>
      <c r="R1944" s="44" t="inlineStr">
        <is>
          <t>No Video ID yet</t>
        </is>
      </c>
      <c r="S1944" s="46" t="n"/>
      <c r="T1944" s="46" t="n"/>
      <c r="U1944" s="44" t="n"/>
      <c r="V1944" s="44">
        <f>IF(AND(P1944&gt;=Calendar!$K$2,P1944&lt;EDATE(Calendar!$K$2,1),OR(Calendar!$K$4="*",N1944=Calendar!$K$4)),P1944*100+COUNTIFS($P$6:$P$3271,P1944,$Q$6:$Q$3271,"&lt;="&amp;Q1944,$N$6:$N$3271,Calendar!$K$4),"")</f>
        <v/>
      </c>
      <c r="W1944" s="44">
        <f>IF(AND(B1944=Queue!$C$4,OR(Queue!$K$4="*",N1944=Queue!$K$4)),Q1944,"")</f>
        <v/>
      </c>
    </row>
    <row r="1945">
      <c r="A1945" s="35">
        <f>IF(M1945="","",HYPERLINK("https://www.youtube.com/watch?v="&amp;M1945,"▶"))</f>
        <v/>
      </c>
      <c r="B1945" s="36">
        <f>IF(C1945&lt;&gt;"",C1945,IF(P1945&lt;=IFERROR(INDEX(tblChannels[Watched Through],MATCH(N1945,tblChannels[Channel ID],0)),0),"Watched","Unwatched"))</f>
        <v/>
      </c>
      <c r="C1945" s="37" t="n"/>
      <c r="D1945" s="38" t="n"/>
      <c r="E1945" s="39" t="n">
        <v>43500.62986111111</v>
      </c>
      <c r="F1945" s="49" t="inlineStr">
        <is>
          <t>Super Carlin Gaming</t>
        </is>
      </c>
      <c r="G1945" t="inlineStr">
        <is>
          <t>Keeping The Love Alive | Super Smash Bros #13</t>
        </is>
      </c>
      <c r="H1945" s="41" t="n">
        <v>0.00849537037037037</v>
      </c>
      <c r="I1945" s="42" t="n">
        <v>9471</v>
      </c>
      <c r="J1945" s="42" t="n">
        <v>432</v>
      </c>
      <c r="K1945" s="42" t="n">
        <v>110</v>
      </c>
      <c r="L1945" s="43" t="n"/>
      <c r="M1945" s="44" t="n"/>
      <c r="N1945" s="44" t="inlineStr">
        <is>
          <t>UCor_9jRnNNZVzTuQ92PKsaQ</t>
        </is>
      </c>
      <c r="O1945" s="45" t="n">
        <v>43500.83819444444</v>
      </c>
      <c r="P1945" s="46" t="n">
        <v>43500</v>
      </c>
      <c r="Q1945" s="44" t="n">
        <v>1327</v>
      </c>
      <c r="R1945" s="44" t="inlineStr">
        <is>
          <t>No Video ID yet</t>
        </is>
      </c>
      <c r="S1945" s="46" t="n"/>
      <c r="T1945" s="46" t="n"/>
      <c r="U1945" s="44" t="n"/>
      <c r="V1945" s="44">
        <f>IF(AND(P1945&gt;=Calendar!$K$2,P1945&lt;EDATE(Calendar!$K$2,1),OR(Calendar!$K$4="*",N1945=Calendar!$K$4)),P1945*100+COUNTIFS($P$6:$P$3271,P1945,$Q$6:$Q$3271,"&lt;="&amp;Q1945,$N$6:$N$3271,Calendar!$K$4),"")</f>
        <v/>
      </c>
      <c r="W1945" s="44">
        <f>IF(AND(B1945=Queue!$C$4,OR(Queue!$K$4="*",N1945=Queue!$K$4)),Q1945,"")</f>
        <v/>
      </c>
    </row>
    <row r="1946">
      <c r="A1946" s="35">
        <f>IF(M1946="","",HYPERLINK("https://www.youtube.com/watch?v="&amp;M1946,"▶"))</f>
        <v/>
      </c>
      <c r="B1946" s="36">
        <f>IF(C1946&lt;&gt;"",C1946,IF(P1946&lt;=IFERROR(INDEX(tblChannels[Watched Through],MATCH(N1946,tblChannels[Channel ID],0)),0),"Watched","Unwatched"))</f>
        <v/>
      </c>
      <c r="C1946" s="37" t="n"/>
      <c r="D1946" s="38" t="n"/>
      <c r="E1946" s="39" t="n">
        <v>43497.4375</v>
      </c>
      <c r="F1946" s="49" t="inlineStr">
        <is>
          <t>Super Carlin Gaming</t>
        </is>
      </c>
      <c r="G1946" t="inlineStr">
        <is>
          <t>Dropping Bowser Butts | Super Smash Bros #12</t>
        </is>
      </c>
      <c r="H1946" s="41" t="n">
        <v>0.009502314814814814</v>
      </c>
      <c r="I1946" s="42" t="n">
        <v>10309</v>
      </c>
      <c r="J1946" s="42" t="n">
        <v>431</v>
      </c>
      <c r="K1946" s="42" t="n">
        <v>74</v>
      </c>
      <c r="L1946" s="43" t="n"/>
      <c r="M1946" s="44" t="n"/>
      <c r="N1946" s="44" t="inlineStr">
        <is>
          <t>UCor_9jRnNNZVzTuQ92PKsaQ</t>
        </is>
      </c>
      <c r="O1946" s="45" t="n">
        <v>43497.64583333334</v>
      </c>
      <c r="P1946" s="46" t="n">
        <v>43497</v>
      </c>
      <c r="Q1946" s="44" t="n">
        <v>1326</v>
      </c>
      <c r="R1946" s="44" t="inlineStr">
        <is>
          <t>No Video ID yet</t>
        </is>
      </c>
      <c r="S1946" s="46" t="n"/>
      <c r="T1946" s="46" t="n"/>
      <c r="U1946" s="44" t="n"/>
      <c r="V1946" s="44">
        <f>IF(AND(P1946&gt;=Calendar!$K$2,P1946&lt;EDATE(Calendar!$K$2,1),OR(Calendar!$K$4="*",N1946=Calendar!$K$4)),P1946*100+COUNTIFS($P$6:$P$3271,P1946,$Q$6:$Q$3271,"&lt;="&amp;Q1946,$N$6:$N$3271,Calendar!$K$4),"")</f>
        <v/>
      </c>
      <c r="W1946" s="44">
        <f>IF(AND(B1946=Queue!$C$4,OR(Queue!$K$4="*",N1946=Queue!$K$4)),Q1946,"")</f>
        <v/>
      </c>
    </row>
    <row r="1947">
      <c r="A1947" s="35">
        <f>IF(M1947="","",HYPERLINK("https://www.youtube.com/watch?v="&amp;M1947,"▶"))</f>
        <v/>
      </c>
      <c r="B1947" s="36">
        <f>IF(C1947&lt;&gt;"",C1947,IF(P1947&lt;=IFERROR(INDEX(tblChannels[Watched Through],MATCH(N1947,tblChannels[Channel ID],0)),0),"Watched","Unwatched"))</f>
        <v/>
      </c>
      <c r="C1947" s="37" t="n"/>
      <c r="D1947" s="38" t="n"/>
      <c r="E1947" s="39" t="n">
        <v>43496.53055555555</v>
      </c>
      <c r="F1947" s="47" t="inlineStr">
        <is>
          <t>Super Carlin Brothers</t>
        </is>
      </c>
      <c r="G1947" t="inlineStr">
        <is>
          <t>J vs Ben: ULTIMATE Marauders Harry Potter Trivia Quiz</t>
        </is>
      </c>
      <c r="H1947" s="41" t="n">
        <v>0.0228125</v>
      </c>
      <c r="I1947" s="42" t="n">
        <v>837587</v>
      </c>
      <c r="J1947" s="42" t="n">
        <v>16380</v>
      </c>
      <c r="K1947" s="42" t="n">
        <v>2271</v>
      </c>
      <c r="L1947" s="43" t="n"/>
      <c r="M1947" s="44" t="n"/>
      <c r="N1947" s="44" t="inlineStr">
        <is>
          <t>UCKZo4N0lVPccBkSiuyVh4yg</t>
        </is>
      </c>
      <c r="O1947" s="45" t="n">
        <v>43496.73888888889</v>
      </c>
      <c r="P1947" s="46" t="n">
        <v>43496</v>
      </c>
      <c r="Q1947" s="44" t="n">
        <v>1325</v>
      </c>
      <c r="R1947" s="44" t="inlineStr">
        <is>
          <t>No Video ID yet</t>
        </is>
      </c>
      <c r="S1947" s="46" t="n"/>
      <c r="T1947" s="46" t="n"/>
      <c r="U1947" s="44" t="n"/>
      <c r="V1947" s="44">
        <f>IF(AND(P1947&gt;=Calendar!$K$2,P1947&lt;EDATE(Calendar!$K$2,1),OR(Calendar!$K$4="*",N1947=Calendar!$K$4)),P1947*100+COUNTIFS($P$6:$P$3271,P1947,$Q$6:$Q$3271,"&lt;="&amp;Q1947,$N$6:$N$3271,Calendar!$K$4),"")</f>
        <v/>
      </c>
      <c r="W1947" s="44">
        <f>IF(AND(B1947=Queue!$C$4,OR(Queue!$K$4="*",N1947=Queue!$K$4)),Q1947,"")</f>
        <v/>
      </c>
    </row>
    <row r="1948">
      <c r="A1948" s="35">
        <f>IF(M1948="","",HYPERLINK("https://www.youtube.com/watch?v="&amp;M1948,"▶"))</f>
        <v/>
      </c>
      <c r="B1948" s="36">
        <f>IF(C1948&lt;&gt;"",C1948,IF(P1948&lt;=IFERROR(INDEX(tblChannels[Watched Through],MATCH(N1948,tblChannels[Channel ID],0)),0),"Watched","Unwatched"))</f>
        <v/>
      </c>
      <c r="C1948" s="37" t="n"/>
      <c r="D1948" s="38" t="n"/>
      <c r="E1948" s="39" t="n">
        <v>43495.4375</v>
      </c>
      <c r="F1948" s="49" t="inlineStr">
        <is>
          <t>Super Carlin Gaming</t>
        </is>
      </c>
      <c r="G1948" t="inlineStr">
        <is>
          <t>Struggling With My Favorite Subject | Super Smash Bros #11</t>
        </is>
      </c>
      <c r="H1948" s="41" t="n">
        <v>0.009363425925925926</v>
      </c>
      <c r="I1948" s="42" t="n">
        <v>9678</v>
      </c>
      <c r="J1948" s="42" t="n">
        <v>463</v>
      </c>
      <c r="K1948" s="42" t="n">
        <v>69</v>
      </c>
      <c r="L1948" s="43" t="n"/>
      <c r="M1948" s="44" t="n"/>
      <c r="N1948" s="44" t="inlineStr">
        <is>
          <t>UCor_9jRnNNZVzTuQ92PKsaQ</t>
        </is>
      </c>
      <c r="O1948" s="45" t="n">
        <v>43495.64583333334</v>
      </c>
      <c r="P1948" s="46" t="n">
        <v>43495</v>
      </c>
      <c r="Q1948" s="44" t="n">
        <v>1324</v>
      </c>
      <c r="R1948" s="44" t="inlineStr">
        <is>
          <t>No Video ID yet</t>
        </is>
      </c>
      <c r="S1948" s="46" t="n"/>
      <c r="T1948" s="46" t="n"/>
      <c r="U1948" s="44" t="n"/>
      <c r="V1948" s="44">
        <f>IF(AND(P1948&gt;=Calendar!$K$2,P1948&lt;EDATE(Calendar!$K$2,1),OR(Calendar!$K$4="*",N1948=Calendar!$K$4)),P1948*100+COUNTIFS($P$6:$P$3271,P1948,$Q$6:$Q$3271,"&lt;="&amp;Q1948,$N$6:$N$3271,Calendar!$K$4),"")</f>
        <v/>
      </c>
      <c r="W1948" s="44">
        <f>IF(AND(B1948=Queue!$C$4,OR(Queue!$K$4="*",N1948=Queue!$K$4)),Q1948,"")</f>
        <v/>
      </c>
    </row>
    <row r="1949">
      <c r="A1949" s="35">
        <f>IF(M1949="","",HYPERLINK("https://www.youtube.com/watch?v="&amp;M1949,"▶"))</f>
        <v/>
      </c>
      <c r="B1949" s="36">
        <f>IF(C1949&lt;&gt;"",C1949,IF(P1949&lt;=IFERROR(INDEX(tblChannels[Watched Through],MATCH(N1949,tblChannels[Channel ID],0)),0),"Watched","Unwatched"))</f>
        <v/>
      </c>
      <c r="C1949" s="37" t="n"/>
      <c r="D1949" s="38" t="n"/>
      <c r="E1949" s="39" t="n">
        <v>43494.7125</v>
      </c>
      <c r="F1949" s="47" t="inlineStr">
        <is>
          <t>Super Carlin Brothers</t>
        </is>
      </c>
      <c r="G1949" t="inlineStr">
        <is>
          <t>Could A Dementor Destroy A Horcrux? | Harry Potter Theory</t>
        </is>
      </c>
      <c r="H1949" s="41" t="n">
        <v>0.007175925925925926</v>
      </c>
      <c r="I1949" s="42" t="n">
        <v>964154</v>
      </c>
      <c r="J1949" s="42" t="n">
        <v>27720</v>
      </c>
      <c r="K1949" s="42" t="n">
        <v>3250</v>
      </c>
      <c r="L1949" s="43" t="n"/>
      <c r="M1949" s="44" t="n"/>
      <c r="N1949" s="44" t="inlineStr">
        <is>
          <t>UCKZo4N0lVPccBkSiuyVh4yg</t>
        </is>
      </c>
      <c r="O1949" s="45" t="n">
        <v>43494.92083333333</v>
      </c>
      <c r="P1949" s="46" t="n">
        <v>43494</v>
      </c>
      <c r="Q1949" s="44" t="n">
        <v>1323</v>
      </c>
      <c r="R1949" s="44" t="inlineStr">
        <is>
          <t>No Video ID yet</t>
        </is>
      </c>
      <c r="S1949" s="46" t="n"/>
      <c r="T1949" s="46" t="n"/>
      <c r="U1949" s="44" t="n"/>
      <c r="V1949" s="44">
        <f>IF(AND(P1949&gt;=Calendar!$K$2,P1949&lt;EDATE(Calendar!$K$2,1),OR(Calendar!$K$4="*",N1949=Calendar!$K$4)),P1949*100+COUNTIFS($P$6:$P$3271,P1949,$Q$6:$Q$3271,"&lt;="&amp;Q1949,$N$6:$N$3271,Calendar!$K$4),"")</f>
        <v/>
      </c>
      <c r="W1949" s="44">
        <f>IF(AND(B1949=Queue!$C$4,OR(Queue!$K$4="*",N1949=Queue!$K$4)),Q1949,"")</f>
        <v/>
      </c>
    </row>
    <row r="1950">
      <c r="A1950" s="35">
        <f>IF(M1950="","",HYPERLINK("https://www.youtube.com/watch?v="&amp;M1950,"▶"))</f>
        <v/>
      </c>
      <c r="B1950" s="36">
        <f>IF(C1950&lt;&gt;"",C1950,IF(P1950&lt;=IFERROR(INDEX(tblChannels[Watched Through],MATCH(N1950,tblChannels[Channel ID],0)),0),"Watched","Unwatched"))</f>
        <v/>
      </c>
      <c r="C1950" s="37" t="n"/>
      <c r="D1950" s="38" t="n"/>
      <c r="E1950" s="39" t="n">
        <v>43493.5375</v>
      </c>
      <c r="F1950" s="49" t="inlineStr">
        <is>
          <t>Super Carlin Gaming</t>
        </is>
      </c>
      <c r="G1950" t="inlineStr">
        <is>
          <t>Am I the Leader? | Super Smash Bros #10</t>
        </is>
      </c>
      <c r="H1950" s="41" t="n">
        <v>0.0103587962962963</v>
      </c>
      <c r="I1950" s="42" t="n">
        <v>10641</v>
      </c>
      <c r="J1950" s="42" t="n">
        <v>470</v>
      </c>
      <c r="K1950" s="42" t="n">
        <v>77</v>
      </c>
      <c r="L1950" s="43" t="n"/>
      <c r="M1950" s="44" t="n"/>
      <c r="N1950" s="44" t="inlineStr">
        <is>
          <t>UCor_9jRnNNZVzTuQ92PKsaQ</t>
        </is>
      </c>
      <c r="O1950" s="45" t="n">
        <v>43493.74583333333</v>
      </c>
      <c r="P1950" s="46" t="n">
        <v>43493</v>
      </c>
      <c r="Q1950" s="44" t="n">
        <v>1322</v>
      </c>
      <c r="R1950" s="44" t="inlineStr">
        <is>
          <t>No Video ID yet</t>
        </is>
      </c>
      <c r="S1950" s="46" t="n"/>
      <c r="T1950" s="46" t="n"/>
      <c r="U1950" s="44" t="n"/>
      <c r="V1950" s="44">
        <f>IF(AND(P1950&gt;=Calendar!$K$2,P1950&lt;EDATE(Calendar!$K$2,1),OR(Calendar!$K$4="*",N1950=Calendar!$K$4)),P1950*100+COUNTIFS($P$6:$P$3271,P1950,$Q$6:$Q$3271,"&lt;="&amp;Q1950,$N$6:$N$3271,Calendar!$K$4),"")</f>
        <v/>
      </c>
      <c r="W1950" s="44">
        <f>IF(AND(B1950=Queue!$C$4,OR(Queue!$K$4="*",N1950=Queue!$K$4)),Q1950,"")</f>
        <v/>
      </c>
    </row>
    <row r="1951">
      <c r="A1951" s="35">
        <f>IF(M1951="","",HYPERLINK("https://www.youtube.com/watch?v="&amp;M1951,"▶"))</f>
        <v/>
      </c>
      <c r="B1951" s="36">
        <f>IF(C1951&lt;&gt;"",C1951,IF(P1951&lt;=IFERROR(INDEX(tblChannels[Watched Through],MATCH(N1951,tblChannels[Channel ID],0)),0),"Watched","Unwatched"))</f>
        <v/>
      </c>
      <c r="C1951" s="37" t="n"/>
      <c r="D1951" s="38" t="n"/>
      <c r="E1951" s="39" t="n">
        <v>43490.41666666666</v>
      </c>
      <c r="F1951" s="49" t="inlineStr">
        <is>
          <t>Super Carlin Gaming</t>
        </is>
      </c>
      <c r="G1951" t="inlineStr">
        <is>
          <t>I Wanna Change Schools! | Super Smash Bros #9</t>
        </is>
      </c>
      <c r="H1951" s="41" t="n">
        <v>0.01105324074074074</v>
      </c>
      <c r="I1951" s="42" t="n">
        <v>11503</v>
      </c>
      <c r="J1951" s="42" t="n">
        <v>484</v>
      </c>
      <c r="K1951" s="42" t="n">
        <v>101</v>
      </c>
      <c r="L1951" s="43" t="n"/>
      <c r="M1951" s="44" t="n"/>
      <c r="N1951" s="44" t="inlineStr">
        <is>
          <t>UCor_9jRnNNZVzTuQ92PKsaQ</t>
        </is>
      </c>
      <c r="O1951" s="45" t="n">
        <v>43490.625</v>
      </c>
      <c r="P1951" s="46" t="n">
        <v>43490</v>
      </c>
      <c r="Q1951" s="44" t="n">
        <v>1321</v>
      </c>
      <c r="R1951" s="44" t="inlineStr">
        <is>
          <t>No Video ID yet</t>
        </is>
      </c>
      <c r="S1951" s="46" t="n"/>
      <c r="T1951" s="46" t="n"/>
      <c r="U1951" s="44" t="n"/>
      <c r="V1951" s="44">
        <f>IF(AND(P1951&gt;=Calendar!$K$2,P1951&lt;EDATE(Calendar!$K$2,1),OR(Calendar!$K$4="*",N1951=Calendar!$K$4)),P1951*100+COUNTIFS($P$6:$P$3271,P1951,$Q$6:$Q$3271,"&lt;="&amp;Q1951,$N$6:$N$3271,Calendar!$K$4),"")</f>
        <v/>
      </c>
      <c r="W1951" s="44">
        <f>IF(AND(B1951=Queue!$C$4,OR(Queue!$K$4="*",N1951=Queue!$K$4)),Q1951,"")</f>
        <v/>
      </c>
    </row>
    <row r="1952">
      <c r="A1952" s="35">
        <f>IF(M1952="","",HYPERLINK("https://www.youtube.com/watch?v="&amp;M1952,"▶"))</f>
        <v/>
      </c>
      <c r="B1952" s="36">
        <f>IF(C1952&lt;&gt;"",C1952,IF(P1952&lt;=IFERROR(INDEX(tblChannels[Watched Through],MATCH(N1952,tblChannels[Channel ID],0)),0),"Watched","Unwatched"))</f>
        <v/>
      </c>
      <c r="C1952" s="37" t="n"/>
      <c r="D1952" s="38" t="n"/>
      <c r="E1952" s="39" t="n">
        <v>43489.82361111111</v>
      </c>
      <c r="F1952" s="47" t="inlineStr">
        <is>
          <t>Super Carlin Brothers</t>
        </is>
      </c>
      <c r="G1952" t="inlineStr">
        <is>
          <t>How Nick Fury Lost His Eye | Marvel Theory</t>
        </is>
      </c>
      <c r="H1952" s="41" t="n">
        <v>0.00832175925925926</v>
      </c>
      <c r="I1952" s="42" t="n">
        <v>376238</v>
      </c>
      <c r="J1952" s="42" t="n">
        <v>12443</v>
      </c>
      <c r="K1952" s="42" t="n">
        <v>1779</v>
      </c>
      <c r="L1952" s="43" t="n"/>
      <c r="M1952" s="44" t="n"/>
      <c r="N1952" s="44" t="inlineStr">
        <is>
          <t>UCKZo4N0lVPccBkSiuyVh4yg</t>
        </is>
      </c>
      <c r="O1952" s="45" t="n">
        <v>43490.03194444445</v>
      </c>
      <c r="P1952" s="46" t="n">
        <v>43489</v>
      </c>
      <c r="Q1952" s="44" t="n">
        <v>1320</v>
      </c>
      <c r="R1952" s="44" t="inlineStr">
        <is>
          <t>No Video ID yet</t>
        </is>
      </c>
      <c r="S1952" s="46" t="n"/>
      <c r="T1952" s="46" t="n"/>
      <c r="U1952" s="44" t="n"/>
      <c r="V1952" s="44">
        <f>IF(AND(P1952&gt;=Calendar!$K$2,P1952&lt;EDATE(Calendar!$K$2,1),OR(Calendar!$K$4="*",N1952=Calendar!$K$4)),P1952*100+COUNTIFS($P$6:$P$3271,P1952,$Q$6:$Q$3271,"&lt;="&amp;Q1952,$N$6:$N$3271,Calendar!$K$4),"")</f>
        <v/>
      </c>
      <c r="W1952" s="44">
        <f>IF(AND(B1952=Queue!$C$4,OR(Queue!$K$4="*",N1952=Queue!$K$4)),Q1952,"")</f>
        <v/>
      </c>
    </row>
    <row r="1953">
      <c r="A1953" s="35">
        <f>IF(M1953="","",HYPERLINK("https://www.youtube.com/watch?v="&amp;M1953,"▶"))</f>
        <v/>
      </c>
      <c r="B1953" s="36">
        <f>IF(C1953&lt;&gt;"",C1953,IF(P1953&lt;=IFERROR(INDEX(tblChannels[Watched Through],MATCH(N1953,tblChannels[Channel ID],0)),0),"Watched","Unwatched"))</f>
        <v/>
      </c>
      <c r="C1953" s="37" t="n"/>
      <c r="D1953" s="38" t="n"/>
      <c r="E1953" s="39" t="n">
        <v>43488.43263888889</v>
      </c>
      <c r="F1953" s="49" t="inlineStr">
        <is>
          <t>Super Carlin Gaming</t>
        </is>
      </c>
      <c r="G1953" t="inlineStr">
        <is>
          <t>You're a Fake Fan | Super Smash Bros #8</t>
        </is>
      </c>
      <c r="H1953" s="41" t="n">
        <v>0.01126157407407407</v>
      </c>
      <c r="I1953" s="42" t="n">
        <v>12847</v>
      </c>
      <c r="J1953" s="42" t="n">
        <v>552</v>
      </c>
      <c r="K1953" s="42" t="n">
        <v>118</v>
      </c>
      <c r="L1953" s="43" t="n"/>
      <c r="M1953" s="44" t="n"/>
      <c r="N1953" s="44" t="inlineStr">
        <is>
          <t>UCor_9jRnNNZVzTuQ92PKsaQ</t>
        </is>
      </c>
      <c r="O1953" s="45" t="n">
        <v>43488.64097222222</v>
      </c>
      <c r="P1953" s="46" t="n">
        <v>43488</v>
      </c>
      <c r="Q1953" s="44" t="n">
        <v>1319</v>
      </c>
      <c r="R1953" s="44" t="inlineStr">
        <is>
          <t>No Video ID yet</t>
        </is>
      </c>
      <c r="S1953" s="46" t="n"/>
      <c r="T1953" s="46" t="n"/>
      <c r="U1953" s="44" t="n"/>
      <c r="V1953" s="44">
        <f>IF(AND(P1953&gt;=Calendar!$K$2,P1953&lt;EDATE(Calendar!$K$2,1),OR(Calendar!$K$4="*",N1953=Calendar!$K$4)),P1953*100+COUNTIFS($P$6:$P$3271,P1953,$Q$6:$Q$3271,"&lt;="&amp;Q1953,$N$6:$N$3271,Calendar!$K$4),"")</f>
        <v/>
      </c>
      <c r="W1953" s="44">
        <f>IF(AND(B1953=Queue!$C$4,OR(Queue!$K$4="*",N1953=Queue!$K$4)),Q1953,"")</f>
        <v/>
      </c>
    </row>
    <row r="1954">
      <c r="A1954" s="35">
        <f>IF(M1954="","",HYPERLINK("https://www.youtube.com/watch?v="&amp;M1954,"▶"))</f>
        <v/>
      </c>
      <c r="B1954" s="36">
        <f>IF(C1954&lt;&gt;"",C1954,IF(P1954&lt;=IFERROR(INDEX(tblChannels[Watched Through],MATCH(N1954,tblChannels[Channel ID],0)),0),"Watched","Unwatched"))</f>
        <v/>
      </c>
      <c r="C1954" s="37" t="n"/>
      <c r="D1954" s="38" t="n"/>
      <c r="E1954" s="39" t="n">
        <v>43488.42916666667</v>
      </c>
      <c r="F1954" s="50" t="inlineStr">
        <is>
          <t>Jonathan Carlin</t>
        </is>
      </c>
      <c r="G1954" t="inlineStr">
        <is>
          <t>Trying To Get A PERFECT Score on Buzz Lightyear Space Ranger Spin</t>
        </is>
      </c>
      <c r="H1954" s="41" t="n">
        <v>0.004224537037037037</v>
      </c>
      <c r="I1954" s="42" t="n">
        <v>30794</v>
      </c>
      <c r="J1954" s="42" t="n">
        <v>1535</v>
      </c>
      <c r="K1954" s="42" t="n">
        <v>69</v>
      </c>
      <c r="L1954" s="43" t="n"/>
      <c r="M1954" s="44" t="n"/>
      <c r="N1954" s="44" t="inlineStr">
        <is>
          <t>UCYPKFe86e6nm4TVUYKLsFUQ</t>
        </is>
      </c>
      <c r="O1954" s="45" t="n">
        <v>43488.6375</v>
      </c>
      <c r="P1954" s="46" t="n">
        <v>43488</v>
      </c>
      <c r="Q1954" s="44" t="n">
        <v>1318</v>
      </c>
      <c r="R1954" s="44" t="inlineStr">
        <is>
          <t>No Video ID yet</t>
        </is>
      </c>
      <c r="S1954" s="46" t="n"/>
      <c r="T1954" s="46" t="n"/>
      <c r="U1954" s="44" t="n"/>
      <c r="V1954" s="44">
        <f>IF(AND(P1954&gt;=Calendar!$K$2,P1954&lt;EDATE(Calendar!$K$2,1),OR(Calendar!$K$4="*",N1954=Calendar!$K$4)),P1954*100+COUNTIFS($P$6:$P$3271,P1954,$Q$6:$Q$3271,"&lt;="&amp;Q1954,$N$6:$N$3271,Calendar!$K$4),"")</f>
        <v/>
      </c>
      <c r="W1954" s="44">
        <f>IF(AND(B1954=Queue!$C$4,OR(Queue!$K$4="*",N1954=Queue!$K$4)),Q1954,"")</f>
        <v/>
      </c>
    </row>
    <row r="1955">
      <c r="A1955" s="35">
        <f>IF(M1955="","",HYPERLINK("https://www.youtube.com/watch?v="&amp;M1955,"▶"))</f>
        <v/>
      </c>
      <c r="B1955" s="36">
        <f>IF(C1955&lt;&gt;"",C1955,IF(P1955&lt;=IFERROR(INDEX(tblChannels[Watched Through],MATCH(N1955,tblChannels[Channel ID],0)),0),"Watched","Unwatched"))</f>
        <v/>
      </c>
      <c r="C1955" s="37" t="n"/>
      <c r="D1955" s="38" t="n"/>
      <c r="E1955" s="39" t="n">
        <v>43487.73680555556</v>
      </c>
      <c r="F1955" s="47" t="inlineStr">
        <is>
          <t>Super Carlin Brothers</t>
        </is>
      </c>
      <c r="G1955" t="inlineStr">
        <is>
          <t>Why Luna Is Actually Snape | Harry Potter Explained</t>
        </is>
      </c>
      <c r="H1955" s="41" t="n">
        <v>0.009062499999999999</v>
      </c>
      <c r="I1955" s="42" t="n">
        <v>1612178</v>
      </c>
      <c r="J1955" s="42" t="n">
        <v>49532</v>
      </c>
      <c r="K1955" s="42" t="n">
        <v>5377</v>
      </c>
      <c r="L1955" s="43" t="n"/>
      <c r="M1955" s="44" t="n"/>
      <c r="N1955" s="44" t="inlineStr">
        <is>
          <t>UCKZo4N0lVPccBkSiuyVh4yg</t>
        </is>
      </c>
      <c r="O1955" s="45" t="n">
        <v>43487.94513888889</v>
      </c>
      <c r="P1955" s="46" t="n">
        <v>43487</v>
      </c>
      <c r="Q1955" s="44" t="n">
        <v>1317</v>
      </c>
      <c r="R1955" s="44" t="inlineStr">
        <is>
          <t>No Video ID yet</t>
        </is>
      </c>
      <c r="S1955" s="46" t="n"/>
      <c r="T1955" s="46" t="n"/>
      <c r="U1955" s="44" t="n"/>
      <c r="V1955" s="44">
        <f>IF(AND(P1955&gt;=Calendar!$K$2,P1955&lt;EDATE(Calendar!$K$2,1),OR(Calendar!$K$4="*",N1955=Calendar!$K$4)),P1955*100+COUNTIFS($P$6:$P$3271,P1955,$Q$6:$Q$3271,"&lt;="&amp;Q1955,$N$6:$N$3271,Calendar!$K$4),"")</f>
        <v/>
      </c>
      <c r="W1955" s="44">
        <f>IF(AND(B1955=Queue!$C$4,OR(Queue!$K$4="*",N1955=Queue!$K$4)),Q1955,"")</f>
        <v/>
      </c>
    </row>
    <row r="1956">
      <c r="A1956" s="35">
        <f>IF(M1956="","",HYPERLINK("https://www.youtube.com/watch?v="&amp;M1956,"▶"))</f>
        <v/>
      </c>
      <c r="B1956" s="36">
        <f>IF(C1956&lt;&gt;"",C1956,IF(P1956&lt;=IFERROR(INDEX(tblChannels[Watched Through],MATCH(N1956,tblChannels[Channel ID],0)),0),"Watched","Unwatched"))</f>
        <v/>
      </c>
      <c r="C1956" s="37" t="n"/>
      <c r="D1956" s="38" t="n"/>
      <c r="E1956" s="39" t="n">
        <v>43486.56527777778</v>
      </c>
      <c r="F1956" s="50" t="inlineStr">
        <is>
          <t>Jonathan Carlin</t>
        </is>
      </c>
      <c r="G1956" t="inlineStr">
        <is>
          <t>SNOW DAY!</t>
        </is>
      </c>
      <c r="H1956" s="41" t="n">
        <v>0.007361111111111111</v>
      </c>
      <c r="I1956" s="42" t="n">
        <v>31074</v>
      </c>
      <c r="J1956" s="42" t="n">
        <v>1597</v>
      </c>
      <c r="K1956" s="42" t="n">
        <v>194</v>
      </c>
      <c r="L1956" s="43" t="n"/>
      <c r="M1956" s="44" t="n"/>
      <c r="N1956" s="44" t="inlineStr">
        <is>
          <t>UCYPKFe86e6nm4TVUYKLsFUQ</t>
        </is>
      </c>
      <c r="O1956" s="45" t="n">
        <v>43486.77361111111</v>
      </c>
      <c r="P1956" s="46" t="n">
        <v>43486</v>
      </c>
      <c r="Q1956" s="44" t="n">
        <v>1316</v>
      </c>
      <c r="R1956" s="44" t="inlineStr">
        <is>
          <t>No Video ID yet</t>
        </is>
      </c>
      <c r="S1956" s="46" t="n"/>
      <c r="T1956" s="46" t="n"/>
      <c r="U1956" s="44" t="n"/>
      <c r="V1956" s="44">
        <f>IF(AND(P1956&gt;=Calendar!$K$2,P1956&lt;EDATE(Calendar!$K$2,1),OR(Calendar!$K$4="*",N1956=Calendar!$K$4)),P1956*100+COUNTIFS($P$6:$P$3271,P1956,$Q$6:$Q$3271,"&lt;="&amp;Q1956,$N$6:$N$3271,Calendar!$K$4),"")</f>
        <v/>
      </c>
      <c r="W1956" s="44">
        <f>IF(AND(B1956=Queue!$C$4,OR(Queue!$K$4="*",N1956=Queue!$K$4)),Q1956,"")</f>
        <v/>
      </c>
    </row>
    <row r="1957">
      <c r="A1957" s="35">
        <f>IF(M1957="","",HYPERLINK("https://www.youtube.com/watch?v="&amp;M1957,"▶"))</f>
        <v/>
      </c>
      <c r="B1957" s="36">
        <f>IF(C1957&lt;&gt;"",C1957,IF(P1957&lt;=IFERROR(INDEX(tblChannels[Watched Through],MATCH(N1957,tblChannels[Channel ID],0)),0),"Watched","Unwatched"))</f>
        <v/>
      </c>
      <c r="C1957" s="37" t="n"/>
      <c r="D1957" s="38" t="n"/>
      <c r="E1957" s="39" t="n">
        <v>43486.41944444444</v>
      </c>
      <c r="F1957" s="49" t="inlineStr">
        <is>
          <t>Super Carlin Gaming</t>
        </is>
      </c>
      <c r="G1957" t="inlineStr">
        <is>
          <t>Hurricane Ike Approaches | Super Smash Bros #7</t>
        </is>
      </c>
      <c r="H1957" s="41" t="n">
        <v>0.009895833333333333</v>
      </c>
      <c r="I1957" s="42" t="n">
        <v>13085</v>
      </c>
      <c r="J1957" s="42" t="n">
        <v>549</v>
      </c>
      <c r="K1957" s="42" t="n">
        <v>108</v>
      </c>
      <c r="L1957" s="43" t="n"/>
      <c r="M1957" s="44" t="n"/>
      <c r="N1957" s="44" t="inlineStr">
        <is>
          <t>UCor_9jRnNNZVzTuQ92PKsaQ</t>
        </is>
      </c>
      <c r="O1957" s="45" t="n">
        <v>43486.62777777778</v>
      </c>
      <c r="P1957" s="46" t="n">
        <v>43486</v>
      </c>
      <c r="Q1957" s="44" t="n">
        <v>1315</v>
      </c>
      <c r="R1957" s="44" t="inlineStr">
        <is>
          <t>No Video ID yet</t>
        </is>
      </c>
      <c r="S1957" s="46" t="n"/>
      <c r="T1957" s="46" t="n"/>
      <c r="U1957" s="44" t="n"/>
      <c r="V1957" s="44">
        <f>IF(AND(P1957&gt;=Calendar!$K$2,P1957&lt;EDATE(Calendar!$K$2,1),OR(Calendar!$K$4="*",N1957=Calendar!$K$4)),P1957*100+COUNTIFS($P$6:$P$3271,P1957,$Q$6:$Q$3271,"&lt;="&amp;Q1957,$N$6:$N$3271,Calendar!$K$4),"")</f>
        <v/>
      </c>
      <c r="W1957" s="44">
        <f>IF(AND(B1957=Queue!$C$4,OR(Queue!$K$4="*",N1957=Queue!$K$4)),Q1957,"")</f>
        <v/>
      </c>
    </row>
    <row r="1958">
      <c r="A1958" s="35">
        <f>IF(M1958="","",HYPERLINK("https://www.youtube.com/watch?v="&amp;M1958,"▶"))</f>
        <v/>
      </c>
      <c r="B1958" s="36">
        <f>IF(C1958&lt;&gt;"",C1958,IF(P1958&lt;=IFERROR(INDEX(tblChannels[Watched Through],MATCH(N1958,tblChannels[Channel ID],0)),0),"Watched","Unwatched"))</f>
        <v/>
      </c>
      <c r="C1958" s="37" t="n"/>
      <c r="D1958" s="38" t="n"/>
      <c r="E1958" s="39" t="n">
        <v>43483.4375</v>
      </c>
      <c r="F1958" s="49" t="inlineStr">
        <is>
          <t>Super Carlin Gaming</t>
        </is>
      </c>
      <c r="G1958" t="inlineStr">
        <is>
          <t>Grades or Extracurriculars?  | Super Smash Bros #6</t>
        </is>
      </c>
      <c r="H1958" s="41" t="n">
        <v>0.01108796296296296</v>
      </c>
      <c r="I1958" s="42" t="n">
        <v>13699</v>
      </c>
      <c r="J1958" s="42" t="n">
        <v>547</v>
      </c>
      <c r="K1958" s="42" t="n">
        <v>92</v>
      </c>
      <c r="L1958" s="43" t="n"/>
      <c r="M1958" s="44" t="n"/>
      <c r="N1958" s="44" t="inlineStr">
        <is>
          <t>UCor_9jRnNNZVzTuQ92PKsaQ</t>
        </is>
      </c>
      <c r="O1958" s="45" t="n">
        <v>43483.64583333334</v>
      </c>
      <c r="P1958" s="46" t="n">
        <v>43483</v>
      </c>
      <c r="Q1958" s="44" t="n">
        <v>1314</v>
      </c>
      <c r="R1958" s="44" t="inlineStr">
        <is>
          <t>No Video ID yet</t>
        </is>
      </c>
      <c r="S1958" s="46" t="n"/>
      <c r="T1958" s="46" t="n"/>
      <c r="U1958" s="44" t="n"/>
      <c r="V1958" s="44">
        <f>IF(AND(P1958&gt;=Calendar!$K$2,P1958&lt;EDATE(Calendar!$K$2,1),OR(Calendar!$K$4="*",N1958=Calendar!$K$4)),P1958*100+COUNTIFS($P$6:$P$3271,P1958,$Q$6:$Q$3271,"&lt;="&amp;Q1958,$N$6:$N$3271,Calendar!$K$4),"")</f>
        <v/>
      </c>
      <c r="W1958" s="44">
        <f>IF(AND(B1958=Queue!$C$4,OR(Queue!$K$4="*",N1958=Queue!$K$4)),Q1958,"")</f>
        <v/>
      </c>
    </row>
    <row r="1959">
      <c r="A1959" s="35">
        <f>IF(M1959="","",HYPERLINK("https://www.youtube.com/watch?v="&amp;M1959,"▶"))</f>
        <v/>
      </c>
      <c r="B1959" s="36">
        <f>IF(C1959&lt;&gt;"",C1959,IF(P1959&lt;=IFERROR(INDEX(tblChannels[Watched Through],MATCH(N1959,tblChannels[Channel ID],0)),0),"Watched","Unwatched"))</f>
        <v/>
      </c>
      <c r="C1959" s="37" t="n"/>
      <c r="D1959" s="38" t="n"/>
      <c r="E1959" s="39" t="n">
        <v>43482.76666666667</v>
      </c>
      <c r="F1959" s="47" t="inlineStr">
        <is>
          <t>Super Carlin Brothers</t>
        </is>
      </c>
      <c r="G1959" t="inlineStr">
        <is>
          <t>Mysterio: Hero or Villain? | Spider-Man Far From Home</t>
        </is>
      </c>
      <c r="H1959" s="41" t="n">
        <v>0.008796296296296297</v>
      </c>
      <c r="I1959" s="42" t="n">
        <v>427848</v>
      </c>
      <c r="J1959" s="42" t="n">
        <v>13437</v>
      </c>
      <c r="K1959" s="42" t="n">
        <v>2135</v>
      </c>
      <c r="L1959" s="43" t="n"/>
      <c r="M1959" s="44" t="n"/>
      <c r="N1959" s="44" t="inlineStr">
        <is>
          <t>UCKZo4N0lVPccBkSiuyVh4yg</t>
        </is>
      </c>
      <c r="O1959" s="45" t="n">
        <v>43482.975</v>
      </c>
      <c r="P1959" s="46" t="n">
        <v>43482</v>
      </c>
      <c r="Q1959" s="44" t="n">
        <v>1313</v>
      </c>
      <c r="R1959" s="44" t="inlineStr">
        <is>
          <t>No Video ID yet</t>
        </is>
      </c>
      <c r="S1959" s="46" t="n"/>
      <c r="T1959" s="46" t="n"/>
      <c r="U1959" s="44" t="n"/>
      <c r="V1959" s="44">
        <f>IF(AND(P1959&gt;=Calendar!$K$2,P1959&lt;EDATE(Calendar!$K$2,1),OR(Calendar!$K$4="*",N1959=Calendar!$K$4)),P1959*100+COUNTIFS($P$6:$P$3271,P1959,$Q$6:$Q$3271,"&lt;="&amp;Q1959,$N$6:$N$3271,Calendar!$K$4),"")</f>
        <v/>
      </c>
      <c r="W1959" s="44">
        <f>IF(AND(B1959=Queue!$C$4,OR(Queue!$K$4="*",N1959=Queue!$K$4)),Q1959,"")</f>
        <v/>
      </c>
    </row>
    <row r="1960">
      <c r="A1960" s="35">
        <f>IF(M1960="","",HYPERLINK("https://www.youtube.com/watch?v="&amp;M1960,"▶"))</f>
        <v/>
      </c>
      <c r="B1960" s="36">
        <f>IF(C1960&lt;&gt;"",C1960,IF(P1960&lt;=IFERROR(INDEX(tblChannels[Watched Through],MATCH(N1960,tblChannels[Channel ID],0)),0),"Watched","Unwatched"))</f>
        <v/>
      </c>
      <c r="C1960" s="37" t="n"/>
      <c r="D1960" s="38" t="n"/>
      <c r="E1960" s="39" t="n">
        <v>43481.61527777778</v>
      </c>
      <c r="F1960" s="49" t="inlineStr">
        <is>
          <t>Super Carlin Gaming</t>
        </is>
      </c>
      <c r="G1960" t="inlineStr">
        <is>
          <t>When to Start Dating | Super Smash Bros #5</t>
        </is>
      </c>
      <c r="H1960" s="41" t="n">
        <v>0.0127662037037037</v>
      </c>
      <c r="I1960" s="42" t="n">
        <v>17319</v>
      </c>
      <c r="J1960" s="42" t="n">
        <v>689</v>
      </c>
      <c r="K1960" s="42" t="n">
        <v>157</v>
      </c>
      <c r="L1960" s="43" t="n"/>
      <c r="M1960" s="44" t="n"/>
      <c r="N1960" s="44" t="inlineStr">
        <is>
          <t>UCor_9jRnNNZVzTuQ92PKsaQ</t>
        </is>
      </c>
      <c r="O1960" s="45" t="n">
        <v>43481.82361111111</v>
      </c>
      <c r="P1960" s="46" t="n">
        <v>43481</v>
      </c>
      <c r="Q1960" s="44" t="n">
        <v>1312</v>
      </c>
      <c r="R1960" s="44" t="inlineStr">
        <is>
          <t>No Video ID yet</t>
        </is>
      </c>
      <c r="S1960" s="46" t="n"/>
      <c r="T1960" s="46" t="n"/>
      <c r="U1960" s="44" t="n"/>
      <c r="V1960" s="44">
        <f>IF(AND(P1960&gt;=Calendar!$K$2,P1960&lt;EDATE(Calendar!$K$2,1),OR(Calendar!$K$4="*",N1960=Calendar!$K$4)),P1960*100+COUNTIFS($P$6:$P$3271,P1960,$Q$6:$Q$3271,"&lt;="&amp;Q1960,$N$6:$N$3271,Calendar!$K$4),"")</f>
        <v/>
      </c>
      <c r="W1960" s="44">
        <f>IF(AND(B1960=Queue!$C$4,OR(Queue!$K$4="*",N1960=Queue!$K$4)),Q1960,"")</f>
        <v/>
      </c>
    </row>
    <row r="1961">
      <c r="A1961" s="35">
        <f>IF(M1961="","",HYPERLINK("https://www.youtube.com/watch?v="&amp;M1961,"▶"))</f>
        <v/>
      </c>
      <c r="B1961" s="36">
        <f>IF(C1961&lt;&gt;"",C1961,IF(P1961&lt;=IFERROR(INDEX(tblChannels[Watched Through],MATCH(N1961,tblChannels[Channel ID],0)),0),"Watched","Unwatched"))</f>
        <v/>
      </c>
      <c r="C1961" s="37" t="n"/>
      <c r="D1961" s="38" t="n"/>
      <c r="E1961" s="39" t="n">
        <v>43480.75833333333</v>
      </c>
      <c r="F1961" s="47" t="inlineStr">
        <is>
          <t>Super Carlin Brothers</t>
        </is>
      </c>
      <c r="G1961" t="inlineStr">
        <is>
          <t>The Truth About The Wolves In Beauty and the Beast | Disney Theory</t>
        </is>
      </c>
      <c r="H1961" s="41" t="n">
        <v>0.007256944444444444</v>
      </c>
      <c r="I1961" s="42" t="n">
        <v>609203</v>
      </c>
      <c r="J1961" s="42" t="n">
        <v>15143</v>
      </c>
      <c r="K1961" s="42" t="n">
        <v>1460</v>
      </c>
      <c r="L1961" s="43" t="n"/>
      <c r="M1961" s="44" t="n"/>
      <c r="N1961" s="44" t="inlineStr">
        <is>
          <t>UCKZo4N0lVPccBkSiuyVh4yg</t>
        </is>
      </c>
      <c r="O1961" s="45" t="n">
        <v>43480.96666666667</v>
      </c>
      <c r="P1961" s="46" t="n">
        <v>43480</v>
      </c>
      <c r="Q1961" s="44" t="n">
        <v>1311</v>
      </c>
      <c r="R1961" s="44" t="inlineStr">
        <is>
          <t>No Video ID yet</t>
        </is>
      </c>
      <c r="S1961" s="46" t="n"/>
      <c r="T1961" s="46" t="n"/>
      <c r="U1961" s="44" t="n"/>
      <c r="V1961" s="44">
        <f>IF(AND(P1961&gt;=Calendar!$K$2,P1961&lt;EDATE(Calendar!$K$2,1),OR(Calendar!$K$4="*",N1961=Calendar!$K$4)),P1961*100+COUNTIFS($P$6:$P$3271,P1961,$Q$6:$Q$3271,"&lt;="&amp;Q1961,$N$6:$N$3271,Calendar!$K$4),"")</f>
        <v/>
      </c>
      <c r="W1961" s="44">
        <f>IF(AND(B1961=Queue!$C$4,OR(Queue!$K$4="*",N1961=Queue!$K$4)),Q1961,"")</f>
        <v/>
      </c>
    </row>
    <row r="1962">
      <c r="A1962" s="35">
        <f>IF(M1962="","",HYPERLINK("https://www.youtube.com/watch?v="&amp;M1962,"▶"))</f>
        <v/>
      </c>
      <c r="B1962" s="36">
        <f>IF(C1962&lt;&gt;"",C1962,IF(P1962&lt;=IFERROR(INDEX(tblChannels[Watched Through],MATCH(N1962,tblChannels[Channel ID],0)),0),"Watched","Unwatched"))</f>
        <v/>
      </c>
      <c r="C1962" s="37" t="n"/>
      <c r="D1962" s="38" t="n"/>
      <c r="E1962" s="39" t="n">
        <v>43479.47013888889</v>
      </c>
      <c r="F1962" s="50" t="inlineStr">
        <is>
          <t>Jonathan Carlin</t>
        </is>
      </c>
      <c r="G1962" t="inlineStr">
        <is>
          <t>Our Engagement Story - Twelve-O-Five Day!</t>
        </is>
      </c>
      <c r="H1962" s="41" t="n">
        <v>0.00568287037037037</v>
      </c>
      <c r="I1962" s="42" t="n">
        <v>35978</v>
      </c>
      <c r="J1962" s="42" t="n">
        <v>1770</v>
      </c>
      <c r="K1962" s="42" t="n">
        <v>149</v>
      </c>
      <c r="L1962" s="43" t="n"/>
      <c r="M1962" s="44" t="n"/>
      <c r="N1962" s="44" t="inlineStr">
        <is>
          <t>UCYPKFe86e6nm4TVUYKLsFUQ</t>
        </is>
      </c>
      <c r="O1962" s="45" t="n">
        <v>43479.67847222222</v>
      </c>
      <c r="P1962" s="46" t="n">
        <v>43479</v>
      </c>
      <c r="Q1962" s="44" t="n">
        <v>1310</v>
      </c>
      <c r="R1962" s="44" t="inlineStr">
        <is>
          <t>No Video ID yet</t>
        </is>
      </c>
      <c r="S1962" s="46" t="n"/>
      <c r="T1962" s="46" t="n"/>
      <c r="U1962" s="44" t="n"/>
      <c r="V1962" s="44">
        <f>IF(AND(P1962&gt;=Calendar!$K$2,P1962&lt;EDATE(Calendar!$K$2,1),OR(Calendar!$K$4="*",N1962=Calendar!$K$4)),P1962*100+COUNTIFS($P$6:$P$3271,P1962,$Q$6:$Q$3271,"&lt;="&amp;Q1962,$N$6:$N$3271,Calendar!$K$4),"")</f>
        <v/>
      </c>
      <c r="W1962" s="44">
        <f>IF(AND(B1962=Queue!$C$4,OR(Queue!$K$4="*",N1962=Queue!$K$4)),Q1962,"")</f>
        <v/>
      </c>
    </row>
    <row r="1963">
      <c r="A1963" s="35">
        <f>IF(M1963="","",HYPERLINK("https://www.youtube.com/watch?v="&amp;M1963,"▶"))</f>
        <v/>
      </c>
      <c r="B1963" s="36">
        <f>IF(C1963&lt;&gt;"",C1963,IF(P1963&lt;=IFERROR(INDEX(tblChannels[Watched Through],MATCH(N1963,tblChannels[Channel ID],0)),0),"Watched","Unwatched"))</f>
        <v/>
      </c>
      <c r="C1963" s="37" t="n"/>
      <c r="D1963" s="38" t="n"/>
      <c r="E1963" s="39" t="n">
        <v>43479.4375</v>
      </c>
      <c r="F1963" s="49" t="inlineStr">
        <is>
          <t>Super Carlin Gaming</t>
        </is>
      </c>
      <c r="G1963" t="inlineStr">
        <is>
          <t>Switching Electives | Super Smash Bros #4</t>
        </is>
      </c>
      <c r="H1963" s="41" t="n">
        <v>0.01239583333333333</v>
      </c>
      <c r="I1963" s="42" t="n">
        <v>18151</v>
      </c>
      <c r="J1963" s="42" t="n">
        <v>697</v>
      </c>
      <c r="K1963" s="42" t="n">
        <v>290</v>
      </c>
      <c r="L1963" s="43" t="n"/>
      <c r="M1963" s="44" t="n"/>
      <c r="N1963" s="44" t="inlineStr">
        <is>
          <t>UCor_9jRnNNZVzTuQ92PKsaQ</t>
        </is>
      </c>
      <c r="O1963" s="45" t="n">
        <v>43479.64583333334</v>
      </c>
      <c r="P1963" s="46" t="n">
        <v>43479</v>
      </c>
      <c r="Q1963" s="44" t="n">
        <v>1309</v>
      </c>
      <c r="R1963" s="44" t="inlineStr">
        <is>
          <t>No Video ID yet</t>
        </is>
      </c>
      <c r="S1963" s="46" t="n"/>
      <c r="T1963" s="46" t="n"/>
      <c r="U1963" s="44" t="n"/>
      <c r="V1963" s="44">
        <f>IF(AND(P1963&gt;=Calendar!$K$2,P1963&lt;EDATE(Calendar!$K$2,1),OR(Calendar!$K$4="*",N1963=Calendar!$K$4)),P1963*100+COUNTIFS($P$6:$P$3271,P1963,$Q$6:$Q$3271,"&lt;="&amp;Q1963,$N$6:$N$3271,Calendar!$K$4),"")</f>
        <v/>
      </c>
      <c r="W1963" s="44">
        <f>IF(AND(B1963=Queue!$C$4,OR(Queue!$K$4="*",N1963=Queue!$K$4)),Q1963,"")</f>
        <v/>
      </c>
    </row>
    <row r="1964">
      <c r="A1964" s="35">
        <f>IF(M1964="","",HYPERLINK("https://www.youtube.com/watch?v="&amp;M1964,"▶"))</f>
        <v/>
      </c>
      <c r="B1964" s="36">
        <f>IF(C1964&lt;&gt;"",C1964,IF(P1964&lt;=IFERROR(INDEX(tblChannels[Watched Through],MATCH(N1964,tblChannels[Channel ID],0)),0),"Watched","Unwatched"))</f>
        <v/>
      </c>
      <c r="C1964" s="37" t="n"/>
      <c r="D1964" s="38" t="n"/>
      <c r="E1964" s="39" t="n">
        <v>43475.67986111111</v>
      </c>
      <c r="F1964" s="47" t="inlineStr">
        <is>
          <t>Super Carlin Brothers</t>
        </is>
      </c>
      <c r="G1964" t="inlineStr">
        <is>
          <t>J vs Ben: ULTIMATE Harry Potter DARK ARTS Quiz</t>
        </is>
      </c>
      <c r="H1964" s="41" t="n">
        <v>0.02240740740740741</v>
      </c>
      <c r="I1964" s="42" t="n">
        <v>1014968</v>
      </c>
      <c r="J1964" s="42" t="n">
        <v>19209</v>
      </c>
      <c r="K1964" s="42" t="n">
        <v>3246</v>
      </c>
      <c r="L1964" s="43" t="n"/>
      <c r="M1964" s="44" t="n"/>
      <c r="N1964" s="44" t="inlineStr">
        <is>
          <t>UCKZo4N0lVPccBkSiuyVh4yg</t>
        </is>
      </c>
      <c r="O1964" s="45" t="n">
        <v>43475.88819444444</v>
      </c>
      <c r="P1964" s="46" t="n">
        <v>43475</v>
      </c>
      <c r="Q1964" s="44" t="n">
        <v>1308</v>
      </c>
      <c r="R1964" s="44" t="inlineStr">
        <is>
          <t>No Video ID yet</t>
        </is>
      </c>
      <c r="S1964" s="46" t="n"/>
      <c r="T1964" s="46" t="n"/>
      <c r="U1964" s="44" t="n"/>
      <c r="V1964" s="44">
        <f>IF(AND(P1964&gt;=Calendar!$K$2,P1964&lt;EDATE(Calendar!$K$2,1),OR(Calendar!$K$4="*",N1964=Calendar!$K$4)),P1964*100+COUNTIFS($P$6:$P$3271,P1964,$Q$6:$Q$3271,"&lt;="&amp;Q1964,$N$6:$N$3271,Calendar!$K$4),"")</f>
        <v/>
      </c>
      <c r="W1964" s="44">
        <f>IF(AND(B1964=Queue!$C$4,OR(Queue!$K$4="*",N1964=Queue!$K$4)),Q1964,"")</f>
        <v/>
      </c>
    </row>
    <row r="1965">
      <c r="A1965" s="35">
        <f>IF(M1965="","",HYPERLINK("https://www.youtube.com/watch?v="&amp;M1965,"▶"))</f>
        <v/>
      </c>
      <c r="B1965" s="36">
        <f>IF(C1965&lt;&gt;"",C1965,IF(P1965&lt;=IFERROR(INDEX(tblChannels[Watched Through],MATCH(N1965,tblChannels[Channel ID],0)),0),"Watched","Unwatched"))</f>
        <v/>
      </c>
      <c r="C1965" s="37" t="n"/>
      <c r="D1965" s="38" t="n"/>
      <c r="E1965" s="39" t="n">
        <v>43474.4375</v>
      </c>
      <c r="F1965" s="49" t="inlineStr">
        <is>
          <t>Super Carlin Gaming</t>
        </is>
      </c>
      <c r="G1965" t="inlineStr">
        <is>
          <t>Personality Types? | Super Smash Bros #3</t>
        </is>
      </c>
      <c r="H1965" s="41" t="n">
        <v>0.01071759259259259</v>
      </c>
      <c r="I1965" s="42" t="n">
        <v>20928</v>
      </c>
      <c r="J1965" s="42" t="n">
        <v>825</v>
      </c>
      <c r="K1965" s="42" t="n">
        <v>182</v>
      </c>
      <c r="L1965" s="43" t="n"/>
      <c r="M1965" s="44" t="n"/>
      <c r="N1965" s="44" t="inlineStr">
        <is>
          <t>UCor_9jRnNNZVzTuQ92PKsaQ</t>
        </is>
      </c>
      <c r="O1965" s="45" t="n">
        <v>43474.64583333334</v>
      </c>
      <c r="P1965" s="46" t="n">
        <v>43474</v>
      </c>
      <c r="Q1965" s="44" t="n">
        <v>1307</v>
      </c>
      <c r="R1965" s="44" t="inlineStr">
        <is>
          <t>No Video ID yet</t>
        </is>
      </c>
      <c r="S1965" s="46" t="n"/>
      <c r="T1965" s="46" t="n"/>
      <c r="U1965" s="44" t="n"/>
      <c r="V1965" s="44">
        <f>IF(AND(P1965&gt;=Calendar!$K$2,P1965&lt;EDATE(Calendar!$K$2,1),OR(Calendar!$K$4="*",N1965=Calendar!$K$4)),P1965*100+COUNTIFS($P$6:$P$3271,P1965,$Q$6:$Q$3271,"&lt;="&amp;Q1965,$N$6:$N$3271,Calendar!$K$4),"")</f>
        <v/>
      </c>
      <c r="W1965" s="44">
        <f>IF(AND(B1965=Queue!$C$4,OR(Queue!$K$4="*",N1965=Queue!$K$4)),Q1965,"")</f>
        <v/>
      </c>
    </row>
    <row r="1966">
      <c r="A1966" s="35">
        <f>IF(M1966="","",HYPERLINK("https://www.youtube.com/watch?v="&amp;M1966,"▶"))</f>
        <v/>
      </c>
      <c r="B1966" s="36">
        <f>IF(C1966&lt;&gt;"",C1966,IF(P1966&lt;=IFERROR(INDEX(tblChannels[Watched Through],MATCH(N1966,tblChannels[Channel ID],0)),0),"Watched","Unwatched"))</f>
        <v/>
      </c>
      <c r="C1966" s="37" t="n"/>
      <c r="D1966" s="38" t="n"/>
      <c r="E1966" s="39" t="n">
        <v>43474.4375</v>
      </c>
      <c r="F1966" s="49" t="inlineStr">
        <is>
          <t>Super Carlin Gaming</t>
        </is>
      </c>
      <c r="G1966" t="inlineStr">
        <is>
          <t>Best Man Problems | Super Smash Bros #2</t>
        </is>
      </c>
      <c r="H1966" s="41" t="n">
        <v>0.0102662037037037</v>
      </c>
      <c r="I1966" s="42" t="n">
        <v>23380</v>
      </c>
      <c r="J1966" s="42" t="n">
        <v>782</v>
      </c>
      <c r="K1966" s="42" t="n">
        <v>69</v>
      </c>
      <c r="L1966" s="43" t="n"/>
      <c r="M1966" s="44" t="n"/>
      <c r="N1966" s="44" t="inlineStr">
        <is>
          <t>UCor_9jRnNNZVzTuQ92PKsaQ</t>
        </is>
      </c>
      <c r="O1966" s="45" t="n">
        <v>43474.64583333334</v>
      </c>
      <c r="P1966" s="46" t="n">
        <v>43474</v>
      </c>
      <c r="Q1966" s="44" t="n">
        <v>1306</v>
      </c>
      <c r="R1966" s="44" t="inlineStr">
        <is>
          <t>No Video ID yet</t>
        </is>
      </c>
      <c r="S1966" s="46" t="n"/>
      <c r="T1966" s="46" t="n"/>
      <c r="U1966" s="44" t="n"/>
      <c r="V1966" s="44">
        <f>IF(AND(P1966&gt;=Calendar!$K$2,P1966&lt;EDATE(Calendar!$K$2,1),OR(Calendar!$K$4="*",N1966=Calendar!$K$4)),P1966*100+COUNTIFS($P$6:$P$3271,P1966,$Q$6:$Q$3271,"&lt;="&amp;Q1966,$N$6:$N$3271,Calendar!$K$4),"")</f>
        <v/>
      </c>
      <c r="W1966" s="44">
        <f>IF(AND(B1966=Queue!$C$4,OR(Queue!$K$4="*",N1966=Queue!$K$4)),Q1966,"")</f>
        <v/>
      </c>
    </row>
    <row r="1967">
      <c r="A1967" s="35">
        <f>IF(M1967="","",HYPERLINK("https://www.youtube.com/watch?v="&amp;M1967,"▶"))</f>
        <v/>
      </c>
      <c r="B1967" s="36">
        <f>IF(C1967&lt;&gt;"",C1967,IF(P1967&lt;=IFERROR(INDEX(tblChannels[Watched Through],MATCH(N1967,tblChannels[Channel ID],0)),0),"Watched","Unwatched"))</f>
        <v/>
      </c>
      <c r="C1967" s="37" t="n"/>
      <c r="D1967" s="38" t="n"/>
      <c r="E1967" s="39" t="n">
        <v>43473.79305555556</v>
      </c>
      <c r="F1967" s="47" t="inlineStr">
        <is>
          <t>Super Carlin Brothers</t>
        </is>
      </c>
      <c r="G1967" t="inlineStr">
        <is>
          <t>Why Was Dumbledore Teaching Defense Against The Dark Arts? | Harry Potter Theory</t>
        </is>
      </c>
      <c r="H1967" s="41" t="n">
        <v>0.007974537037037037</v>
      </c>
      <c r="I1967" s="42" t="n">
        <v>1234011</v>
      </c>
      <c r="J1967" s="42" t="n">
        <v>31905</v>
      </c>
      <c r="K1967" s="42" t="n">
        <v>2942</v>
      </c>
      <c r="L1967" s="43" t="n"/>
      <c r="M1967" s="44" t="n"/>
      <c r="N1967" s="44" t="inlineStr">
        <is>
          <t>UCKZo4N0lVPccBkSiuyVh4yg</t>
        </is>
      </c>
      <c r="O1967" s="45" t="n">
        <v>43474.00138888889</v>
      </c>
      <c r="P1967" s="46" t="n">
        <v>43473</v>
      </c>
      <c r="Q1967" s="44" t="n">
        <v>1305</v>
      </c>
      <c r="R1967" s="44" t="inlineStr">
        <is>
          <t>No Video ID yet</t>
        </is>
      </c>
      <c r="S1967" s="46" t="n"/>
      <c r="T1967" s="46" t="n"/>
      <c r="U1967" s="44" t="n"/>
      <c r="V1967" s="44">
        <f>IF(AND(P1967&gt;=Calendar!$K$2,P1967&lt;EDATE(Calendar!$K$2,1),OR(Calendar!$K$4="*",N1967=Calendar!$K$4)),P1967*100+COUNTIFS($P$6:$P$3271,P1967,$Q$6:$Q$3271,"&lt;="&amp;Q1967,$N$6:$N$3271,Calendar!$K$4),"")</f>
        <v/>
      </c>
      <c r="W1967" s="44">
        <f>IF(AND(B1967=Queue!$C$4,OR(Queue!$K$4="*",N1967=Queue!$K$4)),Q1967,"")</f>
        <v/>
      </c>
    </row>
    <row r="1968">
      <c r="A1968" s="35">
        <f>IF(M1968="","",HYPERLINK("https://www.youtube.com/watch?v="&amp;M1968,"▶"))</f>
        <v/>
      </c>
      <c r="B1968" s="36">
        <f>IF(C1968&lt;&gt;"",C1968,IF(P1968&lt;=IFERROR(INDEX(tblChannels[Watched Through],MATCH(N1968,tblChannels[Channel ID],0)),0),"Watched","Unwatched"))</f>
        <v/>
      </c>
      <c r="C1968" s="37" t="n"/>
      <c r="D1968" s="38" t="n"/>
      <c r="E1968" s="39" t="n">
        <v>43472.77569444444</v>
      </c>
      <c r="F1968" s="50" t="inlineStr">
        <is>
          <t>Jonathan Carlin</t>
        </is>
      </c>
      <c r="G1968" t="inlineStr">
        <is>
          <t>CRIMES OF GRINDELWALD ORLANDO MEET UP</t>
        </is>
      </c>
      <c r="H1968" s="41" t="n">
        <v>0.01019675925925926</v>
      </c>
      <c r="I1968" s="42" t="n">
        <v>28825</v>
      </c>
      <c r="J1968" s="42" t="n">
        <v>1569</v>
      </c>
      <c r="K1968" s="42" t="n">
        <v>224</v>
      </c>
      <c r="L1968" s="43" t="n"/>
      <c r="M1968" s="44" t="n"/>
      <c r="N1968" s="44" t="inlineStr">
        <is>
          <t>UCYPKFe86e6nm4TVUYKLsFUQ</t>
        </is>
      </c>
      <c r="O1968" s="45" t="n">
        <v>43472.98402777778</v>
      </c>
      <c r="P1968" s="46" t="n">
        <v>43472</v>
      </c>
      <c r="Q1968" s="44" t="n">
        <v>1304</v>
      </c>
      <c r="R1968" s="44" t="inlineStr">
        <is>
          <t>No Video ID yet</t>
        </is>
      </c>
      <c r="S1968" s="46" t="n"/>
      <c r="T1968" s="46" t="n"/>
      <c r="U1968" s="44" t="n"/>
      <c r="V1968" s="44">
        <f>IF(AND(P1968&gt;=Calendar!$K$2,P1968&lt;EDATE(Calendar!$K$2,1),OR(Calendar!$K$4="*",N1968=Calendar!$K$4)),P1968*100+COUNTIFS($P$6:$P$3271,P1968,$Q$6:$Q$3271,"&lt;="&amp;Q1968,$N$6:$N$3271,Calendar!$K$4),"")</f>
        <v/>
      </c>
      <c r="W1968" s="44">
        <f>IF(AND(B1968=Queue!$C$4,OR(Queue!$K$4="*",N1968=Queue!$K$4)),Q1968,"")</f>
        <v/>
      </c>
    </row>
    <row r="1969">
      <c r="A1969" s="35">
        <f>IF(M1969="","",HYPERLINK("https://www.youtube.com/watch?v="&amp;M1969,"▶"))</f>
        <v/>
      </c>
      <c r="B1969" s="36">
        <f>IF(C1969&lt;&gt;"",C1969,IF(P1969&lt;=IFERROR(INDEX(tblChannels[Watched Through],MATCH(N1969,tblChannels[Channel ID],0)),0),"Watched","Unwatched"))</f>
        <v/>
      </c>
      <c r="C1969" s="37" t="n"/>
      <c r="D1969" s="38" t="n"/>
      <c r="E1969" s="39" t="n">
        <v>43472.69097222222</v>
      </c>
      <c r="F1969" s="49" t="inlineStr">
        <is>
          <t>Super Carlin Gaming</t>
        </is>
      </c>
      <c r="G1969" t="inlineStr">
        <is>
          <t>A NEW CHALLENGER APPROACHES | Smash Bros #1</t>
        </is>
      </c>
      <c r="H1969" s="41" t="n">
        <v>0.01454861111111111</v>
      </c>
      <c r="I1969" s="42" t="n">
        <v>67416</v>
      </c>
      <c r="J1969" s="42" t="n">
        <v>1930</v>
      </c>
      <c r="K1969" s="42" t="n">
        <v>279</v>
      </c>
      <c r="L1969" s="43" t="n"/>
      <c r="M1969" s="44" t="n"/>
      <c r="N1969" s="44" t="inlineStr">
        <is>
          <t>UCor_9jRnNNZVzTuQ92PKsaQ</t>
        </is>
      </c>
      <c r="O1969" s="45" t="n">
        <v>43472.89930555555</v>
      </c>
      <c r="P1969" s="46" t="n">
        <v>43472</v>
      </c>
      <c r="Q1969" s="44" t="n">
        <v>1303</v>
      </c>
      <c r="R1969" s="44" t="inlineStr">
        <is>
          <t>No Video ID yet</t>
        </is>
      </c>
      <c r="S1969" s="46" t="n"/>
      <c r="T1969" s="46" t="n"/>
      <c r="U1969" s="44" t="n"/>
      <c r="V1969" s="44">
        <f>IF(AND(P1969&gt;=Calendar!$K$2,P1969&lt;EDATE(Calendar!$K$2,1),OR(Calendar!$K$4="*",N1969=Calendar!$K$4)),P1969*100+COUNTIFS($P$6:$P$3271,P1969,$Q$6:$Q$3271,"&lt;="&amp;Q1969,$N$6:$N$3271,Calendar!$K$4),"")</f>
        <v/>
      </c>
      <c r="W1969" s="44">
        <f>IF(AND(B1969=Queue!$C$4,OR(Queue!$K$4="*",N1969=Queue!$K$4)),Q1969,"")</f>
        <v/>
      </c>
    </row>
    <row r="1970">
      <c r="A1970" s="35">
        <f>IF(M1970="","",HYPERLINK("https://www.youtube.com/watch?v="&amp;M1970,"▶"))</f>
        <v/>
      </c>
      <c r="B1970" s="36">
        <f>IF(C1970&lt;&gt;"",C1970,IF(P1970&lt;=IFERROR(INDEX(tblChannels[Watched Through],MATCH(N1970,tblChannels[Channel ID],0)),0),"Watched","Unwatched"))</f>
        <v/>
      </c>
      <c r="C1970" s="37" t="n"/>
      <c r="D1970" s="38" t="n"/>
      <c r="E1970" s="39" t="n">
        <v>43468.84583333333</v>
      </c>
      <c r="F1970" s="47" t="inlineStr">
        <is>
          <t>Super Carlin Brothers</t>
        </is>
      </c>
      <c r="G1970" t="inlineStr">
        <is>
          <t>Which Infinity Stone Is Each Avenger?</t>
        </is>
      </c>
      <c r="H1970" s="41" t="n">
        <v>0.008564814814814815</v>
      </c>
      <c r="I1970" s="42" t="n">
        <v>1150453</v>
      </c>
      <c r="J1970" s="42" t="n">
        <v>34677</v>
      </c>
      <c r="K1970" s="42" t="n">
        <v>5468</v>
      </c>
      <c r="L1970" s="43" t="n"/>
      <c r="M1970" s="44" t="n"/>
      <c r="N1970" s="44" t="inlineStr">
        <is>
          <t>UCKZo4N0lVPccBkSiuyVh4yg</t>
        </is>
      </c>
      <c r="O1970" s="45" t="n">
        <v>43469.05416666667</v>
      </c>
      <c r="P1970" s="46" t="n">
        <v>43468</v>
      </c>
      <c r="Q1970" s="44" t="n">
        <v>1302</v>
      </c>
      <c r="R1970" s="44" t="inlineStr">
        <is>
          <t>No Video ID yet</t>
        </is>
      </c>
      <c r="S1970" s="46" t="n"/>
      <c r="T1970" s="46" t="n"/>
      <c r="U1970" s="44" t="n"/>
      <c r="V1970" s="44">
        <f>IF(AND(P1970&gt;=Calendar!$K$2,P1970&lt;EDATE(Calendar!$K$2,1),OR(Calendar!$K$4="*",N1970=Calendar!$K$4)),P1970*100+COUNTIFS($P$6:$P$3271,P1970,$Q$6:$Q$3271,"&lt;="&amp;Q1970,$N$6:$N$3271,Calendar!$K$4),"")</f>
        <v/>
      </c>
      <c r="W1970" s="44">
        <f>IF(AND(B1970=Queue!$C$4,OR(Queue!$K$4="*",N1970=Queue!$K$4)),Q1970,"")</f>
        <v/>
      </c>
    </row>
    <row r="1971">
      <c r="A1971" s="35">
        <f>IF(M1971="","",HYPERLINK("https://www.youtube.com/watch?v="&amp;M1971,"▶"))</f>
        <v/>
      </c>
      <c r="B1971" s="36">
        <f>IF(C1971&lt;&gt;"",C1971,IF(P1971&lt;=IFERROR(INDEX(tblChannels[Watched Through],MATCH(N1971,tblChannels[Channel ID],0)),0),"Watched","Unwatched"))</f>
        <v/>
      </c>
      <c r="C1971" s="37" t="n"/>
      <c r="D1971" s="38" t="n"/>
      <c r="E1971" s="39" t="n">
        <v>43467.79861111111</v>
      </c>
      <c r="F1971" s="47" t="inlineStr">
        <is>
          <t>Super Carlin Brothers</t>
        </is>
      </c>
      <c r="G1971" t="inlineStr">
        <is>
          <t>Why Voldemort Looks Like A Snake | Harry Potter Theory</t>
        </is>
      </c>
      <c r="H1971" s="41" t="n">
        <v>0.008078703703703704</v>
      </c>
      <c r="I1971" s="42" t="n">
        <v>966420</v>
      </c>
      <c r="J1971" s="42" t="n">
        <v>28521</v>
      </c>
      <c r="K1971" s="42" t="n">
        <v>3167</v>
      </c>
      <c r="L1971" s="43" t="n"/>
      <c r="M1971" s="44" t="n"/>
      <c r="N1971" s="44" t="inlineStr">
        <is>
          <t>UCKZo4N0lVPccBkSiuyVh4yg</t>
        </is>
      </c>
      <c r="O1971" s="45" t="n">
        <v>43468.00694444445</v>
      </c>
      <c r="P1971" s="46" t="n">
        <v>43467</v>
      </c>
      <c r="Q1971" s="44" t="n">
        <v>1301</v>
      </c>
      <c r="R1971" s="44" t="inlineStr">
        <is>
          <t>No Video ID yet</t>
        </is>
      </c>
      <c r="S1971" s="46" t="n"/>
      <c r="T1971" s="46" t="n"/>
      <c r="U1971" s="44" t="n"/>
      <c r="V1971" s="44">
        <f>IF(AND(P1971&gt;=Calendar!$K$2,P1971&lt;EDATE(Calendar!$K$2,1),OR(Calendar!$K$4="*",N1971=Calendar!$K$4)),P1971*100+COUNTIFS($P$6:$P$3271,P1971,$Q$6:$Q$3271,"&lt;="&amp;Q1971,$N$6:$N$3271,Calendar!$K$4),"")</f>
        <v/>
      </c>
      <c r="W1971" s="44">
        <f>IF(AND(B1971=Queue!$C$4,OR(Queue!$K$4="*",N1971=Queue!$K$4)),Q1971,"")</f>
        <v/>
      </c>
    </row>
    <row r="1972">
      <c r="A1972" s="35">
        <f>IF(M1972="","",HYPERLINK("https://www.youtube.com/watch?v="&amp;M1972,"▶"))</f>
        <v/>
      </c>
      <c r="B1972" s="36">
        <f>IF(C1972&lt;&gt;"",C1972,IF(P1972&lt;=IFERROR(INDEX(tblChannels[Watched Through],MATCH(N1972,tblChannels[Channel ID],0)),0),"Watched","Unwatched"))</f>
        <v/>
      </c>
      <c r="C1972" s="37" t="n"/>
      <c r="D1972" s="38" t="n"/>
      <c r="E1972" s="39" t="n">
        <v>43465.47013888889</v>
      </c>
      <c r="F1972" s="50" t="inlineStr">
        <is>
          <t>Jonathan Carlin</t>
        </is>
      </c>
      <c r="G1972" t="inlineStr">
        <is>
          <t>LUKE'S FIRST BIRTHDAY!</t>
        </is>
      </c>
      <c r="H1972" s="41" t="n">
        <v>0.008958333333333334</v>
      </c>
      <c r="I1972" s="42" t="n">
        <v>42783</v>
      </c>
      <c r="J1972" s="42" t="n">
        <v>2378</v>
      </c>
      <c r="K1972" s="42" t="n">
        <v>368</v>
      </c>
      <c r="L1972" s="43" t="n"/>
      <c r="M1972" s="44" t="n"/>
      <c r="N1972" s="44" t="inlineStr">
        <is>
          <t>UCYPKFe86e6nm4TVUYKLsFUQ</t>
        </is>
      </c>
      <c r="O1972" s="45" t="n">
        <v>43465.67847222222</v>
      </c>
      <c r="P1972" s="46" t="n">
        <v>43465</v>
      </c>
      <c r="Q1972" s="44" t="n">
        <v>1300</v>
      </c>
      <c r="R1972" s="44" t="inlineStr">
        <is>
          <t>No Video ID yet</t>
        </is>
      </c>
      <c r="S1972" s="46" t="n"/>
      <c r="T1972" s="46" t="n"/>
      <c r="U1972" s="44" t="n"/>
      <c r="V1972" s="44">
        <f>IF(AND(P1972&gt;=Calendar!$K$2,P1972&lt;EDATE(Calendar!$K$2,1),OR(Calendar!$K$4="*",N1972=Calendar!$K$4)),P1972*100+COUNTIFS($P$6:$P$3271,P1972,$Q$6:$Q$3271,"&lt;="&amp;Q1972,$N$6:$N$3271,Calendar!$K$4),"")</f>
        <v/>
      </c>
      <c r="W1972" s="44">
        <f>IF(AND(B1972=Queue!$C$4,OR(Queue!$K$4="*",N1972=Queue!$K$4)),Q1972,"")</f>
        <v/>
      </c>
    </row>
    <row r="1973">
      <c r="A1973" s="35">
        <f>IF(M1973="","",HYPERLINK("https://www.youtube.com/watch?v="&amp;M1973,"▶"))</f>
        <v/>
      </c>
      <c r="B1973" s="36">
        <f>IF(C1973&lt;&gt;"",C1973,IF(P1973&lt;=IFERROR(INDEX(tblChannels[Watched Through],MATCH(N1973,tblChannels[Channel ID],0)),0),"Watched","Unwatched"))</f>
        <v/>
      </c>
      <c r="C1973" s="37" t="n"/>
      <c r="D1973" s="38" t="n"/>
      <c r="E1973" s="39" t="n">
        <v>43459.54166666666</v>
      </c>
      <c r="F1973" s="47" t="inlineStr">
        <is>
          <t>Super Carlin Brothers</t>
        </is>
      </c>
      <c r="G1973" t="inlineStr">
        <is>
          <t>J vs Ben: TAKING THE POTTERMORE SORTING QUIZ!</t>
        </is>
      </c>
      <c r="H1973" s="41" t="n">
        <v>0.01511574074074074</v>
      </c>
      <c r="I1973" s="42" t="n">
        <v>1181411</v>
      </c>
      <c r="J1973" s="42" t="n">
        <v>30307</v>
      </c>
      <c r="K1973" s="42" t="n">
        <v>11257</v>
      </c>
      <c r="L1973" s="43" t="n"/>
      <c r="M1973" s="44" t="n"/>
      <c r="N1973" s="44" t="inlineStr">
        <is>
          <t>UCKZo4N0lVPccBkSiuyVh4yg</t>
        </is>
      </c>
      <c r="O1973" s="45" t="n">
        <v>43459.75</v>
      </c>
      <c r="P1973" s="46" t="n">
        <v>43459</v>
      </c>
      <c r="Q1973" s="44" t="n">
        <v>1299</v>
      </c>
      <c r="R1973" s="44" t="inlineStr">
        <is>
          <t>No Video ID yet</t>
        </is>
      </c>
      <c r="S1973" s="46" t="n"/>
      <c r="T1973" s="46" t="n"/>
      <c r="U1973" s="44" t="n"/>
      <c r="V1973" s="44">
        <f>IF(AND(P1973&gt;=Calendar!$K$2,P1973&lt;EDATE(Calendar!$K$2,1),OR(Calendar!$K$4="*",N1973=Calendar!$K$4)),P1973*100+COUNTIFS($P$6:$P$3271,P1973,$Q$6:$Q$3271,"&lt;="&amp;Q1973,$N$6:$N$3271,Calendar!$K$4),"")</f>
        <v/>
      </c>
      <c r="W1973" s="44">
        <f>IF(AND(B1973=Queue!$C$4,OR(Queue!$K$4="*",N1973=Queue!$K$4)),Q1973,"")</f>
        <v/>
      </c>
    </row>
    <row r="1974">
      <c r="A1974" s="35">
        <f>IF(M1974="","",HYPERLINK("https://www.youtube.com/watch?v="&amp;M1974,"▶"))</f>
        <v/>
      </c>
      <c r="B1974" s="36">
        <f>IF(C1974&lt;&gt;"",C1974,IF(P1974&lt;=IFERROR(INDEX(tblChannels[Watched Through],MATCH(N1974,tblChannels[Channel ID],0)),0),"Watched","Unwatched"))</f>
        <v/>
      </c>
      <c r="C1974" s="37" t="n"/>
      <c r="D1974" s="38" t="n"/>
      <c r="E1974" s="39" t="n">
        <v>43458.41666666666</v>
      </c>
      <c r="F1974" s="50" t="inlineStr">
        <is>
          <t>Jonathan Carlin</t>
        </is>
      </c>
      <c r="G1974" t="inlineStr">
        <is>
          <t>LUKE CONQUERS THE STAIRS!</t>
        </is>
      </c>
      <c r="H1974" s="41" t="n">
        <v>0.007152777777777778</v>
      </c>
      <c r="I1974" s="42" t="n">
        <v>34258</v>
      </c>
      <c r="J1974" s="42" t="n">
        <v>1765</v>
      </c>
      <c r="K1974" s="42" t="n">
        <v>230</v>
      </c>
      <c r="L1974" s="43" t="n"/>
      <c r="M1974" s="44" t="n"/>
      <c r="N1974" s="44" t="inlineStr">
        <is>
          <t>UCYPKFe86e6nm4TVUYKLsFUQ</t>
        </is>
      </c>
      <c r="O1974" s="45" t="n">
        <v>43458.625</v>
      </c>
      <c r="P1974" s="46" t="n">
        <v>43458</v>
      </c>
      <c r="Q1974" s="44" t="n">
        <v>1298</v>
      </c>
      <c r="R1974" s="44" t="inlineStr">
        <is>
          <t>No Video ID yet</t>
        </is>
      </c>
      <c r="S1974" s="46" t="n"/>
      <c r="T1974" s="46" t="n"/>
      <c r="U1974" s="44" t="n"/>
      <c r="V1974" s="44">
        <f>IF(AND(P1974&gt;=Calendar!$K$2,P1974&lt;EDATE(Calendar!$K$2,1),OR(Calendar!$K$4="*",N1974=Calendar!$K$4)),P1974*100+COUNTIFS($P$6:$P$3271,P1974,$Q$6:$Q$3271,"&lt;="&amp;Q1974,$N$6:$N$3271,Calendar!$K$4),"")</f>
        <v/>
      </c>
      <c r="W1974" s="44">
        <f>IF(AND(B1974=Queue!$C$4,OR(Queue!$K$4="*",N1974=Queue!$K$4)),Q1974,"")</f>
        <v/>
      </c>
    </row>
    <row r="1975">
      <c r="A1975" s="35">
        <f>IF(M1975="","",HYPERLINK("https://www.youtube.com/watch?v="&amp;M1975,"▶"))</f>
        <v/>
      </c>
      <c r="B1975" s="36">
        <f>IF(C1975&lt;&gt;"",C1975,IF(P1975&lt;=IFERROR(INDEX(tblChannels[Watched Through],MATCH(N1975,tblChannels[Channel ID],0)),0),"Watched","Unwatched"))</f>
        <v/>
      </c>
      <c r="C1975" s="37" t="n"/>
      <c r="D1975" s="38" t="n"/>
      <c r="E1975" s="39" t="n">
        <v>43455.4375</v>
      </c>
      <c r="F1975" s="49" t="inlineStr">
        <is>
          <t>Super Carlin Gaming</t>
        </is>
      </c>
      <c r="G1975" t="inlineStr">
        <is>
          <t>My Friends Don't Get My Humor! | Rocket League #81</t>
        </is>
      </c>
      <c r="H1975" s="41" t="n">
        <v>0.01351851851851852</v>
      </c>
      <c r="I1975" s="42" t="n">
        <v>5492</v>
      </c>
      <c r="J1975" s="42" t="n">
        <v>211</v>
      </c>
      <c r="K1975" s="42" t="n">
        <v>45</v>
      </c>
      <c r="L1975" s="43" t="n"/>
      <c r="M1975" s="44" t="n"/>
      <c r="N1975" s="44" t="inlineStr">
        <is>
          <t>UCor_9jRnNNZVzTuQ92PKsaQ</t>
        </is>
      </c>
      <c r="O1975" s="45" t="n">
        <v>43455.64583333334</v>
      </c>
      <c r="P1975" s="46" t="n">
        <v>43455</v>
      </c>
      <c r="Q1975" s="44" t="n">
        <v>1297</v>
      </c>
      <c r="R1975" s="44" t="inlineStr">
        <is>
          <t>No Video ID yet</t>
        </is>
      </c>
      <c r="S1975" s="46" t="n"/>
      <c r="T1975" s="46" t="n"/>
      <c r="U1975" s="44" t="n"/>
      <c r="V1975" s="44">
        <f>IF(AND(P1975&gt;=Calendar!$K$2,P1975&lt;EDATE(Calendar!$K$2,1),OR(Calendar!$K$4="*",N1975=Calendar!$K$4)),P1975*100+COUNTIFS($P$6:$P$3271,P1975,$Q$6:$Q$3271,"&lt;="&amp;Q1975,$N$6:$N$3271,Calendar!$K$4),"")</f>
        <v/>
      </c>
      <c r="W1975" s="44">
        <f>IF(AND(B1975=Queue!$C$4,OR(Queue!$K$4="*",N1975=Queue!$K$4)),Q1975,"")</f>
        <v/>
      </c>
    </row>
    <row r="1976">
      <c r="A1976" s="35">
        <f>IF(M1976="","",HYPERLINK("https://www.youtube.com/watch?v="&amp;M1976,"▶"))</f>
        <v/>
      </c>
      <c r="B1976" s="36">
        <f>IF(C1976&lt;&gt;"",C1976,IF(P1976&lt;=IFERROR(INDEX(tblChannels[Watched Through],MATCH(N1976,tblChannels[Channel ID],0)),0),"Watched","Unwatched"))</f>
        <v/>
      </c>
      <c r="C1976" s="37" t="n"/>
      <c r="D1976" s="38" t="n"/>
      <c r="E1976" s="39" t="n">
        <v>43454.69722222222</v>
      </c>
      <c r="F1976" s="47" t="inlineStr">
        <is>
          <t>Super Carlin Brothers</t>
        </is>
      </c>
      <c r="G1976" t="inlineStr">
        <is>
          <t>J vs Ben: EXTRA LARGE Harry Potter Christmas Quiz</t>
        </is>
      </c>
      <c r="H1976" s="41" t="n">
        <v>0.02518518518518519</v>
      </c>
      <c r="I1976" s="42" t="n">
        <v>922171</v>
      </c>
      <c r="J1976" s="42" t="n">
        <v>16579</v>
      </c>
      <c r="K1976" s="42" t="n">
        <v>1802</v>
      </c>
      <c r="L1976" s="43" t="n"/>
      <c r="M1976" s="44" t="n"/>
      <c r="N1976" s="44" t="inlineStr">
        <is>
          <t>UCKZo4N0lVPccBkSiuyVh4yg</t>
        </is>
      </c>
      <c r="O1976" s="45" t="n">
        <v>43454.90555555555</v>
      </c>
      <c r="P1976" s="46" t="n">
        <v>43454</v>
      </c>
      <c r="Q1976" s="44" t="n">
        <v>1296</v>
      </c>
      <c r="R1976" s="44" t="inlineStr">
        <is>
          <t>No Video ID yet</t>
        </is>
      </c>
      <c r="S1976" s="46" t="n"/>
      <c r="T1976" s="46" t="n"/>
      <c r="U1976" s="44" t="n"/>
      <c r="V1976" s="44">
        <f>IF(AND(P1976&gt;=Calendar!$K$2,P1976&lt;EDATE(Calendar!$K$2,1),OR(Calendar!$K$4="*",N1976=Calendar!$K$4)),P1976*100+COUNTIFS($P$6:$P$3271,P1976,$Q$6:$Q$3271,"&lt;="&amp;Q1976,$N$6:$N$3271,Calendar!$K$4),"")</f>
        <v/>
      </c>
      <c r="W1976" s="44">
        <f>IF(AND(B1976=Queue!$C$4,OR(Queue!$K$4="*",N1976=Queue!$K$4)),Q1976,"")</f>
        <v/>
      </c>
    </row>
    <row r="1977">
      <c r="A1977" s="35">
        <f>IF(M1977="","",HYPERLINK("https://www.youtube.com/watch?v="&amp;M1977,"▶"))</f>
        <v/>
      </c>
      <c r="B1977" s="36">
        <f>IF(C1977&lt;&gt;"",C1977,IF(P1977&lt;=IFERROR(INDEX(tblChannels[Watched Through],MATCH(N1977,tblChannels[Channel ID],0)),0),"Watched","Unwatched"))</f>
        <v/>
      </c>
      <c r="C1977" s="37" t="n"/>
      <c r="D1977" s="38" t="n"/>
      <c r="E1977" s="39" t="n">
        <v>43454.61527777778</v>
      </c>
      <c r="F1977" s="49" t="inlineStr">
        <is>
          <t>Super Carlin Gaming</t>
        </is>
      </c>
      <c r="G1977" t="inlineStr">
        <is>
          <t>Roommate Troubles | Rocket League #80</t>
        </is>
      </c>
      <c r="H1977" s="41" t="n">
        <v>0.01321759259259259</v>
      </c>
      <c r="I1977" s="42" t="n">
        <v>3239</v>
      </c>
      <c r="J1977" s="42" t="n">
        <v>157</v>
      </c>
      <c r="K1977" s="42" t="n">
        <v>32</v>
      </c>
      <c r="L1977" s="43" t="n"/>
      <c r="M1977" s="44" t="n"/>
      <c r="N1977" s="44" t="inlineStr">
        <is>
          <t>UCor_9jRnNNZVzTuQ92PKsaQ</t>
        </is>
      </c>
      <c r="O1977" s="45" t="n">
        <v>43454.82361111111</v>
      </c>
      <c r="P1977" s="46" t="n">
        <v>43454</v>
      </c>
      <c r="Q1977" s="44" t="n">
        <v>1295</v>
      </c>
      <c r="R1977" s="44" t="inlineStr">
        <is>
          <t>No Video ID yet</t>
        </is>
      </c>
      <c r="S1977" s="46" t="n"/>
      <c r="T1977" s="46" t="n"/>
      <c r="U1977" s="44" t="n"/>
      <c r="V1977" s="44">
        <f>IF(AND(P1977&gt;=Calendar!$K$2,P1977&lt;EDATE(Calendar!$K$2,1),OR(Calendar!$K$4="*",N1977=Calendar!$K$4)),P1977*100+COUNTIFS($P$6:$P$3271,P1977,$Q$6:$Q$3271,"&lt;="&amp;Q1977,$N$6:$N$3271,Calendar!$K$4),"")</f>
        <v/>
      </c>
      <c r="W1977" s="44">
        <f>IF(AND(B1977=Queue!$C$4,OR(Queue!$K$4="*",N1977=Queue!$K$4)),Q1977,"")</f>
        <v/>
      </c>
    </row>
    <row r="1978">
      <c r="A1978" s="35">
        <f>IF(M1978="","",HYPERLINK("https://www.youtube.com/watch?v="&amp;M1978,"▶"))</f>
        <v/>
      </c>
      <c r="B1978" s="36">
        <f>IF(C1978&lt;&gt;"",C1978,IF(P1978&lt;=IFERROR(INDEX(tblChannels[Watched Through],MATCH(N1978,tblChannels[Channel ID],0)),0),"Watched","Unwatched"))</f>
        <v/>
      </c>
      <c r="C1978" s="37" t="n"/>
      <c r="D1978" s="38" t="n"/>
      <c r="E1978" s="39" t="n">
        <v>43452.89097222222</v>
      </c>
      <c r="F1978" s="47" t="inlineStr">
        <is>
          <t>Super Carlin Brothers</t>
        </is>
      </c>
      <c r="G1978" t="inlineStr">
        <is>
          <t>Is ‘Into The Spiderverse’ The Best Spider-Man Movie? | SPOILER REVIEW</t>
        </is>
      </c>
      <c r="H1978" s="41" t="n">
        <v>0.03049768518518519</v>
      </c>
      <c r="I1978" s="42" t="n">
        <v>253205</v>
      </c>
      <c r="J1978" s="42" t="n">
        <v>7397</v>
      </c>
      <c r="K1978" s="42" t="n">
        <v>1957</v>
      </c>
      <c r="L1978" s="43" t="n"/>
      <c r="M1978" s="44" t="n"/>
      <c r="N1978" s="44" t="inlineStr">
        <is>
          <t>UCKZo4N0lVPccBkSiuyVh4yg</t>
        </is>
      </c>
      <c r="O1978" s="45" t="n">
        <v>43453.09930555556</v>
      </c>
      <c r="P1978" s="46" t="n">
        <v>43452</v>
      </c>
      <c r="Q1978" s="44" t="n">
        <v>1294</v>
      </c>
      <c r="R1978" s="44" t="inlineStr">
        <is>
          <t>No Video ID yet</t>
        </is>
      </c>
      <c r="S1978" s="46" t="n"/>
      <c r="T1978" s="46" t="n"/>
      <c r="U1978" s="44" t="n"/>
      <c r="V1978" s="44">
        <f>IF(AND(P1978&gt;=Calendar!$K$2,P1978&lt;EDATE(Calendar!$K$2,1),OR(Calendar!$K$4="*",N1978=Calendar!$K$4)),P1978*100+COUNTIFS($P$6:$P$3271,P1978,$Q$6:$Q$3271,"&lt;="&amp;Q1978,$N$6:$N$3271,Calendar!$K$4),"")</f>
        <v/>
      </c>
      <c r="W1978" s="44">
        <f>IF(AND(B1978=Queue!$C$4,OR(Queue!$K$4="*",N1978=Queue!$K$4)),Q1978,"")</f>
        <v/>
      </c>
    </row>
    <row r="1979">
      <c r="A1979" s="35">
        <f>IF(M1979="","",HYPERLINK("https://www.youtube.com/watch?v="&amp;M1979,"▶"))</f>
        <v/>
      </c>
      <c r="B1979" s="36">
        <f>IF(C1979&lt;&gt;"",C1979,IF(P1979&lt;=IFERROR(INDEX(tblChannels[Watched Through],MATCH(N1979,tblChannels[Channel ID],0)),0),"Watched","Unwatched"))</f>
        <v/>
      </c>
      <c r="C1979" s="37" t="n"/>
      <c r="D1979" s="38" t="n"/>
      <c r="E1979" s="39" t="n">
        <v>43451.65138888889</v>
      </c>
      <c r="F1979" s="50" t="inlineStr">
        <is>
          <t>Jonathan Carlin</t>
        </is>
      </c>
      <c r="G1979" t="inlineStr">
        <is>
          <t>Driving 12 Hours In The Rain With A Baby..</t>
        </is>
      </c>
      <c r="H1979" s="41" t="n">
        <v>0.006736111111111111</v>
      </c>
      <c r="I1979" s="42" t="n">
        <v>31998</v>
      </c>
      <c r="J1979" s="42" t="n">
        <v>1693</v>
      </c>
      <c r="K1979" s="42" t="n">
        <v>174</v>
      </c>
      <c r="L1979" s="43" t="n"/>
      <c r="M1979" s="44" t="n"/>
      <c r="N1979" s="44" t="inlineStr">
        <is>
          <t>UCYPKFe86e6nm4TVUYKLsFUQ</t>
        </is>
      </c>
      <c r="O1979" s="45" t="n">
        <v>43451.85972222222</v>
      </c>
      <c r="P1979" s="46" t="n">
        <v>43451</v>
      </c>
      <c r="Q1979" s="44" t="n">
        <v>1293</v>
      </c>
      <c r="R1979" s="44" t="inlineStr">
        <is>
          <t>No Video ID yet</t>
        </is>
      </c>
      <c r="S1979" s="46" t="n"/>
      <c r="T1979" s="46" t="n"/>
      <c r="U1979" s="44" t="n"/>
      <c r="V1979" s="44">
        <f>IF(AND(P1979&gt;=Calendar!$K$2,P1979&lt;EDATE(Calendar!$K$2,1),OR(Calendar!$K$4="*",N1979=Calendar!$K$4)),P1979*100+COUNTIFS($P$6:$P$3271,P1979,$Q$6:$Q$3271,"&lt;="&amp;Q1979,$N$6:$N$3271,Calendar!$K$4),"")</f>
        <v/>
      </c>
      <c r="W1979" s="44">
        <f>IF(AND(B1979=Queue!$C$4,OR(Queue!$K$4="*",N1979=Queue!$K$4)),Q1979,"")</f>
        <v/>
      </c>
    </row>
    <row r="1980">
      <c r="A1980" s="35">
        <f>IF(M1980="","",HYPERLINK("https://www.youtube.com/watch?v="&amp;M1980,"▶"))</f>
        <v/>
      </c>
      <c r="B1980" s="36">
        <f>IF(C1980&lt;&gt;"",C1980,IF(P1980&lt;=IFERROR(INDEX(tblChannels[Watched Through],MATCH(N1980,tblChannels[Channel ID],0)),0),"Watched","Unwatched"))</f>
        <v/>
      </c>
      <c r="C1980" s="37" t="n"/>
      <c r="D1980" s="38" t="n"/>
      <c r="E1980" s="39" t="n">
        <v>43450.54166666666</v>
      </c>
      <c r="F1980" s="47" t="inlineStr">
        <is>
          <t>Super Carlin Brothers</t>
        </is>
      </c>
      <c r="G1980" t="inlineStr">
        <is>
          <t>Why Venom Is Actually A Butterfly</t>
        </is>
      </c>
      <c r="H1980" s="41" t="n">
        <v>0.006747685185185186</v>
      </c>
      <c r="I1980" s="42" t="n">
        <v>226423</v>
      </c>
      <c r="J1980" s="42" t="n">
        <v>9472</v>
      </c>
      <c r="K1980" s="42" t="n">
        <v>1442</v>
      </c>
      <c r="L1980" s="43" t="n"/>
      <c r="M1980" s="44" t="n"/>
      <c r="N1980" s="44" t="inlineStr">
        <is>
          <t>UCKZo4N0lVPccBkSiuyVh4yg</t>
        </is>
      </c>
      <c r="O1980" s="45" t="n">
        <v>43450.75</v>
      </c>
      <c r="P1980" s="46" t="n">
        <v>43450</v>
      </c>
      <c r="Q1980" s="44" t="n">
        <v>1292</v>
      </c>
      <c r="R1980" s="44" t="inlineStr">
        <is>
          <t>No Video ID yet</t>
        </is>
      </c>
      <c r="S1980" s="46" t="n"/>
      <c r="T1980" s="46" t="n"/>
      <c r="U1980" s="44" t="n"/>
      <c r="V1980" s="44">
        <f>IF(AND(P1980&gt;=Calendar!$K$2,P1980&lt;EDATE(Calendar!$K$2,1),OR(Calendar!$K$4="*",N1980=Calendar!$K$4)),P1980*100+COUNTIFS($P$6:$P$3271,P1980,$Q$6:$Q$3271,"&lt;="&amp;Q1980,$N$6:$N$3271,Calendar!$K$4),"")</f>
        <v/>
      </c>
      <c r="W1980" s="44">
        <f>IF(AND(B1980=Queue!$C$4,OR(Queue!$K$4="*",N1980=Queue!$K$4)),Q1980,"")</f>
        <v/>
      </c>
    </row>
    <row r="1981">
      <c r="A1981" s="35">
        <f>IF(M1981="","",HYPERLINK("https://www.youtube.com/watch?v="&amp;M1981,"▶"))</f>
        <v/>
      </c>
      <c r="B1981" s="36">
        <f>IF(C1981&lt;&gt;"",C1981,IF(P1981&lt;=IFERROR(INDEX(tblChannels[Watched Through],MATCH(N1981,tblChannels[Channel ID],0)),0),"Watched","Unwatched"))</f>
        <v/>
      </c>
      <c r="C1981" s="37" t="n"/>
      <c r="D1981" s="38" t="n"/>
      <c r="E1981" s="39" t="n">
        <v>43447.72708333333</v>
      </c>
      <c r="F1981" s="47" t="inlineStr">
        <is>
          <t>Super Carlin Brothers</t>
        </is>
      </c>
      <c r="G1981" t="inlineStr">
        <is>
          <t>J vs Ben: ULTIMATE Harry Potter MOVIE Trivia Quiz</t>
        </is>
      </c>
      <c r="H1981" s="41" t="n">
        <v>0.01668981481481481</v>
      </c>
      <c r="I1981" s="42" t="n">
        <v>869155</v>
      </c>
      <c r="J1981" s="42" t="n">
        <v>20184</v>
      </c>
      <c r="K1981" s="42" t="n">
        <v>3694</v>
      </c>
      <c r="L1981" s="43" t="n"/>
      <c r="M1981" s="44" t="n"/>
      <c r="N1981" s="44" t="inlineStr">
        <is>
          <t>UCKZo4N0lVPccBkSiuyVh4yg</t>
        </is>
      </c>
      <c r="O1981" s="45" t="n">
        <v>43447.93541666667</v>
      </c>
      <c r="P1981" s="46" t="n">
        <v>43447</v>
      </c>
      <c r="Q1981" s="44" t="n">
        <v>1291</v>
      </c>
      <c r="R1981" s="44" t="inlineStr">
        <is>
          <t>No Video ID yet</t>
        </is>
      </c>
      <c r="S1981" s="46" t="n"/>
      <c r="T1981" s="46" t="n"/>
      <c r="U1981" s="44" t="n"/>
      <c r="V1981" s="44">
        <f>IF(AND(P1981&gt;=Calendar!$K$2,P1981&lt;EDATE(Calendar!$K$2,1),OR(Calendar!$K$4="*",N1981=Calendar!$K$4)),P1981*100+COUNTIFS($P$6:$P$3271,P1981,$Q$6:$Q$3271,"&lt;="&amp;Q1981,$N$6:$N$3271,Calendar!$K$4),"")</f>
        <v/>
      </c>
      <c r="W1981" s="44">
        <f>IF(AND(B1981=Queue!$C$4,OR(Queue!$K$4="*",N1981=Queue!$K$4)),Q1981,"")</f>
        <v/>
      </c>
    </row>
    <row r="1982">
      <c r="A1982" s="35">
        <f>IF(M1982="","",HYPERLINK("https://www.youtube.com/watch?v="&amp;M1982,"▶"))</f>
        <v/>
      </c>
      <c r="B1982" s="36">
        <f>IF(C1982&lt;&gt;"",C1982,IF(P1982&lt;=IFERROR(INDEX(tblChannels[Watched Through],MATCH(N1982,tblChannels[Channel ID],0)),0),"Watched","Unwatched"))</f>
        <v/>
      </c>
      <c r="C1982" s="37" t="n"/>
      <c r="D1982" s="38" t="n"/>
      <c r="E1982" s="39" t="n">
        <v>43445.66319444445</v>
      </c>
      <c r="F1982" s="47" t="inlineStr">
        <is>
          <t>Super Carlin Brothers</t>
        </is>
      </c>
      <c r="G1982" t="inlineStr">
        <is>
          <t>Who Did Leta Say "I Love You" To? | Fantastic Beasts Theory</t>
        </is>
      </c>
      <c r="H1982" s="41" t="n">
        <v>0.01001157407407407</v>
      </c>
      <c r="I1982" s="42" t="n">
        <v>621910</v>
      </c>
      <c r="J1982" s="42" t="n">
        <v>20176</v>
      </c>
      <c r="K1982" s="42" t="n">
        <v>2349</v>
      </c>
      <c r="L1982" s="43" t="n"/>
      <c r="M1982" s="44" t="n"/>
      <c r="N1982" s="44" t="inlineStr">
        <is>
          <t>UCKZo4N0lVPccBkSiuyVh4yg</t>
        </is>
      </c>
      <c r="O1982" s="45" t="n">
        <v>43445.87152777778</v>
      </c>
      <c r="P1982" s="46" t="n">
        <v>43445</v>
      </c>
      <c r="Q1982" s="44" t="n">
        <v>1290</v>
      </c>
      <c r="R1982" s="44" t="inlineStr">
        <is>
          <t>No Video ID yet</t>
        </is>
      </c>
      <c r="S1982" s="46" t="n"/>
      <c r="T1982" s="46" t="n"/>
      <c r="U1982" s="44" t="n"/>
      <c r="V1982" s="44">
        <f>IF(AND(P1982&gt;=Calendar!$K$2,P1982&lt;EDATE(Calendar!$K$2,1),OR(Calendar!$K$4="*",N1982=Calendar!$K$4)),P1982*100+COUNTIFS($P$6:$P$3271,P1982,$Q$6:$Q$3271,"&lt;="&amp;Q1982,$N$6:$N$3271,Calendar!$K$4),"")</f>
        <v/>
      </c>
      <c r="W1982" s="44">
        <f>IF(AND(B1982=Queue!$C$4,OR(Queue!$K$4="*",N1982=Queue!$K$4)),Q1982,"")</f>
        <v/>
      </c>
    </row>
    <row r="1983">
      <c r="A1983" s="35">
        <f>IF(M1983="","",HYPERLINK("https://www.youtube.com/watch?v="&amp;M1983,"▶"))</f>
        <v/>
      </c>
      <c r="B1983" s="36">
        <f>IF(C1983&lt;&gt;"",C1983,IF(P1983&lt;=IFERROR(INDEX(tblChannels[Watched Through],MATCH(N1983,tblChannels[Channel ID],0)),0),"Watched","Unwatched"))</f>
        <v/>
      </c>
      <c r="C1983" s="37" t="n"/>
      <c r="D1983" s="38" t="n"/>
      <c r="E1983" s="39" t="n">
        <v>43444.74305555555</v>
      </c>
      <c r="F1983" s="50" t="inlineStr">
        <is>
          <t>Jonathan Carlin</t>
        </is>
      </c>
      <c r="G1983" t="inlineStr">
        <is>
          <t>LUKE LEARNS TO WAVE!</t>
        </is>
      </c>
      <c r="H1983" s="41" t="n">
        <v>0.007222222222222222</v>
      </c>
      <c r="I1983" s="42" t="n">
        <v>31054</v>
      </c>
      <c r="J1983" s="42" t="n">
        <v>1729</v>
      </c>
      <c r="K1983" s="42" t="n">
        <v>159</v>
      </c>
      <c r="L1983" s="43" t="n"/>
      <c r="M1983" s="44" t="n"/>
      <c r="N1983" s="44" t="inlineStr">
        <is>
          <t>UCYPKFe86e6nm4TVUYKLsFUQ</t>
        </is>
      </c>
      <c r="O1983" s="45" t="n">
        <v>43444.95138888889</v>
      </c>
      <c r="P1983" s="46" t="n">
        <v>43444</v>
      </c>
      <c r="Q1983" s="44" t="n">
        <v>1289</v>
      </c>
      <c r="R1983" s="44" t="inlineStr">
        <is>
          <t>No Video ID yet</t>
        </is>
      </c>
      <c r="S1983" s="46" t="n"/>
      <c r="T1983" s="46" t="n"/>
      <c r="U1983" s="44" t="n"/>
      <c r="V1983" s="44">
        <f>IF(AND(P1983&gt;=Calendar!$K$2,P1983&lt;EDATE(Calendar!$K$2,1),OR(Calendar!$K$4="*",N1983=Calendar!$K$4)),P1983*100+COUNTIFS($P$6:$P$3271,P1983,$Q$6:$Q$3271,"&lt;="&amp;Q1983,$N$6:$N$3271,Calendar!$K$4),"")</f>
        <v/>
      </c>
      <c r="W1983" s="44">
        <f>IF(AND(B1983=Queue!$C$4,OR(Queue!$K$4="*",N1983=Queue!$K$4)),Q1983,"")</f>
        <v/>
      </c>
    </row>
    <row r="1984">
      <c r="A1984" s="35">
        <f>IF(M1984="","",HYPERLINK("https://www.youtube.com/watch?v="&amp;M1984,"▶"))</f>
        <v/>
      </c>
      <c r="B1984" s="36">
        <f>IF(C1984&lt;&gt;"",C1984,IF(P1984&lt;=IFERROR(INDEX(tblChannels[Watched Through],MATCH(N1984,tblChannels[Channel ID],0)),0),"Watched","Unwatched"))</f>
        <v/>
      </c>
      <c r="C1984" s="37" t="n"/>
      <c r="D1984" s="38" t="n"/>
      <c r="E1984" s="39" t="n">
        <v>43440.6875</v>
      </c>
      <c r="F1984" s="47" t="inlineStr">
        <is>
          <t>Super Carlin Brothers</t>
        </is>
      </c>
      <c r="G1984" t="inlineStr">
        <is>
          <t>Did The Blood Pact Kill Ariana? | Fantastic Beasts Theory</t>
        </is>
      </c>
      <c r="H1984" s="41" t="n">
        <v>0.008472222222222223</v>
      </c>
      <c r="I1984" s="42" t="n">
        <v>538953</v>
      </c>
      <c r="J1984" s="42" t="n">
        <v>18360</v>
      </c>
      <c r="K1984" s="42" t="n">
        <v>1381</v>
      </c>
      <c r="L1984" s="43" t="n"/>
      <c r="M1984" s="44" t="n"/>
      <c r="N1984" s="44" t="inlineStr">
        <is>
          <t>UCKZo4N0lVPccBkSiuyVh4yg</t>
        </is>
      </c>
      <c r="O1984" s="45" t="n">
        <v>43440.89583333334</v>
      </c>
      <c r="P1984" s="46" t="n">
        <v>43440</v>
      </c>
      <c r="Q1984" s="44" t="n">
        <v>1288</v>
      </c>
      <c r="R1984" s="44" t="inlineStr">
        <is>
          <t>No Video ID yet</t>
        </is>
      </c>
      <c r="S1984" s="46" t="n"/>
      <c r="T1984" s="46" t="n"/>
      <c r="U1984" s="44" t="n"/>
      <c r="V1984" s="44">
        <f>IF(AND(P1984&gt;=Calendar!$K$2,P1984&lt;EDATE(Calendar!$K$2,1),OR(Calendar!$K$4="*",N1984=Calendar!$K$4)),P1984*100+COUNTIFS($P$6:$P$3271,P1984,$Q$6:$Q$3271,"&lt;="&amp;Q1984,$N$6:$N$3271,Calendar!$K$4),"")</f>
        <v/>
      </c>
      <c r="W1984" s="44">
        <f>IF(AND(B1984=Queue!$C$4,OR(Queue!$K$4="*",N1984=Queue!$K$4)),Q1984,"")</f>
        <v/>
      </c>
    </row>
    <row r="1985">
      <c r="A1985" s="35">
        <f>IF(M1985="","",HYPERLINK("https://www.youtube.com/watch?v="&amp;M1985,"▶"))</f>
        <v/>
      </c>
      <c r="B1985" s="36">
        <f>IF(C1985&lt;&gt;"",C1985,IF(P1985&lt;=IFERROR(INDEX(tblChannels[Watched Through],MATCH(N1985,tblChannels[Channel ID],0)),0),"Watched","Unwatched"))</f>
        <v/>
      </c>
      <c r="C1985" s="37" t="n"/>
      <c r="D1985" s="38" t="n"/>
      <c r="E1985" s="39" t="n">
        <v>43439.41388888889</v>
      </c>
      <c r="F1985" s="49" t="inlineStr">
        <is>
          <t>Super Carlin Gaming</t>
        </is>
      </c>
      <c r="G1985" t="inlineStr">
        <is>
          <t>Boom Boom Boom | Rocket League #79</t>
        </is>
      </c>
      <c r="H1985" s="41" t="n">
        <v>0.01423611111111111</v>
      </c>
      <c r="I1985" s="42" t="n">
        <v>3778</v>
      </c>
      <c r="J1985" s="42" t="n">
        <v>243</v>
      </c>
      <c r="K1985" s="42" t="n">
        <v>68</v>
      </c>
      <c r="L1985" s="43" t="n"/>
      <c r="M1985" s="44" t="n"/>
      <c r="N1985" s="44" t="inlineStr">
        <is>
          <t>UCor_9jRnNNZVzTuQ92PKsaQ</t>
        </is>
      </c>
      <c r="O1985" s="45" t="n">
        <v>43439.62222222222</v>
      </c>
      <c r="P1985" s="46" t="n">
        <v>43439</v>
      </c>
      <c r="Q1985" s="44" t="n">
        <v>1287</v>
      </c>
      <c r="R1985" s="44" t="inlineStr">
        <is>
          <t>No Video ID yet</t>
        </is>
      </c>
      <c r="S1985" s="46" t="n"/>
      <c r="T1985" s="46" t="n"/>
      <c r="U1985" s="44" t="n"/>
      <c r="V1985" s="44">
        <f>IF(AND(P1985&gt;=Calendar!$K$2,P1985&lt;EDATE(Calendar!$K$2,1),OR(Calendar!$K$4="*",N1985=Calendar!$K$4)),P1985*100+COUNTIFS($P$6:$P$3271,P1985,$Q$6:$Q$3271,"&lt;="&amp;Q1985,$N$6:$N$3271,Calendar!$K$4),"")</f>
        <v/>
      </c>
      <c r="W1985" s="44">
        <f>IF(AND(B1985=Queue!$C$4,OR(Queue!$K$4="*",N1985=Queue!$K$4)),Q1985,"")</f>
        <v/>
      </c>
    </row>
    <row r="1986">
      <c r="A1986" s="35">
        <f>IF(M1986="","",HYPERLINK("https://www.youtube.com/watch?v="&amp;M1986,"▶"))</f>
        <v/>
      </c>
      <c r="B1986" s="36">
        <f>IF(C1986&lt;&gt;"",C1986,IF(P1986&lt;=IFERROR(INDEX(tblChannels[Watched Through],MATCH(N1986,tblChannels[Channel ID],0)),0),"Watched","Unwatched"))</f>
        <v/>
      </c>
      <c r="C1986" s="37" t="n"/>
      <c r="D1986" s="38" t="n"/>
      <c r="E1986" s="39" t="n">
        <v>43438.75138888889</v>
      </c>
      <c r="F1986" s="47" t="inlineStr">
        <is>
          <t>Super Carlin Brothers</t>
        </is>
      </c>
      <c r="G1986" t="inlineStr">
        <is>
          <t>Top 6 Walt Disney World Myths</t>
        </is>
      </c>
      <c r="H1986" s="41" t="n">
        <v>0.007094907407407407</v>
      </c>
      <c r="I1986" s="42" t="n">
        <v>996248</v>
      </c>
      <c r="J1986" s="42" t="n">
        <v>26061</v>
      </c>
      <c r="K1986" s="42" t="n">
        <v>2266</v>
      </c>
      <c r="L1986" s="43" t="n"/>
      <c r="M1986" s="44" t="n"/>
      <c r="N1986" s="44" t="inlineStr">
        <is>
          <t>UCKZo4N0lVPccBkSiuyVh4yg</t>
        </is>
      </c>
      <c r="O1986" s="45" t="n">
        <v>43438.95972222222</v>
      </c>
      <c r="P1986" s="46" t="n">
        <v>43438</v>
      </c>
      <c r="Q1986" s="44" t="n">
        <v>1286</v>
      </c>
      <c r="R1986" s="44" t="inlineStr">
        <is>
          <t>No Video ID yet</t>
        </is>
      </c>
      <c r="S1986" s="46" t="n"/>
      <c r="T1986" s="46" t="n"/>
      <c r="U1986" s="44" t="n"/>
      <c r="V1986" s="44">
        <f>IF(AND(P1986&gt;=Calendar!$K$2,P1986&lt;EDATE(Calendar!$K$2,1),OR(Calendar!$K$4="*",N1986=Calendar!$K$4)),P1986*100+COUNTIFS($P$6:$P$3271,P1986,$Q$6:$Q$3271,"&lt;="&amp;Q1986,$N$6:$N$3271,Calendar!$K$4),"")</f>
        <v/>
      </c>
      <c r="W1986" s="44">
        <f>IF(AND(B1986=Queue!$C$4,OR(Queue!$K$4="*",N1986=Queue!$K$4)),Q1986,"")</f>
        <v/>
      </c>
    </row>
    <row r="1987">
      <c r="A1987" s="35">
        <f>IF(M1987="","",HYPERLINK("https://www.youtube.com/watch?v="&amp;M1987,"▶"))</f>
        <v/>
      </c>
      <c r="B1987" s="36">
        <f>IF(C1987&lt;&gt;"",C1987,IF(P1987&lt;=IFERROR(INDEX(tblChannels[Watched Through],MATCH(N1987,tblChannels[Channel ID],0)),0),"Watched","Unwatched"))</f>
        <v/>
      </c>
      <c r="C1987" s="37" t="n"/>
      <c r="D1987" s="38" t="n"/>
      <c r="E1987" s="39" t="n">
        <v>43437.4375</v>
      </c>
      <c r="F1987" s="49" t="inlineStr">
        <is>
          <t>Super Carlin Gaming</t>
        </is>
      </c>
      <c r="G1987" t="inlineStr">
        <is>
          <t>Am I Clingy? | Rocket League #78</t>
        </is>
      </c>
      <c r="H1987" s="41" t="n">
        <v>0.01424768518518518</v>
      </c>
      <c r="I1987" s="42" t="n">
        <v>3306</v>
      </c>
      <c r="J1987" s="42" t="n">
        <v>186</v>
      </c>
      <c r="K1987" s="42" t="n">
        <v>40</v>
      </c>
      <c r="L1987" s="43" t="n"/>
      <c r="M1987" s="44" t="n"/>
      <c r="N1987" s="44" t="inlineStr">
        <is>
          <t>UCor_9jRnNNZVzTuQ92PKsaQ</t>
        </is>
      </c>
      <c r="O1987" s="45" t="n">
        <v>43437.64583333334</v>
      </c>
      <c r="P1987" s="46" t="n">
        <v>43437</v>
      </c>
      <c r="Q1987" s="44" t="n">
        <v>1285</v>
      </c>
      <c r="R1987" s="44" t="inlineStr">
        <is>
          <t>No Video ID yet</t>
        </is>
      </c>
      <c r="S1987" s="46" t="n"/>
      <c r="T1987" s="46" t="n"/>
      <c r="U1987" s="44" t="n"/>
      <c r="V1987" s="44">
        <f>IF(AND(P1987&gt;=Calendar!$K$2,P1987&lt;EDATE(Calendar!$K$2,1),OR(Calendar!$K$4="*",N1987=Calendar!$K$4)),P1987*100+COUNTIFS($P$6:$P$3271,P1987,$Q$6:$Q$3271,"&lt;="&amp;Q1987,$N$6:$N$3271,Calendar!$K$4),"")</f>
        <v/>
      </c>
      <c r="W1987" s="44">
        <f>IF(AND(B1987=Queue!$C$4,OR(Queue!$K$4="*",N1987=Queue!$K$4)),Q1987,"")</f>
        <v/>
      </c>
    </row>
    <row r="1988">
      <c r="A1988" s="35">
        <f>IF(M1988="","",HYPERLINK("https://www.youtube.com/watch?v="&amp;M1988,"▶"))</f>
        <v/>
      </c>
      <c r="B1988" s="36">
        <f>IF(C1988&lt;&gt;"",C1988,IF(P1988&lt;=IFERROR(INDEX(tblChannels[Watched Through],MATCH(N1988,tblChannels[Channel ID],0)),0),"Watched","Unwatched"))</f>
        <v/>
      </c>
      <c r="C1988" s="37" t="n"/>
      <c r="D1988" s="38" t="n"/>
      <c r="E1988" s="39" t="n">
        <v>43434.5</v>
      </c>
      <c r="F1988" s="47" t="inlineStr">
        <is>
          <t>Super Carlin Brothers</t>
        </is>
      </c>
      <c r="G1988" t="inlineStr">
        <is>
          <t>WERE GIVING AWAY A LEGO HOGWARTS CASTLE!</t>
        </is>
      </c>
      <c r="H1988" s="41" t="n">
        <v>0.002789351851851852</v>
      </c>
      <c r="I1988" s="42" t="n">
        <v>57185</v>
      </c>
      <c r="J1988" s="42" t="n">
        <v>3735</v>
      </c>
      <c r="K1988" s="42" t="n">
        <v>647</v>
      </c>
      <c r="L1988" s="43" t="n"/>
      <c r="M1988" s="44" t="n"/>
      <c r="N1988" s="44" t="inlineStr">
        <is>
          <t>UCKZo4N0lVPccBkSiuyVh4yg</t>
        </is>
      </c>
      <c r="O1988" s="45" t="n">
        <v>43434.70833333334</v>
      </c>
      <c r="P1988" s="46" t="n">
        <v>43434</v>
      </c>
      <c r="Q1988" s="44" t="n">
        <v>1284</v>
      </c>
      <c r="R1988" s="44" t="inlineStr">
        <is>
          <t>No Video ID yet</t>
        </is>
      </c>
      <c r="S1988" s="46" t="n"/>
      <c r="T1988" s="46" t="n"/>
      <c r="U1988" s="44" t="n"/>
      <c r="V1988" s="44">
        <f>IF(AND(P1988&gt;=Calendar!$K$2,P1988&lt;EDATE(Calendar!$K$2,1),OR(Calendar!$K$4="*",N1988=Calendar!$K$4)),P1988*100+COUNTIFS($P$6:$P$3271,P1988,$Q$6:$Q$3271,"&lt;="&amp;Q1988,$N$6:$N$3271,Calendar!$K$4),"")</f>
        <v/>
      </c>
      <c r="W1988" s="44">
        <f>IF(AND(B1988=Queue!$C$4,OR(Queue!$K$4="*",N1988=Queue!$K$4)),Q1988,"")</f>
        <v/>
      </c>
    </row>
    <row r="1989">
      <c r="A1989" s="35">
        <f>IF(M1989="","",HYPERLINK("https://www.youtube.com/watch?v="&amp;M1989,"▶"))</f>
        <v/>
      </c>
      <c r="B1989" s="36">
        <f>IF(C1989&lt;&gt;"",C1989,IF(P1989&lt;=IFERROR(INDEX(tblChannels[Watched Through],MATCH(N1989,tblChannels[Channel ID],0)),0),"Watched","Unwatched"))</f>
        <v/>
      </c>
      <c r="C1989" s="37" t="n"/>
      <c r="D1989" s="38" t="n"/>
      <c r="E1989" s="39" t="n">
        <v>43434.4375</v>
      </c>
      <c r="F1989" s="49" t="inlineStr">
        <is>
          <t>Super Carlin Gaming</t>
        </is>
      </c>
      <c r="G1989" t="inlineStr">
        <is>
          <t>Insufferable Know-It-All | Rocket League #77</t>
        </is>
      </c>
      <c r="H1989" s="41" t="n">
        <v>0.01549768518518519</v>
      </c>
      <c r="I1989" s="42" t="n">
        <v>3252</v>
      </c>
      <c r="J1989" s="42" t="n">
        <v>166</v>
      </c>
      <c r="K1989" s="42" t="n">
        <v>48</v>
      </c>
      <c r="L1989" s="43" t="n"/>
      <c r="M1989" s="44" t="n"/>
      <c r="N1989" s="44" t="inlineStr">
        <is>
          <t>UCor_9jRnNNZVzTuQ92PKsaQ</t>
        </is>
      </c>
      <c r="O1989" s="45" t="n">
        <v>43434.64583333334</v>
      </c>
      <c r="P1989" s="46" t="n">
        <v>43434</v>
      </c>
      <c r="Q1989" s="44" t="n">
        <v>1283</v>
      </c>
      <c r="R1989" s="44" t="inlineStr">
        <is>
          <t>No Video ID yet</t>
        </is>
      </c>
      <c r="S1989" s="46" t="n"/>
      <c r="T1989" s="46" t="n"/>
      <c r="U1989" s="44" t="n"/>
      <c r="V1989" s="44">
        <f>IF(AND(P1989&gt;=Calendar!$K$2,P1989&lt;EDATE(Calendar!$K$2,1),OR(Calendar!$K$4="*",N1989=Calendar!$K$4)),P1989*100+COUNTIFS($P$6:$P$3271,P1989,$Q$6:$Q$3271,"&lt;="&amp;Q1989,$N$6:$N$3271,Calendar!$K$4),"")</f>
        <v/>
      </c>
      <c r="W1989" s="44">
        <f>IF(AND(B1989=Queue!$C$4,OR(Queue!$K$4="*",N1989=Queue!$K$4)),Q1989,"")</f>
        <v/>
      </c>
    </row>
    <row r="1990">
      <c r="A1990" s="35">
        <f>IF(M1990="","",HYPERLINK("https://www.youtube.com/watch?v="&amp;M1990,"▶"))</f>
        <v/>
      </c>
      <c r="B1990" s="36">
        <f>IF(C1990&lt;&gt;"",C1990,IF(P1990&lt;=IFERROR(INDEX(tblChannels[Watched Through],MATCH(N1990,tblChannels[Channel ID],0)),0),"Watched","Unwatched"))</f>
        <v/>
      </c>
      <c r="C1990" s="37" t="n"/>
      <c r="D1990" s="38" t="n"/>
      <c r="E1990" s="39" t="n">
        <v>43433.83263888889</v>
      </c>
      <c r="F1990" s="47" t="inlineStr">
        <is>
          <t>Super Carlin Brothers</t>
        </is>
      </c>
      <c r="G1990" t="inlineStr">
        <is>
          <t>Dumbledore's Dark Twin: Aurelius Explained | Fantastic Beasts Theory</t>
        </is>
      </c>
      <c r="H1990" s="41" t="n">
        <v>0.01125</v>
      </c>
      <c r="I1990" s="42" t="n">
        <v>1045829</v>
      </c>
      <c r="J1990" s="42" t="n">
        <v>34484</v>
      </c>
      <c r="K1990" s="42" t="n">
        <v>6464</v>
      </c>
      <c r="L1990" s="43" t="n"/>
      <c r="M1990" s="44" t="n"/>
      <c r="N1990" s="44" t="inlineStr">
        <is>
          <t>UCKZo4N0lVPccBkSiuyVh4yg</t>
        </is>
      </c>
      <c r="O1990" s="45" t="n">
        <v>43434.04097222222</v>
      </c>
      <c r="P1990" s="46" t="n">
        <v>43433</v>
      </c>
      <c r="Q1990" s="44" t="n">
        <v>1282</v>
      </c>
      <c r="R1990" s="44" t="inlineStr">
        <is>
          <t>No Video ID yet</t>
        </is>
      </c>
      <c r="S1990" s="46" t="n"/>
      <c r="T1990" s="46" t="n"/>
      <c r="U1990" s="44" t="n"/>
      <c r="V1990" s="44">
        <f>IF(AND(P1990&gt;=Calendar!$K$2,P1990&lt;EDATE(Calendar!$K$2,1),OR(Calendar!$K$4="*",N1990=Calendar!$K$4)),P1990*100+COUNTIFS($P$6:$P$3271,P1990,$Q$6:$Q$3271,"&lt;="&amp;Q1990,$N$6:$N$3271,Calendar!$K$4),"")</f>
        <v/>
      </c>
      <c r="W1990" s="44">
        <f>IF(AND(B1990=Queue!$C$4,OR(Queue!$K$4="*",N1990=Queue!$K$4)),Q1990,"")</f>
        <v/>
      </c>
    </row>
    <row r="1991">
      <c r="A1991" s="35">
        <f>IF(M1991="","",HYPERLINK("https://www.youtube.com/watch?v="&amp;M1991,"▶"))</f>
        <v/>
      </c>
      <c r="B1991" s="36">
        <f>IF(C1991&lt;&gt;"",C1991,IF(P1991&lt;=IFERROR(INDEX(tblChannels[Watched Through],MATCH(N1991,tblChannels[Channel ID],0)),0),"Watched","Unwatched"))</f>
        <v/>
      </c>
      <c r="C1991" s="37" t="n"/>
      <c r="D1991" s="38" t="n"/>
      <c r="E1991" s="39" t="n">
        <v>43432.62986111111</v>
      </c>
      <c r="F1991" s="49" t="inlineStr">
        <is>
          <t>Super Carlin Gaming</t>
        </is>
      </c>
      <c r="G1991" t="inlineStr">
        <is>
          <t>Dealing with Senioritis | Rocket League #76</t>
        </is>
      </c>
      <c r="H1991" s="41" t="n">
        <v>0.01533564814814815</v>
      </c>
      <c r="I1991" s="42" t="n">
        <v>2828</v>
      </c>
      <c r="J1991" s="42" t="n">
        <v>171</v>
      </c>
      <c r="K1991" s="42" t="n">
        <v>47</v>
      </c>
      <c r="L1991" s="43" t="n"/>
      <c r="M1991" s="44" t="n"/>
      <c r="N1991" s="44" t="inlineStr">
        <is>
          <t>UCor_9jRnNNZVzTuQ92PKsaQ</t>
        </is>
      </c>
      <c r="O1991" s="45" t="n">
        <v>43432.83819444444</v>
      </c>
      <c r="P1991" s="46" t="n">
        <v>43432</v>
      </c>
      <c r="Q1991" s="44" t="n">
        <v>1281</v>
      </c>
      <c r="R1991" s="44" t="inlineStr">
        <is>
          <t>No Video ID yet</t>
        </is>
      </c>
      <c r="S1991" s="46" t="n"/>
      <c r="T1991" s="46" t="n"/>
      <c r="U1991" s="44" t="n"/>
      <c r="V1991" s="44">
        <f>IF(AND(P1991&gt;=Calendar!$K$2,P1991&lt;EDATE(Calendar!$K$2,1),OR(Calendar!$K$4="*",N1991=Calendar!$K$4)),P1991*100+COUNTIFS($P$6:$P$3271,P1991,$Q$6:$Q$3271,"&lt;="&amp;Q1991,$N$6:$N$3271,Calendar!$K$4),"")</f>
        <v/>
      </c>
      <c r="W1991" s="44">
        <f>IF(AND(B1991=Queue!$C$4,OR(Queue!$K$4="*",N1991=Queue!$K$4)),Q1991,"")</f>
        <v/>
      </c>
    </row>
    <row r="1992">
      <c r="A1992" s="35">
        <f>IF(M1992="","",HYPERLINK("https://www.youtube.com/watch?v="&amp;M1992,"▶"))</f>
        <v/>
      </c>
      <c r="B1992" s="36">
        <f>IF(C1992&lt;&gt;"",C1992,IF(P1992&lt;=IFERROR(INDEX(tblChannels[Watched Through],MATCH(N1992,tblChannels[Channel ID],0)),0),"Watched","Unwatched"))</f>
        <v/>
      </c>
      <c r="C1992" s="37" t="n"/>
      <c r="D1992" s="38" t="n"/>
      <c r="E1992" s="39" t="n">
        <v>43431.74027777778</v>
      </c>
      <c r="F1992" s="47" t="inlineStr">
        <is>
          <t>Super Carlin Brothers</t>
        </is>
      </c>
      <c r="G1992" t="inlineStr">
        <is>
          <t>The TRUTH About Professor McGonagall | Fantastic Beasts Theory</t>
        </is>
      </c>
      <c r="H1992" s="41" t="n">
        <v>0.01061342592592593</v>
      </c>
      <c r="I1992" s="42" t="n">
        <v>1234632</v>
      </c>
      <c r="J1992" s="42" t="n">
        <v>36004</v>
      </c>
      <c r="K1992" s="42" t="n">
        <v>6785</v>
      </c>
      <c r="L1992" s="43" t="n"/>
      <c r="M1992" s="44" t="n"/>
      <c r="N1992" s="44" t="inlineStr">
        <is>
          <t>UCKZo4N0lVPccBkSiuyVh4yg</t>
        </is>
      </c>
      <c r="O1992" s="45" t="n">
        <v>43431.94861111111</v>
      </c>
      <c r="P1992" s="46" t="n">
        <v>43431</v>
      </c>
      <c r="Q1992" s="44" t="n">
        <v>1280</v>
      </c>
      <c r="R1992" s="44" t="inlineStr">
        <is>
          <t>No Video ID yet</t>
        </is>
      </c>
      <c r="S1992" s="46" t="n"/>
      <c r="T1992" s="46" t="n"/>
      <c r="U1992" s="44" t="n"/>
      <c r="V1992" s="44">
        <f>IF(AND(P1992&gt;=Calendar!$K$2,P1992&lt;EDATE(Calendar!$K$2,1),OR(Calendar!$K$4="*",N1992=Calendar!$K$4)),P1992*100+COUNTIFS($P$6:$P$3271,P1992,$Q$6:$Q$3271,"&lt;="&amp;Q1992,$N$6:$N$3271,Calendar!$K$4),"")</f>
        <v/>
      </c>
      <c r="W1992" s="44">
        <f>IF(AND(B1992=Queue!$C$4,OR(Queue!$K$4="*",N1992=Queue!$K$4)),Q1992,"")</f>
        <v/>
      </c>
    </row>
    <row r="1993">
      <c r="A1993" s="35">
        <f>IF(M1993="","",HYPERLINK("https://www.youtube.com/watch?v="&amp;M1993,"▶"))</f>
        <v/>
      </c>
      <c r="B1993" s="36">
        <f>IF(C1993&lt;&gt;"",C1993,IF(P1993&lt;=IFERROR(INDEX(tblChannels[Watched Through],MATCH(N1993,tblChannels[Channel ID],0)),0),"Watched","Unwatched"))</f>
        <v/>
      </c>
      <c r="C1993" s="37" t="n"/>
      <c r="D1993" s="38" t="n"/>
      <c r="E1993" s="39" t="n">
        <v>43430.62430555555</v>
      </c>
      <c r="F1993" s="49" t="inlineStr">
        <is>
          <t>Super Carlin Gaming</t>
        </is>
      </c>
      <c r="G1993" t="inlineStr">
        <is>
          <t>Starting Self-Employment | Rocket League #75</t>
        </is>
      </c>
      <c r="H1993" s="41" t="n">
        <v>0.01399305555555556</v>
      </c>
      <c r="I1993" s="42" t="n">
        <v>2714</v>
      </c>
      <c r="J1993" s="42" t="n">
        <v>173</v>
      </c>
      <c r="K1993" s="42" t="n">
        <v>44</v>
      </c>
      <c r="L1993" s="43" t="n"/>
      <c r="M1993" s="44" t="n"/>
      <c r="N1993" s="44" t="inlineStr">
        <is>
          <t>UCor_9jRnNNZVzTuQ92PKsaQ</t>
        </is>
      </c>
      <c r="O1993" s="45" t="n">
        <v>43430.83263888889</v>
      </c>
      <c r="P1993" s="46" t="n">
        <v>43430</v>
      </c>
      <c r="Q1993" s="44" t="n">
        <v>1279</v>
      </c>
      <c r="R1993" s="44" t="inlineStr">
        <is>
          <t>No Video ID yet</t>
        </is>
      </c>
      <c r="S1993" s="46" t="n"/>
      <c r="T1993" s="46" t="n"/>
      <c r="U1993" s="44" t="n"/>
      <c r="V1993" s="44">
        <f>IF(AND(P1993&gt;=Calendar!$K$2,P1993&lt;EDATE(Calendar!$K$2,1),OR(Calendar!$K$4="*",N1993=Calendar!$K$4)),P1993*100+COUNTIFS($P$6:$P$3271,P1993,$Q$6:$Q$3271,"&lt;="&amp;Q1993,$N$6:$N$3271,Calendar!$K$4),"")</f>
        <v/>
      </c>
      <c r="W1993" s="44">
        <f>IF(AND(B1993=Queue!$C$4,OR(Queue!$K$4="*",N1993=Queue!$K$4)),Q1993,"")</f>
        <v/>
      </c>
    </row>
    <row r="1994">
      <c r="A1994" s="35">
        <f>IF(M1994="","",HYPERLINK("https://www.youtube.com/watch?v="&amp;M1994,"▶"))</f>
        <v/>
      </c>
      <c r="B1994" s="36">
        <f>IF(C1994&lt;&gt;"",C1994,IF(P1994&lt;=IFERROR(INDEX(tblChannels[Watched Through],MATCH(N1994,tblChannels[Channel ID],0)),0),"Watched","Unwatched"))</f>
        <v/>
      </c>
      <c r="C1994" s="37" t="n"/>
      <c r="D1994" s="38" t="n"/>
      <c r="E1994" s="39" t="n">
        <v>43430.43263888889</v>
      </c>
      <c r="F1994" s="50" t="inlineStr">
        <is>
          <t>Jonathan Carlin</t>
        </is>
      </c>
      <c r="G1994" t="inlineStr">
        <is>
          <t>BEN TURNS 29!</t>
        </is>
      </c>
      <c r="H1994" s="41" t="n">
        <v>0.008414351851851852</v>
      </c>
      <c r="I1994" s="42" t="n">
        <v>53648</v>
      </c>
      <c r="J1994" s="42" t="n">
        <v>2362</v>
      </c>
      <c r="K1994" s="42" t="n">
        <v>298</v>
      </c>
      <c r="L1994" s="43" t="n"/>
      <c r="M1994" s="44" t="n"/>
      <c r="N1994" s="44" t="inlineStr">
        <is>
          <t>UCYPKFe86e6nm4TVUYKLsFUQ</t>
        </is>
      </c>
      <c r="O1994" s="45" t="n">
        <v>43430.64097222222</v>
      </c>
      <c r="P1994" s="46" t="n">
        <v>43430</v>
      </c>
      <c r="Q1994" s="44" t="n">
        <v>1278</v>
      </c>
      <c r="R1994" s="44" t="inlineStr">
        <is>
          <t>No Video ID yet</t>
        </is>
      </c>
      <c r="S1994" s="46" t="n"/>
      <c r="T1994" s="46" t="n"/>
      <c r="U1994" s="44" t="n"/>
      <c r="V1994" s="44">
        <f>IF(AND(P1994&gt;=Calendar!$K$2,P1994&lt;EDATE(Calendar!$K$2,1),OR(Calendar!$K$4="*",N1994=Calendar!$K$4)),P1994*100+COUNTIFS($P$6:$P$3271,P1994,$Q$6:$Q$3271,"&lt;="&amp;Q1994,$N$6:$N$3271,Calendar!$K$4),"")</f>
        <v/>
      </c>
      <c r="W1994" s="44">
        <f>IF(AND(B1994=Queue!$C$4,OR(Queue!$K$4="*",N1994=Queue!$K$4)),Q1994,"")</f>
        <v/>
      </c>
    </row>
    <row r="1995">
      <c r="A1995" s="35">
        <f>IF(M1995="","",HYPERLINK("https://www.youtube.com/watch?v="&amp;M1995,"▶"))</f>
        <v/>
      </c>
      <c r="B1995" s="36">
        <f>IF(C1995&lt;&gt;"",C1995,IF(P1995&lt;=IFERROR(INDEX(tblChannels[Watched Through],MATCH(N1995,tblChannels[Channel ID],0)),0),"Watched","Unwatched"))</f>
        <v/>
      </c>
      <c r="C1995" s="37" t="n"/>
      <c r="D1995" s="38" t="n"/>
      <c r="E1995" s="39" t="n">
        <v>43426.54166666666</v>
      </c>
      <c r="F1995" s="47" t="inlineStr">
        <is>
          <t>Super Carlin Brothers</t>
        </is>
      </c>
      <c r="G1995" t="inlineStr">
        <is>
          <t>J vs Ben: MOST Expensive Harry Potter Merch | GAME</t>
        </is>
      </c>
      <c r="H1995" s="41" t="n">
        <v>0.01891203703703704</v>
      </c>
      <c r="I1995" s="42" t="n">
        <v>815854</v>
      </c>
      <c r="J1995" s="42" t="n">
        <v>18732</v>
      </c>
      <c r="K1995" s="42" t="n">
        <v>2244</v>
      </c>
      <c r="L1995" s="43" t="n"/>
      <c r="M1995" s="44" t="n"/>
      <c r="N1995" s="44" t="inlineStr">
        <is>
          <t>UCKZo4N0lVPccBkSiuyVh4yg</t>
        </is>
      </c>
      <c r="O1995" s="45" t="n">
        <v>43426.75</v>
      </c>
      <c r="P1995" s="46" t="n">
        <v>43426</v>
      </c>
      <c r="Q1995" s="44" t="n">
        <v>1277</v>
      </c>
      <c r="R1995" s="44" t="inlineStr">
        <is>
          <t>No Video ID yet</t>
        </is>
      </c>
      <c r="S1995" s="46" t="n"/>
      <c r="T1995" s="46" t="n"/>
      <c r="U1995" s="44" t="n"/>
      <c r="V1995" s="44">
        <f>IF(AND(P1995&gt;=Calendar!$K$2,P1995&lt;EDATE(Calendar!$K$2,1),OR(Calendar!$K$4="*",N1995=Calendar!$K$4)),P1995*100+COUNTIFS($P$6:$P$3271,P1995,$Q$6:$Q$3271,"&lt;="&amp;Q1995,$N$6:$N$3271,Calendar!$K$4),"")</f>
        <v/>
      </c>
      <c r="W1995" s="44">
        <f>IF(AND(B1995=Queue!$C$4,OR(Queue!$K$4="*",N1995=Queue!$K$4)),Q1995,"")</f>
        <v/>
      </c>
    </row>
    <row r="1996">
      <c r="A1996" s="35">
        <f>IF(M1996="","",HYPERLINK("https://www.youtube.com/watch?v="&amp;M1996,"▶"))</f>
        <v/>
      </c>
      <c r="B1996" s="36">
        <f>IF(C1996&lt;&gt;"",C1996,IF(P1996&lt;=IFERROR(INDEX(tblChannels[Watched Through],MATCH(N1996,tblChannels[Channel ID],0)),0),"Watched","Unwatched"))</f>
        <v/>
      </c>
      <c r="C1996" s="37" t="n"/>
      <c r="D1996" s="38" t="n"/>
      <c r="E1996" s="39" t="n">
        <v>43424.73194444444</v>
      </c>
      <c r="F1996" s="47" t="inlineStr">
        <is>
          <t>Super Carlin Brothers</t>
        </is>
      </c>
      <c r="G1996" t="inlineStr">
        <is>
          <t>Fantastic Beasts: Crimes Of Grindelwald Spoiler REVIEW</t>
        </is>
      </c>
      <c r="H1996" s="41" t="n">
        <v>0.04378472222222222</v>
      </c>
      <c r="I1996" s="42" t="n">
        <v>1383936</v>
      </c>
      <c r="J1996" s="42" t="n">
        <v>27726</v>
      </c>
      <c r="K1996" s="42" t="n">
        <v>9526</v>
      </c>
      <c r="L1996" s="43" t="n"/>
      <c r="M1996" s="44" t="n"/>
      <c r="N1996" s="44" t="inlineStr">
        <is>
          <t>UCKZo4N0lVPccBkSiuyVh4yg</t>
        </is>
      </c>
      <c r="O1996" s="45" t="n">
        <v>43424.94027777778</v>
      </c>
      <c r="P1996" s="46" t="n">
        <v>43424</v>
      </c>
      <c r="Q1996" s="44" t="n">
        <v>1276</v>
      </c>
      <c r="R1996" s="44" t="inlineStr">
        <is>
          <t>No Video ID yet</t>
        </is>
      </c>
      <c r="S1996" s="46" t="n"/>
      <c r="T1996" s="46" t="n"/>
      <c r="U1996" s="44" t="n"/>
      <c r="V1996" s="44">
        <f>IF(AND(P1996&gt;=Calendar!$K$2,P1996&lt;EDATE(Calendar!$K$2,1),OR(Calendar!$K$4="*",N1996=Calendar!$K$4)),P1996*100+COUNTIFS($P$6:$P$3271,P1996,$Q$6:$Q$3271,"&lt;="&amp;Q1996,$N$6:$N$3271,Calendar!$K$4),"")</f>
        <v/>
      </c>
      <c r="W1996" s="44">
        <f>IF(AND(B1996=Queue!$C$4,OR(Queue!$K$4="*",N1996=Queue!$K$4)),Q1996,"")</f>
        <v/>
      </c>
    </row>
    <row r="1997">
      <c r="A1997" s="35">
        <f>IF(M1997="","",HYPERLINK("https://www.youtube.com/watch?v="&amp;M1997,"▶"))</f>
        <v/>
      </c>
      <c r="B1997" s="36">
        <f>IF(C1997&lt;&gt;"",C1997,IF(P1997&lt;=IFERROR(INDEX(tblChannels[Watched Through],MATCH(N1997,tblChannels[Channel ID],0)),0),"Watched","Unwatched"))</f>
        <v/>
      </c>
      <c r="C1997" s="37" t="n"/>
      <c r="D1997" s="38" t="n"/>
      <c r="E1997" s="39" t="n">
        <v>43423.58333333334</v>
      </c>
      <c r="F1997" s="50" t="inlineStr">
        <is>
          <t>Jonathan Carlin</t>
        </is>
      </c>
      <c r="G1997" t="inlineStr">
        <is>
          <t>SURVIVING A 12 HOUR TWITCH STREAM</t>
        </is>
      </c>
      <c r="H1997" s="41" t="n">
        <v>0.00681712962962963</v>
      </c>
      <c r="I1997" s="42" t="n">
        <v>29106</v>
      </c>
      <c r="J1997" s="42" t="n">
        <v>1463</v>
      </c>
      <c r="K1997" s="42" t="n">
        <v>155</v>
      </c>
      <c r="L1997" s="43" t="n"/>
      <c r="M1997" s="44" t="n"/>
      <c r="N1997" s="44" t="inlineStr">
        <is>
          <t>UCYPKFe86e6nm4TVUYKLsFUQ</t>
        </is>
      </c>
      <c r="O1997" s="45" t="n">
        <v>43423.79166666666</v>
      </c>
      <c r="P1997" s="46" t="n">
        <v>43423</v>
      </c>
      <c r="Q1997" s="44" t="n">
        <v>1275</v>
      </c>
      <c r="R1997" s="44" t="inlineStr">
        <is>
          <t>No Video ID yet</t>
        </is>
      </c>
      <c r="S1997" s="46" t="n"/>
      <c r="T1997" s="46" t="n"/>
      <c r="U1997" s="44" t="n"/>
      <c r="V1997" s="44">
        <f>IF(AND(P1997&gt;=Calendar!$K$2,P1997&lt;EDATE(Calendar!$K$2,1),OR(Calendar!$K$4="*",N1997=Calendar!$K$4)),P1997*100+COUNTIFS($P$6:$P$3271,P1997,$Q$6:$Q$3271,"&lt;="&amp;Q1997,$N$6:$N$3271,Calendar!$K$4),"")</f>
        <v/>
      </c>
      <c r="W1997" s="44">
        <f>IF(AND(B1997=Queue!$C$4,OR(Queue!$K$4="*",N1997=Queue!$K$4)),Q1997,"")</f>
        <v/>
      </c>
    </row>
    <row r="1998">
      <c r="A1998" s="35">
        <f>IF(M1998="","",HYPERLINK("https://www.youtube.com/watch?v="&amp;M1998,"▶"))</f>
        <v/>
      </c>
      <c r="B1998" s="36">
        <f>IF(C1998&lt;&gt;"",C1998,IF(P1998&lt;=IFERROR(INDEX(tblChannels[Watched Through],MATCH(N1998,tblChannels[Channel ID],0)),0),"Watched","Unwatched"))</f>
        <v/>
      </c>
      <c r="C1998" s="37" t="n"/>
      <c r="D1998" s="38" t="n"/>
      <c r="E1998" s="39" t="n">
        <v>43420.4375</v>
      </c>
      <c r="F1998" s="49" t="inlineStr">
        <is>
          <t>Super Carlin Gaming</t>
        </is>
      </c>
      <c r="G1998" t="inlineStr">
        <is>
          <t>Singing Confidently | Rocket League #74</t>
        </is>
      </c>
      <c r="H1998" s="41" t="n">
        <v>0.01467592592592593</v>
      </c>
      <c r="I1998" s="42" t="n">
        <v>3273</v>
      </c>
      <c r="J1998" s="42" t="n">
        <v>164</v>
      </c>
      <c r="K1998" s="42" t="n">
        <v>58</v>
      </c>
      <c r="L1998" s="43" t="n"/>
      <c r="M1998" s="44" t="n"/>
      <c r="N1998" s="44" t="inlineStr">
        <is>
          <t>UCor_9jRnNNZVzTuQ92PKsaQ</t>
        </is>
      </c>
      <c r="O1998" s="45" t="n">
        <v>43420.64583333334</v>
      </c>
      <c r="P1998" s="46" t="n">
        <v>43420</v>
      </c>
      <c r="Q1998" s="44" t="n">
        <v>1274</v>
      </c>
      <c r="R1998" s="44" t="inlineStr">
        <is>
          <t>No Video ID yet</t>
        </is>
      </c>
      <c r="S1998" s="46" t="n"/>
      <c r="T1998" s="46" t="n"/>
      <c r="U1998" s="44" t="n"/>
      <c r="V1998" s="44">
        <f>IF(AND(P1998&gt;=Calendar!$K$2,P1998&lt;EDATE(Calendar!$K$2,1),OR(Calendar!$K$4="*",N1998=Calendar!$K$4)),P1998*100+COUNTIFS($P$6:$P$3271,P1998,$Q$6:$Q$3271,"&lt;="&amp;Q1998,$N$6:$N$3271,Calendar!$K$4),"")</f>
        <v/>
      </c>
      <c r="W1998" s="44">
        <f>IF(AND(B1998=Queue!$C$4,OR(Queue!$K$4="*",N1998=Queue!$K$4)),Q1998,"")</f>
        <v/>
      </c>
    </row>
    <row r="1999">
      <c r="A1999" s="35">
        <f>IF(M1999="","",HYPERLINK("https://www.youtube.com/watch?v="&amp;M1999,"▶"))</f>
        <v/>
      </c>
      <c r="B1999" s="36">
        <f>IF(C1999&lt;&gt;"",C1999,IF(P1999&lt;=IFERROR(INDEX(tblChannels[Watched Through],MATCH(N1999,tblChannels[Channel ID],0)),0),"Watched","Unwatched"))</f>
        <v/>
      </c>
      <c r="C1999" s="37" t="n"/>
      <c r="D1999" s="38" t="n"/>
      <c r="E1999" s="39" t="n">
        <v>43419.68402777778</v>
      </c>
      <c r="F1999" s="47" t="inlineStr">
        <is>
          <t>Super Carlin Brothers</t>
        </is>
      </c>
      <c r="G1999" t="inlineStr">
        <is>
          <t>J vs Ben: ULTIMATE Fantastic Beasts Quiz</t>
        </is>
      </c>
      <c r="H1999" s="41" t="n">
        <v>0.02246527777777778</v>
      </c>
      <c r="I1999" s="42" t="n">
        <v>553725</v>
      </c>
      <c r="J1999" s="42" t="n">
        <v>12427</v>
      </c>
      <c r="K1999" s="42" t="n">
        <v>1752</v>
      </c>
      <c r="L1999" s="43" t="n"/>
      <c r="M1999" s="44" t="n"/>
      <c r="N1999" s="44" t="inlineStr">
        <is>
          <t>UCKZo4N0lVPccBkSiuyVh4yg</t>
        </is>
      </c>
      <c r="O1999" s="45" t="n">
        <v>43419.89236111111</v>
      </c>
      <c r="P1999" s="46" t="n">
        <v>43419</v>
      </c>
      <c r="Q1999" s="44" t="n">
        <v>1273</v>
      </c>
      <c r="R1999" s="44" t="inlineStr">
        <is>
          <t>No Video ID yet</t>
        </is>
      </c>
      <c r="S1999" s="46" t="n"/>
      <c r="T1999" s="46" t="n"/>
      <c r="U1999" s="44" t="n"/>
      <c r="V1999" s="44">
        <f>IF(AND(P1999&gt;=Calendar!$K$2,P1999&lt;EDATE(Calendar!$K$2,1),OR(Calendar!$K$4="*",N1999=Calendar!$K$4)),P1999*100+COUNTIFS($P$6:$P$3271,P1999,$Q$6:$Q$3271,"&lt;="&amp;Q1999,$N$6:$N$3271,Calendar!$K$4),"")</f>
        <v/>
      </c>
      <c r="W1999" s="44">
        <f>IF(AND(B1999=Queue!$C$4,OR(Queue!$K$4="*",N1999=Queue!$K$4)),Q1999,"")</f>
        <v/>
      </c>
    </row>
    <row r="2000">
      <c r="A2000" s="35">
        <f>IF(M2000="","",HYPERLINK("https://www.youtube.com/watch?v="&amp;M2000,"▶"))</f>
        <v/>
      </c>
      <c r="B2000" s="36">
        <f>IF(C2000&lt;&gt;"",C2000,IF(P2000&lt;=IFERROR(INDEX(tblChannels[Watched Through],MATCH(N2000,tblChannels[Channel ID],0)),0),"Watched","Unwatched"))</f>
        <v/>
      </c>
      <c r="C2000" s="37" t="n"/>
      <c r="D2000" s="38" t="n"/>
      <c r="E2000" s="39" t="n">
        <v>43418.4375</v>
      </c>
      <c r="F2000" s="49" t="inlineStr">
        <is>
          <t>Super Carlin Gaming</t>
        </is>
      </c>
      <c r="G2000" t="inlineStr">
        <is>
          <t>More Girly Than Me? | Rocket League #73</t>
        </is>
      </c>
      <c r="H2000" s="41" t="n">
        <v>0.01319444444444444</v>
      </c>
      <c r="I2000" s="42" t="n">
        <v>3019</v>
      </c>
      <c r="J2000" s="42" t="n">
        <v>173</v>
      </c>
      <c r="K2000" s="42" t="n">
        <v>53</v>
      </c>
      <c r="L2000" s="43" t="n"/>
      <c r="M2000" s="44" t="n"/>
      <c r="N2000" s="44" t="inlineStr">
        <is>
          <t>UCor_9jRnNNZVzTuQ92PKsaQ</t>
        </is>
      </c>
      <c r="O2000" s="45" t="n">
        <v>43418.64583333334</v>
      </c>
      <c r="P2000" s="46" t="n">
        <v>43418</v>
      </c>
      <c r="Q2000" s="44" t="n">
        <v>1272</v>
      </c>
      <c r="R2000" s="44" t="inlineStr">
        <is>
          <t>No Video ID yet</t>
        </is>
      </c>
      <c r="S2000" s="46" t="n"/>
      <c r="T2000" s="46" t="n"/>
      <c r="U2000" s="44" t="n"/>
      <c r="V2000" s="44">
        <f>IF(AND(P2000&gt;=Calendar!$K$2,P2000&lt;EDATE(Calendar!$K$2,1),OR(Calendar!$K$4="*",N2000=Calendar!$K$4)),P2000*100+COUNTIFS($P$6:$P$3271,P2000,$Q$6:$Q$3271,"&lt;="&amp;Q2000,$N$6:$N$3271,Calendar!$K$4),"")</f>
        <v/>
      </c>
      <c r="W2000" s="44">
        <f>IF(AND(B2000=Queue!$C$4,OR(Queue!$K$4="*",N2000=Queue!$K$4)),Q2000,"")</f>
        <v/>
      </c>
    </row>
    <row r="2001">
      <c r="A2001" s="35">
        <f>IF(M2001="","",HYPERLINK("https://www.youtube.com/watch?v="&amp;M2001,"▶"))</f>
        <v/>
      </c>
      <c r="B2001" s="36">
        <f>IF(C2001&lt;&gt;"",C2001,IF(P2001&lt;=IFERROR(INDEX(tblChannels[Watched Through],MATCH(N2001,tblChannels[Channel ID],0)),0),"Watched","Unwatched"))</f>
        <v/>
      </c>
      <c r="C2001" s="37" t="n"/>
      <c r="D2001" s="38" t="n"/>
      <c r="E2001" s="39" t="n">
        <v>43417.81180555555</v>
      </c>
      <c r="F2001" s="47" t="inlineStr">
        <is>
          <t>Super Carlin Brothers</t>
        </is>
      </c>
      <c r="G2001" t="inlineStr">
        <is>
          <t>How Is Forky Alive? | Toy Story 4</t>
        </is>
      </c>
      <c r="H2001" s="41" t="n">
        <v>0.008483796296296297</v>
      </c>
      <c r="I2001" s="42" t="n">
        <v>1066805</v>
      </c>
      <c r="J2001" s="42" t="n">
        <v>28690</v>
      </c>
      <c r="K2001" s="42" t="n">
        <v>4462</v>
      </c>
      <c r="L2001" s="43" t="n"/>
      <c r="M2001" s="44" t="n"/>
      <c r="N2001" s="44" t="inlineStr">
        <is>
          <t>UCKZo4N0lVPccBkSiuyVh4yg</t>
        </is>
      </c>
      <c r="O2001" s="45" t="n">
        <v>43418.02013888889</v>
      </c>
      <c r="P2001" s="46" t="n">
        <v>43417</v>
      </c>
      <c r="Q2001" s="44" t="n">
        <v>1271</v>
      </c>
      <c r="R2001" s="44" t="inlineStr">
        <is>
          <t>No Video ID yet</t>
        </is>
      </c>
      <c r="S2001" s="46" t="n"/>
      <c r="T2001" s="46" t="n"/>
      <c r="U2001" s="44" t="n"/>
      <c r="V2001" s="44">
        <f>IF(AND(P2001&gt;=Calendar!$K$2,P2001&lt;EDATE(Calendar!$K$2,1),OR(Calendar!$K$4="*",N2001=Calendar!$K$4)),P2001*100+COUNTIFS($P$6:$P$3271,P2001,$Q$6:$Q$3271,"&lt;="&amp;Q2001,$N$6:$N$3271,Calendar!$K$4),"")</f>
        <v/>
      </c>
      <c r="W2001" s="44">
        <f>IF(AND(B2001=Queue!$C$4,OR(Queue!$K$4="*",N2001=Queue!$K$4)),Q2001,"")</f>
        <v/>
      </c>
    </row>
    <row r="2002">
      <c r="A2002" s="35">
        <f>IF(M2002="","",HYPERLINK("https://www.youtube.com/watch?v="&amp;M2002,"▶"))</f>
        <v/>
      </c>
      <c r="B2002" s="36">
        <f>IF(C2002&lt;&gt;"",C2002,IF(P2002&lt;=IFERROR(INDEX(tblChannels[Watched Through],MATCH(N2002,tblChannels[Channel ID],0)),0),"Watched","Unwatched"))</f>
        <v/>
      </c>
      <c r="C2002" s="37" t="n"/>
      <c r="D2002" s="38" t="n"/>
      <c r="E2002" s="39" t="n">
        <v>43417.57847222222</v>
      </c>
      <c r="F2002" s="50" t="inlineStr">
        <is>
          <t>Jonathan Carlin</t>
        </is>
      </c>
      <c r="G2002" t="inlineStr">
        <is>
          <t>BEER MILE 2!</t>
        </is>
      </c>
      <c r="H2002" s="41" t="n">
        <v>0.004722222222222222</v>
      </c>
      <c r="I2002" s="42" t="n">
        <v>19732</v>
      </c>
      <c r="J2002" s="42" t="n">
        <v>1201</v>
      </c>
      <c r="K2002" s="42" t="n">
        <v>108</v>
      </c>
      <c r="L2002" s="43" t="n"/>
      <c r="M2002" s="44" t="n"/>
      <c r="N2002" s="44" t="inlineStr">
        <is>
          <t>UCYPKFe86e6nm4TVUYKLsFUQ</t>
        </is>
      </c>
      <c r="O2002" s="45" t="n">
        <v>43417.78680555556</v>
      </c>
      <c r="P2002" s="46" t="n">
        <v>43417</v>
      </c>
      <c r="Q2002" s="44" t="n">
        <v>1270</v>
      </c>
      <c r="R2002" s="44" t="inlineStr">
        <is>
          <t>No Video ID yet</t>
        </is>
      </c>
      <c r="S2002" s="46" t="n"/>
      <c r="T2002" s="46" t="n"/>
      <c r="U2002" s="44" t="n"/>
      <c r="V2002" s="44">
        <f>IF(AND(P2002&gt;=Calendar!$K$2,P2002&lt;EDATE(Calendar!$K$2,1),OR(Calendar!$K$4="*",N2002=Calendar!$K$4)),P2002*100+COUNTIFS($P$6:$P$3271,P2002,$Q$6:$Q$3271,"&lt;="&amp;Q2002,$N$6:$N$3271,Calendar!$K$4),"")</f>
        <v/>
      </c>
      <c r="W2002" s="44">
        <f>IF(AND(B2002=Queue!$C$4,OR(Queue!$K$4="*",N2002=Queue!$K$4)),Q2002,"")</f>
        <v/>
      </c>
    </row>
    <row r="2003">
      <c r="A2003" s="35">
        <f>IF(M2003="","",HYPERLINK("https://www.youtube.com/watch?v="&amp;M2003,"▶"))</f>
        <v/>
      </c>
      <c r="B2003" s="36">
        <f>IF(C2003&lt;&gt;"",C2003,IF(P2003&lt;=IFERROR(INDEX(tblChannels[Watched Through],MATCH(N2003,tblChannels[Channel ID],0)),0),"Watched","Unwatched"))</f>
        <v/>
      </c>
      <c r="C2003" s="37" t="n"/>
      <c r="D2003" s="38" t="n"/>
      <c r="E2003" s="39" t="n">
        <v>43416.67430555556</v>
      </c>
      <c r="F2003" s="49" t="inlineStr">
        <is>
          <t>Super Carlin Gaming</t>
        </is>
      </c>
      <c r="G2003" t="inlineStr">
        <is>
          <t>Taking a Gap Year? | Rocket League #72</t>
        </is>
      </c>
      <c r="H2003" s="41" t="n">
        <v>0.01243055555555556</v>
      </c>
      <c r="I2003" s="42" t="n">
        <v>2932</v>
      </c>
      <c r="J2003" s="42" t="n">
        <v>146</v>
      </c>
      <c r="K2003" s="42" t="n">
        <v>68</v>
      </c>
      <c r="L2003" s="43" t="n"/>
      <c r="M2003" s="44" t="n"/>
      <c r="N2003" s="44" t="inlineStr">
        <is>
          <t>UCor_9jRnNNZVzTuQ92PKsaQ</t>
        </is>
      </c>
      <c r="O2003" s="45" t="n">
        <v>43416.88263888889</v>
      </c>
      <c r="P2003" s="46" t="n">
        <v>43416</v>
      </c>
      <c r="Q2003" s="44" t="n">
        <v>1269</v>
      </c>
      <c r="R2003" s="44" t="inlineStr">
        <is>
          <t>No Video ID yet</t>
        </is>
      </c>
      <c r="S2003" s="46" t="n"/>
      <c r="T2003" s="46" t="n"/>
      <c r="U2003" s="44" t="n"/>
      <c r="V2003" s="44">
        <f>IF(AND(P2003&gt;=Calendar!$K$2,P2003&lt;EDATE(Calendar!$K$2,1),OR(Calendar!$K$4="*",N2003=Calendar!$K$4)),P2003*100+COUNTIFS($P$6:$P$3271,P2003,$Q$6:$Q$3271,"&lt;="&amp;Q2003,$N$6:$N$3271,Calendar!$K$4),"")</f>
        <v/>
      </c>
      <c r="W2003" s="44">
        <f>IF(AND(B2003=Queue!$C$4,OR(Queue!$K$4="*",N2003=Queue!$K$4)),Q2003,"")</f>
        <v/>
      </c>
    </row>
    <row r="2004">
      <c r="A2004" s="35">
        <f>IF(M2004="","",HYPERLINK("https://www.youtube.com/watch?v="&amp;M2004,"▶"))</f>
        <v/>
      </c>
      <c r="B2004" s="36">
        <f>IF(C2004&lt;&gt;"",C2004,IF(P2004&lt;=IFERROR(INDEX(tblChannels[Watched Through],MATCH(N2004,tblChannels[Channel ID],0)),0),"Watched","Unwatched"))</f>
        <v/>
      </c>
      <c r="C2004" s="37" t="n"/>
      <c r="D2004" s="38" t="n"/>
      <c r="E2004" s="39" t="n">
        <v>43413.4375</v>
      </c>
      <c r="F2004" s="49" t="inlineStr">
        <is>
          <t>Super Carlin Gaming</t>
        </is>
      </c>
      <c r="G2004" t="inlineStr">
        <is>
          <t>How to Delegate? | Rocket League #71</t>
        </is>
      </c>
      <c r="H2004" s="41" t="n">
        <v>0.0124537037037037</v>
      </c>
      <c r="I2004" s="42" t="n">
        <v>2902</v>
      </c>
      <c r="J2004" s="42" t="n">
        <v>157</v>
      </c>
      <c r="K2004" s="42" t="n">
        <v>64</v>
      </c>
      <c r="L2004" s="43" t="n"/>
      <c r="M2004" s="44" t="n"/>
      <c r="N2004" s="44" t="inlineStr">
        <is>
          <t>UCor_9jRnNNZVzTuQ92PKsaQ</t>
        </is>
      </c>
      <c r="O2004" s="45" t="n">
        <v>43413.64583333334</v>
      </c>
      <c r="P2004" s="46" t="n">
        <v>43413</v>
      </c>
      <c r="Q2004" s="44" t="n">
        <v>1268</v>
      </c>
      <c r="R2004" s="44" t="inlineStr">
        <is>
          <t>No Video ID yet</t>
        </is>
      </c>
      <c r="S2004" s="46" t="n"/>
      <c r="T2004" s="46" t="n"/>
      <c r="U2004" s="44" t="n"/>
      <c r="V2004" s="44">
        <f>IF(AND(P2004&gt;=Calendar!$K$2,P2004&lt;EDATE(Calendar!$K$2,1),OR(Calendar!$K$4="*",N2004=Calendar!$K$4)),P2004*100+COUNTIFS($P$6:$P$3271,P2004,$Q$6:$Q$3271,"&lt;="&amp;Q2004,$N$6:$N$3271,Calendar!$K$4),"")</f>
        <v/>
      </c>
      <c r="W2004" s="44">
        <f>IF(AND(B2004=Queue!$C$4,OR(Queue!$K$4="*",N2004=Queue!$K$4)),Q2004,"")</f>
        <v/>
      </c>
    </row>
    <row r="2005">
      <c r="A2005" s="35">
        <f>IF(M2005="","",HYPERLINK("https://www.youtube.com/watch?v="&amp;M2005,"▶"))</f>
        <v/>
      </c>
      <c r="B2005" s="36">
        <f>IF(C2005&lt;&gt;"",C2005,IF(P2005&lt;=IFERROR(INDEX(tblChannels[Watched Through],MATCH(N2005,tblChannels[Channel ID],0)),0),"Watched","Unwatched"))</f>
        <v/>
      </c>
      <c r="C2005" s="37" t="n"/>
      <c r="D2005" s="38" t="n"/>
      <c r="E2005" s="39" t="n">
        <v>43412.82222222222</v>
      </c>
      <c r="F2005" s="47" t="inlineStr">
        <is>
          <t>Super Carlin Brothers</t>
        </is>
      </c>
      <c r="G2005" t="inlineStr">
        <is>
          <t>Is It Too Soon To Reboot Shrek?</t>
        </is>
      </c>
      <c r="H2005" s="41" t="n">
        <v>0.008715277777777778</v>
      </c>
      <c r="I2005" s="42" t="n">
        <v>535216</v>
      </c>
      <c r="J2005" s="42" t="n">
        <v>18411</v>
      </c>
      <c r="K2005" s="42" t="n">
        <v>3695</v>
      </c>
      <c r="L2005" s="43" t="n"/>
      <c r="M2005" s="44" t="n"/>
      <c r="N2005" s="44" t="inlineStr">
        <is>
          <t>UCKZo4N0lVPccBkSiuyVh4yg</t>
        </is>
      </c>
      <c r="O2005" s="45" t="n">
        <v>43413.03055555555</v>
      </c>
      <c r="P2005" s="46" t="n">
        <v>43412</v>
      </c>
      <c r="Q2005" s="44" t="n">
        <v>1267</v>
      </c>
      <c r="R2005" s="44" t="inlineStr">
        <is>
          <t>No Video ID yet</t>
        </is>
      </c>
      <c r="S2005" s="46" t="n"/>
      <c r="T2005" s="46" t="n"/>
      <c r="U2005" s="44" t="n"/>
      <c r="V2005" s="44">
        <f>IF(AND(P2005&gt;=Calendar!$K$2,P2005&lt;EDATE(Calendar!$K$2,1),OR(Calendar!$K$4="*",N2005=Calendar!$K$4)),P2005*100+COUNTIFS($P$6:$P$3271,P2005,$Q$6:$Q$3271,"&lt;="&amp;Q2005,$N$6:$N$3271,Calendar!$K$4),"")</f>
        <v/>
      </c>
      <c r="W2005" s="44">
        <f>IF(AND(B2005=Queue!$C$4,OR(Queue!$K$4="*",N2005=Queue!$K$4)),Q2005,"")</f>
        <v/>
      </c>
    </row>
    <row r="2006">
      <c r="A2006" s="35">
        <f>IF(M2006="","",HYPERLINK("https://www.youtube.com/watch?v="&amp;M2006,"▶"))</f>
        <v/>
      </c>
      <c r="B2006" s="36">
        <f>IF(C2006&lt;&gt;"",C2006,IF(P2006&lt;=IFERROR(INDEX(tblChannels[Watched Through],MATCH(N2006,tblChannels[Channel ID],0)),0),"Watched","Unwatched"))</f>
        <v/>
      </c>
      <c r="C2006" s="37" t="n"/>
      <c r="D2006" s="38" t="n"/>
      <c r="E2006" s="39" t="n">
        <v>43411.71111111111</v>
      </c>
      <c r="F2006" s="49" t="inlineStr">
        <is>
          <t>Super Carlin Gaming</t>
        </is>
      </c>
      <c r="G2006" t="inlineStr">
        <is>
          <t>What to Do with a Frenemy | Rocket League #70</t>
        </is>
      </c>
      <c r="H2006" s="41" t="n">
        <v>0.0147337962962963</v>
      </c>
      <c r="I2006" s="42" t="n">
        <v>3145</v>
      </c>
      <c r="J2006" s="42" t="n">
        <v>173</v>
      </c>
      <c r="K2006" s="42" t="n">
        <v>63</v>
      </c>
      <c r="L2006" s="43" t="n"/>
      <c r="M2006" s="44" t="n"/>
      <c r="N2006" s="44" t="inlineStr">
        <is>
          <t>UCor_9jRnNNZVzTuQ92PKsaQ</t>
        </is>
      </c>
      <c r="O2006" s="45" t="n">
        <v>43411.91944444444</v>
      </c>
      <c r="P2006" s="46" t="n">
        <v>43411</v>
      </c>
      <c r="Q2006" s="44" t="n">
        <v>1266</v>
      </c>
      <c r="R2006" s="44" t="inlineStr">
        <is>
          <t>No Video ID yet</t>
        </is>
      </c>
      <c r="S2006" s="46" t="n"/>
      <c r="T2006" s="46" t="n"/>
      <c r="U2006" s="44" t="n"/>
      <c r="V2006" s="44">
        <f>IF(AND(P2006&gt;=Calendar!$K$2,P2006&lt;EDATE(Calendar!$K$2,1),OR(Calendar!$K$4="*",N2006=Calendar!$K$4)),P2006*100+COUNTIFS($P$6:$P$3271,P2006,$Q$6:$Q$3271,"&lt;="&amp;Q2006,$N$6:$N$3271,Calendar!$K$4),"")</f>
        <v/>
      </c>
      <c r="W2006" s="44">
        <f>IF(AND(B2006=Queue!$C$4,OR(Queue!$K$4="*",N2006=Queue!$K$4)),Q2006,"")</f>
        <v/>
      </c>
    </row>
    <row r="2007">
      <c r="A2007" s="35">
        <f>IF(M2007="","",HYPERLINK("https://www.youtube.com/watch?v="&amp;M2007,"▶"))</f>
        <v/>
      </c>
      <c r="B2007" s="36">
        <f>IF(C2007&lt;&gt;"",C2007,IF(P2007&lt;=IFERROR(INDEX(tblChannels[Watched Through],MATCH(N2007,tblChannels[Channel ID],0)),0),"Watched","Unwatched"))</f>
        <v/>
      </c>
      <c r="C2007" s="37" t="n"/>
      <c r="D2007" s="38" t="n"/>
      <c r="E2007" s="39" t="n">
        <v>43410.76041666666</v>
      </c>
      <c r="F2007" s="47" t="inlineStr">
        <is>
          <t>Super Carlin Brothers</t>
        </is>
      </c>
      <c r="G2007" t="inlineStr">
        <is>
          <t>Top 10 Predictions For Fantastic Beasts: The Crimes Of Grindelwald</t>
        </is>
      </c>
      <c r="H2007" s="41" t="n">
        <v>0.009282407407407408</v>
      </c>
      <c r="I2007" s="42" t="n">
        <v>641414</v>
      </c>
      <c r="J2007" s="42" t="n">
        <v>18408</v>
      </c>
      <c r="K2007" s="42" t="n">
        <v>2987</v>
      </c>
      <c r="L2007" s="43" t="n"/>
      <c r="M2007" s="44" t="n"/>
      <c r="N2007" s="44" t="inlineStr">
        <is>
          <t>UCKZo4N0lVPccBkSiuyVh4yg</t>
        </is>
      </c>
      <c r="O2007" s="45" t="n">
        <v>43410.96875</v>
      </c>
      <c r="P2007" s="46" t="n">
        <v>43410</v>
      </c>
      <c r="Q2007" s="44" t="n">
        <v>1265</v>
      </c>
      <c r="R2007" s="44" t="inlineStr">
        <is>
          <t>No Video ID yet</t>
        </is>
      </c>
      <c r="S2007" s="46" t="n"/>
      <c r="T2007" s="46" t="n"/>
      <c r="U2007" s="44" t="n"/>
      <c r="V2007" s="44">
        <f>IF(AND(P2007&gt;=Calendar!$K$2,P2007&lt;EDATE(Calendar!$K$2,1),OR(Calendar!$K$4="*",N2007=Calendar!$K$4)),P2007*100+COUNTIFS($P$6:$P$3271,P2007,$Q$6:$Q$3271,"&lt;="&amp;Q2007,$N$6:$N$3271,Calendar!$K$4),"")</f>
        <v/>
      </c>
      <c r="W2007" s="44">
        <f>IF(AND(B2007=Queue!$C$4,OR(Queue!$K$4="*",N2007=Queue!$K$4)),Q2007,"")</f>
        <v/>
      </c>
    </row>
    <row r="2008">
      <c r="A2008" s="35">
        <f>IF(M2008="","",HYPERLINK("https://www.youtube.com/watch?v="&amp;M2008,"▶"))</f>
        <v/>
      </c>
      <c r="B2008" s="36">
        <f>IF(C2008&lt;&gt;"",C2008,IF(P2008&lt;=IFERROR(INDEX(tblChannels[Watched Through],MATCH(N2008,tblChannels[Channel ID],0)),0),"Watched","Unwatched"))</f>
        <v/>
      </c>
      <c r="C2008" s="37" t="n"/>
      <c r="D2008" s="38" t="n"/>
      <c r="E2008" s="39" t="n">
        <v>43409.62638888889</v>
      </c>
      <c r="F2008" s="49" t="inlineStr">
        <is>
          <t>Super Carlin Gaming</t>
        </is>
      </c>
      <c r="G2008" t="inlineStr">
        <is>
          <t>Theatre vs. Archery | Rocket League #69</t>
        </is>
      </c>
      <c r="H2008" s="41" t="n">
        <v>0.01305555555555556</v>
      </c>
      <c r="I2008" s="42" t="n">
        <v>3130</v>
      </c>
      <c r="J2008" s="42" t="n">
        <v>173</v>
      </c>
      <c r="K2008" s="42" t="n">
        <v>63</v>
      </c>
      <c r="L2008" s="43" t="n"/>
      <c r="M2008" s="44" t="n"/>
      <c r="N2008" s="44" t="inlineStr">
        <is>
          <t>UCor_9jRnNNZVzTuQ92PKsaQ</t>
        </is>
      </c>
      <c r="O2008" s="45" t="n">
        <v>43409.83472222222</v>
      </c>
      <c r="P2008" s="46" t="n">
        <v>43409</v>
      </c>
      <c r="Q2008" s="44" t="n">
        <v>1264</v>
      </c>
      <c r="R2008" s="44" t="inlineStr">
        <is>
          <t>No Video ID yet</t>
        </is>
      </c>
      <c r="S2008" s="46" t="n"/>
      <c r="T2008" s="46" t="n"/>
      <c r="U2008" s="44" t="n"/>
      <c r="V2008" s="44">
        <f>IF(AND(P2008&gt;=Calendar!$K$2,P2008&lt;EDATE(Calendar!$K$2,1),OR(Calendar!$K$4="*",N2008=Calendar!$K$4)),P2008*100+COUNTIFS($P$6:$P$3271,P2008,$Q$6:$Q$3271,"&lt;="&amp;Q2008,$N$6:$N$3271,Calendar!$K$4),"")</f>
        <v/>
      </c>
      <c r="W2008" s="44">
        <f>IF(AND(B2008=Queue!$C$4,OR(Queue!$K$4="*",N2008=Queue!$K$4)),Q2008,"")</f>
        <v/>
      </c>
    </row>
    <row r="2009">
      <c r="A2009" s="35">
        <f>IF(M2009="","",HYPERLINK("https://www.youtube.com/watch?v="&amp;M2009,"▶"))</f>
        <v/>
      </c>
      <c r="B2009" s="36">
        <f>IF(C2009&lt;&gt;"",C2009,IF(P2009&lt;=IFERROR(INDEX(tblChannels[Watched Through],MATCH(N2009,tblChannels[Channel ID],0)),0),"Watched","Unwatched"))</f>
        <v/>
      </c>
      <c r="C2009" s="37" t="n"/>
      <c r="D2009" s="38" t="n"/>
      <c r="E2009" s="39" t="n">
        <v>43409.59791666667</v>
      </c>
      <c r="F2009" s="50" t="inlineStr">
        <is>
          <t>Jonathan Carlin</t>
        </is>
      </c>
      <c r="G2009" t="inlineStr">
        <is>
          <t>SURVIVING THE DISNEY HANGOVER</t>
        </is>
      </c>
      <c r="H2009" s="41" t="n">
        <v>0.008958333333333334</v>
      </c>
      <c r="I2009" s="42" t="n">
        <v>50995</v>
      </c>
      <c r="J2009" s="42" t="n">
        <v>2303</v>
      </c>
      <c r="K2009" s="42" t="n">
        <v>306</v>
      </c>
      <c r="L2009" s="43" t="n"/>
      <c r="M2009" s="44" t="n"/>
      <c r="N2009" s="44" t="inlineStr">
        <is>
          <t>UCYPKFe86e6nm4TVUYKLsFUQ</t>
        </is>
      </c>
      <c r="O2009" s="45" t="n">
        <v>43409.80625</v>
      </c>
      <c r="P2009" s="46" t="n">
        <v>43409</v>
      </c>
      <c r="Q2009" s="44" t="n">
        <v>1263</v>
      </c>
      <c r="R2009" s="44" t="inlineStr">
        <is>
          <t>No Video ID yet</t>
        </is>
      </c>
      <c r="S2009" s="46" t="n"/>
      <c r="T2009" s="46" t="n"/>
      <c r="U2009" s="44" t="n"/>
      <c r="V2009" s="44">
        <f>IF(AND(P2009&gt;=Calendar!$K$2,P2009&lt;EDATE(Calendar!$K$2,1),OR(Calendar!$K$4="*",N2009=Calendar!$K$4)),P2009*100+COUNTIFS($P$6:$P$3271,P2009,$Q$6:$Q$3271,"&lt;="&amp;Q2009,$N$6:$N$3271,Calendar!$K$4),"")</f>
        <v/>
      </c>
      <c r="W2009" s="44">
        <f>IF(AND(B2009=Queue!$C$4,OR(Queue!$K$4="*",N2009=Queue!$K$4)),Q2009,"")</f>
        <v/>
      </c>
    </row>
    <row r="2010">
      <c r="A2010" s="35">
        <f>IF(M2010="","",HYPERLINK("https://www.youtube.com/watch?v="&amp;M2010,"▶"))</f>
        <v/>
      </c>
      <c r="B2010" s="36">
        <f>IF(C2010&lt;&gt;"",C2010,IF(P2010&lt;=IFERROR(INDEX(tblChannels[Watched Through],MATCH(N2010,tblChannels[Channel ID],0)),0),"Watched","Unwatched"))</f>
        <v/>
      </c>
      <c r="C2010" s="37" t="n"/>
      <c r="D2010" s="38" t="n"/>
      <c r="E2010" s="39" t="n">
        <v>43405.75763888889</v>
      </c>
      <c r="F2010" s="47" t="inlineStr">
        <is>
          <t>Super Carlin Brothers</t>
        </is>
      </c>
      <c r="G2010" t="inlineStr">
        <is>
          <t>Is Iron Man's Daughter The Next Captain America? | Avengers Theory</t>
        </is>
      </c>
      <c r="H2010" s="41" t="n">
        <v>0.009722222222222222</v>
      </c>
      <c r="I2010" s="42" t="n">
        <v>456367</v>
      </c>
      <c r="J2010" s="42" t="n">
        <v>15472</v>
      </c>
      <c r="K2010" s="42" t="n">
        <v>4002</v>
      </c>
      <c r="L2010" s="43" t="n"/>
      <c r="M2010" s="44" t="n"/>
      <c r="N2010" s="44" t="inlineStr">
        <is>
          <t>UCKZo4N0lVPccBkSiuyVh4yg</t>
        </is>
      </c>
      <c r="O2010" s="45" t="n">
        <v>43405.92430555556</v>
      </c>
      <c r="P2010" s="46" t="n">
        <v>43405</v>
      </c>
      <c r="Q2010" s="44" t="n">
        <v>1262</v>
      </c>
      <c r="R2010" s="44" t="inlineStr">
        <is>
          <t>No Video ID yet</t>
        </is>
      </c>
      <c r="S2010" s="46" t="n"/>
      <c r="T2010" s="46" t="n"/>
      <c r="U2010" s="44" t="n"/>
      <c r="V2010" s="44">
        <f>IF(AND(P2010&gt;=Calendar!$K$2,P2010&lt;EDATE(Calendar!$K$2,1),OR(Calendar!$K$4="*",N2010=Calendar!$K$4)),P2010*100+COUNTIFS($P$6:$P$3271,P2010,$Q$6:$Q$3271,"&lt;="&amp;Q2010,$N$6:$N$3271,Calendar!$K$4),"")</f>
        <v/>
      </c>
      <c r="W2010" s="44">
        <f>IF(AND(B2010=Queue!$C$4,OR(Queue!$K$4="*",N2010=Queue!$K$4)),Q2010,"")</f>
        <v/>
      </c>
    </row>
    <row r="2011">
      <c r="A2011" s="35">
        <f>IF(M2011="","",HYPERLINK("https://www.youtube.com/watch?v="&amp;M2011,"▶"))</f>
        <v/>
      </c>
      <c r="B2011" s="36">
        <f>IF(C2011&lt;&gt;"",C2011,IF(P2011&lt;=IFERROR(INDEX(tblChannels[Watched Through],MATCH(N2011,tblChannels[Channel ID],0)),0),"Watched","Unwatched"))</f>
        <v/>
      </c>
      <c r="C2011" s="37" t="n"/>
      <c r="D2011" s="38" t="n"/>
      <c r="E2011" s="39" t="n">
        <v>43403.94444444445</v>
      </c>
      <c r="F2011" s="47" t="inlineStr">
        <is>
          <t>Super Carlin Brothers</t>
        </is>
      </c>
      <c r="G2011" t="inlineStr">
        <is>
          <t>The COMPLETE Pixar Theory</t>
        </is>
      </c>
      <c r="H2011" s="41" t="n">
        <v>0.01811342592592593</v>
      </c>
      <c r="I2011" s="42" t="n">
        <v>6925576</v>
      </c>
      <c r="J2011" s="42" t="n">
        <v>171299</v>
      </c>
      <c r="K2011" s="42" t="n">
        <v>12556</v>
      </c>
      <c r="L2011" s="43" t="n"/>
      <c r="M2011" s="44" t="n"/>
      <c r="N2011" s="44" t="inlineStr">
        <is>
          <t>UCKZo4N0lVPccBkSiuyVh4yg</t>
        </is>
      </c>
      <c r="O2011" s="45" t="n">
        <v>43404.11111111111</v>
      </c>
      <c r="P2011" s="46" t="n">
        <v>43403</v>
      </c>
      <c r="Q2011" s="44" t="n">
        <v>1261</v>
      </c>
      <c r="R2011" s="44" t="inlineStr">
        <is>
          <t>No Video ID yet</t>
        </is>
      </c>
      <c r="S2011" s="46" t="n"/>
      <c r="T2011" s="46" t="n"/>
      <c r="U2011" s="44" t="n"/>
      <c r="V2011" s="44">
        <f>IF(AND(P2011&gt;=Calendar!$K$2,P2011&lt;EDATE(Calendar!$K$2,1),OR(Calendar!$K$4="*",N2011=Calendar!$K$4)),P2011*100+COUNTIFS($P$6:$P$3271,P2011,$Q$6:$Q$3271,"&lt;="&amp;Q2011,$N$6:$N$3271,Calendar!$K$4),"")</f>
        <v/>
      </c>
      <c r="W2011" s="44">
        <f>IF(AND(B2011=Queue!$C$4,OR(Queue!$K$4="*",N2011=Queue!$K$4)),Q2011,"")</f>
        <v/>
      </c>
    </row>
    <row r="2012">
      <c r="A2012" s="35">
        <f>IF(M2012="","",HYPERLINK("https://www.youtube.com/watch?v="&amp;M2012,"▶"))</f>
        <v/>
      </c>
      <c r="B2012" s="36">
        <f>IF(C2012&lt;&gt;"",C2012,IF(P2012&lt;=IFERROR(INDEX(tblChannels[Watched Through],MATCH(N2012,tblChannels[Channel ID],0)),0),"Watched","Unwatched"))</f>
        <v/>
      </c>
      <c r="C2012" s="37" t="n"/>
      <c r="D2012" s="38" t="n"/>
      <c r="E2012" s="39" t="n">
        <v>43399.4375</v>
      </c>
      <c r="F2012" s="49" t="inlineStr">
        <is>
          <t>Super Carlin Gaming</t>
        </is>
      </c>
      <c r="G2012" t="inlineStr">
        <is>
          <t>STOP PROCRASTINATING! | Rocket League #68</t>
        </is>
      </c>
      <c r="H2012" s="41" t="n">
        <v>0.01306712962962963</v>
      </c>
      <c r="I2012" s="42" t="n">
        <v>3564</v>
      </c>
      <c r="J2012" s="42" t="n">
        <v>193</v>
      </c>
      <c r="K2012" s="42" t="n">
        <v>66</v>
      </c>
      <c r="L2012" s="43" t="n"/>
      <c r="M2012" s="44" t="n"/>
      <c r="N2012" s="44" t="inlineStr">
        <is>
          <t>UCor_9jRnNNZVzTuQ92PKsaQ</t>
        </is>
      </c>
      <c r="O2012" s="45" t="n">
        <v>43399.60416666666</v>
      </c>
      <c r="P2012" s="46" t="n">
        <v>43399</v>
      </c>
      <c r="Q2012" s="44" t="n">
        <v>1260</v>
      </c>
      <c r="R2012" s="44" t="inlineStr">
        <is>
          <t>No Video ID yet</t>
        </is>
      </c>
      <c r="S2012" s="46" t="n"/>
      <c r="T2012" s="46" t="n"/>
      <c r="U2012" s="44" t="n"/>
      <c r="V2012" s="44">
        <f>IF(AND(P2012&gt;=Calendar!$K$2,P2012&lt;EDATE(Calendar!$K$2,1),OR(Calendar!$K$4="*",N2012=Calendar!$K$4)),P2012*100+COUNTIFS($P$6:$P$3271,P2012,$Q$6:$Q$3271,"&lt;="&amp;Q2012,$N$6:$N$3271,Calendar!$K$4),"")</f>
        <v/>
      </c>
      <c r="W2012" s="44">
        <f>IF(AND(B2012=Queue!$C$4,OR(Queue!$K$4="*",N2012=Queue!$K$4)),Q2012,"")</f>
        <v/>
      </c>
    </row>
    <row r="2013">
      <c r="A2013" s="35">
        <f>IF(M2013="","",HYPERLINK("https://www.youtube.com/watch?v="&amp;M2013,"▶"))</f>
        <v/>
      </c>
      <c r="B2013" s="36">
        <f>IF(C2013&lt;&gt;"",C2013,IF(P2013&lt;=IFERROR(INDEX(tblChannels[Watched Through],MATCH(N2013,tblChannels[Channel ID],0)),0),"Watched","Unwatched"))</f>
        <v/>
      </c>
      <c r="C2013" s="37" t="n"/>
      <c r="D2013" s="38" t="n"/>
      <c r="E2013" s="39" t="n">
        <v>43398.57152777778</v>
      </c>
      <c r="F2013" s="47" t="inlineStr">
        <is>
          <t>Super Carlin Brothers</t>
        </is>
      </c>
      <c r="G2013" t="inlineStr">
        <is>
          <t>Pixar Fast Facts: Incredibles 2</t>
        </is>
      </c>
      <c r="H2013" s="41" t="n">
        <v>0.005347222222222222</v>
      </c>
      <c r="I2013" s="42" t="n">
        <v>956527</v>
      </c>
      <c r="J2013" s="42" t="n">
        <v>24657</v>
      </c>
      <c r="K2013" s="42" t="n">
        <v>1863</v>
      </c>
      <c r="L2013" s="43" t="n"/>
      <c r="M2013" s="44" t="n"/>
      <c r="N2013" s="44" t="inlineStr">
        <is>
          <t>UCKZo4N0lVPccBkSiuyVh4yg</t>
        </is>
      </c>
      <c r="O2013" s="45" t="n">
        <v>43398.73819444444</v>
      </c>
      <c r="P2013" s="46" t="n">
        <v>43398</v>
      </c>
      <c r="Q2013" s="44" t="n">
        <v>1259</v>
      </c>
      <c r="R2013" s="44" t="inlineStr">
        <is>
          <t>No Video ID yet</t>
        </is>
      </c>
      <c r="S2013" s="46" t="n"/>
      <c r="T2013" s="46" t="n"/>
      <c r="U2013" s="44" t="n"/>
      <c r="V2013" s="44">
        <f>IF(AND(P2013&gt;=Calendar!$K$2,P2013&lt;EDATE(Calendar!$K$2,1),OR(Calendar!$K$4="*",N2013=Calendar!$K$4)),P2013*100+COUNTIFS($P$6:$P$3271,P2013,$Q$6:$Q$3271,"&lt;="&amp;Q2013,$N$6:$N$3271,Calendar!$K$4),"")</f>
        <v/>
      </c>
      <c r="W2013" s="44">
        <f>IF(AND(B2013=Queue!$C$4,OR(Queue!$K$4="*",N2013=Queue!$K$4)),Q2013,"")</f>
        <v/>
      </c>
    </row>
    <row r="2014">
      <c r="A2014" s="35">
        <f>IF(M2014="","",HYPERLINK("https://www.youtube.com/watch?v="&amp;M2014,"▶"))</f>
        <v/>
      </c>
      <c r="B2014" s="36">
        <f>IF(C2014&lt;&gt;"",C2014,IF(P2014&lt;=IFERROR(INDEX(tblChannels[Watched Through],MATCH(N2014,tblChannels[Channel ID],0)),0),"Watched","Unwatched"))</f>
        <v/>
      </c>
      <c r="C2014" s="37" t="n"/>
      <c r="D2014" s="38" t="n"/>
      <c r="E2014" s="39" t="n">
        <v>43397.45694444444</v>
      </c>
      <c r="F2014" s="49" t="inlineStr">
        <is>
          <t>Super Carlin Gaming</t>
        </is>
      </c>
      <c r="G2014" t="inlineStr">
        <is>
          <t>Starting a Club? | Rocket League #67</t>
        </is>
      </c>
      <c r="H2014" s="41" t="n">
        <v>0.01520833333333333</v>
      </c>
      <c r="I2014" s="42" t="n">
        <v>3439</v>
      </c>
      <c r="J2014" s="42" t="n">
        <v>198</v>
      </c>
      <c r="K2014" s="42" t="n">
        <v>52</v>
      </c>
      <c r="L2014" s="43" t="n"/>
      <c r="M2014" s="44" t="n"/>
      <c r="N2014" s="44" t="inlineStr">
        <is>
          <t>UCor_9jRnNNZVzTuQ92PKsaQ</t>
        </is>
      </c>
      <c r="O2014" s="45" t="n">
        <v>43397.62361111111</v>
      </c>
      <c r="P2014" s="46" t="n">
        <v>43397</v>
      </c>
      <c r="Q2014" s="44" t="n">
        <v>1258</v>
      </c>
      <c r="R2014" s="44" t="inlineStr">
        <is>
          <t>No Video ID yet</t>
        </is>
      </c>
      <c r="S2014" s="46" t="n"/>
      <c r="T2014" s="46" t="n"/>
      <c r="U2014" s="44" t="n"/>
      <c r="V2014" s="44">
        <f>IF(AND(P2014&gt;=Calendar!$K$2,P2014&lt;EDATE(Calendar!$K$2,1),OR(Calendar!$K$4="*",N2014=Calendar!$K$4)),P2014*100+COUNTIFS($P$6:$P$3271,P2014,$Q$6:$Q$3271,"&lt;="&amp;Q2014,$N$6:$N$3271,Calendar!$K$4),"")</f>
        <v/>
      </c>
      <c r="W2014" s="44">
        <f>IF(AND(B2014=Queue!$C$4,OR(Queue!$K$4="*",N2014=Queue!$K$4)),Q2014,"")</f>
        <v/>
      </c>
    </row>
    <row r="2015">
      <c r="A2015" s="35">
        <f>IF(M2015="","",HYPERLINK("https://www.youtube.com/watch?v="&amp;M2015,"▶"))</f>
        <v/>
      </c>
      <c r="B2015" s="36">
        <f>IF(C2015&lt;&gt;"",C2015,IF(P2015&lt;=IFERROR(INDEX(tblChannels[Watched Through],MATCH(N2015,tblChannels[Channel ID],0)),0),"Watched","Unwatched"))</f>
        <v/>
      </c>
      <c r="C2015" s="37" t="n"/>
      <c r="D2015" s="38" t="n"/>
      <c r="E2015" s="39" t="n">
        <v>43396.81388888889</v>
      </c>
      <c r="F2015" s="47" t="inlineStr">
        <is>
          <t>Super Carlin Brothers</t>
        </is>
      </c>
      <c r="G2015" t="inlineStr">
        <is>
          <t>The Incredibles Are Living In Syndrome's House | Pixar Theory</t>
        </is>
      </c>
      <c r="H2015" s="41" t="n">
        <v>0.007210648148148148</v>
      </c>
      <c r="I2015" s="42" t="n">
        <v>1628784</v>
      </c>
      <c r="J2015" s="42" t="n">
        <v>41790</v>
      </c>
      <c r="K2015" s="42" t="n">
        <v>3096</v>
      </c>
      <c r="L2015" s="43" t="n"/>
      <c r="M2015" s="44" t="n"/>
      <c r="N2015" s="44" t="inlineStr">
        <is>
          <t>UCKZo4N0lVPccBkSiuyVh4yg</t>
        </is>
      </c>
      <c r="O2015" s="45" t="n">
        <v>43396.98055555556</v>
      </c>
      <c r="P2015" s="46" t="n">
        <v>43396</v>
      </c>
      <c r="Q2015" s="44" t="n">
        <v>1257</v>
      </c>
      <c r="R2015" s="44" t="inlineStr">
        <is>
          <t>No Video ID yet</t>
        </is>
      </c>
      <c r="S2015" s="46" t="n"/>
      <c r="T2015" s="46" t="n"/>
      <c r="U2015" s="44" t="n"/>
      <c r="V2015" s="44">
        <f>IF(AND(P2015&gt;=Calendar!$K$2,P2015&lt;EDATE(Calendar!$K$2,1),OR(Calendar!$K$4="*",N2015=Calendar!$K$4)),P2015*100+COUNTIFS($P$6:$P$3271,P2015,$Q$6:$Q$3271,"&lt;="&amp;Q2015,$N$6:$N$3271,Calendar!$K$4),"")</f>
        <v/>
      </c>
      <c r="W2015" s="44">
        <f>IF(AND(B2015=Queue!$C$4,OR(Queue!$K$4="*",N2015=Queue!$K$4)),Q2015,"")</f>
        <v/>
      </c>
    </row>
    <row r="2016">
      <c r="A2016" s="35">
        <f>IF(M2016="","",HYPERLINK("https://www.youtube.com/watch?v="&amp;M2016,"▶"))</f>
        <v/>
      </c>
      <c r="B2016" s="36">
        <f>IF(C2016&lt;&gt;"",C2016,IF(P2016&lt;=IFERROR(INDEX(tblChannels[Watched Through],MATCH(N2016,tblChannels[Channel ID],0)),0),"Watched","Unwatched"))</f>
        <v/>
      </c>
      <c r="C2016" s="37" t="n"/>
      <c r="D2016" s="38" t="n"/>
      <c r="E2016" s="39" t="n">
        <v>43395.66319444445</v>
      </c>
      <c r="F2016" s="49" t="inlineStr">
        <is>
          <t>Super Carlin Gaming</t>
        </is>
      </c>
      <c r="G2016" t="inlineStr">
        <is>
          <t>Is Living With Parents Bad? | Rocket League #66</t>
        </is>
      </c>
      <c r="H2016" s="41" t="n">
        <v>0.01210648148148148</v>
      </c>
      <c r="I2016" s="42" t="n">
        <v>3619</v>
      </c>
      <c r="J2016" s="42" t="n">
        <v>208</v>
      </c>
      <c r="K2016" s="42" t="n">
        <v>31</v>
      </c>
      <c r="L2016" s="43" t="n"/>
      <c r="M2016" s="44" t="n"/>
      <c r="N2016" s="44" t="inlineStr">
        <is>
          <t>UCor_9jRnNNZVzTuQ92PKsaQ</t>
        </is>
      </c>
      <c r="O2016" s="45" t="n">
        <v>43395.82986111111</v>
      </c>
      <c r="P2016" s="46" t="n">
        <v>43395</v>
      </c>
      <c r="Q2016" s="44" t="n">
        <v>1256</v>
      </c>
      <c r="R2016" s="44" t="inlineStr">
        <is>
          <t>No Video ID yet</t>
        </is>
      </c>
      <c r="S2016" s="46" t="n"/>
      <c r="T2016" s="46" t="n"/>
      <c r="U2016" s="44" t="n"/>
      <c r="V2016" s="44">
        <f>IF(AND(P2016&gt;=Calendar!$K$2,P2016&lt;EDATE(Calendar!$K$2,1),OR(Calendar!$K$4="*",N2016=Calendar!$K$4)),P2016*100+COUNTIFS($P$6:$P$3271,P2016,$Q$6:$Q$3271,"&lt;="&amp;Q2016,$N$6:$N$3271,Calendar!$K$4),"")</f>
        <v/>
      </c>
      <c r="W2016" s="44">
        <f>IF(AND(B2016=Queue!$C$4,OR(Queue!$K$4="*",N2016=Queue!$K$4)),Q2016,"")</f>
        <v/>
      </c>
    </row>
    <row r="2017">
      <c r="A2017" s="35">
        <f>IF(M2017="","",HYPERLINK("https://www.youtube.com/watch?v="&amp;M2017,"▶"))</f>
        <v/>
      </c>
      <c r="B2017" s="36">
        <f>IF(C2017&lt;&gt;"",C2017,IF(P2017&lt;=IFERROR(INDEX(tblChannels[Watched Through],MATCH(N2017,tblChannels[Channel ID],0)),0),"Watched","Unwatched"))</f>
        <v/>
      </c>
      <c r="C2017" s="37" t="n"/>
      <c r="D2017" s="38" t="n"/>
      <c r="E2017" s="39" t="n">
        <v>43395.43541666667</v>
      </c>
      <c r="F2017" s="50" t="inlineStr">
        <is>
          <t>Jonathan Carlin</t>
        </is>
      </c>
      <c r="G2017" t="inlineStr">
        <is>
          <t>WE MET JK ROWLING! | New York Harry Potter Adventure</t>
        </is>
      </c>
      <c r="H2017" s="41" t="n">
        <v>0.01082175925925926</v>
      </c>
      <c r="I2017" s="42" t="n">
        <v>213376</v>
      </c>
      <c r="J2017" s="42" t="n">
        <v>8102</v>
      </c>
      <c r="K2017" s="42" t="n">
        <v>1115</v>
      </c>
      <c r="L2017" s="43" t="n"/>
      <c r="M2017" s="44" t="n"/>
      <c r="N2017" s="44" t="inlineStr">
        <is>
          <t>UCYPKFe86e6nm4TVUYKLsFUQ</t>
        </is>
      </c>
      <c r="O2017" s="45" t="n">
        <v>43395.60208333333</v>
      </c>
      <c r="P2017" s="46" t="n">
        <v>43395</v>
      </c>
      <c r="Q2017" s="44" t="n">
        <v>1255</v>
      </c>
      <c r="R2017" s="44" t="inlineStr">
        <is>
          <t>No Video ID yet</t>
        </is>
      </c>
      <c r="S2017" s="46" t="n"/>
      <c r="T2017" s="46" t="n"/>
      <c r="U2017" s="44" t="n"/>
      <c r="V2017" s="44">
        <f>IF(AND(P2017&gt;=Calendar!$K$2,P2017&lt;EDATE(Calendar!$K$2,1),OR(Calendar!$K$4="*",N2017=Calendar!$K$4)),P2017*100+COUNTIFS($P$6:$P$3271,P2017,$Q$6:$Q$3271,"&lt;="&amp;Q2017,$N$6:$N$3271,Calendar!$K$4),"")</f>
        <v/>
      </c>
      <c r="W2017" s="44">
        <f>IF(AND(B2017=Queue!$C$4,OR(Queue!$K$4="*",N2017=Queue!$K$4)),Q2017,"")</f>
        <v/>
      </c>
    </row>
    <row r="2018">
      <c r="A2018" s="35">
        <f>IF(M2018="","",HYPERLINK("https://www.youtube.com/watch?v="&amp;M2018,"▶"))</f>
        <v/>
      </c>
      <c r="B2018" s="36">
        <f>IF(C2018&lt;&gt;"",C2018,IF(P2018&lt;=IFERROR(INDEX(tblChannels[Watched Through],MATCH(N2018,tblChannels[Channel ID],0)),0),"Watched","Unwatched"))</f>
        <v/>
      </c>
      <c r="C2018" s="37" t="n"/>
      <c r="D2018" s="38" t="n"/>
      <c r="E2018" s="39" t="n">
        <v>43391.71805555555</v>
      </c>
      <c r="F2018" s="47" t="inlineStr">
        <is>
          <t>Super Carlin Brothers</t>
        </is>
      </c>
      <c r="G2018" t="inlineStr">
        <is>
          <t>J vs Ben: ULTIMATE Harry Potter Halloween Quiz</t>
        </is>
      </c>
      <c r="H2018" s="41" t="n">
        <v>0.02104166666666667</v>
      </c>
      <c r="I2018" s="42" t="n">
        <v>694889</v>
      </c>
      <c r="J2018" s="42" t="n">
        <v>14760</v>
      </c>
      <c r="K2018" s="42" t="n">
        <v>1965</v>
      </c>
      <c r="L2018" s="43" t="n"/>
      <c r="M2018" s="44" t="n"/>
      <c r="N2018" s="44" t="inlineStr">
        <is>
          <t>UCKZo4N0lVPccBkSiuyVh4yg</t>
        </is>
      </c>
      <c r="O2018" s="45" t="n">
        <v>43391.88472222222</v>
      </c>
      <c r="P2018" s="46" t="n">
        <v>43391</v>
      </c>
      <c r="Q2018" s="44" t="n">
        <v>1254</v>
      </c>
      <c r="R2018" s="44" t="inlineStr">
        <is>
          <t>No Video ID yet</t>
        </is>
      </c>
      <c r="S2018" s="46" t="n"/>
      <c r="T2018" s="46" t="n"/>
      <c r="U2018" s="44" t="n"/>
      <c r="V2018" s="44">
        <f>IF(AND(P2018&gt;=Calendar!$K$2,P2018&lt;EDATE(Calendar!$K$2,1),OR(Calendar!$K$4="*",N2018=Calendar!$K$4)),P2018*100+COUNTIFS($P$6:$P$3271,P2018,$Q$6:$Q$3271,"&lt;="&amp;Q2018,$N$6:$N$3271,Calendar!$K$4),"")</f>
        <v/>
      </c>
      <c r="W2018" s="44">
        <f>IF(AND(B2018=Queue!$C$4,OR(Queue!$K$4="*",N2018=Queue!$K$4)),Q2018,"")</f>
        <v/>
      </c>
    </row>
    <row r="2019">
      <c r="A2019" s="35">
        <f>IF(M2019="","",HYPERLINK("https://www.youtube.com/watch?v="&amp;M2019,"▶"))</f>
        <v/>
      </c>
      <c r="B2019" s="36">
        <f>IF(C2019&lt;&gt;"",C2019,IF(P2019&lt;=IFERROR(INDEX(tblChannels[Watched Through],MATCH(N2019,tblChannels[Channel ID],0)),0),"Watched","Unwatched"))</f>
        <v/>
      </c>
      <c r="C2019" s="37" t="n"/>
      <c r="D2019" s="38" t="n"/>
      <c r="E2019" s="39" t="n">
        <v>43390.42361111111</v>
      </c>
      <c r="F2019" s="49" t="inlineStr">
        <is>
          <t>Super Carlin Gaming</t>
        </is>
      </c>
      <c r="G2019" t="inlineStr">
        <is>
          <t>Wanting To Get Athletic | Rocket League #65</t>
        </is>
      </c>
      <c r="H2019" s="41" t="n">
        <v>0.008668981481481481</v>
      </c>
      <c r="I2019" s="42" t="n">
        <v>3519</v>
      </c>
      <c r="J2019" s="42" t="n">
        <v>198</v>
      </c>
      <c r="K2019" s="42" t="n">
        <v>53</v>
      </c>
      <c r="L2019" s="43" t="n"/>
      <c r="M2019" s="44" t="n"/>
      <c r="N2019" s="44" t="inlineStr">
        <is>
          <t>UCor_9jRnNNZVzTuQ92PKsaQ</t>
        </is>
      </c>
      <c r="O2019" s="45" t="n">
        <v>43390.59027777778</v>
      </c>
      <c r="P2019" s="46" t="n">
        <v>43390</v>
      </c>
      <c r="Q2019" s="44" t="n">
        <v>1253</v>
      </c>
      <c r="R2019" s="44" t="inlineStr">
        <is>
          <t>No Video ID yet</t>
        </is>
      </c>
      <c r="S2019" s="46" t="n"/>
      <c r="T2019" s="46" t="n"/>
      <c r="U2019" s="44" t="n"/>
      <c r="V2019" s="44">
        <f>IF(AND(P2019&gt;=Calendar!$K$2,P2019&lt;EDATE(Calendar!$K$2,1),OR(Calendar!$K$4="*",N2019=Calendar!$K$4)),P2019*100+COUNTIFS($P$6:$P$3271,P2019,$Q$6:$Q$3271,"&lt;="&amp;Q2019,$N$6:$N$3271,Calendar!$K$4),"")</f>
        <v/>
      </c>
      <c r="W2019" s="44">
        <f>IF(AND(B2019=Queue!$C$4,OR(Queue!$K$4="*",N2019=Queue!$K$4)),Q2019,"")</f>
        <v/>
      </c>
    </row>
    <row r="2020">
      <c r="A2020" s="35">
        <f>IF(M2020="","",HYPERLINK("https://www.youtube.com/watch?v="&amp;M2020,"▶"))</f>
        <v/>
      </c>
      <c r="B2020" s="36">
        <f>IF(C2020&lt;&gt;"",C2020,IF(P2020&lt;=IFERROR(INDEX(tblChannels[Watched Through],MATCH(N2020,tblChannels[Channel ID],0)),0),"Watched","Unwatched"))</f>
        <v/>
      </c>
      <c r="C2020" s="37" t="n"/>
      <c r="D2020" s="38" t="n"/>
      <c r="E2020" s="39" t="n">
        <v>43389.82986111111</v>
      </c>
      <c r="F2020" s="47" t="inlineStr">
        <is>
          <t>Super Carlin Brothers</t>
        </is>
      </c>
      <c r="G2020" t="inlineStr">
        <is>
          <t>Is Grindelwald Credence’s Father? | Fantastic Beasts Theory</t>
        </is>
      </c>
      <c r="H2020" s="41" t="n">
        <v>0.008298611111111111</v>
      </c>
      <c r="I2020" s="42" t="n">
        <v>522383</v>
      </c>
      <c r="J2020" s="42" t="n">
        <v>15954</v>
      </c>
      <c r="K2020" s="42" t="n">
        <v>1874</v>
      </c>
      <c r="L2020" s="43" t="n"/>
      <c r="M2020" s="44" t="n"/>
      <c r="N2020" s="44" t="inlineStr">
        <is>
          <t>UCKZo4N0lVPccBkSiuyVh4yg</t>
        </is>
      </c>
      <c r="O2020" s="45" t="n">
        <v>43389.99652777778</v>
      </c>
      <c r="P2020" s="46" t="n">
        <v>43389</v>
      </c>
      <c r="Q2020" s="44" t="n">
        <v>1252</v>
      </c>
      <c r="R2020" s="44" t="inlineStr">
        <is>
          <t>No Video ID yet</t>
        </is>
      </c>
      <c r="S2020" s="46" t="n"/>
      <c r="T2020" s="46" t="n"/>
      <c r="U2020" s="44" t="n"/>
      <c r="V2020" s="44">
        <f>IF(AND(P2020&gt;=Calendar!$K$2,P2020&lt;EDATE(Calendar!$K$2,1),OR(Calendar!$K$4="*",N2020=Calendar!$K$4)),P2020*100+COUNTIFS($P$6:$P$3271,P2020,$Q$6:$Q$3271,"&lt;="&amp;Q2020,$N$6:$N$3271,Calendar!$K$4),"")</f>
        <v/>
      </c>
      <c r="W2020" s="44">
        <f>IF(AND(B2020=Queue!$C$4,OR(Queue!$K$4="*",N2020=Queue!$K$4)),Q2020,"")</f>
        <v/>
      </c>
    </row>
    <row r="2021">
      <c r="A2021" s="35">
        <f>IF(M2021="","",HYPERLINK("https://www.youtube.com/watch?v="&amp;M2021,"▶"))</f>
        <v/>
      </c>
      <c r="B2021" s="36">
        <f>IF(C2021&lt;&gt;"",C2021,IF(P2021&lt;=IFERROR(INDEX(tblChannels[Watched Through],MATCH(N2021,tblChannels[Channel ID],0)),0),"Watched","Unwatched"))</f>
        <v/>
      </c>
      <c r="C2021" s="37" t="n"/>
      <c r="D2021" s="38" t="n"/>
      <c r="E2021" s="39" t="n">
        <v>43388.45486111111</v>
      </c>
      <c r="F2021" s="50" t="inlineStr">
        <is>
          <t>Jonathan Carlin</t>
        </is>
      </c>
      <c r="G2021" t="inlineStr">
        <is>
          <t>Preparing For HURRICANE Florence</t>
        </is>
      </c>
      <c r="H2021" s="41" t="n">
        <v>0.007546296296296297</v>
      </c>
      <c r="I2021" s="42" t="n">
        <v>41902</v>
      </c>
      <c r="J2021" s="42" t="n">
        <v>1835</v>
      </c>
      <c r="K2021" s="42" t="n">
        <v>480</v>
      </c>
      <c r="L2021" s="43" t="n"/>
      <c r="M2021" s="44" t="n"/>
      <c r="N2021" s="44" t="inlineStr">
        <is>
          <t>UCYPKFe86e6nm4TVUYKLsFUQ</t>
        </is>
      </c>
      <c r="O2021" s="45" t="n">
        <v>43388.62152777778</v>
      </c>
      <c r="P2021" s="46" t="n">
        <v>43388</v>
      </c>
      <c r="Q2021" s="44" t="n">
        <v>1251</v>
      </c>
      <c r="R2021" s="44" t="inlineStr">
        <is>
          <t>No Video ID yet</t>
        </is>
      </c>
      <c r="S2021" s="46" t="n"/>
      <c r="T2021" s="46" t="n"/>
      <c r="U2021" s="44" t="n"/>
      <c r="V2021" s="44">
        <f>IF(AND(P2021&gt;=Calendar!$K$2,P2021&lt;EDATE(Calendar!$K$2,1),OR(Calendar!$K$4="*",N2021=Calendar!$K$4)),P2021*100+COUNTIFS($P$6:$P$3271,P2021,$Q$6:$Q$3271,"&lt;="&amp;Q2021,$N$6:$N$3271,Calendar!$K$4),"")</f>
        <v/>
      </c>
      <c r="W2021" s="44">
        <f>IF(AND(B2021=Queue!$C$4,OR(Queue!$K$4="*",N2021=Queue!$K$4)),Q2021,"")</f>
        <v/>
      </c>
    </row>
    <row r="2022">
      <c r="A2022" s="35">
        <f>IF(M2022="","",HYPERLINK("https://www.youtube.com/watch?v="&amp;M2022,"▶"))</f>
        <v/>
      </c>
      <c r="B2022" s="36">
        <f>IF(C2022&lt;&gt;"",C2022,IF(P2022&lt;=IFERROR(INDEX(tblChannels[Watched Through],MATCH(N2022,tblChannels[Channel ID],0)),0),"Watched","Unwatched"))</f>
        <v/>
      </c>
      <c r="C2022" s="37" t="n"/>
      <c r="D2022" s="38" t="n"/>
      <c r="E2022" s="39" t="n">
        <v>43388.45208333333</v>
      </c>
      <c r="F2022" s="49" t="inlineStr">
        <is>
          <t>Super Carlin Gaming</t>
        </is>
      </c>
      <c r="G2022" t="inlineStr">
        <is>
          <t>Buying a House | Rocket League #64</t>
        </is>
      </c>
      <c r="H2022" s="41" t="n">
        <v>0.01603009259259259</v>
      </c>
      <c r="I2022" s="42" t="n">
        <v>4023</v>
      </c>
      <c r="J2022" s="42" t="n">
        <v>241</v>
      </c>
      <c r="K2022" s="42" t="n">
        <v>42</v>
      </c>
      <c r="L2022" s="43" t="n"/>
      <c r="M2022" s="44" t="n"/>
      <c r="N2022" s="44" t="inlineStr">
        <is>
          <t>UCor_9jRnNNZVzTuQ92PKsaQ</t>
        </is>
      </c>
      <c r="O2022" s="45" t="n">
        <v>43388.61875</v>
      </c>
      <c r="P2022" s="46" t="n">
        <v>43388</v>
      </c>
      <c r="Q2022" s="44" t="n">
        <v>1250</v>
      </c>
      <c r="R2022" s="44" t="inlineStr">
        <is>
          <t>No Video ID yet</t>
        </is>
      </c>
      <c r="S2022" s="46" t="n"/>
      <c r="T2022" s="46" t="n"/>
      <c r="U2022" s="44" t="n"/>
      <c r="V2022" s="44">
        <f>IF(AND(P2022&gt;=Calendar!$K$2,P2022&lt;EDATE(Calendar!$K$2,1),OR(Calendar!$K$4="*",N2022=Calendar!$K$4)),P2022*100+COUNTIFS($P$6:$P$3271,P2022,$Q$6:$Q$3271,"&lt;="&amp;Q2022,$N$6:$N$3271,Calendar!$K$4),"")</f>
        <v/>
      </c>
      <c r="W2022" s="44">
        <f>IF(AND(B2022=Queue!$C$4,OR(Queue!$K$4="*",N2022=Queue!$K$4)),Q2022,"")</f>
        <v/>
      </c>
    </row>
    <row r="2023">
      <c r="A2023" s="35">
        <f>IF(M2023="","",HYPERLINK("https://www.youtube.com/watch?v="&amp;M2023,"▶"))</f>
        <v/>
      </c>
      <c r="B2023" s="36">
        <f>IF(C2023&lt;&gt;"",C2023,IF(P2023&lt;=IFERROR(INDEX(tblChannels[Watched Through],MATCH(N2023,tblChannels[Channel ID],0)),0),"Watched","Unwatched"))</f>
        <v/>
      </c>
      <c r="C2023" s="37" t="n"/>
      <c r="D2023" s="38" t="n"/>
      <c r="E2023" s="39" t="n">
        <v>43385.68402777778</v>
      </c>
      <c r="F2023" s="47" t="inlineStr">
        <is>
          <t>Super Carlin Brothers</t>
        </is>
      </c>
      <c r="G2023" t="inlineStr">
        <is>
          <t>Why Dumbledore Can't Move Against Grindelwald | Fantastic Beasts Theory</t>
        </is>
      </c>
      <c r="H2023" s="41" t="n">
        <v>0.008900462962962962</v>
      </c>
      <c r="I2023" s="42" t="n">
        <v>1151374</v>
      </c>
      <c r="J2023" s="42" t="n">
        <v>29101</v>
      </c>
      <c r="K2023" s="42" t="n">
        <v>3315</v>
      </c>
      <c r="L2023" s="43" t="n"/>
      <c r="M2023" s="44" t="n"/>
      <c r="N2023" s="44" t="inlineStr">
        <is>
          <t>UCKZo4N0lVPccBkSiuyVh4yg</t>
        </is>
      </c>
      <c r="O2023" s="45" t="n">
        <v>43385.85069444445</v>
      </c>
      <c r="P2023" s="46" t="n">
        <v>43385</v>
      </c>
      <c r="Q2023" s="44" t="n">
        <v>1249</v>
      </c>
      <c r="R2023" s="44" t="inlineStr">
        <is>
          <t>No Video ID yet</t>
        </is>
      </c>
      <c r="S2023" s="46" t="n"/>
      <c r="T2023" s="46" t="n"/>
      <c r="U2023" s="44" t="n"/>
      <c r="V2023" s="44">
        <f>IF(AND(P2023&gt;=Calendar!$K$2,P2023&lt;EDATE(Calendar!$K$2,1),OR(Calendar!$K$4="*",N2023=Calendar!$K$4)),P2023*100+COUNTIFS($P$6:$P$3271,P2023,$Q$6:$Q$3271,"&lt;="&amp;Q2023,$N$6:$N$3271,Calendar!$K$4),"")</f>
        <v/>
      </c>
      <c r="W2023" s="44">
        <f>IF(AND(B2023=Queue!$C$4,OR(Queue!$K$4="*",N2023=Queue!$K$4)),Q2023,"")</f>
        <v/>
      </c>
    </row>
    <row r="2024">
      <c r="A2024" s="35">
        <f>IF(M2024="","",HYPERLINK("https://www.youtube.com/watch?v="&amp;M2024,"▶"))</f>
        <v/>
      </c>
      <c r="B2024" s="36">
        <f>IF(C2024&lt;&gt;"",C2024,IF(P2024&lt;=IFERROR(INDEX(tblChannels[Watched Through],MATCH(N2024,tblChannels[Channel ID],0)),0),"Watched","Unwatched"))</f>
        <v/>
      </c>
      <c r="C2024" s="37" t="n"/>
      <c r="D2024" s="38" t="n"/>
      <c r="E2024" s="39" t="n">
        <v>43385.4375</v>
      </c>
      <c r="F2024" s="49" t="inlineStr">
        <is>
          <t>Super Carlin Gaming</t>
        </is>
      </c>
      <c r="G2024" t="inlineStr">
        <is>
          <t>Which Two Disney Heroes Are You?  | Rocket League #63</t>
        </is>
      </c>
      <c r="H2024" s="41" t="n">
        <v>0.0124537037037037</v>
      </c>
      <c r="I2024" s="42" t="n">
        <v>3890</v>
      </c>
      <c r="J2024" s="42" t="n">
        <v>247</v>
      </c>
      <c r="K2024" s="42" t="n">
        <v>66</v>
      </c>
      <c r="L2024" s="43" t="n"/>
      <c r="M2024" s="44" t="n"/>
      <c r="N2024" s="44" t="inlineStr">
        <is>
          <t>UCor_9jRnNNZVzTuQ92PKsaQ</t>
        </is>
      </c>
      <c r="O2024" s="45" t="n">
        <v>43385.60416666666</v>
      </c>
      <c r="P2024" s="46" t="n">
        <v>43385</v>
      </c>
      <c r="Q2024" s="44" t="n">
        <v>1248</v>
      </c>
      <c r="R2024" s="44" t="inlineStr">
        <is>
          <t>No Video ID yet</t>
        </is>
      </c>
      <c r="S2024" s="46" t="n"/>
      <c r="T2024" s="46" t="n"/>
      <c r="U2024" s="44" t="n"/>
      <c r="V2024" s="44">
        <f>IF(AND(P2024&gt;=Calendar!$K$2,P2024&lt;EDATE(Calendar!$K$2,1),OR(Calendar!$K$4="*",N2024=Calendar!$K$4)),P2024*100+COUNTIFS($P$6:$P$3271,P2024,$Q$6:$Q$3271,"&lt;="&amp;Q2024,$N$6:$N$3271,Calendar!$K$4),"")</f>
        <v/>
      </c>
      <c r="W2024" s="44">
        <f>IF(AND(B2024=Queue!$C$4,OR(Queue!$K$4="*",N2024=Queue!$K$4)),Q2024,"")</f>
        <v/>
      </c>
    </row>
    <row r="2025">
      <c r="A2025" s="35">
        <f>IF(M2025="","",HYPERLINK("https://www.youtube.com/watch?v="&amp;M2025,"▶"))</f>
        <v/>
      </c>
      <c r="B2025" s="36">
        <f>IF(C2025&lt;&gt;"",C2025,IF(P2025&lt;=IFERROR(INDEX(tblChannels[Watched Through],MATCH(N2025,tblChannels[Channel ID],0)),0),"Watched","Unwatched"))</f>
        <v/>
      </c>
      <c r="C2025" s="37" t="n"/>
      <c r="D2025" s="38" t="n"/>
      <c r="E2025" s="39" t="n">
        <v>43383.71736111111</v>
      </c>
      <c r="F2025" s="49" t="inlineStr">
        <is>
          <t>Super Carlin Gaming</t>
        </is>
      </c>
      <c r="G2025" t="inlineStr">
        <is>
          <t>Online Dating | Rocket League #62</t>
        </is>
      </c>
      <c r="H2025" s="41" t="n">
        <v>0.0133912037037037</v>
      </c>
      <c r="I2025" s="42" t="n">
        <v>3630</v>
      </c>
      <c r="J2025" s="42" t="n">
        <v>209</v>
      </c>
      <c r="K2025" s="42" t="n">
        <v>48</v>
      </c>
      <c r="L2025" s="43" t="n"/>
      <c r="M2025" s="44" t="n"/>
      <c r="N2025" s="44" t="inlineStr">
        <is>
          <t>UCor_9jRnNNZVzTuQ92PKsaQ</t>
        </is>
      </c>
      <c r="O2025" s="45" t="n">
        <v>43383.88402777778</v>
      </c>
      <c r="P2025" s="46" t="n">
        <v>43383</v>
      </c>
      <c r="Q2025" s="44" t="n">
        <v>1247</v>
      </c>
      <c r="R2025" s="44" t="inlineStr">
        <is>
          <t>No Video ID yet</t>
        </is>
      </c>
      <c r="S2025" s="46" t="n"/>
      <c r="T2025" s="46" t="n"/>
      <c r="U2025" s="44" t="n"/>
      <c r="V2025" s="44">
        <f>IF(AND(P2025&gt;=Calendar!$K$2,P2025&lt;EDATE(Calendar!$K$2,1),OR(Calendar!$K$4="*",N2025=Calendar!$K$4)),P2025*100+COUNTIFS($P$6:$P$3271,P2025,$Q$6:$Q$3271,"&lt;="&amp;Q2025,$N$6:$N$3271,Calendar!$K$4),"")</f>
        <v/>
      </c>
      <c r="W2025" s="44">
        <f>IF(AND(B2025=Queue!$C$4,OR(Queue!$K$4="*",N2025=Queue!$K$4)),Q2025,"")</f>
        <v/>
      </c>
    </row>
    <row r="2026">
      <c r="A2026" s="35">
        <f>IF(M2026="","",HYPERLINK("https://www.youtube.com/watch?v="&amp;M2026,"▶"))</f>
        <v/>
      </c>
      <c r="B2026" s="36">
        <f>IF(C2026&lt;&gt;"",C2026,IF(P2026&lt;=IFERROR(INDEX(tblChannels[Watched Through],MATCH(N2026,tblChannels[Channel ID],0)),0),"Watched","Unwatched"))</f>
        <v/>
      </c>
      <c r="C2026" s="37" t="n"/>
      <c r="D2026" s="38" t="n"/>
      <c r="E2026" s="39" t="n">
        <v>43382.71805555555</v>
      </c>
      <c r="F2026" s="47" t="inlineStr">
        <is>
          <t>Super Carlin Brothers</t>
        </is>
      </c>
      <c r="G2026" t="inlineStr">
        <is>
          <t>What Is The Deal With Filch and Mrs Norris? | Harry Potter Explained</t>
        </is>
      </c>
      <c r="H2026" s="41" t="n">
        <v>0.007800925925925926</v>
      </c>
      <c r="I2026" s="42" t="n">
        <v>897188</v>
      </c>
      <c r="J2026" s="42" t="n">
        <v>23909</v>
      </c>
      <c r="K2026" s="42" t="n">
        <v>2899</v>
      </c>
      <c r="L2026" s="43" t="n"/>
      <c r="M2026" s="44" t="n"/>
      <c r="N2026" s="44" t="inlineStr">
        <is>
          <t>UCKZo4N0lVPccBkSiuyVh4yg</t>
        </is>
      </c>
      <c r="O2026" s="45" t="n">
        <v>43382.88472222222</v>
      </c>
      <c r="P2026" s="46" t="n">
        <v>43382</v>
      </c>
      <c r="Q2026" s="44" t="n">
        <v>1246</v>
      </c>
      <c r="R2026" s="44" t="inlineStr">
        <is>
          <t>No Video ID yet</t>
        </is>
      </c>
      <c r="S2026" s="46" t="n"/>
      <c r="T2026" s="46" t="n"/>
      <c r="U2026" s="44" t="n"/>
      <c r="V2026" s="44">
        <f>IF(AND(P2026&gt;=Calendar!$K$2,P2026&lt;EDATE(Calendar!$K$2,1),OR(Calendar!$K$4="*",N2026=Calendar!$K$4)),P2026*100+COUNTIFS($P$6:$P$3271,P2026,$Q$6:$Q$3271,"&lt;="&amp;Q2026,$N$6:$N$3271,Calendar!$K$4),"")</f>
        <v/>
      </c>
      <c r="W2026" s="44">
        <f>IF(AND(B2026=Queue!$C$4,OR(Queue!$K$4="*",N2026=Queue!$K$4)),Q2026,"")</f>
        <v/>
      </c>
    </row>
    <row r="2027">
      <c r="A2027" s="35">
        <f>IF(M2027="","",HYPERLINK("https://www.youtube.com/watch?v="&amp;M2027,"▶"))</f>
        <v/>
      </c>
      <c r="B2027" s="36">
        <f>IF(C2027&lt;&gt;"",C2027,IF(P2027&lt;=IFERROR(INDEX(tblChannels[Watched Through],MATCH(N2027,tblChannels[Channel ID],0)),0),"Watched","Unwatched"))</f>
        <v/>
      </c>
      <c r="C2027" s="37" t="n"/>
      <c r="D2027" s="38" t="n"/>
      <c r="E2027" s="39" t="n">
        <v>43381.48402777778</v>
      </c>
      <c r="F2027" s="49" t="inlineStr">
        <is>
          <t>Super Carlin Gaming</t>
        </is>
      </c>
      <c r="G2027" t="inlineStr">
        <is>
          <t>Too Much Time With Girlfriend!? | Rocket League #61</t>
        </is>
      </c>
      <c r="H2027" s="41" t="n">
        <v>0.01516203703703704</v>
      </c>
      <c r="I2027" s="42" t="n">
        <v>3896</v>
      </c>
      <c r="J2027" s="42" t="n">
        <v>225</v>
      </c>
      <c r="K2027" s="42" t="n">
        <v>35</v>
      </c>
      <c r="L2027" s="43" t="n"/>
      <c r="M2027" s="44" t="n"/>
      <c r="N2027" s="44" t="inlineStr">
        <is>
          <t>UCor_9jRnNNZVzTuQ92PKsaQ</t>
        </is>
      </c>
      <c r="O2027" s="45" t="n">
        <v>43381.65069444444</v>
      </c>
      <c r="P2027" s="46" t="n">
        <v>43381</v>
      </c>
      <c r="Q2027" s="44" t="n">
        <v>1245</v>
      </c>
      <c r="R2027" s="44" t="inlineStr">
        <is>
          <t>No Video ID yet</t>
        </is>
      </c>
      <c r="S2027" s="46" t="n"/>
      <c r="T2027" s="46" t="n"/>
      <c r="U2027" s="44" t="n"/>
      <c r="V2027" s="44">
        <f>IF(AND(P2027&gt;=Calendar!$K$2,P2027&lt;EDATE(Calendar!$K$2,1),OR(Calendar!$K$4="*",N2027=Calendar!$K$4)),P2027*100+COUNTIFS($P$6:$P$3271,P2027,$Q$6:$Q$3271,"&lt;="&amp;Q2027,$N$6:$N$3271,Calendar!$K$4),"")</f>
        <v/>
      </c>
      <c r="W2027" s="44">
        <f>IF(AND(B2027=Queue!$C$4,OR(Queue!$K$4="*",N2027=Queue!$K$4)),Q2027,"")</f>
        <v/>
      </c>
    </row>
    <row r="2028">
      <c r="A2028" s="35">
        <f>IF(M2028="","",HYPERLINK("https://www.youtube.com/watch?v="&amp;M2028,"▶"))</f>
        <v/>
      </c>
      <c r="B2028" s="36">
        <f>IF(C2028&lt;&gt;"",C2028,IF(P2028&lt;=IFERROR(INDEX(tblChannels[Watched Through],MATCH(N2028,tblChannels[Channel ID],0)),0),"Watched","Unwatched"))</f>
        <v/>
      </c>
      <c r="C2028" s="37" t="n"/>
      <c r="D2028" s="38" t="n"/>
      <c r="E2028" s="39" t="n">
        <v>43381.44722222222</v>
      </c>
      <c r="F2028" s="50" t="inlineStr">
        <is>
          <t>Jonathan Carlin</t>
        </is>
      </c>
      <c r="G2028" t="inlineStr">
        <is>
          <t>Luke's First Football Game!</t>
        </is>
      </c>
      <c r="H2028" s="41" t="n">
        <v>0.006354166666666667</v>
      </c>
      <c r="I2028" s="42" t="n">
        <v>29209</v>
      </c>
      <c r="J2028" s="42" t="n">
        <v>1457</v>
      </c>
      <c r="K2028" s="42" t="n">
        <v>227</v>
      </c>
      <c r="L2028" s="43" t="n"/>
      <c r="M2028" s="44" t="n"/>
      <c r="N2028" s="44" t="inlineStr">
        <is>
          <t>UCYPKFe86e6nm4TVUYKLsFUQ</t>
        </is>
      </c>
      <c r="O2028" s="45" t="n">
        <v>43381.61388888889</v>
      </c>
      <c r="P2028" s="46" t="n">
        <v>43381</v>
      </c>
      <c r="Q2028" s="44" t="n">
        <v>1244</v>
      </c>
      <c r="R2028" s="44" t="inlineStr">
        <is>
          <t>No Video ID yet</t>
        </is>
      </c>
      <c r="S2028" s="46" t="n"/>
      <c r="T2028" s="46" t="n"/>
      <c r="U2028" s="44" t="n"/>
      <c r="V2028" s="44">
        <f>IF(AND(P2028&gt;=Calendar!$K$2,P2028&lt;EDATE(Calendar!$K$2,1),OR(Calendar!$K$4="*",N2028=Calendar!$K$4)),P2028*100+COUNTIFS($P$6:$P$3271,P2028,$Q$6:$Q$3271,"&lt;="&amp;Q2028,$N$6:$N$3271,Calendar!$K$4),"")</f>
        <v/>
      </c>
      <c r="W2028" s="44">
        <f>IF(AND(B2028=Queue!$C$4,OR(Queue!$K$4="*",N2028=Queue!$K$4)),Q2028,"")</f>
        <v/>
      </c>
    </row>
    <row r="2029">
      <c r="A2029" s="35">
        <f>IF(M2029="","",HYPERLINK("https://www.youtube.com/watch?v="&amp;M2029,"▶"))</f>
        <v/>
      </c>
      <c r="B2029" s="36">
        <f>IF(C2029&lt;&gt;"",C2029,IF(P2029&lt;=IFERROR(INDEX(tblChannels[Watched Through],MATCH(N2029,tblChannels[Channel ID],0)),0),"Watched","Unwatched"))</f>
        <v/>
      </c>
      <c r="C2029" s="37" t="n"/>
      <c r="D2029" s="38" t="n"/>
      <c r="E2029" s="39" t="n">
        <v>43378.55902777778</v>
      </c>
      <c r="F2029" s="49" t="inlineStr">
        <is>
          <t>Super Carlin Gaming</t>
        </is>
      </c>
      <c r="G2029" t="inlineStr">
        <is>
          <t>I Have a Job Offer, But... | Rocket League #60</t>
        </is>
      </c>
      <c r="H2029" s="41" t="n">
        <v>0.01476851851851852</v>
      </c>
      <c r="I2029" s="42" t="n">
        <v>4162</v>
      </c>
      <c r="J2029" s="42" t="n">
        <v>206</v>
      </c>
      <c r="K2029" s="42" t="n">
        <v>63</v>
      </c>
      <c r="L2029" s="43" t="n"/>
      <c r="M2029" s="44" t="n"/>
      <c r="N2029" s="44" t="inlineStr">
        <is>
          <t>UCor_9jRnNNZVzTuQ92PKsaQ</t>
        </is>
      </c>
      <c r="O2029" s="45" t="n">
        <v>43378.72569444445</v>
      </c>
      <c r="P2029" s="46" t="n">
        <v>43378</v>
      </c>
      <c r="Q2029" s="44" t="n">
        <v>1243</v>
      </c>
      <c r="R2029" s="44" t="inlineStr">
        <is>
          <t>No Video ID yet</t>
        </is>
      </c>
      <c r="S2029" s="46" t="n"/>
      <c r="T2029" s="46" t="n"/>
      <c r="U2029" s="44" t="n"/>
      <c r="V2029" s="44">
        <f>IF(AND(P2029&gt;=Calendar!$K$2,P2029&lt;EDATE(Calendar!$K$2,1),OR(Calendar!$K$4="*",N2029=Calendar!$K$4)),P2029*100+COUNTIFS($P$6:$P$3271,P2029,$Q$6:$Q$3271,"&lt;="&amp;Q2029,$N$6:$N$3271,Calendar!$K$4),"")</f>
        <v/>
      </c>
      <c r="W2029" s="44">
        <f>IF(AND(B2029=Queue!$C$4,OR(Queue!$K$4="*",N2029=Queue!$K$4)),Q2029,"")</f>
        <v/>
      </c>
    </row>
    <row r="2030">
      <c r="A2030" s="35">
        <f>IF(M2030="","",HYPERLINK("https://www.youtube.com/watch?v="&amp;M2030,"▶"))</f>
        <v/>
      </c>
      <c r="B2030" s="36">
        <f>IF(C2030&lt;&gt;"",C2030,IF(P2030&lt;=IFERROR(INDEX(tblChannels[Watched Through],MATCH(N2030,tblChannels[Channel ID],0)),0),"Watched","Unwatched"))</f>
        <v/>
      </c>
      <c r="C2030" s="37" t="n"/>
      <c r="D2030" s="38" t="n"/>
      <c r="E2030" s="39" t="n">
        <v>43377.74791666667</v>
      </c>
      <c r="F2030" s="47" t="inlineStr">
        <is>
          <t>Super Carlin Brothers</t>
        </is>
      </c>
      <c r="G2030" t="inlineStr">
        <is>
          <t>Most Expensive Things At Disney | GAME</t>
        </is>
      </c>
      <c r="H2030" s="41" t="n">
        <v>0.02646990740740741</v>
      </c>
      <c r="I2030" s="42" t="n">
        <v>631932</v>
      </c>
      <c r="J2030" s="42" t="n">
        <v>14995</v>
      </c>
      <c r="K2030" s="42" t="n">
        <v>2187</v>
      </c>
      <c r="L2030" s="43" t="n"/>
      <c r="M2030" s="44" t="n"/>
      <c r="N2030" s="44" t="inlineStr">
        <is>
          <t>UCKZo4N0lVPccBkSiuyVh4yg</t>
        </is>
      </c>
      <c r="O2030" s="45" t="n">
        <v>43377.91458333333</v>
      </c>
      <c r="P2030" s="46" t="n">
        <v>43377</v>
      </c>
      <c r="Q2030" s="44" t="n">
        <v>1242</v>
      </c>
      <c r="R2030" s="44" t="inlineStr">
        <is>
          <t>No Video ID yet</t>
        </is>
      </c>
      <c r="S2030" s="46" t="n"/>
      <c r="T2030" s="46" t="n"/>
      <c r="U2030" s="44" t="n"/>
      <c r="V2030" s="44">
        <f>IF(AND(P2030&gt;=Calendar!$K$2,P2030&lt;EDATE(Calendar!$K$2,1),OR(Calendar!$K$4="*",N2030=Calendar!$K$4)),P2030*100+COUNTIFS($P$6:$P$3271,P2030,$Q$6:$Q$3271,"&lt;="&amp;Q2030,$N$6:$N$3271,Calendar!$K$4),"")</f>
        <v/>
      </c>
      <c r="W2030" s="44">
        <f>IF(AND(B2030=Queue!$C$4,OR(Queue!$K$4="*",N2030=Queue!$K$4)),Q2030,"")</f>
        <v/>
      </c>
    </row>
    <row r="2031">
      <c r="A2031" s="35">
        <f>IF(M2031="","",HYPERLINK("https://www.youtube.com/watch?v="&amp;M2031,"▶"))</f>
        <v/>
      </c>
      <c r="B2031" s="36">
        <f>IF(C2031&lt;&gt;"",C2031,IF(P2031&lt;=IFERROR(INDEX(tblChannels[Watched Through],MATCH(N2031,tblChannels[Channel ID],0)),0),"Watched","Unwatched"))</f>
        <v/>
      </c>
      <c r="C2031" s="37" t="n"/>
      <c r="D2031" s="38" t="n"/>
      <c r="E2031" s="39" t="n">
        <v>43376.74166666667</v>
      </c>
      <c r="F2031" s="49" t="inlineStr">
        <is>
          <t>Super Carlin Gaming</t>
        </is>
      </c>
      <c r="G2031" t="inlineStr">
        <is>
          <t>LIVE! Rocket League - J  and Ben vs THE WORLD</t>
        </is>
      </c>
      <c r="H2031" s="41" t="n">
        <v>0.02533564814814815</v>
      </c>
      <c r="I2031" s="42" t="n">
        <v>2278</v>
      </c>
      <c r="J2031" s="42" t="n">
        <v>80</v>
      </c>
      <c r="K2031" s="42" t="n">
        <v>14</v>
      </c>
      <c r="L2031" s="43" t="n"/>
      <c r="M2031" s="44" t="n"/>
      <c r="N2031" s="44" t="inlineStr">
        <is>
          <t>UCor_9jRnNNZVzTuQ92PKsaQ</t>
        </is>
      </c>
      <c r="O2031" s="45" t="n">
        <v>43376.90833333333</v>
      </c>
      <c r="P2031" s="46" t="n">
        <v>43376</v>
      </c>
      <c r="Q2031" s="44" t="n">
        <v>1241</v>
      </c>
      <c r="R2031" s="44" t="inlineStr">
        <is>
          <t>No Video ID yet</t>
        </is>
      </c>
      <c r="S2031" s="46" t="n"/>
      <c r="T2031" s="46" t="n"/>
      <c r="U2031" s="44" t="n"/>
      <c r="V2031" s="44">
        <f>IF(AND(P2031&gt;=Calendar!$K$2,P2031&lt;EDATE(Calendar!$K$2,1),OR(Calendar!$K$4="*",N2031=Calendar!$K$4)),P2031*100+COUNTIFS($P$6:$P$3271,P2031,$Q$6:$Q$3271,"&lt;="&amp;Q2031,$N$6:$N$3271,Calendar!$K$4),"")</f>
        <v/>
      </c>
      <c r="W2031" s="44">
        <f>IF(AND(B2031=Queue!$C$4,OR(Queue!$K$4="*",N2031=Queue!$K$4)),Q2031,"")</f>
        <v/>
      </c>
    </row>
    <row r="2032">
      <c r="A2032" s="35">
        <f>IF(M2032="","",HYPERLINK("https://www.youtube.com/watch?v="&amp;M2032,"▶"))</f>
        <v/>
      </c>
      <c r="B2032" s="36">
        <f>IF(C2032&lt;&gt;"",C2032,IF(P2032&lt;=IFERROR(INDEX(tblChannels[Watched Through],MATCH(N2032,tblChannels[Channel ID],0)),0),"Watched","Unwatched"))</f>
        <v/>
      </c>
      <c r="C2032" s="37" t="n"/>
      <c r="D2032" s="38" t="n"/>
      <c r="E2032" s="39" t="n">
        <v>43376.71111111111</v>
      </c>
      <c r="F2032" s="49" t="inlineStr">
        <is>
          <t>Super Carlin Gaming</t>
        </is>
      </c>
      <c r="G2032" t="inlineStr">
        <is>
          <t>LIVE! Rocket League - J  and Ben vs THE WORLD</t>
        </is>
      </c>
      <c r="H2032" s="41" t="n">
        <v>0</v>
      </c>
      <c r="I2032" s="42" t="n">
        <v>0</v>
      </c>
      <c r="J2032" s="42" t="n">
        <v>0</v>
      </c>
      <c r="K2032" s="42" t="n">
        <v>0</v>
      </c>
      <c r="L2032" s="43" t="n"/>
      <c r="M2032" s="44" t="n"/>
      <c r="N2032" s="44" t="inlineStr">
        <is>
          <t>UCor_9jRnNNZVzTuQ92PKsaQ</t>
        </is>
      </c>
      <c r="O2032" s="45" t="n">
        <v>43376.87777777778</v>
      </c>
      <c r="P2032" s="46" t="n">
        <v>43376</v>
      </c>
      <c r="Q2032" s="44" t="n">
        <v>1240</v>
      </c>
      <c r="R2032" s="44" t="inlineStr">
        <is>
          <t>No Video ID yet</t>
        </is>
      </c>
      <c r="S2032" s="46" t="n"/>
      <c r="T2032" s="46" t="n"/>
      <c r="U2032" s="44" t="n"/>
      <c r="V2032" s="44">
        <f>IF(AND(P2032&gt;=Calendar!$K$2,P2032&lt;EDATE(Calendar!$K$2,1),OR(Calendar!$K$4="*",N2032=Calendar!$K$4)),P2032*100+COUNTIFS($P$6:$P$3271,P2032,$Q$6:$Q$3271,"&lt;="&amp;Q2032,$N$6:$N$3271,Calendar!$K$4),"")</f>
        <v/>
      </c>
      <c r="W2032" s="44">
        <f>IF(AND(B2032=Queue!$C$4,OR(Queue!$K$4="*",N2032=Queue!$K$4)),Q2032,"")</f>
        <v/>
      </c>
    </row>
    <row r="2033">
      <c r="A2033" s="35">
        <f>IF(M2033="","",HYPERLINK("https://www.youtube.com/watch?v="&amp;M2033,"▶"))</f>
        <v/>
      </c>
      <c r="B2033" s="36">
        <f>IF(C2033&lt;&gt;"",C2033,IF(P2033&lt;=IFERROR(INDEX(tblChannels[Watched Through],MATCH(N2033,tblChannels[Channel ID],0)),0),"Watched","Unwatched"))</f>
        <v/>
      </c>
      <c r="C2033" s="37" t="n"/>
      <c r="D2033" s="38" t="n"/>
      <c r="E2033" s="39" t="n">
        <v>43376.68888888889</v>
      </c>
      <c r="F2033" s="49" t="inlineStr">
        <is>
          <t>Super Carlin Gaming</t>
        </is>
      </c>
      <c r="G2033" t="inlineStr">
        <is>
          <t>LIVE! Rocket League - J  and Ben vs THE WORLD</t>
        </is>
      </c>
      <c r="H2033" s="41" t="n">
        <v>0.01150462962962963</v>
      </c>
      <c r="I2033" s="42" t="n">
        <v>2207</v>
      </c>
      <c r="J2033" s="42" t="n">
        <v>85</v>
      </c>
      <c r="K2033" s="42" t="n">
        <v>6</v>
      </c>
      <c r="L2033" s="43" t="n"/>
      <c r="M2033" s="44" t="n"/>
      <c r="N2033" s="44" t="inlineStr">
        <is>
          <t>UCor_9jRnNNZVzTuQ92PKsaQ</t>
        </is>
      </c>
      <c r="O2033" s="45" t="n">
        <v>43376.85555555556</v>
      </c>
      <c r="P2033" s="46" t="n">
        <v>43376</v>
      </c>
      <c r="Q2033" s="44" t="n">
        <v>1239</v>
      </c>
      <c r="R2033" s="44" t="inlineStr">
        <is>
          <t>No Video ID yet</t>
        </is>
      </c>
      <c r="S2033" s="46" t="n"/>
      <c r="T2033" s="46" t="n"/>
      <c r="U2033" s="44" t="n"/>
      <c r="V2033" s="44">
        <f>IF(AND(P2033&gt;=Calendar!$K$2,P2033&lt;EDATE(Calendar!$K$2,1),OR(Calendar!$K$4="*",N2033=Calendar!$K$4)),P2033*100+COUNTIFS($P$6:$P$3271,P2033,$Q$6:$Q$3271,"&lt;="&amp;Q2033,$N$6:$N$3271,Calendar!$K$4),"")</f>
        <v/>
      </c>
      <c r="W2033" s="44">
        <f>IF(AND(B2033=Queue!$C$4,OR(Queue!$K$4="*",N2033=Queue!$K$4)),Q2033,"")</f>
        <v/>
      </c>
    </row>
    <row r="2034">
      <c r="A2034" s="35">
        <f>IF(M2034="","",HYPERLINK("https://www.youtube.com/watch?v="&amp;M2034,"▶"))</f>
        <v/>
      </c>
      <c r="B2034" s="36">
        <f>IF(C2034&lt;&gt;"",C2034,IF(P2034&lt;=IFERROR(INDEX(tblChannels[Watched Through],MATCH(N2034,tblChannels[Channel ID],0)),0),"Watched","Unwatched"))</f>
        <v/>
      </c>
      <c r="C2034" s="37" t="n"/>
      <c r="D2034" s="38" t="n"/>
      <c r="E2034" s="39" t="n">
        <v>43375.68402777778</v>
      </c>
      <c r="F2034" s="47" t="inlineStr">
        <is>
          <t>Super Carlin Brothers</t>
        </is>
      </c>
      <c r="G2034" t="inlineStr">
        <is>
          <t>Will Hela and Thanos Team Up? | Infinity War Theory</t>
        </is>
      </c>
      <c r="H2034" s="41" t="n">
        <v>0.008958333333333334</v>
      </c>
      <c r="I2034" s="42" t="n">
        <v>464684</v>
      </c>
      <c r="J2034" s="42" t="n">
        <v>13305</v>
      </c>
      <c r="K2034" s="42" t="n">
        <v>1545</v>
      </c>
      <c r="L2034" s="43" t="n"/>
      <c r="M2034" s="44" t="n"/>
      <c r="N2034" s="44" t="inlineStr">
        <is>
          <t>UCKZo4N0lVPccBkSiuyVh4yg</t>
        </is>
      </c>
      <c r="O2034" s="45" t="n">
        <v>43375.85069444445</v>
      </c>
      <c r="P2034" s="46" t="n">
        <v>43375</v>
      </c>
      <c r="Q2034" s="44" t="n">
        <v>1238</v>
      </c>
      <c r="R2034" s="44" t="inlineStr">
        <is>
          <t>No Video ID yet</t>
        </is>
      </c>
      <c r="S2034" s="46" t="n"/>
      <c r="T2034" s="46" t="n"/>
      <c r="U2034" s="44" t="n"/>
      <c r="V2034" s="44">
        <f>IF(AND(P2034&gt;=Calendar!$K$2,P2034&lt;EDATE(Calendar!$K$2,1),OR(Calendar!$K$4="*",N2034=Calendar!$K$4)),P2034*100+COUNTIFS($P$6:$P$3271,P2034,$Q$6:$Q$3271,"&lt;="&amp;Q2034,$N$6:$N$3271,Calendar!$K$4),"")</f>
        <v/>
      </c>
      <c r="W2034" s="44">
        <f>IF(AND(B2034=Queue!$C$4,OR(Queue!$K$4="*",N2034=Queue!$K$4)),Q2034,"")</f>
        <v/>
      </c>
    </row>
    <row r="2035">
      <c r="A2035" s="35">
        <f>IF(M2035="","",HYPERLINK("https://www.youtube.com/watch?v="&amp;M2035,"▶"))</f>
        <v/>
      </c>
      <c r="B2035" s="36">
        <f>IF(C2035&lt;&gt;"",C2035,IF(P2035&lt;=IFERROR(INDEX(tblChannels[Watched Through],MATCH(N2035,tblChannels[Channel ID],0)),0),"Watched","Unwatched"))</f>
        <v/>
      </c>
      <c r="C2035" s="37" t="n"/>
      <c r="D2035" s="38" t="n"/>
      <c r="E2035" s="39" t="n">
        <v>43374.73819444444</v>
      </c>
      <c r="F2035" s="50" t="inlineStr">
        <is>
          <t>Jonathan Carlin</t>
        </is>
      </c>
      <c r="G2035" t="inlineStr">
        <is>
          <t>The Coffee Table Conundrum</t>
        </is>
      </c>
      <c r="H2035" s="41" t="n">
        <v>0.005960648148148148</v>
      </c>
      <c r="I2035" s="42" t="n">
        <v>32871</v>
      </c>
      <c r="J2035" s="42" t="n">
        <v>1810</v>
      </c>
      <c r="K2035" s="42" t="n">
        <v>388</v>
      </c>
      <c r="L2035" s="43" t="n"/>
      <c r="M2035" s="44" t="n"/>
      <c r="N2035" s="44" t="inlineStr">
        <is>
          <t>UCYPKFe86e6nm4TVUYKLsFUQ</t>
        </is>
      </c>
      <c r="O2035" s="45" t="n">
        <v>43374.90486111111</v>
      </c>
      <c r="P2035" s="46" t="n">
        <v>43374</v>
      </c>
      <c r="Q2035" s="44" t="n">
        <v>1237</v>
      </c>
      <c r="R2035" s="44" t="inlineStr">
        <is>
          <t>No Video ID yet</t>
        </is>
      </c>
      <c r="S2035" s="46" t="n"/>
      <c r="T2035" s="46" t="n"/>
      <c r="U2035" s="44" t="n"/>
      <c r="V2035" s="44">
        <f>IF(AND(P2035&gt;=Calendar!$K$2,P2035&lt;EDATE(Calendar!$K$2,1),OR(Calendar!$K$4="*",N2035=Calendar!$K$4)),P2035*100+COUNTIFS($P$6:$P$3271,P2035,$Q$6:$Q$3271,"&lt;="&amp;Q2035,$N$6:$N$3271,Calendar!$K$4),"")</f>
        <v/>
      </c>
      <c r="W2035" s="44">
        <f>IF(AND(B2035=Queue!$C$4,OR(Queue!$K$4="*",N2035=Queue!$K$4)),Q2035,"")</f>
        <v/>
      </c>
    </row>
    <row r="2036">
      <c r="A2036" s="35">
        <f>IF(M2036="","",HYPERLINK("https://www.youtube.com/watch?v="&amp;M2036,"▶"))</f>
        <v/>
      </c>
      <c r="B2036" s="36">
        <f>IF(C2036&lt;&gt;"",C2036,IF(P2036&lt;=IFERROR(INDEX(tblChannels[Watched Through],MATCH(N2036,tblChannels[Channel ID],0)),0),"Watched","Unwatched"))</f>
        <v/>
      </c>
      <c r="C2036" s="37" t="n"/>
      <c r="D2036" s="38" t="n"/>
      <c r="E2036" s="39" t="n">
        <v>43370.5</v>
      </c>
      <c r="F2036" s="47" t="inlineStr">
        <is>
          <t>Super Carlin Brothers</t>
        </is>
      </c>
      <c r="G2036" t="inlineStr">
        <is>
          <t>J vs Ben: HARDEST Forbidden Forest Trivia Quiz EVER</t>
        </is>
      </c>
      <c r="H2036" s="41" t="n">
        <v>0.01806712962962963</v>
      </c>
      <c r="I2036" s="42" t="n">
        <v>605932</v>
      </c>
      <c r="J2036" s="42" t="n">
        <v>14458</v>
      </c>
      <c r="K2036" s="42" t="n">
        <v>2158</v>
      </c>
      <c r="L2036" s="43" t="n"/>
      <c r="M2036" s="44" t="n"/>
      <c r="N2036" s="44" t="inlineStr">
        <is>
          <t>UCKZo4N0lVPccBkSiuyVh4yg</t>
        </is>
      </c>
      <c r="O2036" s="45" t="n">
        <v>43370.66666666666</v>
      </c>
      <c r="P2036" s="46" t="n">
        <v>43370</v>
      </c>
      <c r="Q2036" s="44" t="n">
        <v>1236</v>
      </c>
      <c r="R2036" s="44" t="inlineStr">
        <is>
          <t>No Video ID yet</t>
        </is>
      </c>
      <c r="S2036" s="46" t="n"/>
      <c r="T2036" s="46" t="n"/>
      <c r="U2036" s="44" t="n"/>
      <c r="V2036" s="44">
        <f>IF(AND(P2036&gt;=Calendar!$K$2,P2036&lt;EDATE(Calendar!$K$2,1),OR(Calendar!$K$4="*",N2036=Calendar!$K$4)),P2036*100+COUNTIFS($P$6:$P$3271,P2036,$Q$6:$Q$3271,"&lt;="&amp;Q2036,$N$6:$N$3271,Calendar!$K$4),"")</f>
        <v/>
      </c>
      <c r="W2036" s="44">
        <f>IF(AND(B2036=Queue!$C$4,OR(Queue!$K$4="*",N2036=Queue!$K$4)),Q2036,"")</f>
        <v/>
      </c>
    </row>
    <row r="2037">
      <c r="A2037" s="35">
        <f>IF(M2037="","",HYPERLINK("https://www.youtube.com/watch?v="&amp;M2037,"▶"))</f>
        <v/>
      </c>
      <c r="B2037" s="36">
        <f>IF(C2037&lt;&gt;"",C2037,IF(P2037&lt;=IFERROR(INDEX(tblChannels[Watched Through],MATCH(N2037,tblChannels[Channel ID],0)),0),"Watched","Unwatched"))</f>
        <v/>
      </c>
      <c r="C2037" s="37" t="n"/>
      <c r="D2037" s="38" t="n"/>
      <c r="E2037" s="39" t="n">
        <v>43368.84097222222</v>
      </c>
      <c r="F2037" s="47" t="inlineStr">
        <is>
          <t>Super Carlin Brothers</t>
        </is>
      </c>
      <c r="G2037" t="inlineStr">
        <is>
          <t>Luna Lovegood Is A Maledictus | Harry Potter Theory</t>
        </is>
      </c>
      <c r="H2037" s="41" t="n">
        <v>0.006157407407407407</v>
      </c>
      <c r="I2037" s="42" t="n">
        <v>1426532</v>
      </c>
      <c r="J2037" s="42" t="n">
        <v>42317</v>
      </c>
      <c r="K2037" s="42" t="n">
        <v>5226</v>
      </c>
      <c r="L2037" s="43" t="n"/>
      <c r="M2037" s="44" t="n"/>
      <c r="N2037" s="44" t="inlineStr">
        <is>
          <t>UCKZo4N0lVPccBkSiuyVh4yg</t>
        </is>
      </c>
      <c r="O2037" s="45" t="n">
        <v>43369.00763888889</v>
      </c>
      <c r="P2037" s="46" t="n">
        <v>43368</v>
      </c>
      <c r="Q2037" s="44" t="n">
        <v>1235</v>
      </c>
      <c r="R2037" s="44" t="inlineStr">
        <is>
          <t>No Video ID yet</t>
        </is>
      </c>
      <c r="S2037" s="46" t="n"/>
      <c r="T2037" s="46" t="n"/>
      <c r="U2037" s="44" t="n"/>
      <c r="V2037" s="44">
        <f>IF(AND(P2037&gt;=Calendar!$K$2,P2037&lt;EDATE(Calendar!$K$2,1),OR(Calendar!$K$4="*",N2037=Calendar!$K$4)),P2037*100+COUNTIFS($P$6:$P$3271,P2037,$Q$6:$Q$3271,"&lt;="&amp;Q2037,$N$6:$N$3271,Calendar!$K$4),"")</f>
        <v/>
      </c>
      <c r="W2037" s="44">
        <f>IF(AND(B2037=Queue!$C$4,OR(Queue!$K$4="*",N2037=Queue!$K$4)),Q2037,"")</f>
        <v/>
      </c>
    </row>
    <row r="2038">
      <c r="A2038" s="35">
        <f>IF(M2038="","",HYPERLINK("https://www.youtube.com/watch?v="&amp;M2038,"▶"))</f>
        <v/>
      </c>
      <c r="B2038" s="36">
        <f>IF(C2038&lt;&gt;"",C2038,IF(P2038&lt;=IFERROR(INDEX(tblChannels[Watched Through],MATCH(N2038,tblChannels[Channel ID],0)),0),"Watched","Unwatched"))</f>
        <v/>
      </c>
      <c r="C2038" s="37" t="n"/>
      <c r="D2038" s="38" t="n"/>
      <c r="E2038" s="39" t="n">
        <v>43365.5</v>
      </c>
      <c r="F2038" s="50" t="inlineStr">
        <is>
          <t>Jonathan Carlin</t>
        </is>
      </c>
      <c r="G2038" t="inlineStr">
        <is>
          <t>CARLIN BROTHERS COFFEE</t>
        </is>
      </c>
      <c r="H2038" s="41" t="n">
        <v>0.005138888888888889</v>
      </c>
      <c r="I2038" s="42" t="n">
        <v>32182</v>
      </c>
      <c r="J2038" s="42" t="n">
        <v>1851</v>
      </c>
      <c r="K2038" s="42" t="n">
        <v>251</v>
      </c>
      <c r="L2038" s="43" t="n"/>
      <c r="M2038" s="44" t="n"/>
      <c r="N2038" s="44" t="inlineStr">
        <is>
          <t>UCYPKFe86e6nm4TVUYKLsFUQ</t>
        </is>
      </c>
      <c r="O2038" s="45" t="n">
        <v>43365.66666666666</v>
      </c>
      <c r="P2038" s="46" t="n">
        <v>43365</v>
      </c>
      <c r="Q2038" s="44" t="n">
        <v>1234</v>
      </c>
      <c r="R2038" s="44" t="inlineStr">
        <is>
          <t>No Video ID yet</t>
        </is>
      </c>
      <c r="S2038" s="46" t="n"/>
      <c r="T2038" s="46" t="n"/>
      <c r="U2038" s="44" t="n"/>
      <c r="V2038" s="44">
        <f>IF(AND(P2038&gt;=Calendar!$K$2,P2038&lt;EDATE(Calendar!$K$2,1),OR(Calendar!$K$4="*",N2038=Calendar!$K$4)),P2038*100+COUNTIFS($P$6:$P$3271,P2038,$Q$6:$Q$3271,"&lt;="&amp;Q2038,$N$6:$N$3271,Calendar!$K$4),"")</f>
        <v/>
      </c>
      <c r="W2038" s="44">
        <f>IF(AND(B2038=Queue!$C$4,OR(Queue!$K$4="*",N2038=Queue!$K$4)),Q2038,"")</f>
        <v/>
      </c>
    </row>
    <row r="2039">
      <c r="A2039" s="35">
        <f>IF(M2039="","",HYPERLINK("https://www.youtube.com/watch?v="&amp;M2039,"▶"))</f>
        <v/>
      </c>
      <c r="B2039" s="36">
        <f>IF(C2039&lt;&gt;"",C2039,IF(P2039&lt;=IFERROR(INDEX(tblChannels[Watched Through],MATCH(N2039,tblChannels[Channel ID],0)),0),"Watched","Unwatched"))</f>
        <v/>
      </c>
      <c r="C2039" s="37" t="n"/>
      <c r="D2039" s="38" t="n"/>
      <c r="E2039" s="39" t="n">
        <v>43365.49861111111</v>
      </c>
      <c r="F2039" s="47" t="inlineStr">
        <is>
          <t>Super Carlin Brothers</t>
        </is>
      </c>
      <c r="G2039" t="inlineStr">
        <is>
          <t>THE BIG ANNOUNCEMENT!</t>
        </is>
      </c>
      <c r="H2039" s="41" t="n">
        <v>0.003171296296296296</v>
      </c>
      <c r="I2039" s="42" t="n">
        <v>287492</v>
      </c>
      <c r="J2039" s="42" t="n">
        <v>16728</v>
      </c>
      <c r="K2039" s="42" t="n">
        <v>2900</v>
      </c>
      <c r="L2039" s="43" t="n"/>
      <c r="M2039" s="44" t="n"/>
      <c r="N2039" s="44" t="inlineStr">
        <is>
          <t>UCKZo4N0lVPccBkSiuyVh4yg</t>
        </is>
      </c>
      <c r="O2039" s="45" t="n">
        <v>43365.66527777778</v>
      </c>
      <c r="P2039" s="46" t="n">
        <v>43365</v>
      </c>
      <c r="Q2039" s="44" t="n">
        <v>1233</v>
      </c>
      <c r="R2039" s="44" t="inlineStr">
        <is>
          <t>No Video ID yet</t>
        </is>
      </c>
      <c r="S2039" s="46" t="n"/>
      <c r="T2039" s="46" t="n"/>
      <c r="U2039" s="44" t="n"/>
      <c r="V2039" s="44">
        <f>IF(AND(P2039&gt;=Calendar!$K$2,P2039&lt;EDATE(Calendar!$K$2,1),OR(Calendar!$K$4="*",N2039=Calendar!$K$4)),P2039*100+COUNTIFS($P$6:$P$3271,P2039,$Q$6:$Q$3271,"&lt;="&amp;Q2039,$N$6:$N$3271,Calendar!$K$4),"")</f>
        <v/>
      </c>
      <c r="W2039" s="44">
        <f>IF(AND(B2039=Queue!$C$4,OR(Queue!$K$4="*",N2039=Queue!$K$4)),Q2039,"")</f>
        <v/>
      </c>
    </row>
    <row r="2040">
      <c r="A2040" s="35">
        <f>IF(M2040="","",HYPERLINK("https://www.youtube.com/watch?v="&amp;M2040,"▶"))</f>
        <v/>
      </c>
      <c r="B2040" s="36">
        <f>IF(C2040&lt;&gt;"",C2040,IF(P2040&lt;=IFERROR(INDEX(tblChannels[Watched Through],MATCH(N2040,tblChannels[Channel ID],0)),0),"Watched","Unwatched"))</f>
        <v/>
      </c>
      <c r="C2040" s="37" t="n"/>
      <c r="D2040" s="38" t="n"/>
      <c r="E2040" s="39" t="n">
        <v>43364.4375</v>
      </c>
      <c r="F2040" s="49" t="inlineStr">
        <is>
          <t>Super Carlin Gaming</t>
        </is>
      </c>
      <c r="G2040" t="inlineStr">
        <is>
          <t>Which Infinity Stone Are You? | Rocket League #59</t>
        </is>
      </c>
      <c r="H2040" s="41" t="n">
        <v>0.01645833333333333</v>
      </c>
      <c r="I2040" s="42" t="n">
        <v>5006</v>
      </c>
      <c r="J2040" s="42" t="n">
        <v>231</v>
      </c>
      <c r="K2040" s="42" t="n">
        <v>89</v>
      </c>
      <c r="L2040" s="43" t="n"/>
      <c r="M2040" s="44" t="n"/>
      <c r="N2040" s="44" t="inlineStr">
        <is>
          <t>UCor_9jRnNNZVzTuQ92PKsaQ</t>
        </is>
      </c>
      <c r="O2040" s="45" t="n">
        <v>43364.60416666666</v>
      </c>
      <c r="P2040" s="46" t="n">
        <v>43364</v>
      </c>
      <c r="Q2040" s="44" t="n">
        <v>1232</v>
      </c>
      <c r="R2040" s="44" t="inlineStr">
        <is>
          <t>No Video ID yet</t>
        </is>
      </c>
      <c r="S2040" s="46" t="n"/>
      <c r="T2040" s="46" t="n"/>
      <c r="U2040" s="44" t="n"/>
      <c r="V2040" s="44">
        <f>IF(AND(P2040&gt;=Calendar!$K$2,P2040&lt;EDATE(Calendar!$K$2,1),OR(Calendar!$K$4="*",N2040=Calendar!$K$4)),P2040*100+COUNTIFS($P$6:$P$3271,P2040,$Q$6:$Q$3271,"&lt;="&amp;Q2040,$N$6:$N$3271,Calendar!$K$4),"")</f>
        <v/>
      </c>
      <c r="W2040" s="44">
        <f>IF(AND(B2040=Queue!$C$4,OR(Queue!$K$4="*",N2040=Queue!$K$4)),Q2040,"")</f>
        <v/>
      </c>
    </row>
    <row r="2041">
      <c r="A2041" s="35">
        <f>IF(M2041="","",HYPERLINK("https://www.youtube.com/watch?v="&amp;M2041,"▶"))</f>
        <v/>
      </c>
      <c r="B2041" s="36">
        <f>IF(C2041&lt;&gt;"",C2041,IF(P2041&lt;=IFERROR(INDEX(tblChannels[Watched Through],MATCH(N2041,tblChannels[Channel ID],0)),0),"Watched","Unwatched"))</f>
        <v/>
      </c>
      <c r="C2041" s="37" t="n"/>
      <c r="D2041" s="38" t="n"/>
      <c r="E2041" s="39" t="n">
        <v>43363.74305555555</v>
      </c>
      <c r="F2041" s="47" t="inlineStr">
        <is>
          <t>Super Carlin Brothers</t>
        </is>
      </c>
      <c r="G2041" t="inlineStr">
        <is>
          <t>Top 10 Reasons Why Scar Is The Best Disney Villain EVER</t>
        </is>
      </c>
      <c r="H2041" s="41" t="n">
        <v>0.008900462962962962</v>
      </c>
      <c r="I2041" s="42" t="n">
        <v>1204502</v>
      </c>
      <c r="J2041" s="42" t="n">
        <v>24452</v>
      </c>
      <c r="K2041" s="42" t="n">
        <v>3817</v>
      </c>
      <c r="L2041" s="43" t="n"/>
      <c r="M2041" s="44" t="n"/>
      <c r="N2041" s="44" t="inlineStr">
        <is>
          <t>UCKZo4N0lVPccBkSiuyVh4yg</t>
        </is>
      </c>
      <c r="O2041" s="45" t="n">
        <v>43363.90972222222</v>
      </c>
      <c r="P2041" s="46" t="n">
        <v>43363</v>
      </c>
      <c r="Q2041" s="44" t="n">
        <v>1231</v>
      </c>
      <c r="R2041" s="44" t="inlineStr">
        <is>
          <t>No Video ID yet</t>
        </is>
      </c>
      <c r="S2041" s="46" t="n"/>
      <c r="T2041" s="46" t="n"/>
      <c r="U2041" s="44" t="n"/>
      <c r="V2041" s="44">
        <f>IF(AND(P2041&gt;=Calendar!$K$2,P2041&lt;EDATE(Calendar!$K$2,1),OR(Calendar!$K$4="*",N2041=Calendar!$K$4)),P2041*100+COUNTIFS($P$6:$P$3271,P2041,$Q$6:$Q$3271,"&lt;="&amp;Q2041,$N$6:$N$3271,Calendar!$K$4),"")</f>
        <v/>
      </c>
      <c r="W2041" s="44">
        <f>IF(AND(B2041=Queue!$C$4,OR(Queue!$K$4="*",N2041=Queue!$K$4)),Q2041,"")</f>
        <v/>
      </c>
    </row>
    <row r="2042">
      <c r="A2042" s="35">
        <f>IF(M2042="","",HYPERLINK("https://www.youtube.com/watch?v="&amp;M2042,"▶"))</f>
        <v/>
      </c>
      <c r="B2042" s="36">
        <f>IF(C2042&lt;&gt;"",C2042,IF(P2042&lt;=IFERROR(INDEX(tblChannels[Watched Through],MATCH(N2042,tblChannels[Channel ID],0)),0),"Watched","Unwatched"))</f>
        <v/>
      </c>
      <c r="C2042" s="37" t="n"/>
      <c r="D2042" s="38" t="n"/>
      <c r="E2042" s="39" t="n">
        <v>43362.33333333334</v>
      </c>
      <c r="F2042" s="49" t="inlineStr">
        <is>
          <t>Super Carlin Gaming</t>
        </is>
      </c>
      <c r="G2042" t="inlineStr">
        <is>
          <t>The Promposal | Rocket League #58</t>
        </is>
      </c>
      <c r="H2042" s="41" t="n">
        <v>0.01493055555555556</v>
      </c>
      <c r="I2042" s="42" t="n">
        <v>4029</v>
      </c>
      <c r="J2042" s="42" t="n">
        <v>244</v>
      </c>
      <c r="K2042" s="42" t="n">
        <v>82</v>
      </c>
      <c r="L2042" s="43" t="n"/>
      <c r="M2042" s="44" t="n"/>
      <c r="N2042" s="44" t="inlineStr">
        <is>
          <t>UCor_9jRnNNZVzTuQ92PKsaQ</t>
        </is>
      </c>
      <c r="O2042" s="45" t="n">
        <v>43362.5</v>
      </c>
      <c r="P2042" s="46" t="n">
        <v>43362</v>
      </c>
      <c r="Q2042" s="44" t="n">
        <v>1230</v>
      </c>
      <c r="R2042" s="44" t="inlineStr">
        <is>
          <t>No Video ID yet</t>
        </is>
      </c>
      <c r="S2042" s="46" t="n"/>
      <c r="T2042" s="46" t="n"/>
      <c r="U2042" s="44" t="n"/>
      <c r="V2042" s="44">
        <f>IF(AND(P2042&gt;=Calendar!$K$2,P2042&lt;EDATE(Calendar!$K$2,1),OR(Calendar!$K$4="*",N2042=Calendar!$K$4)),P2042*100+COUNTIFS($P$6:$P$3271,P2042,$Q$6:$Q$3271,"&lt;="&amp;Q2042,$N$6:$N$3271,Calendar!$K$4),"")</f>
        <v/>
      </c>
      <c r="W2042" s="44">
        <f>IF(AND(B2042=Queue!$C$4,OR(Queue!$K$4="*",N2042=Queue!$K$4)),Q2042,"")</f>
        <v/>
      </c>
    </row>
    <row r="2043">
      <c r="A2043" s="35">
        <f>IF(M2043="","",HYPERLINK("https://www.youtube.com/watch?v="&amp;M2043,"▶"))</f>
        <v/>
      </c>
      <c r="B2043" s="36">
        <f>IF(C2043&lt;&gt;"",C2043,IF(P2043&lt;=IFERROR(INDEX(tblChannels[Watched Through],MATCH(N2043,tblChannels[Channel ID],0)),0),"Watched","Unwatched"))</f>
        <v/>
      </c>
      <c r="C2043" s="37" t="n"/>
      <c r="D2043" s="38" t="n"/>
      <c r="E2043" s="39" t="n">
        <v>43361.75138888889</v>
      </c>
      <c r="F2043" s="47" t="inlineStr">
        <is>
          <t>Super Carlin Brothers</t>
        </is>
      </c>
      <c r="G2043" t="inlineStr">
        <is>
          <t>The Truth About Truth Potion | Harry Potter Explained</t>
        </is>
      </c>
      <c r="H2043" s="41" t="n">
        <v>0.007951388888888888</v>
      </c>
      <c r="I2043" s="42" t="n">
        <v>1353523</v>
      </c>
      <c r="J2043" s="42" t="n">
        <v>34282</v>
      </c>
      <c r="K2043" s="42" t="n">
        <v>2884</v>
      </c>
      <c r="L2043" s="43" t="n"/>
      <c r="M2043" s="44" t="n"/>
      <c r="N2043" s="44" t="inlineStr">
        <is>
          <t>UCKZo4N0lVPccBkSiuyVh4yg</t>
        </is>
      </c>
      <c r="O2043" s="45" t="n">
        <v>43361.91805555556</v>
      </c>
      <c r="P2043" s="46" t="n">
        <v>43361</v>
      </c>
      <c r="Q2043" s="44" t="n">
        <v>1229</v>
      </c>
      <c r="R2043" s="44" t="inlineStr">
        <is>
          <t>No Video ID yet</t>
        </is>
      </c>
      <c r="S2043" s="46" t="n"/>
      <c r="T2043" s="46" t="n"/>
      <c r="U2043" s="44" t="n"/>
      <c r="V2043" s="44">
        <f>IF(AND(P2043&gt;=Calendar!$K$2,P2043&lt;EDATE(Calendar!$K$2,1),OR(Calendar!$K$4="*",N2043=Calendar!$K$4)),P2043*100+COUNTIFS($P$6:$P$3271,P2043,$Q$6:$Q$3271,"&lt;="&amp;Q2043,$N$6:$N$3271,Calendar!$K$4),"")</f>
        <v/>
      </c>
      <c r="W2043" s="44">
        <f>IF(AND(B2043=Queue!$C$4,OR(Queue!$K$4="*",N2043=Queue!$K$4)),Q2043,"")</f>
        <v/>
      </c>
    </row>
    <row r="2044">
      <c r="A2044" s="35">
        <f>IF(M2044="","",HYPERLINK("https://www.youtube.com/watch?v="&amp;M2044,"▶"))</f>
        <v/>
      </c>
      <c r="B2044" s="36">
        <f>IF(C2044&lt;&gt;"",C2044,IF(P2044&lt;=IFERROR(INDEX(tblChannels[Watched Through],MATCH(N2044,tblChannels[Channel ID],0)),0),"Watched","Unwatched"))</f>
        <v/>
      </c>
      <c r="C2044" s="37" t="n"/>
      <c r="D2044" s="38" t="n"/>
      <c r="E2044" s="39" t="n">
        <v>43360.4375</v>
      </c>
      <c r="F2044" s="49" t="inlineStr">
        <is>
          <t>Super Carlin Gaming</t>
        </is>
      </c>
      <c r="G2044" t="inlineStr">
        <is>
          <t>What If You Had Extra Money? | Rocket League #57</t>
        </is>
      </c>
      <c r="H2044" s="41" t="n">
        <v>0.01503472222222222</v>
      </c>
      <c r="I2044" s="42" t="n">
        <v>4542</v>
      </c>
      <c r="J2044" s="42" t="n">
        <v>210</v>
      </c>
      <c r="K2044" s="42" t="n">
        <v>68</v>
      </c>
      <c r="L2044" s="43" t="n"/>
      <c r="M2044" s="44" t="n"/>
      <c r="N2044" s="44" t="inlineStr">
        <is>
          <t>UCor_9jRnNNZVzTuQ92PKsaQ</t>
        </is>
      </c>
      <c r="O2044" s="45" t="n">
        <v>43360.60416666666</v>
      </c>
      <c r="P2044" s="46" t="n">
        <v>43360</v>
      </c>
      <c r="Q2044" s="44" t="n">
        <v>1228</v>
      </c>
      <c r="R2044" s="44" t="inlineStr">
        <is>
          <t>No Video ID yet</t>
        </is>
      </c>
      <c r="S2044" s="46" t="n"/>
      <c r="T2044" s="46" t="n"/>
      <c r="U2044" s="44" t="n"/>
      <c r="V2044" s="44">
        <f>IF(AND(P2044&gt;=Calendar!$K$2,P2044&lt;EDATE(Calendar!$K$2,1),OR(Calendar!$K$4="*",N2044=Calendar!$K$4)),P2044*100+COUNTIFS($P$6:$P$3271,P2044,$Q$6:$Q$3271,"&lt;="&amp;Q2044,$N$6:$N$3271,Calendar!$K$4),"")</f>
        <v/>
      </c>
      <c r="W2044" s="44">
        <f>IF(AND(B2044=Queue!$C$4,OR(Queue!$K$4="*",N2044=Queue!$K$4)),Q2044,"")</f>
        <v/>
      </c>
    </row>
    <row r="2045">
      <c r="A2045" s="35">
        <f>IF(M2045="","",HYPERLINK("https://www.youtube.com/watch?v="&amp;M2045,"▶"))</f>
        <v/>
      </c>
      <c r="B2045" s="36">
        <f>IF(C2045&lt;&gt;"",C2045,IF(P2045&lt;=IFERROR(INDEX(tblChannels[Watched Through],MATCH(N2045,tblChannels[Channel ID],0)),0),"Watched","Unwatched"))</f>
        <v/>
      </c>
      <c r="C2045" s="37" t="n"/>
      <c r="D2045" s="38" t="n"/>
      <c r="E2045" s="39" t="n">
        <v>43360.41666666666</v>
      </c>
      <c r="F2045" s="50" t="inlineStr">
        <is>
          <t>Jonathan Carlin</t>
        </is>
      </c>
      <c r="G2045" t="inlineStr">
        <is>
          <t>BEN IS A POPCORN PIRATE</t>
        </is>
      </c>
      <c r="H2045" s="41" t="n">
        <v>0.008460648148148148</v>
      </c>
      <c r="I2045" s="42" t="n">
        <v>49170</v>
      </c>
      <c r="J2045" s="42" t="n">
        <v>1963</v>
      </c>
      <c r="K2045" s="42" t="n">
        <v>218</v>
      </c>
      <c r="L2045" s="43" t="n"/>
      <c r="M2045" s="44" t="n"/>
      <c r="N2045" s="44" t="inlineStr">
        <is>
          <t>UCYPKFe86e6nm4TVUYKLsFUQ</t>
        </is>
      </c>
      <c r="O2045" s="45" t="n">
        <v>43360.58333333334</v>
      </c>
      <c r="P2045" s="46" t="n">
        <v>43360</v>
      </c>
      <c r="Q2045" s="44" t="n">
        <v>1227</v>
      </c>
      <c r="R2045" s="44" t="inlineStr">
        <is>
          <t>No Video ID yet</t>
        </is>
      </c>
      <c r="S2045" s="46" t="n"/>
      <c r="T2045" s="46" t="n"/>
      <c r="U2045" s="44" t="n"/>
      <c r="V2045" s="44">
        <f>IF(AND(P2045&gt;=Calendar!$K$2,P2045&lt;EDATE(Calendar!$K$2,1),OR(Calendar!$K$4="*",N2045=Calendar!$K$4)),P2045*100+COUNTIFS($P$6:$P$3271,P2045,$Q$6:$Q$3271,"&lt;="&amp;Q2045,$N$6:$N$3271,Calendar!$K$4),"")</f>
        <v/>
      </c>
      <c r="W2045" s="44">
        <f>IF(AND(B2045=Queue!$C$4,OR(Queue!$K$4="*",N2045=Queue!$K$4)),Q2045,"")</f>
        <v/>
      </c>
    </row>
    <row r="2046">
      <c r="A2046" s="35">
        <f>IF(M2046="","",HYPERLINK("https://www.youtube.com/watch?v="&amp;M2046,"▶"))</f>
        <v/>
      </c>
      <c r="B2046" s="36">
        <f>IF(C2046&lt;&gt;"",C2046,IF(P2046&lt;=IFERROR(INDEX(tblChannels[Watched Through],MATCH(N2046,tblChannels[Channel ID],0)),0),"Watched","Unwatched"))</f>
        <v/>
      </c>
      <c r="C2046" s="37" t="n"/>
      <c r="D2046" s="38" t="n"/>
      <c r="E2046" s="39" t="n">
        <v>43358.79097222222</v>
      </c>
      <c r="F2046" s="49" t="inlineStr">
        <is>
          <t>Super Carlin Gaming</t>
        </is>
      </c>
      <c r="G2046" t="inlineStr">
        <is>
          <t>LIVE! Rocket League - J vs THE WORLD</t>
        </is>
      </c>
      <c r="H2046" s="41" t="n">
        <v>0.06429398148148148</v>
      </c>
      <c r="I2046" s="42" t="n">
        <v>2294</v>
      </c>
      <c r="J2046" s="42" t="n">
        <v>117</v>
      </c>
      <c r="K2046" s="42" t="n">
        <v>9</v>
      </c>
      <c r="L2046" s="43" t="n"/>
      <c r="M2046" s="44" t="n"/>
      <c r="N2046" s="44" t="inlineStr">
        <is>
          <t>UCor_9jRnNNZVzTuQ92PKsaQ</t>
        </is>
      </c>
      <c r="O2046" s="45" t="n">
        <v>43358.95763888889</v>
      </c>
      <c r="P2046" s="46" t="n">
        <v>43358</v>
      </c>
      <c r="Q2046" s="44" t="n">
        <v>1226</v>
      </c>
      <c r="R2046" s="44" t="inlineStr">
        <is>
          <t>No Video ID yet</t>
        </is>
      </c>
      <c r="S2046" s="46" t="n"/>
      <c r="T2046" s="46" t="n"/>
      <c r="U2046" s="44" t="n"/>
      <c r="V2046" s="44">
        <f>IF(AND(P2046&gt;=Calendar!$K$2,P2046&lt;EDATE(Calendar!$K$2,1),OR(Calendar!$K$4="*",N2046=Calendar!$K$4)),P2046*100+COUNTIFS($P$6:$P$3271,P2046,$Q$6:$Q$3271,"&lt;="&amp;Q2046,$N$6:$N$3271,Calendar!$K$4),"")</f>
        <v/>
      </c>
      <c r="W2046" s="44">
        <f>IF(AND(B2046=Queue!$C$4,OR(Queue!$K$4="*",N2046=Queue!$K$4)),Q2046,"")</f>
        <v/>
      </c>
    </row>
    <row r="2047">
      <c r="A2047" s="35">
        <f>IF(M2047="","",HYPERLINK("https://www.youtube.com/watch?v="&amp;M2047,"▶"))</f>
        <v/>
      </c>
      <c r="B2047" s="36">
        <f>IF(C2047&lt;&gt;"",C2047,IF(P2047&lt;=IFERROR(INDEX(tblChannels[Watched Through],MATCH(N2047,tblChannels[Channel ID],0)),0),"Watched","Unwatched"))</f>
        <v/>
      </c>
      <c r="C2047" s="37" t="n"/>
      <c r="D2047" s="38" t="n"/>
      <c r="E2047" s="39" t="n">
        <v>43357.57361111111</v>
      </c>
      <c r="F2047" s="49" t="inlineStr">
        <is>
          <t>Super Carlin Gaming</t>
        </is>
      </c>
      <c r="G2047" t="inlineStr">
        <is>
          <t>Which Pixar Character Are You? | Rocket League #56</t>
        </is>
      </c>
      <c r="H2047" s="41" t="n">
        <v>0.01292824074074074</v>
      </c>
      <c r="I2047" s="42" t="n">
        <v>4428</v>
      </c>
      <c r="J2047" s="42" t="n">
        <v>206</v>
      </c>
      <c r="K2047" s="42" t="n">
        <v>82</v>
      </c>
      <c r="L2047" s="43" t="n"/>
      <c r="M2047" s="44" t="n"/>
      <c r="N2047" s="44" t="inlineStr">
        <is>
          <t>UCor_9jRnNNZVzTuQ92PKsaQ</t>
        </is>
      </c>
      <c r="O2047" s="45" t="n">
        <v>43357.74027777778</v>
      </c>
      <c r="P2047" s="46" t="n">
        <v>43357</v>
      </c>
      <c r="Q2047" s="44" t="n">
        <v>1225</v>
      </c>
      <c r="R2047" s="44" t="inlineStr">
        <is>
          <t>No Video ID yet</t>
        </is>
      </c>
      <c r="S2047" s="46" t="n"/>
      <c r="T2047" s="46" t="n"/>
      <c r="U2047" s="44" t="n"/>
      <c r="V2047" s="44">
        <f>IF(AND(P2047&gt;=Calendar!$K$2,P2047&lt;EDATE(Calendar!$K$2,1),OR(Calendar!$K$4="*",N2047=Calendar!$K$4)),P2047*100+COUNTIFS($P$6:$P$3271,P2047,$Q$6:$Q$3271,"&lt;="&amp;Q2047,$N$6:$N$3271,Calendar!$K$4),"")</f>
        <v/>
      </c>
      <c r="W2047" s="44">
        <f>IF(AND(B2047=Queue!$C$4,OR(Queue!$K$4="*",N2047=Queue!$K$4)),Q2047,"")</f>
        <v/>
      </c>
    </row>
    <row r="2048">
      <c r="A2048" s="35">
        <f>IF(M2048="","",HYPERLINK("https://www.youtube.com/watch?v="&amp;M2048,"▶"))</f>
        <v/>
      </c>
      <c r="B2048" s="36">
        <f>IF(C2048&lt;&gt;"",C2048,IF(P2048&lt;=IFERROR(INDEX(tblChannels[Watched Through],MATCH(N2048,tblChannels[Channel ID],0)),0),"Watched","Unwatched"))</f>
        <v/>
      </c>
      <c r="C2048" s="37" t="n"/>
      <c r="D2048" s="38" t="n"/>
      <c r="E2048" s="39" t="n">
        <v>43356.75069444445</v>
      </c>
      <c r="F2048" s="47" t="inlineStr">
        <is>
          <t>Super Carlin Brothers</t>
        </is>
      </c>
      <c r="G2048" t="inlineStr">
        <is>
          <t>How Strong Is Thanos Without The Infinity Gauntlet?</t>
        </is>
      </c>
      <c r="H2048" s="41" t="n">
        <v>0.009548611111111112</v>
      </c>
      <c r="I2048" s="42" t="n">
        <v>1304711</v>
      </c>
      <c r="J2048" s="42" t="n">
        <v>26542</v>
      </c>
      <c r="K2048" s="42" t="n">
        <v>3880</v>
      </c>
      <c r="L2048" s="43" t="n"/>
      <c r="M2048" s="44" t="n"/>
      <c r="N2048" s="44" t="inlineStr">
        <is>
          <t>UCKZo4N0lVPccBkSiuyVh4yg</t>
        </is>
      </c>
      <c r="O2048" s="45" t="n">
        <v>43356.91736111111</v>
      </c>
      <c r="P2048" s="46" t="n">
        <v>43356</v>
      </c>
      <c r="Q2048" s="44" t="n">
        <v>1224</v>
      </c>
      <c r="R2048" s="44" t="inlineStr">
        <is>
          <t>No Video ID yet</t>
        </is>
      </c>
      <c r="S2048" s="46" t="n"/>
      <c r="T2048" s="46" t="n"/>
      <c r="U2048" s="44" t="n"/>
      <c r="V2048" s="44">
        <f>IF(AND(P2048&gt;=Calendar!$K$2,P2048&lt;EDATE(Calendar!$K$2,1),OR(Calendar!$K$4="*",N2048=Calendar!$K$4)),P2048*100+COUNTIFS($P$6:$P$3271,P2048,$Q$6:$Q$3271,"&lt;="&amp;Q2048,$N$6:$N$3271,Calendar!$K$4),"")</f>
        <v/>
      </c>
      <c r="W2048" s="44">
        <f>IF(AND(B2048=Queue!$C$4,OR(Queue!$K$4="*",N2048=Queue!$K$4)),Q2048,"")</f>
        <v/>
      </c>
    </row>
    <row r="2049">
      <c r="A2049" s="35">
        <f>IF(M2049="","",HYPERLINK("https://www.youtube.com/watch?v="&amp;M2049,"▶"))</f>
        <v/>
      </c>
      <c r="B2049" s="36">
        <f>IF(C2049&lt;&gt;"",C2049,IF(P2049&lt;=IFERROR(INDEX(tblChannels[Watched Through],MATCH(N2049,tblChannels[Channel ID],0)),0),"Watched","Unwatched"))</f>
        <v/>
      </c>
      <c r="C2049" s="37" t="n"/>
      <c r="D2049" s="38" t="n"/>
      <c r="E2049" s="39" t="n">
        <v>43356.64097222222</v>
      </c>
      <c r="F2049" s="49" t="inlineStr">
        <is>
          <t>Super Carlin Gaming</t>
        </is>
      </c>
      <c r="G2049" t="inlineStr">
        <is>
          <t>How To Be A Wingman | Rocket League #55</t>
        </is>
      </c>
      <c r="H2049" s="41" t="n">
        <v>0.01539351851851852</v>
      </c>
      <c r="I2049" s="42" t="n">
        <v>4237</v>
      </c>
      <c r="J2049" s="42" t="n">
        <v>203</v>
      </c>
      <c r="K2049" s="42" t="n">
        <v>74</v>
      </c>
      <c r="L2049" s="43" t="n"/>
      <c r="M2049" s="44" t="n"/>
      <c r="N2049" s="44" t="inlineStr">
        <is>
          <t>UCor_9jRnNNZVzTuQ92PKsaQ</t>
        </is>
      </c>
      <c r="O2049" s="45" t="n">
        <v>43356.80763888889</v>
      </c>
      <c r="P2049" s="46" t="n">
        <v>43356</v>
      </c>
      <c r="Q2049" s="44" t="n">
        <v>1223</v>
      </c>
      <c r="R2049" s="44" t="inlineStr">
        <is>
          <t>No Video ID yet</t>
        </is>
      </c>
      <c r="S2049" s="46" t="n"/>
      <c r="T2049" s="46" t="n"/>
      <c r="U2049" s="44" t="n"/>
      <c r="V2049" s="44">
        <f>IF(AND(P2049&gt;=Calendar!$K$2,P2049&lt;EDATE(Calendar!$K$2,1),OR(Calendar!$K$4="*",N2049=Calendar!$K$4)),P2049*100+COUNTIFS($P$6:$P$3271,P2049,$Q$6:$Q$3271,"&lt;="&amp;Q2049,$N$6:$N$3271,Calendar!$K$4),"")</f>
        <v/>
      </c>
      <c r="W2049" s="44">
        <f>IF(AND(B2049=Queue!$C$4,OR(Queue!$K$4="*",N2049=Queue!$K$4)),Q2049,"")</f>
        <v/>
      </c>
    </row>
    <row r="2050">
      <c r="A2050" s="35">
        <f>IF(M2050="","",HYPERLINK("https://www.youtube.com/watch?v="&amp;M2050,"▶"))</f>
        <v/>
      </c>
      <c r="B2050" s="36">
        <f>IF(C2050&lt;&gt;"",C2050,IF(P2050&lt;=IFERROR(INDEX(tblChannels[Watched Through],MATCH(N2050,tblChannels[Channel ID],0)),0),"Watched","Unwatched"))</f>
        <v/>
      </c>
      <c r="C2050" s="37" t="n"/>
      <c r="D2050" s="38" t="n"/>
      <c r="E2050" s="39" t="n">
        <v>43354.67847222222</v>
      </c>
      <c r="F2050" s="47" t="inlineStr">
        <is>
          <t>Super Carlin Brothers</t>
        </is>
      </c>
      <c r="G2050" t="inlineStr">
        <is>
          <t>J vs Ben: HARDEST Lord Voldemort Quiz EVER</t>
        </is>
      </c>
      <c r="H2050" s="41" t="n">
        <v>0.02032407407407407</v>
      </c>
      <c r="I2050" s="42" t="n">
        <v>1584173</v>
      </c>
      <c r="J2050" s="42" t="n">
        <v>24972</v>
      </c>
      <c r="K2050" s="42" t="n">
        <v>3938</v>
      </c>
      <c r="L2050" s="43" t="n"/>
      <c r="M2050" s="44" t="n"/>
      <c r="N2050" s="44" t="inlineStr">
        <is>
          <t>UCKZo4N0lVPccBkSiuyVh4yg</t>
        </is>
      </c>
      <c r="O2050" s="45" t="n">
        <v>43354.84513888889</v>
      </c>
      <c r="P2050" s="46" t="n">
        <v>43354</v>
      </c>
      <c r="Q2050" s="44" t="n">
        <v>1222</v>
      </c>
      <c r="R2050" s="44" t="inlineStr">
        <is>
          <t>No Video ID yet</t>
        </is>
      </c>
      <c r="S2050" s="46" t="n"/>
      <c r="T2050" s="46" t="n"/>
      <c r="U2050" s="44" t="n"/>
      <c r="V2050" s="44">
        <f>IF(AND(P2050&gt;=Calendar!$K$2,P2050&lt;EDATE(Calendar!$K$2,1),OR(Calendar!$K$4="*",N2050=Calendar!$K$4)),P2050*100+COUNTIFS($P$6:$P$3271,P2050,$Q$6:$Q$3271,"&lt;="&amp;Q2050,$N$6:$N$3271,Calendar!$K$4),"")</f>
        <v/>
      </c>
      <c r="W2050" s="44">
        <f>IF(AND(B2050=Queue!$C$4,OR(Queue!$K$4="*",N2050=Queue!$K$4)),Q2050,"")</f>
        <v/>
      </c>
    </row>
    <row r="2051">
      <c r="A2051" s="35">
        <f>IF(M2051="","",HYPERLINK("https://www.youtube.com/watch?v="&amp;M2051,"▶"))</f>
        <v/>
      </c>
      <c r="B2051" s="36">
        <f>IF(C2051&lt;&gt;"",C2051,IF(P2051&lt;=IFERROR(INDEX(tblChannels[Watched Through],MATCH(N2051,tblChannels[Channel ID],0)),0),"Watched","Unwatched"))</f>
        <v/>
      </c>
      <c r="C2051" s="37" t="n"/>
      <c r="D2051" s="38" t="n"/>
      <c r="E2051" s="39" t="n">
        <v>43354.43888888889</v>
      </c>
      <c r="F2051" s="49" t="inlineStr">
        <is>
          <t>Super Carlin Gaming</t>
        </is>
      </c>
      <c r="G2051" t="inlineStr">
        <is>
          <t>Friends using you for your stuff | Rocket League #54</t>
        </is>
      </c>
      <c r="H2051" s="41" t="n">
        <v>0.0156712962962963</v>
      </c>
      <c r="I2051" s="42" t="n">
        <v>4705</v>
      </c>
      <c r="J2051" s="42" t="n">
        <v>282</v>
      </c>
      <c r="K2051" s="42" t="n">
        <v>47</v>
      </c>
      <c r="L2051" s="43" t="n"/>
      <c r="M2051" s="44" t="n"/>
      <c r="N2051" s="44" t="inlineStr">
        <is>
          <t>UCor_9jRnNNZVzTuQ92PKsaQ</t>
        </is>
      </c>
      <c r="O2051" s="45" t="n">
        <v>43354.60555555556</v>
      </c>
      <c r="P2051" s="46" t="n">
        <v>43354</v>
      </c>
      <c r="Q2051" s="44" t="n">
        <v>1221</v>
      </c>
      <c r="R2051" s="44" t="inlineStr">
        <is>
          <t>No Video ID yet</t>
        </is>
      </c>
      <c r="S2051" s="46" t="n"/>
      <c r="T2051" s="46" t="n"/>
      <c r="U2051" s="44" t="n"/>
      <c r="V2051" s="44">
        <f>IF(AND(P2051&gt;=Calendar!$K$2,P2051&lt;EDATE(Calendar!$K$2,1),OR(Calendar!$K$4="*",N2051=Calendar!$K$4)),P2051*100+COUNTIFS($P$6:$P$3271,P2051,$Q$6:$Q$3271,"&lt;="&amp;Q2051,$N$6:$N$3271,Calendar!$K$4),"")</f>
        <v/>
      </c>
      <c r="W2051" s="44">
        <f>IF(AND(B2051=Queue!$C$4,OR(Queue!$K$4="*",N2051=Queue!$K$4)),Q2051,"")</f>
        <v/>
      </c>
    </row>
    <row r="2052">
      <c r="A2052" s="35">
        <f>IF(M2052="","",HYPERLINK("https://www.youtube.com/watch?v="&amp;M2052,"▶"))</f>
        <v/>
      </c>
      <c r="B2052" s="36">
        <f>IF(C2052&lt;&gt;"",C2052,IF(P2052&lt;=IFERROR(INDEX(tblChannels[Watched Through],MATCH(N2052,tblChannels[Channel ID],0)),0),"Watched","Unwatched"))</f>
        <v/>
      </c>
      <c r="C2052" s="37" t="n"/>
      <c r="D2052" s="38" t="n"/>
      <c r="E2052" s="39" t="n">
        <v>43353.66180555556</v>
      </c>
      <c r="F2052" s="50" t="inlineStr">
        <is>
          <t>Jonathan Carlin</t>
        </is>
      </c>
      <c r="G2052" t="inlineStr">
        <is>
          <t>GARDEN WARFARE</t>
        </is>
      </c>
      <c r="H2052" s="41" t="n">
        <v>0.006527777777777778</v>
      </c>
      <c r="I2052" s="42" t="n">
        <v>36136</v>
      </c>
      <c r="J2052" s="42" t="n">
        <v>1776</v>
      </c>
      <c r="K2052" s="42" t="n">
        <v>279</v>
      </c>
      <c r="L2052" s="43" t="n"/>
      <c r="M2052" s="44" t="n"/>
      <c r="N2052" s="44" t="inlineStr">
        <is>
          <t>UCYPKFe86e6nm4TVUYKLsFUQ</t>
        </is>
      </c>
      <c r="O2052" s="45" t="n">
        <v>43353.82847222222</v>
      </c>
      <c r="P2052" s="46" t="n">
        <v>43353</v>
      </c>
      <c r="Q2052" s="44" t="n">
        <v>1220</v>
      </c>
      <c r="R2052" s="44" t="inlineStr">
        <is>
          <t>No Video ID yet</t>
        </is>
      </c>
      <c r="S2052" s="46" t="n"/>
      <c r="T2052" s="46" t="n"/>
      <c r="U2052" s="44" t="n"/>
      <c r="V2052" s="44">
        <f>IF(AND(P2052&gt;=Calendar!$K$2,P2052&lt;EDATE(Calendar!$K$2,1),OR(Calendar!$K$4="*",N2052=Calendar!$K$4)),P2052*100+COUNTIFS($P$6:$P$3271,P2052,$Q$6:$Q$3271,"&lt;="&amp;Q2052,$N$6:$N$3271,Calendar!$K$4),"")</f>
        <v/>
      </c>
      <c r="W2052" s="44">
        <f>IF(AND(B2052=Queue!$C$4,OR(Queue!$K$4="*",N2052=Queue!$K$4)),Q2052,"")</f>
        <v/>
      </c>
    </row>
    <row r="2053">
      <c r="A2053" s="35">
        <f>IF(M2053="","",HYPERLINK("https://www.youtube.com/watch?v="&amp;M2053,"▶"))</f>
        <v/>
      </c>
      <c r="B2053" s="36">
        <f>IF(C2053&lt;&gt;"",C2053,IF(P2053&lt;=IFERROR(INDEX(tblChannels[Watched Through],MATCH(N2053,tblChannels[Channel ID],0)),0),"Watched","Unwatched"))</f>
        <v/>
      </c>
      <c r="C2053" s="37" t="n"/>
      <c r="D2053" s="38" t="n"/>
      <c r="E2053" s="39" t="n">
        <v>43350.4375</v>
      </c>
      <c r="F2053" s="49" t="inlineStr">
        <is>
          <t>Super Carlin Gaming</t>
        </is>
      </c>
      <c r="G2053" t="inlineStr">
        <is>
          <t>Which Disney Princess is Your Soul Mate? | Rocket League #51</t>
        </is>
      </c>
      <c r="H2053" s="41" t="n">
        <v>0.01452546296296296</v>
      </c>
      <c r="I2053" s="42" t="n">
        <v>5588</v>
      </c>
      <c r="J2053" s="42" t="n">
        <v>259</v>
      </c>
      <c r="K2053" s="42" t="n">
        <v>69</v>
      </c>
      <c r="L2053" s="43" t="n"/>
      <c r="M2053" s="44" t="n"/>
      <c r="N2053" s="44" t="inlineStr">
        <is>
          <t>UCor_9jRnNNZVzTuQ92PKsaQ</t>
        </is>
      </c>
      <c r="O2053" s="45" t="n">
        <v>43350.60416666666</v>
      </c>
      <c r="P2053" s="46" t="n">
        <v>43350</v>
      </c>
      <c r="Q2053" s="44" t="n">
        <v>1219</v>
      </c>
      <c r="R2053" s="44" t="inlineStr">
        <is>
          <t>No Video ID yet</t>
        </is>
      </c>
      <c r="S2053" s="46" t="n"/>
      <c r="T2053" s="46" t="n"/>
      <c r="U2053" s="44" t="n"/>
      <c r="V2053" s="44">
        <f>IF(AND(P2053&gt;=Calendar!$K$2,P2053&lt;EDATE(Calendar!$K$2,1),OR(Calendar!$K$4="*",N2053=Calendar!$K$4)),P2053*100+COUNTIFS($P$6:$P$3271,P2053,$Q$6:$Q$3271,"&lt;="&amp;Q2053,$N$6:$N$3271,Calendar!$K$4),"")</f>
        <v/>
      </c>
      <c r="W2053" s="44">
        <f>IF(AND(B2053=Queue!$C$4,OR(Queue!$K$4="*",N2053=Queue!$K$4)),Q2053,"")</f>
        <v/>
      </c>
    </row>
    <row r="2054">
      <c r="A2054" s="35">
        <f>IF(M2054="","",HYPERLINK("https://www.youtube.com/watch?v="&amp;M2054,"▶"))</f>
        <v/>
      </c>
      <c r="B2054" s="36">
        <f>IF(C2054&lt;&gt;"",C2054,IF(P2054&lt;=IFERROR(INDEX(tblChannels[Watched Through],MATCH(N2054,tblChannels[Channel ID],0)),0),"Watched","Unwatched"))</f>
        <v/>
      </c>
      <c r="C2054" s="37" t="n"/>
      <c r="D2054" s="38" t="n"/>
      <c r="E2054" s="39" t="n">
        <v>43349.73819444444</v>
      </c>
      <c r="F2054" s="47" t="inlineStr">
        <is>
          <t>Super Carlin Brothers</t>
        </is>
      </c>
      <c r="G2054" t="inlineStr">
        <is>
          <t>In Defense Of Star Lord</t>
        </is>
      </c>
      <c r="H2054" s="41" t="n">
        <v>0.007766203703703704</v>
      </c>
      <c r="I2054" s="42" t="n">
        <v>937496</v>
      </c>
      <c r="J2054" s="42" t="n">
        <v>28191</v>
      </c>
      <c r="K2054" s="42" t="n">
        <v>5032</v>
      </c>
      <c r="L2054" s="43" t="n"/>
      <c r="M2054" s="44" t="n"/>
      <c r="N2054" s="44" t="inlineStr">
        <is>
          <t>UCKZo4N0lVPccBkSiuyVh4yg</t>
        </is>
      </c>
      <c r="O2054" s="45" t="n">
        <v>43349.90486111111</v>
      </c>
      <c r="P2054" s="46" t="n">
        <v>43349</v>
      </c>
      <c r="Q2054" s="44" t="n">
        <v>1218</v>
      </c>
      <c r="R2054" s="44" t="inlineStr">
        <is>
          <t>No Video ID yet</t>
        </is>
      </c>
      <c r="S2054" s="46" t="n"/>
      <c r="T2054" s="46" t="n"/>
      <c r="U2054" s="44" t="n"/>
      <c r="V2054" s="44">
        <f>IF(AND(P2054&gt;=Calendar!$K$2,P2054&lt;EDATE(Calendar!$K$2,1),OR(Calendar!$K$4="*",N2054=Calendar!$K$4)),P2054*100+COUNTIFS($P$6:$P$3271,P2054,$Q$6:$Q$3271,"&lt;="&amp;Q2054,$N$6:$N$3271,Calendar!$K$4),"")</f>
        <v/>
      </c>
      <c r="W2054" s="44">
        <f>IF(AND(B2054=Queue!$C$4,OR(Queue!$K$4="*",N2054=Queue!$K$4)),Q2054,"")</f>
        <v/>
      </c>
    </row>
    <row r="2055">
      <c r="A2055" s="35">
        <f>IF(M2055="","",HYPERLINK("https://www.youtube.com/watch?v="&amp;M2055,"▶"))</f>
        <v/>
      </c>
      <c r="B2055" s="36">
        <f>IF(C2055&lt;&gt;"",C2055,IF(P2055&lt;=IFERROR(INDEX(tblChannels[Watched Through],MATCH(N2055,tblChannels[Channel ID],0)),0),"Watched","Unwatched"))</f>
        <v/>
      </c>
      <c r="C2055" s="37" t="n"/>
      <c r="D2055" s="38" t="n"/>
      <c r="E2055" s="39" t="n">
        <v>43348.4375</v>
      </c>
      <c r="F2055" s="49" t="inlineStr">
        <is>
          <t>Super Carlin Gaming</t>
        </is>
      </c>
      <c r="G2055" t="inlineStr">
        <is>
          <t>When Should You Get Engaged? | Rocket League #50</t>
        </is>
      </c>
      <c r="H2055" s="41" t="n">
        <v>0.01461805555555556</v>
      </c>
      <c r="I2055" s="42" t="n">
        <v>4924</v>
      </c>
      <c r="J2055" s="42" t="n">
        <v>230</v>
      </c>
      <c r="K2055" s="42" t="n">
        <v>41</v>
      </c>
      <c r="L2055" s="43" t="n"/>
      <c r="M2055" s="44" t="n"/>
      <c r="N2055" s="44" t="inlineStr">
        <is>
          <t>UCor_9jRnNNZVzTuQ92PKsaQ</t>
        </is>
      </c>
      <c r="O2055" s="45" t="n">
        <v>43348.60416666666</v>
      </c>
      <c r="P2055" s="46" t="n">
        <v>43348</v>
      </c>
      <c r="Q2055" s="44" t="n">
        <v>1217</v>
      </c>
      <c r="R2055" s="44" t="inlineStr">
        <is>
          <t>No Video ID yet</t>
        </is>
      </c>
      <c r="S2055" s="46" t="n"/>
      <c r="T2055" s="46" t="n"/>
      <c r="U2055" s="44" t="n"/>
      <c r="V2055" s="44">
        <f>IF(AND(P2055&gt;=Calendar!$K$2,P2055&lt;EDATE(Calendar!$K$2,1),OR(Calendar!$K$4="*",N2055=Calendar!$K$4)),P2055*100+COUNTIFS($P$6:$P$3271,P2055,$Q$6:$Q$3271,"&lt;="&amp;Q2055,$N$6:$N$3271,Calendar!$K$4),"")</f>
        <v/>
      </c>
      <c r="W2055" s="44">
        <f>IF(AND(B2055=Queue!$C$4,OR(Queue!$K$4="*",N2055=Queue!$K$4)),Q2055,"")</f>
        <v/>
      </c>
    </row>
    <row r="2056">
      <c r="A2056" s="35">
        <f>IF(M2056="","",HYPERLINK("https://www.youtube.com/watch?v="&amp;M2056,"▶"))</f>
        <v/>
      </c>
      <c r="B2056" s="36">
        <f>IF(C2056&lt;&gt;"",C2056,IF(P2056&lt;=IFERROR(INDEX(tblChannels[Watched Through],MATCH(N2056,tblChannels[Channel ID],0)),0),"Watched","Unwatched"))</f>
        <v/>
      </c>
      <c r="C2056" s="37" t="n"/>
      <c r="D2056" s="38" t="n"/>
      <c r="E2056" s="39" t="n">
        <v>43347.75277777778</v>
      </c>
      <c r="F2056" s="47" t="inlineStr">
        <is>
          <t>Super Carlin Brothers</t>
        </is>
      </c>
      <c r="G2056" t="inlineStr">
        <is>
          <t>Did The Snap Kill Thanos? | Infinity War Theory</t>
        </is>
      </c>
      <c r="H2056" s="41" t="n">
        <v>0.007731481481481482</v>
      </c>
      <c r="I2056" s="42" t="n">
        <v>1349011</v>
      </c>
      <c r="J2056" s="42" t="n">
        <v>32310</v>
      </c>
      <c r="K2056" s="42" t="n">
        <v>5473</v>
      </c>
      <c r="L2056" s="43" t="n"/>
      <c r="M2056" s="44" t="n"/>
      <c r="N2056" s="44" t="inlineStr">
        <is>
          <t>UCKZo4N0lVPccBkSiuyVh4yg</t>
        </is>
      </c>
      <c r="O2056" s="45" t="n">
        <v>43347.91944444444</v>
      </c>
      <c r="P2056" s="46" t="n">
        <v>43347</v>
      </c>
      <c r="Q2056" s="44" t="n">
        <v>1216</v>
      </c>
      <c r="R2056" s="44" t="inlineStr">
        <is>
          <t>No Video ID yet</t>
        </is>
      </c>
      <c r="S2056" s="46" t="n"/>
      <c r="T2056" s="46" t="n"/>
      <c r="U2056" s="44" t="n"/>
      <c r="V2056" s="44">
        <f>IF(AND(P2056&gt;=Calendar!$K$2,P2056&lt;EDATE(Calendar!$K$2,1),OR(Calendar!$K$4="*",N2056=Calendar!$K$4)),P2056*100+COUNTIFS($P$6:$P$3271,P2056,$Q$6:$Q$3271,"&lt;="&amp;Q2056,$N$6:$N$3271,Calendar!$K$4),"")</f>
        <v/>
      </c>
      <c r="W2056" s="44">
        <f>IF(AND(B2056=Queue!$C$4,OR(Queue!$K$4="*",N2056=Queue!$K$4)),Q2056,"")</f>
        <v/>
      </c>
    </row>
    <row r="2057">
      <c r="A2057" s="35">
        <f>IF(M2057="","",HYPERLINK("https://www.youtube.com/watch?v="&amp;M2057,"▶"))</f>
        <v/>
      </c>
      <c r="B2057" s="36">
        <f>IF(C2057&lt;&gt;"",C2057,IF(P2057&lt;=IFERROR(INDEX(tblChannels[Watched Through],MATCH(N2057,tblChannels[Channel ID],0)),0),"Watched","Unwatched"))</f>
        <v/>
      </c>
      <c r="C2057" s="37" t="n"/>
      <c r="D2057" s="38" t="n"/>
      <c r="E2057" s="39" t="n">
        <v>43346.65069444444</v>
      </c>
      <c r="F2057" s="50" t="inlineStr">
        <is>
          <t>Jonathan Carlin</t>
        </is>
      </c>
      <c r="G2057" t="inlineStr">
        <is>
          <t>NEW YORK CITY FROZEN ADVENTURE</t>
        </is>
      </c>
      <c r="H2057" s="41" t="n">
        <v>0.010625</v>
      </c>
      <c r="I2057" s="42" t="n">
        <v>35769</v>
      </c>
      <c r="J2057" s="42" t="n">
        <v>1773</v>
      </c>
      <c r="K2057" s="42" t="n">
        <v>327</v>
      </c>
      <c r="L2057" s="43" t="n"/>
      <c r="M2057" s="44" t="n"/>
      <c r="N2057" s="44" t="inlineStr">
        <is>
          <t>UCYPKFe86e6nm4TVUYKLsFUQ</t>
        </is>
      </c>
      <c r="O2057" s="45" t="n">
        <v>43346.81736111111</v>
      </c>
      <c r="P2057" s="46" t="n">
        <v>43346</v>
      </c>
      <c r="Q2057" s="44" t="n">
        <v>1215</v>
      </c>
      <c r="R2057" s="44" t="inlineStr">
        <is>
          <t>No Video ID yet</t>
        </is>
      </c>
      <c r="S2057" s="46" t="n"/>
      <c r="T2057" s="46" t="n"/>
      <c r="U2057" s="44" t="n"/>
      <c r="V2057" s="44">
        <f>IF(AND(P2057&gt;=Calendar!$K$2,P2057&lt;EDATE(Calendar!$K$2,1),OR(Calendar!$K$4="*",N2057=Calendar!$K$4)),P2057*100+COUNTIFS($P$6:$P$3271,P2057,$Q$6:$Q$3271,"&lt;="&amp;Q2057,$N$6:$N$3271,Calendar!$K$4),"")</f>
        <v/>
      </c>
      <c r="W2057" s="44">
        <f>IF(AND(B2057=Queue!$C$4,OR(Queue!$K$4="*",N2057=Queue!$K$4)),Q2057,"")</f>
        <v/>
      </c>
    </row>
    <row r="2058">
      <c r="A2058" s="35">
        <f>IF(M2058="","",HYPERLINK("https://www.youtube.com/watch?v="&amp;M2058,"▶"))</f>
        <v/>
      </c>
      <c r="B2058" s="36">
        <f>IF(C2058&lt;&gt;"",C2058,IF(P2058&lt;=IFERROR(INDEX(tblChannels[Watched Through],MATCH(N2058,tblChannels[Channel ID],0)),0),"Watched","Unwatched"))</f>
        <v/>
      </c>
      <c r="C2058" s="37" t="n"/>
      <c r="D2058" s="38" t="n"/>
      <c r="E2058" s="39" t="n">
        <v>43346.4375</v>
      </c>
      <c r="F2058" s="49" t="inlineStr">
        <is>
          <t>Super Carlin Gaming</t>
        </is>
      </c>
      <c r="G2058" t="inlineStr">
        <is>
          <t>Picking a Major | Rocket League #49</t>
        </is>
      </c>
      <c r="H2058" s="41" t="n">
        <v>0.01443287037037037</v>
      </c>
      <c r="I2058" s="42" t="n">
        <v>4659</v>
      </c>
      <c r="J2058" s="42" t="n">
        <v>255</v>
      </c>
      <c r="K2058" s="42" t="n">
        <v>70</v>
      </c>
      <c r="L2058" s="43" t="n"/>
      <c r="M2058" s="44" t="n"/>
      <c r="N2058" s="44" t="inlineStr">
        <is>
          <t>UCor_9jRnNNZVzTuQ92PKsaQ</t>
        </is>
      </c>
      <c r="O2058" s="45" t="n">
        <v>43346.60416666666</v>
      </c>
      <c r="P2058" s="46" t="n">
        <v>43346</v>
      </c>
      <c r="Q2058" s="44" t="n">
        <v>1214</v>
      </c>
      <c r="R2058" s="44" t="inlineStr">
        <is>
          <t>No Video ID yet</t>
        </is>
      </c>
      <c r="S2058" s="46" t="n"/>
      <c r="T2058" s="46" t="n"/>
      <c r="U2058" s="44" t="n"/>
      <c r="V2058" s="44">
        <f>IF(AND(P2058&gt;=Calendar!$K$2,P2058&lt;EDATE(Calendar!$K$2,1),OR(Calendar!$K$4="*",N2058=Calendar!$K$4)),P2058*100+COUNTIFS($P$6:$P$3271,P2058,$Q$6:$Q$3271,"&lt;="&amp;Q2058,$N$6:$N$3271,Calendar!$K$4),"")</f>
        <v/>
      </c>
      <c r="W2058" s="44">
        <f>IF(AND(B2058=Queue!$C$4,OR(Queue!$K$4="*",N2058=Queue!$K$4)),Q2058,"")</f>
        <v/>
      </c>
    </row>
    <row r="2059">
      <c r="A2059" s="35">
        <f>IF(M2059="","",HYPERLINK("https://www.youtube.com/watch?v="&amp;M2059,"▶"))</f>
        <v/>
      </c>
      <c r="B2059" s="36">
        <f>IF(C2059&lt;&gt;"",C2059,IF(P2059&lt;=IFERROR(INDEX(tblChannels[Watched Through],MATCH(N2059,tblChannels[Channel ID],0)),0),"Watched","Unwatched"))</f>
        <v/>
      </c>
      <c r="C2059" s="37" t="n"/>
      <c r="D2059" s="38" t="n"/>
      <c r="E2059" s="39" t="n">
        <v>43343.60416666666</v>
      </c>
      <c r="F2059" s="49" t="inlineStr">
        <is>
          <t>Super Carlin Gaming</t>
        </is>
      </c>
      <c r="G2059" t="inlineStr">
        <is>
          <t>Which Disney Princess Are You? | Rocket League #48</t>
        </is>
      </c>
      <c r="H2059" s="41" t="n">
        <v>0.01362268518518519</v>
      </c>
      <c r="I2059" s="42" t="n">
        <v>4911</v>
      </c>
      <c r="J2059" s="42" t="n">
        <v>250</v>
      </c>
      <c r="K2059" s="42" t="n">
        <v>65</v>
      </c>
      <c r="L2059" s="43" t="n"/>
      <c r="M2059" s="44" t="n"/>
      <c r="N2059" s="44" t="inlineStr">
        <is>
          <t>UCor_9jRnNNZVzTuQ92PKsaQ</t>
        </is>
      </c>
      <c r="O2059" s="45" t="n">
        <v>43343.77083333334</v>
      </c>
      <c r="P2059" s="46" t="n">
        <v>43343</v>
      </c>
      <c r="Q2059" s="44" t="n">
        <v>1213</v>
      </c>
      <c r="R2059" s="44" t="inlineStr">
        <is>
          <t>No Video ID yet</t>
        </is>
      </c>
      <c r="S2059" s="46" t="n"/>
      <c r="T2059" s="46" t="n"/>
      <c r="U2059" s="44" t="n"/>
      <c r="V2059" s="44">
        <f>IF(AND(P2059&gt;=Calendar!$K$2,P2059&lt;EDATE(Calendar!$K$2,1),OR(Calendar!$K$4="*",N2059=Calendar!$K$4)),P2059*100+COUNTIFS($P$6:$P$3271,P2059,$Q$6:$Q$3271,"&lt;="&amp;Q2059,$N$6:$N$3271,Calendar!$K$4),"")</f>
        <v/>
      </c>
      <c r="W2059" s="44">
        <f>IF(AND(B2059=Queue!$C$4,OR(Queue!$K$4="*",N2059=Queue!$K$4)),Q2059,"")</f>
        <v/>
      </c>
    </row>
    <row r="2060">
      <c r="A2060" s="35">
        <f>IF(M2060="","",HYPERLINK("https://www.youtube.com/watch?v="&amp;M2060,"▶"))</f>
        <v/>
      </c>
      <c r="B2060" s="36">
        <f>IF(C2060&lt;&gt;"",C2060,IF(P2060&lt;=IFERROR(INDEX(tblChannels[Watched Through],MATCH(N2060,tblChannels[Channel ID],0)),0),"Watched","Unwatched"))</f>
        <v/>
      </c>
      <c r="C2060" s="37" t="n"/>
      <c r="D2060" s="38" t="n"/>
      <c r="E2060" s="39" t="n">
        <v>43342.84027777778</v>
      </c>
      <c r="F2060" s="47" t="inlineStr">
        <is>
          <t>Super Carlin Brothers</t>
        </is>
      </c>
      <c r="G2060" t="inlineStr">
        <is>
          <t>The TRUTH About Thor's New Eye | Infinity War Theory</t>
        </is>
      </c>
      <c r="H2060" s="41" t="n">
        <v>0.008043981481481482</v>
      </c>
      <c r="I2060" s="42" t="n">
        <v>3634341</v>
      </c>
      <c r="J2060" s="42" t="n">
        <v>49408</v>
      </c>
      <c r="K2060" s="42" t="n">
        <v>9174</v>
      </c>
      <c r="L2060" s="43" t="n"/>
      <c r="M2060" s="44" t="n"/>
      <c r="N2060" s="44" t="inlineStr">
        <is>
          <t>UCKZo4N0lVPccBkSiuyVh4yg</t>
        </is>
      </c>
      <c r="O2060" s="45" t="n">
        <v>43343.00694444445</v>
      </c>
      <c r="P2060" s="46" t="n">
        <v>43342</v>
      </c>
      <c r="Q2060" s="44" t="n">
        <v>1212</v>
      </c>
      <c r="R2060" s="44" t="inlineStr">
        <is>
          <t>No Video ID yet</t>
        </is>
      </c>
      <c r="S2060" s="46" t="n"/>
      <c r="T2060" s="46" t="n"/>
      <c r="U2060" s="44" t="n"/>
      <c r="V2060" s="44">
        <f>IF(AND(P2060&gt;=Calendar!$K$2,P2060&lt;EDATE(Calendar!$K$2,1),OR(Calendar!$K$4="*",N2060=Calendar!$K$4)),P2060*100+COUNTIFS($P$6:$P$3271,P2060,$Q$6:$Q$3271,"&lt;="&amp;Q2060,$N$6:$N$3271,Calendar!$K$4),"")</f>
        <v/>
      </c>
      <c r="W2060" s="44">
        <f>IF(AND(B2060=Queue!$C$4,OR(Queue!$K$4="*",N2060=Queue!$K$4)),Q2060,"")</f>
        <v/>
      </c>
    </row>
    <row r="2061">
      <c r="A2061" s="35">
        <f>IF(M2061="","",HYPERLINK("https://www.youtube.com/watch?v="&amp;M2061,"▶"))</f>
        <v/>
      </c>
      <c r="B2061" s="36">
        <f>IF(C2061&lt;&gt;"",C2061,IF(P2061&lt;=IFERROR(INDEX(tblChannels[Watched Through],MATCH(N2061,tblChannels[Channel ID],0)),0),"Watched","Unwatched"))</f>
        <v/>
      </c>
      <c r="C2061" s="37" t="n"/>
      <c r="D2061" s="38" t="n"/>
      <c r="E2061" s="39" t="n">
        <v>43341.4375</v>
      </c>
      <c r="F2061" s="49" t="inlineStr">
        <is>
          <t>Super Carlin Gaming</t>
        </is>
      </c>
      <c r="G2061" t="inlineStr">
        <is>
          <t>Handily Handedly | Rocket League #47</t>
        </is>
      </c>
      <c r="H2061" s="41" t="n">
        <v>0.01450231481481482</v>
      </c>
      <c r="I2061" s="42" t="n">
        <v>4666</v>
      </c>
      <c r="J2061" s="42" t="n">
        <v>241</v>
      </c>
      <c r="K2061" s="42" t="n">
        <v>86</v>
      </c>
      <c r="L2061" s="43" t="n"/>
      <c r="M2061" s="44" t="n"/>
      <c r="N2061" s="44" t="inlineStr">
        <is>
          <t>UCor_9jRnNNZVzTuQ92PKsaQ</t>
        </is>
      </c>
      <c r="O2061" s="45" t="n">
        <v>43341.60416666666</v>
      </c>
      <c r="P2061" s="46" t="n">
        <v>43341</v>
      </c>
      <c r="Q2061" s="44" t="n">
        <v>1211</v>
      </c>
      <c r="R2061" s="44" t="inlineStr">
        <is>
          <t>No Video ID yet</t>
        </is>
      </c>
      <c r="S2061" s="46" t="n"/>
      <c r="T2061" s="46" t="n"/>
      <c r="U2061" s="44" t="n"/>
      <c r="V2061" s="44">
        <f>IF(AND(P2061&gt;=Calendar!$K$2,P2061&lt;EDATE(Calendar!$K$2,1),OR(Calendar!$K$4="*",N2061=Calendar!$K$4)),P2061*100+COUNTIFS($P$6:$P$3271,P2061,$Q$6:$Q$3271,"&lt;="&amp;Q2061,$N$6:$N$3271,Calendar!$K$4),"")</f>
        <v/>
      </c>
      <c r="W2061" s="44">
        <f>IF(AND(B2061=Queue!$C$4,OR(Queue!$K$4="*",N2061=Queue!$K$4)),Q2061,"")</f>
        <v/>
      </c>
    </row>
    <row r="2062">
      <c r="A2062" s="35">
        <f>IF(M2062="","",HYPERLINK("https://www.youtube.com/watch?v="&amp;M2062,"▶"))</f>
        <v/>
      </c>
      <c r="B2062" s="36">
        <f>IF(C2062&lt;&gt;"",C2062,IF(P2062&lt;=IFERROR(INDEX(tblChannels[Watched Through],MATCH(N2062,tblChannels[Channel ID],0)),0),"Watched","Unwatched"))</f>
        <v/>
      </c>
      <c r="C2062" s="37" t="n"/>
      <c r="D2062" s="38" t="n"/>
      <c r="E2062" s="39" t="n">
        <v>43340.78680555556</v>
      </c>
      <c r="F2062" s="47" t="inlineStr">
        <is>
          <t>Super Carlin Brothers</t>
        </is>
      </c>
      <c r="G2062" t="inlineStr">
        <is>
          <t>Doctor Strange's Plan Explained | 14,000,605 Infinity War Theory</t>
        </is>
      </c>
      <c r="H2062" s="41" t="n">
        <v>0.01097222222222222</v>
      </c>
      <c r="I2062" s="42" t="n">
        <v>5698421</v>
      </c>
      <c r="J2062" s="42" t="n">
        <v>100268</v>
      </c>
      <c r="K2062" s="42" t="n">
        <v>12144</v>
      </c>
      <c r="L2062" s="43" t="n"/>
      <c r="M2062" s="44" t="n"/>
      <c r="N2062" s="44" t="inlineStr">
        <is>
          <t>UCKZo4N0lVPccBkSiuyVh4yg</t>
        </is>
      </c>
      <c r="O2062" s="45" t="n">
        <v>43340.95347222222</v>
      </c>
      <c r="P2062" s="46" t="n">
        <v>43340</v>
      </c>
      <c r="Q2062" s="44" t="n">
        <v>1210</v>
      </c>
      <c r="R2062" s="44" t="inlineStr">
        <is>
          <t>No Video ID yet</t>
        </is>
      </c>
      <c r="S2062" s="46" t="n"/>
      <c r="T2062" s="46" t="n"/>
      <c r="U2062" s="44" t="n"/>
      <c r="V2062" s="44">
        <f>IF(AND(P2062&gt;=Calendar!$K$2,P2062&lt;EDATE(Calendar!$K$2,1),OR(Calendar!$K$4="*",N2062=Calendar!$K$4)),P2062*100+COUNTIFS($P$6:$P$3271,P2062,$Q$6:$Q$3271,"&lt;="&amp;Q2062,$N$6:$N$3271,Calendar!$K$4),"")</f>
        <v/>
      </c>
      <c r="W2062" s="44">
        <f>IF(AND(B2062=Queue!$C$4,OR(Queue!$K$4="*",N2062=Queue!$K$4)),Q2062,"")</f>
        <v/>
      </c>
    </row>
    <row r="2063">
      <c r="A2063" s="35">
        <f>IF(M2063="","",HYPERLINK("https://www.youtube.com/watch?v="&amp;M2063,"▶"))</f>
        <v/>
      </c>
      <c r="B2063" s="36">
        <f>IF(C2063&lt;&gt;"",C2063,IF(P2063&lt;=IFERROR(INDEX(tblChannels[Watched Through],MATCH(N2063,tblChannels[Channel ID],0)),0),"Watched","Unwatched"))</f>
        <v/>
      </c>
      <c r="C2063" s="37" t="n"/>
      <c r="D2063" s="38" t="n"/>
      <c r="E2063" s="39" t="n">
        <v>43339.58125</v>
      </c>
      <c r="F2063" s="50" t="inlineStr">
        <is>
          <t>Jonathan Carlin</t>
        </is>
      </c>
      <c r="G2063" t="inlineStr">
        <is>
          <t>THE SECRET WORLD OF DADS</t>
        </is>
      </c>
      <c r="H2063" s="41" t="n">
        <v>0.006053240740740741</v>
      </c>
      <c r="I2063" s="42" t="n">
        <v>39784</v>
      </c>
      <c r="J2063" s="42" t="n">
        <v>2069</v>
      </c>
      <c r="K2063" s="42" t="n">
        <v>223</v>
      </c>
      <c r="L2063" s="43" t="n"/>
      <c r="M2063" s="44" t="n"/>
      <c r="N2063" s="44" t="inlineStr">
        <is>
          <t>UCYPKFe86e6nm4TVUYKLsFUQ</t>
        </is>
      </c>
      <c r="O2063" s="45" t="n">
        <v>43339.74791666667</v>
      </c>
      <c r="P2063" s="46" t="n">
        <v>43339</v>
      </c>
      <c r="Q2063" s="44" t="n">
        <v>1209</v>
      </c>
      <c r="R2063" s="44" t="inlineStr">
        <is>
          <t>No Video ID yet</t>
        </is>
      </c>
      <c r="S2063" s="46" t="n"/>
      <c r="T2063" s="46" t="n"/>
      <c r="U2063" s="44" t="n"/>
      <c r="V2063" s="44">
        <f>IF(AND(P2063&gt;=Calendar!$K$2,P2063&lt;EDATE(Calendar!$K$2,1),OR(Calendar!$K$4="*",N2063=Calendar!$K$4)),P2063*100+COUNTIFS($P$6:$P$3271,P2063,$Q$6:$Q$3271,"&lt;="&amp;Q2063,$N$6:$N$3271,Calendar!$K$4),"")</f>
        <v/>
      </c>
      <c r="W2063" s="44">
        <f>IF(AND(B2063=Queue!$C$4,OR(Queue!$K$4="*",N2063=Queue!$K$4)),Q2063,"")</f>
        <v/>
      </c>
    </row>
    <row r="2064">
      <c r="A2064" s="35">
        <f>IF(M2064="","",HYPERLINK("https://www.youtube.com/watch?v="&amp;M2064,"▶"))</f>
        <v/>
      </c>
      <c r="B2064" s="36">
        <f>IF(C2064&lt;&gt;"",C2064,IF(P2064&lt;=IFERROR(INDEX(tblChannels[Watched Through],MATCH(N2064,tblChannels[Channel ID],0)),0),"Watched","Unwatched"))</f>
        <v/>
      </c>
      <c r="C2064" s="37" t="n"/>
      <c r="D2064" s="38" t="n"/>
      <c r="E2064" s="39" t="n">
        <v>43339.44583333333</v>
      </c>
      <c r="F2064" s="49" t="inlineStr">
        <is>
          <t>Super Carlin Gaming</t>
        </is>
      </c>
      <c r="G2064" t="inlineStr">
        <is>
          <t>Victory Formation | Rocket League #46</t>
        </is>
      </c>
      <c r="H2064" s="41" t="n">
        <v>0.01637731481481481</v>
      </c>
      <c r="I2064" s="42" t="n">
        <v>4864</v>
      </c>
      <c r="J2064" s="42" t="n">
        <v>229</v>
      </c>
      <c r="K2064" s="42" t="n">
        <v>71</v>
      </c>
      <c r="L2064" s="43" t="n"/>
      <c r="M2064" s="44" t="n"/>
      <c r="N2064" s="44" t="inlineStr">
        <is>
          <t>UCor_9jRnNNZVzTuQ92PKsaQ</t>
        </is>
      </c>
      <c r="O2064" s="45" t="n">
        <v>43339.6125</v>
      </c>
      <c r="P2064" s="46" t="n">
        <v>43339</v>
      </c>
      <c r="Q2064" s="44" t="n">
        <v>1208</v>
      </c>
      <c r="R2064" s="44" t="inlineStr">
        <is>
          <t>No Video ID yet</t>
        </is>
      </c>
      <c r="S2064" s="46" t="n"/>
      <c r="T2064" s="46" t="n"/>
      <c r="U2064" s="44" t="n"/>
      <c r="V2064" s="44">
        <f>IF(AND(P2064&gt;=Calendar!$K$2,P2064&lt;EDATE(Calendar!$K$2,1),OR(Calendar!$K$4="*",N2064=Calendar!$K$4)),P2064*100+COUNTIFS($P$6:$P$3271,P2064,$Q$6:$Q$3271,"&lt;="&amp;Q2064,$N$6:$N$3271,Calendar!$K$4),"")</f>
        <v/>
      </c>
      <c r="W2064" s="44">
        <f>IF(AND(B2064=Queue!$C$4,OR(Queue!$K$4="*",N2064=Queue!$K$4)),Q2064,"")</f>
        <v/>
      </c>
    </row>
    <row r="2065">
      <c r="A2065" s="35">
        <f>IF(M2065="","",HYPERLINK("https://www.youtube.com/watch?v="&amp;M2065,"▶"))</f>
        <v/>
      </c>
      <c r="B2065" s="36">
        <f>IF(C2065&lt;&gt;"",C2065,IF(P2065&lt;=IFERROR(INDEX(tblChannels[Watched Through],MATCH(N2065,tblChannels[Channel ID],0)),0),"Watched","Unwatched"))</f>
        <v/>
      </c>
      <c r="C2065" s="37" t="n"/>
      <c r="D2065" s="38" t="n"/>
      <c r="E2065" s="39" t="n">
        <v>43336.4375</v>
      </c>
      <c r="F2065" s="49" t="inlineStr">
        <is>
          <t>Super Carlin Gaming</t>
        </is>
      </c>
      <c r="G2065" t="inlineStr">
        <is>
          <t>Pancake Star | Rocket League #45</t>
        </is>
      </c>
      <c r="H2065" s="41" t="n">
        <v>0.01476851851851852</v>
      </c>
      <c r="I2065" s="42" t="n">
        <v>4433</v>
      </c>
      <c r="J2065" s="42" t="n">
        <v>255</v>
      </c>
      <c r="K2065" s="42" t="n">
        <v>101</v>
      </c>
      <c r="L2065" s="43" t="n"/>
      <c r="M2065" s="44" t="n"/>
      <c r="N2065" s="44" t="inlineStr">
        <is>
          <t>UCor_9jRnNNZVzTuQ92PKsaQ</t>
        </is>
      </c>
      <c r="O2065" s="45" t="n">
        <v>43336.60416666666</v>
      </c>
      <c r="P2065" s="46" t="n">
        <v>43336</v>
      </c>
      <c r="Q2065" s="44" t="n">
        <v>1207</v>
      </c>
      <c r="R2065" s="44" t="inlineStr">
        <is>
          <t>No Video ID yet</t>
        </is>
      </c>
      <c r="S2065" s="46" t="n"/>
      <c r="T2065" s="46" t="n"/>
      <c r="U2065" s="44" t="n"/>
      <c r="V2065" s="44">
        <f>IF(AND(P2065&gt;=Calendar!$K$2,P2065&lt;EDATE(Calendar!$K$2,1),OR(Calendar!$K$4="*",N2065=Calendar!$K$4)),P2065*100+COUNTIFS($P$6:$P$3271,P2065,$Q$6:$Q$3271,"&lt;="&amp;Q2065,$N$6:$N$3271,Calendar!$K$4),"")</f>
        <v/>
      </c>
      <c r="W2065" s="44">
        <f>IF(AND(B2065=Queue!$C$4,OR(Queue!$K$4="*",N2065=Queue!$K$4)),Q2065,"")</f>
        <v/>
      </c>
    </row>
    <row r="2066">
      <c r="A2066" s="35">
        <f>IF(M2066="","",HYPERLINK("https://www.youtube.com/watch?v="&amp;M2066,"▶"))</f>
        <v/>
      </c>
      <c r="B2066" s="36">
        <f>IF(C2066&lt;&gt;"",C2066,IF(P2066&lt;=IFERROR(INDEX(tblChannels[Watched Through],MATCH(N2066,tblChannels[Channel ID],0)),0),"Watched","Unwatched"))</f>
        <v/>
      </c>
      <c r="C2066" s="37" t="n"/>
      <c r="D2066" s="38" t="n"/>
      <c r="E2066" s="39" t="n">
        <v>43335.84722222222</v>
      </c>
      <c r="F2066" s="47" t="inlineStr">
        <is>
          <t>Super Carlin Brothers</t>
        </is>
      </c>
      <c r="G2066" t="inlineStr">
        <is>
          <t>Top 10 Most EVIL Characters In Harry Potter</t>
        </is>
      </c>
      <c r="H2066" s="41" t="n">
        <v>0.008333333333333333</v>
      </c>
      <c r="I2066" s="42" t="n">
        <v>1224490</v>
      </c>
      <c r="J2066" s="42" t="n">
        <v>31499</v>
      </c>
      <c r="K2066" s="42" t="n">
        <v>7746</v>
      </c>
      <c r="L2066" s="43" t="n"/>
      <c r="M2066" s="44" t="n"/>
      <c r="N2066" s="44" t="inlineStr">
        <is>
          <t>UCKZo4N0lVPccBkSiuyVh4yg</t>
        </is>
      </c>
      <c r="O2066" s="45" t="n">
        <v>43336.01388888889</v>
      </c>
      <c r="P2066" s="46" t="n">
        <v>43335</v>
      </c>
      <c r="Q2066" s="44" t="n">
        <v>1206</v>
      </c>
      <c r="R2066" s="44" t="inlineStr">
        <is>
          <t>No Video ID yet</t>
        </is>
      </c>
      <c r="S2066" s="46" t="n"/>
      <c r="T2066" s="46" t="n"/>
      <c r="U2066" s="44" t="n"/>
      <c r="V2066" s="44">
        <f>IF(AND(P2066&gt;=Calendar!$K$2,P2066&lt;EDATE(Calendar!$K$2,1),OR(Calendar!$K$4="*",N2066=Calendar!$K$4)),P2066*100+COUNTIFS($P$6:$P$3271,P2066,$Q$6:$Q$3271,"&lt;="&amp;Q2066,$N$6:$N$3271,Calendar!$K$4),"")</f>
        <v/>
      </c>
      <c r="W2066" s="44">
        <f>IF(AND(B2066=Queue!$C$4,OR(Queue!$K$4="*",N2066=Queue!$K$4)),Q2066,"")</f>
        <v/>
      </c>
    </row>
    <row r="2067">
      <c r="A2067" s="35">
        <f>IF(M2067="","",HYPERLINK("https://www.youtube.com/watch?v="&amp;M2067,"▶"))</f>
        <v/>
      </c>
      <c r="B2067" s="36">
        <f>IF(C2067&lt;&gt;"",C2067,IF(P2067&lt;=IFERROR(INDEX(tblChannels[Watched Through],MATCH(N2067,tblChannels[Channel ID],0)),0),"Watched","Unwatched"))</f>
        <v/>
      </c>
      <c r="C2067" s="37" t="n"/>
      <c r="D2067" s="38" t="n"/>
      <c r="E2067" s="39" t="n">
        <v>43334.48194444444</v>
      </c>
      <c r="F2067" s="49" t="inlineStr">
        <is>
          <t>Super Carlin Gaming</t>
        </is>
      </c>
      <c r="G2067" t="inlineStr">
        <is>
          <t>Riding the Rainbow | Rocket League #44</t>
        </is>
      </c>
      <c r="H2067" s="41" t="n">
        <v>0.01365740740740741</v>
      </c>
      <c r="I2067" s="42" t="n">
        <v>4346</v>
      </c>
      <c r="J2067" s="42" t="n">
        <v>278</v>
      </c>
      <c r="K2067" s="42" t="n">
        <v>64</v>
      </c>
      <c r="L2067" s="43" t="n"/>
      <c r="M2067" s="44" t="n"/>
      <c r="N2067" s="44" t="inlineStr">
        <is>
          <t>UCor_9jRnNNZVzTuQ92PKsaQ</t>
        </is>
      </c>
      <c r="O2067" s="45" t="n">
        <v>43334.64861111111</v>
      </c>
      <c r="P2067" s="46" t="n">
        <v>43334</v>
      </c>
      <c r="Q2067" s="44" t="n">
        <v>1205</v>
      </c>
      <c r="R2067" s="44" t="inlineStr">
        <is>
          <t>No Video ID yet</t>
        </is>
      </c>
      <c r="S2067" s="46" t="n"/>
      <c r="T2067" s="46" t="n"/>
      <c r="U2067" s="44" t="n"/>
      <c r="V2067" s="44">
        <f>IF(AND(P2067&gt;=Calendar!$K$2,P2067&lt;EDATE(Calendar!$K$2,1),OR(Calendar!$K$4="*",N2067=Calendar!$K$4)),P2067*100+COUNTIFS($P$6:$P$3271,P2067,$Q$6:$Q$3271,"&lt;="&amp;Q2067,$N$6:$N$3271,Calendar!$K$4),"")</f>
        <v/>
      </c>
      <c r="W2067" s="44">
        <f>IF(AND(B2067=Queue!$C$4,OR(Queue!$K$4="*",N2067=Queue!$K$4)),Q2067,"")</f>
        <v/>
      </c>
    </row>
    <row r="2068">
      <c r="A2068" s="35">
        <f>IF(M2068="","",HYPERLINK("https://www.youtube.com/watch?v="&amp;M2068,"▶"))</f>
        <v/>
      </c>
      <c r="B2068" s="36">
        <f>IF(C2068&lt;&gt;"",C2068,IF(P2068&lt;=IFERROR(INDEX(tblChannels[Watched Through],MATCH(N2068,tblChannels[Channel ID],0)),0),"Watched","Unwatched"))</f>
        <v/>
      </c>
      <c r="C2068" s="37" t="n"/>
      <c r="D2068" s="38" t="n"/>
      <c r="E2068" s="39" t="n">
        <v>43333.725</v>
      </c>
      <c r="F2068" s="47" t="inlineStr">
        <is>
          <t>Super Carlin Brothers</t>
        </is>
      </c>
      <c r="G2068" t="inlineStr">
        <is>
          <t>J vs Ben: HARDEST Dobby Trivia Quiz EVER</t>
        </is>
      </c>
      <c r="H2068" s="41" t="n">
        <v>0.02236111111111111</v>
      </c>
      <c r="I2068" s="42" t="n">
        <v>1053329</v>
      </c>
      <c r="J2068" s="42" t="n">
        <v>21103</v>
      </c>
      <c r="K2068" s="42" t="n">
        <v>2978</v>
      </c>
      <c r="L2068" s="43" t="n"/>
      <c r="M2068" s="44" t="n"/>
      <c r="N2068" s="44" t="inlineStr">
        <is>
          <t>UCKZo4N0lVPccBkSiuyVh4yg</t>
        </is>
      </c>
      <c r="O2068" s="45" t="n">
        <v>43333.89166666667</v>
      </c>
      <c r="P2068" s="46" t="n">
        <v>43333</v>
      </c>
      <c r="Q2068" s="44" t="n">
        <v>1204</v>
      </c>
      <c r="R2068" s="44" t="inlineStr">
        <is>
          <t>No Video ID yet</t>
        </is>
      </c>
      <c r="S2068" s="46" t="n"/>
      <c r="T2068" s="46" t="n"/>
      <c r="U2068" s="44" t="n"/>
      <c r="V2068" s="44">
        <f>IF(AND(P2068&gt;=Calendar!$K$2,P2068&lt;EDATE(Calendar!$K$2,1),OR(Calendar!$K$4="*",N2068=Calendar!$K$4)),P2068*100+COUNTIFS($P$6:$P$3271,P2068,$Q$6:$Q$3271,"&lt;="&amp;Q2068,$N$6:$N$3271,Calendar!$K$4),"")</f>
        <v/>
      </c>
      <c r="W2068" s="44">
        <f>IF(AND(B2068=Queue!$C$4,OR(Queue!$K$4="*",N2068=Queue!$K$4)),Q2068,"")</f>
        <v/>
      </c>
    </row>
    <row r="2069">
      <c r="A2069" s="35">
        <f>IF(M2069="","",HYPERLINK("https://www.youtube.com/watch?v="&amp;M2069,"▶"))</f>
        <v/>
      </c>
      <c r="B2069" s="36">
        <f>IF(C2069&lt;&gt;"",C2069,IF(P2069&lt;=IFERROR(INDEX(tblChannels[Watched Through],MATCH(N2069,tblChannels[Channel ID],0)),0),"Watched","Unwatched"))</f>
        <v/>
      </c>
      <c r="C2069" s="37" t="n"/>
      <c r="D2069" s="38" t="n"/>
      <c r="E2069" s="39" t="n">
        <v>43333.58263888889</v>
      </c>
      <c r="F2069" s="50" t="inlineStr">
        <is>
          <t>Jonathan Carlin</t>
        </is>
      </c>
      <c r="G2069" t="inlineStr">
        <is>
          <t>TOUCH A TRUCK</t>
        </is>
      </c>
      <c r="H2069" s="41" t="n">
        <v>0.00587962962962963</v>
      </c>
      <c r="I2069" s="42" t="n">
        <v>26512</v>
      </c>
      <c r="J2069" s="42" t="n">
        <v>1343</v>
      </c>
      <c r="K2069" s="42" t="n">
        <v>116</v>
      </c>
      <c r="L2069" s="43" t="n"/>
      <c r="M2069" s="44" t="n"/>
      <c r="N2069" s="44" t="inlineStr">
        <is>
          <t>UCYPKFe86e6nm4TVUYKLsFUQ</t>
        </is>
      </c>
      <c r="O2069" s="45" t="n">
        <v>43333.74930555555</v>
      </c>
      <c r="P2069" s="46" t="n">
        <v>43333</v>
      </c>
      <c r="Q2069" s="44" t="n">
        <v>1203</v>
      </c>
      <c r="R2069" s="44" t="inlineStr">
        <is>
          <t>No Video ID yet</t>
        </is>
      </c>
      <c r="S2069" s="46" t="n"/>
      <c r="T2069" s="46" t="n"/>
      <c r="U2069" s="44" t="n"/>
      <c r="V2069" s="44">
        <f>IF(AND(P2069&gt;=Calendar!$K$2,P2069&lt;EDATE(Calendar!$K$2,1),OR(Calendar!$K$4="*",N2069=Calendar!$K$4)),P2069*100+COUNTIFS($P$6:$P$3271,P2069,$Q$6:$Q$3271,"&lt;="&amp;Q2069,$N$6:$N$3271,Calendar!$K$4),"")</f>
        <v/>
      </c>
      <c r="W2069" s="44">
        <f>IF(AND(B2069=Queue!$C$4,OR(Queue!$K$4="*",N2069=Queue!$K$4)),Q2069,"")</f>
        <v/>
      </c>
    </row>
    <row r="2070">
      <c r="A2070" s="35">
        <f>IF(M2070="","",HYPERLINK("https://www.youtube.com/watch?v="&amp;M2070,"▶"))</f>
        <v/>
      </c>
      <c r="B2070" s="36">
        <f>IF(C2070&lt;&gt;"",C2070,IF(P2070&lt;=IFERROR(INDEX(tblChannels[Watched Through],MATCH(N2070,tblChannels[Channel ID],0)),0),"Watched","Unwatched"))</f>
        <v/>
      </c>
      <c r="C2070" s="37" t="n"/>
      <c r="D2070" s="38" t="n"/>
      <c r="E2070" s="39" t="n">
        <v>43332.47777777778</v>
      </c>
      <c r="F2070" s="49" t="inlineStr">
        <is>
          <t>Super Carlin Gaming</t>
        </is>
      </c>
      <c r="G2070" t="inlineStr">
        <is>
          <t>Jordan Turns Tomato | Rocket League #43</t>
        </is>
      </c>
      <c r="H2070" s="41" t="n">
        <v>0.01261574074074074</v>
      </c>
      <c r="I2070" s="42" t="n">
        <v>4441</v>
      </c>
      <c r="J2070" s="42" t="n">
        <v>304</v>
      </c>
      <c r="K2070" s="42" t="n">
        <v>74</v>
      </c>
      <c r="L2070" s="43" t="n"/>
      <c r="M2070" s="44" t="n"/>
      <c r="N2070" s="44" t="inlineStr">
        <is>
          <t>UCor_9jRnNNZVzTuQ92PKsaQ</t>
        </is>
      </c>
      <c r="O2070" s="45" t="n">
        <v>43332.64444444444</v>
      </c>
      <c r="P2070" s="46" t="n">
        <v>43332</v>
      </c>
      <c r="Q2070" s="44" t="n">
        <v>1202</v>
      </c>
      <c r="R2070" s="44" t="inlineStr">
        <is>
          <t>No Video ID yet</t>
        </is>
      </c>
      <c r="S2070" s="46" t="n"/>
      <c r="T2070" s="46" t="n"/>
      <c r="U2070" s="44" t="n"/>
      <c r="V2070" s="44">
        <f>IF(AND(P2070&gt;=Calendar!$K$2,P2070&lt;EDATE(Calendar!$K$2,1),OR(Calendar!$K$4="*",N2070=Calendar!$K$4)),P2070*100+COUNTIFS($P$6:$P$3271,P2070,$Q$6:$Q$3271,"&lt;="&amp;Q2070,$N$6:$N$3271,Calendar!$K$4),"")</f>
        <v/>
      </c>
      <c r="W2070" s="44">
        <f>IF(AND(B2070=Queue!$C$4,OR(Queue!$K$4="*",N2070=Queue!$K$4)),Q2070,"")</f>
        <v/>
      </c>
    </row>
    <row r="2071">
      <c r="A2071" s="35">
        <f>IF(M2071="","",HYPERLINK("https://www.youtube.com/watch?v="&amp;M2071,"▶"))</f>
        <v/>
      </c>
      <c r="B2071" s="36">
        <f>IF(C2071&lt;&gt;"",C2071,IF(P2071&lt;=IFERROR(INDEX(tblChannels[Watched Through],MATCH(N2071,tblChannels[Channel ID],0)),0),"Watched","Unwatched"))</f>
        <v/>
      </c>
      <c r="C2071" s="37" t="n"/>
      <c r="D2071" s="38" t="n"/>
      <c r="E2071" s="39" t="n">
        <v>43329.56666666667</v>
      </c>
      <c r="F2071" s="49" t="inlineStr">
        <is>
          <t>Super Carlin Gaming</t>
        </is>
      </c>
      <c r="G2071" t="inlineStr">
        <is>
          <t>Boom Them Real Hard | Rocket League #42</t>
        </is>
      </c>
      <c r="H2071" s="41" t="n">
        <v>0.0140162037037037</v>
      </c>
      <c r="I2071" s="42" t="n">
        <v>4511</v>
      </c>
      <c r="J2071" s="42" t="n">
        <v>250</v>
      </c>
      <c r="K2071" s="42" t="n">
        <v>41</v>
      </c>
      <c r="L2071" s="43" t="n"/>
      <c r="M2071" s="44" t="n"/>
      <c r="N2071" s="44" t="inlineStr">
        <is>
          <t>UCor_9jRnNNZVzTuQ92PKsaQ</t>
        </is>
      </c>
      <c r="O2071" s="45" t="n">
        <v>43329.73333333333</v>
      </c>
      <c r="P2071" s="46" t="n">
        <v>43329</v>
      </c>
      <c r="Q2071" s="44" t="n">
        <v>1201</v>
      </c>
      <c r="R2071" s="44" t="inlineStr">
        <is>
          <t>No Video ID yet</t>
        </is>
      </c>
      <c r="S2071" s="46" t="n"/>
      <c r="T2071" s="46" t="n"/>
      <c r="U2071" s="44" t="n"/>
      <c r="V2071" s="44">
        <f>IF(AND(P2071&gt;=Calendar!$K$2,P2071&lt;EDATE(Calendar!$K$2,1),OR(Calendar!$K$4="*",N2071=Calendar!$K$4)),P2071*100+COUNTIFS($P$6:$P$3271,P2071,$Q$6:$Q$3271,"&lt;="&amp;Q2071,$N$6:$N$3271,Calendar!$K$4),"")</f>
        <v/>
      </c>
      <c r="W2071" s="44">
        <f>IF(AND(B2071=Queue!$C$4,OR(Queue!$K$4="*",N2071=Queue!$K$4)),Q2071,"")</f>
        <v/>
      </c>
    </row>
    <row r="2072">
      <c r="A2072" s="35">
        <f>IF(M2072="","",HYPERLINK("https://www.youtube.com/watch?v="&amp;M2072,"▶"))</f>
        <v/>
      </c>
      <c r="B2072" s="36">
        <f>IF(C2072&lt;&gt;"",C2072,IF(P2072&lt;=IFERROR(INDEX(tblChannels[Watched Through],MATCH(N2072,tblChannels[Channel ID],0)),0),"Watched","Unwatched"))</f>
        <v/>
      </c>
      <c r="C2072" s="37" t="n"/>
      <c r="D2072" s="38" t="n"/>
      <c r="E2072" s="39" t="n">
        <v>43328.79305555556</v>
      </c>
      <c r="F2072" s="47" t="inlineStr">
        <is>
          <t>Super Carlin Brothers</t>
        </is>
      </c>
      <c r="G2072" t="inlineStr">
        <is>
          <t>How Loki Is Almost Definitely Still Alive</t>
        </is>
      </c>
      <c r="H2072" s="41" t="n">
        <v>0.007453703703703704</v>
      </c>
      <c r="I2072" s="42" t="n">
        <v>1932568</v>
      </c>
      <c r="J2072" s="42" t="n">
        <v>60471</v>
      </c>
      <c r="K2072" s="42" t="n">
        <v>12156</v>
      </c>
      <c r="L2072" s="43" t="n"/>
      <c r="M2072" s="44" t="n"/>
      <c r="N2072" s="44" t="inlineStr">
        <is>
          <t>UCKZo4N0lVPccBkSiuyVh4yg</t>
        </is>
      </c>
      <c r="O2072" s="45" t="n">
        <v>43328.95972222222</v>
      </c>
      <c r="P2072" s="46" t="n">
        <v>43328</v>
      </c>
      <c r="Q2072" s="44" t="n">
        <v>1200</v>
      </c>
      <c r="R2072" s="44" t="inlineStr">
        <is>
          <t>No Video ID yet</t>
        </is>
      </c>
      <c r="S2072" s="46" t="n"/>
      <c r="T2072" s="46" t="n"/>
      <c r="U2072" s="44" t="n"/>
      <c r="V2072" s="44">
        <f>IF(AND(P2072&gt;=Calendar!$K$2,P2072&lt;EDATE(Calendar!$K$2,1),OR(Calendar!$K$4="*",N2072=Calendar!$K$4)),P2072*100+COUNTIFS($P$6:$P$3271,P2072,$Q$6:$Q$3271,"&lt;="&amp;Q2072,$N$6:$N$3271,Calendar!$K$4),"")</f>
        <v/>
      </c>
      <c r="W2072" s="44">
        <f>IF(AND(B2072=Queue!$C$4,OR(Queue!$K$4="*",N2072=Queue!$K$4)),Q2072,"")</f>
        <v/>
      </c>
    </row>
    <row r="2073">
      <c r="A2073" s="35">
        <f>IF(M2073="","",HYPERLINK("https://www.youtube.com/watch?v="&amp;M2073,"▶"))</f>
        <v/>
      </c>
      <c r="B2073" s="36">
        <f>IF(C2073&lt;&gt;"",C2073,IF(P2073&lt;=IFERROR(INDEX(tblChannels[Watched Through],MATCH(N2073,tblChannels[Channel ID],0)),0),"Watched","Unwatched"))</f>
        <v/>
      </c>
      <c r="C2073" s="37" t="n"/>
      <c r="D2073" s="38" t="n"/>
      <c r="E2073" s="39" t="n">
        <v>43328.51944444444</v>
      </c>
      <c r="F2073" s="49" t="inlineStr">
        <is>
          <t>Super Carlin Gaming</t>
        </is>
      </c>
      <c r="G2073" t="inlineStr">
        <is>
          <t>Age in Dog Years | Rocket League #41</t>
        </is>
      </c>
      <c r="H2073" s="41" t="n">
        <v>0.01325231481481481</v>
      </c>
      <c r="I2073" s="42" t="n">
        <v>4414</v>
      </c>
      <c r="J2073" s="42" t="n">
        <v>268</v>
      </c>
      <c r="K2073" s="42" t="n">
        <v>54</v>
      </c>
      <c r="L2073" s="43" t="n"/>
      <c r="M2073" s="44" t="n"/>
      <c r="N2073" s="44" t="inlineStr">
        <is>
          <t>UCor_9jRnNNZVzTuQ92PKsaQ</t>
        </is>
      </c>
      <c r="O2073" s="45" t="n">
        <v>43328.68611111111</v>
      </c>
      <c r="P2073" s="46" t="n">
        <v>43328</v>
      </c>
      <c r="Q2073" s="44" t="n">
        <v>1199</v>
      </c>
      <c r="R2073" s="44" t="inlineStr">
        <is>
          <t>No Video ID yet</t>
        </is>
      </c>
      <c r="S2073" s="46" t="n"/>
      <c r="T2073" s="46" t="n"/>
      <c r="U2073" s="44" t="n"/>
      <c r="V2073" s="44">
        <f>IF(AND(P2073&gt;=Calendar!$K$2,P2073&lt;EDATE(Calendar!$K$2,1),OR(Calendar!$K$4="*",N2073=Calendar!$K$4)),P2073*100+COUNTIFS($P$6:$P$3271,P2073,$Q$6:$Q$3271,"&lt;="&amp;Q2073,$N$6:$N$3271,Calendar!$K$4),"")</f>
        <v/>
      </c>
      <c r="W2073" s="44">
        <f>IF(AND(B2073=Queue!$C$4,OR(Queue!$K$4="*",N2073=Queue!$K$4)),Q2073,"")</f>
        <v/>
      </c>
    </row>
    <row r="2074">
      <c r="A2074" s="35">
        <f>IF(M2074="","",HYPERLINK("https://www.youtube.com/watch?v="&amp;M2074,"▶"))</f>
        <v/>
      </c>
      <c r="B2074" s="36">
        <f>IF(C2074&lt;&gt;"",C2074,IF(P2074&lt;=IFERROR(INDEX(tblChannels[Watched Through],MATCH(N2074,tblChannels[Channel ID],0)),0),"Watched","Unwatched"))</f>
        <v/>
      </c>
      <c r="C2074" s="37" t="n"/>
      <c r="D2074" s="38" t="n"/>
      <c r="E2074" s="39" t="n">
        <v>43327.94097222222</v>
      </c>
      <c r="F2074" s="49" t="inlineStr">
        <is>
          <t>Super Carlin Gaming</t>
        </is>
      </c>
      <c r="G2074" t="inlineStr">
        <is>
          <t>LIVE! Sims 4 - We Have A New Neighbor!</t>
        </is>
      </c>
      <c r="H2074" s="41" t="n">
        <v>0.08934027777777778</v>
      </c>
      <c r="I2074" s="42" t="n">
        <v>10077</v>
      </c>
      <c r="J2074" s="42" t="n">
        <v>271</v>
      </c>
      <c r="K2074" s="42" t="n">
        <v>21</v>
      </c>
      <c r="L2074" s="43" t="n"/>
      <c r="M2074" s="44" t="n"/>
      <c r="N2074" s="44" t="inlineStr">
        <is>
          <t>UCor_9jRnNNZVzTuQ92PKsaQ</t>
        </is>
      </c>
      <c r="O2074" s="45" t="n">
        <v>43328.10763888889</v>
      </c>
      <c r="P2074" s="46" t="n">
        <v>43327</v>
      </c>
      <c r="Q2074" s="44" t="n">
        <v>1198</v>
      </c>
      <c r="R2074" s="44" t="inlineStr">
        <is>
          <t>No Video ID yet</t>
        </is>
      </c>
      <c r="S2074" s="46" t="n"/>
      <c r="T2074" s="46" t="n"/>
      <c r="U2074" s="44" t="n"/>
      <c r="V2074" s="44">
        <f>IF(AND(P2074&gt;=Calendar!$K$2,P2074&lt;EDATE(Calendar!$K$2,1),OR(Calendar!$K$4="*",N2074=Calendar!$K$4)),P2074*100+COUNTIFS($P$6:$P$3271,P2074,$Q$6:$Q$3271,"&lt;="&amp;Q2074,$N$6:$N$3271,Calendar!$K$4),"")</f>
        <v/>
      </c>
      <c r="W2074" s="44">
        <f>IF(AND(B2074=Queue!$C$4,OR(Queue!$K$4="*",N2074=Queue!$K$4)),Q2074,"")</f>
        <v/>
      </c>
    </row>
    <row r="2075">
      <c r="A2075" s="35">
        <f>IF(M2075="","",HYPERLINK("https://www.youtube.com/watch?v="&amp;M2075,"▶"))</f>
        <v/>
      </c>
      <c r="B2075" s="36">
        <f>IF(C2075&lt;&gt;"",C2075,IF(P2075&lt;=IFERROR(INDEX(tblChannels[Watched Through],MATCH(N2075,tblChannels[Channel ID],0)),0),"Watched","Unwatched"))</f>
        <v/>
      </c>
      <c r="C2075" s="37" t="n"/>
      <c r="D2075" s="38" t="n"/>
      <c r="E2075" s="39" t="n">
        <v>43326.71041666667</v>
      </c>
      <c r="F2075" s="47" t="inlineStr">
        <is>
          <t>Super Carlin Brothers</t>
        </is>
      </c>
      <c r="G2075" t="inlineStr">
        <is>
          <t>Frozen's Oaken Explained</t>
        </is>
      </c>
      <c r="H2075" s="41" t="n">
        <v>0.007106481481481482</v>
      </c>
      <c r="I2075" s="42" t="n">
        <v>557494</v>
      </c>
      <c r="J2075" s="42" t="n">
        <v>18143</v>
      </c>
      <c r="K2075" s="42" t="n">
        <v>2938</v>
      </c>
      <c r="L2075" s="43" t="n"/>
      <c r="M2075" s="44" t="n"/>
      <c r="N2075" s="44" t="inlineStr">
        <is>
          <t>UCKZo4N0lVPccBkSiuyVh4yg</t>
        </is>
      </c>
      <c r="O2075" s="45" t="n">
        <v>43326.87708333333</v>
      </c>
      <c r="P2075" s="46" t="n">
        <v>43326</v>
      </c>
      <c r="Q2075" s="44" t="n">
        <v>1197</v>
      </c>
      <c r="R2075" s="44" t="inlineStr">
        <is>
          <t>No Video ID yet</t>
        </is>
      </c>
      <c r="S2075" s="46" t="n"/>
      <c r="T2075" s="46" t="n"/>
      <c r="U2075" s="44" t="n"/>
      <c r="V2075" s="44">
        <f>IF(AND(P2075&gt;=Calendar!$K$2,P2075&lt;EDATE(Calendar!$K$2,1),OR(Calendar!$K$4="*",N2075=Calendar!$K$4)),P2075*100+COUNTIFS($P$6:$P$3271,P2075,$Q$6:$Q$3271,"&lt;="&amp;Q2075,$N$6:$N$3271,Calendar!$K$4),"")</f>
        <v/>
      </c>
      <c r="W2075" s="44">
        <f>IF(AND(B2075=Queue!$C$4,OR(Queue!$K$4="*",N2075=Queue!$K$4)),Q2075,"")</f>
        <v/>
      </c>
    </row>
    <row r="2076">
      <c r="A2076" s="35">
        <f>IF(M2076="","",HYPERLINK("https://www.youtube.com/watch?v="&amp;M2076,"▶"))</f>
        <v/>
      </c>
      <c r="B2076" s="36">
        <f>IF(C2076&lt;&gt;"",C2076,IF(P2076&lt;=IFERROR(INDEX(tblChannels[Watched Through],MATCH(N2076,tblChannels[Channel ID],0)),0),"Watched","Unwatched"))</f>
        <v/>
      </c>
      <c r="C2076" s="37" t="n"/>
      <c r="D2076" s="38" t="n"/>
      <c r="E2076" s="39" t="n">
        <v>43325.66875</v>
      </c>
      <c r="F2076" s="49" t="inlineStr">
        <is>
          <t>Super Carlin Gaming</t>
        </is>
      </c>
      <c r="G2076" t="inlineStr">
        <is>
          <t>Moon Pizza | Rocket League #40</t>
        </is>
      </c>
      <c r="H2076" s="41" t="n">
        <v>0.01715277777777778</v>
      </c>
      <c r="I2076" s="42" t="n">
        <v>5173</v>
      </c>
      <c r="J2076" s="42" t="n">
        <v>274</v>
      </c>
      <c r="K2076" s="42" t="n">
        <v>95</v>
      </c>
      <c r="L2076" s="43" t="n"/>
      <c r="M2076" s="44" t="n"/>
      <c r="N2076" s="44" t="inlineStr">
        <is>
          <t>UCor_9jRnNNZVzTuQ92PKsaQ</t>
        </is>
      </c>
      <c r="O2076" s="45" t="n">
        <v>43325.83541666667</v>
      </c>
      <c r="P2076" s="46" t="n">
        <v>43325</v>
      </c>
      <c r="Q2076" s="44" t="n">
        <v>1196</v>
      </c>
      <c r="R2076" s="44" t="inlineStr">
        <is>
          <t>No Video ID yet</t>
        </is>
      </c>
      <c r="S2076" s="46" t="n"/>
      <c r="T2076" s="46" t="n"/>
      <c r="U2076" s="44" t="n"/>
      <c r="V2076" s="44">
        <f>IF(AND(P2076&gt;=Calendar!$K$2,P2076&lt;EDATE(Calendar!$K$2,1),OR(Calendar!$K$4="*",N2076=Calendar!$K$4)),P2076*100+COUNTIFS($P$6:$P$3271,P2076,$Q$6:$Q$3271,"&lt;="&amp;Q2076,$N$6:$N$3271,Calendar!$K$4),"")</f>
        <v/>
      </c>
      <c r="W2076" s="44">
        <f>IF(AND(B2076=Queue!$C$4,OR(Queue!$K$4="*",N2076=Queue!$K$4)),Q2076,"")</f>
        <v/>
      </c>
    </row>
    <row r="2077">
      <c r="A2077" s="35">
        <f>IF(M2077="","",HYPERLINK("https://www.youtube.com/watch?v="&amp;M2077,"▶"))</f>
        <v/>
      </c>
      <c r="B2077" s="36">
        <f>IF(C2077&lt;&gt;"",C2077,IF(P2077&lt;=IFERROR(INDEX(tblChannels[Watched Through],MATCH(N2077,tblChannels[Channel ID],0)),0),"Watched","Unwatched"))</f>
        <v/>
      </c>
      <c r="C2077" s="37" t="n"/>
      <c r="D2077" s="38" t="n"/>
      <c r="E2077" s="39" t="n">
        <v>43325.55555555555</v>
      </c>
      <c r="F2077" s="50" t="inlineStr">
        <is>
          <t>Jonathan Carlin</t>
        </is>
      </c>
      <c r="G2077" t="inlineStr">
        <is>
          <t>10 DAYS IN FLORIDA</t>
        </is>
      </c>
      <c r="H2077" s="41" t="n">
        <v>0.009409722222222222</v>
      </c>
      <c r="I2077" s="42" t="n">
        <v>46221</v>
      </c>
      <c r="J2077" s="42" t="n">
        <v>2311</v>
      </c>
      <c r="K2077" s="42" t="n">
        <v>403</v>
      </c>
      <c r="L2077" s="43" t="n"/>
      <c r="M2077" s="44" t="n"/>
      <c r="N2077" s="44" t="inlineStr">
        <is>
          <t>UCYPKFe86e6nm4TVUYKLsFUQ</t>
        </is>
      </c>
      <c r="O2077" s="45" t="n">
        <v>43325.72222222222</v>
      </c>
      <c r="P2077" s="46" t="n">
        <v>43325</v>
      </c>
      <c r="Q2077" s="44" t="n">
        <v>1195</v>
      </c>
      <c r="R2077" s="44" t="inlineStr">
        <is>
          <t>No Video ID yet</t>
        </is>
      </c>
      <c r="S2077" s="46" t="n"/>
      <c r="T2077" s="46" t="n"/>
      <c r="U2077" s="44" t="n"/>
      <c r="V2077" s="44">
        <f>IF(AND(P2077&gt;=Calendar!$K$2,P2077&lt;EDATE(Calendar!$K$2,1),OR(Calendar!$K$4="*",N2077=Calendar!$K$4)),P2077*100+COUNTIFS($P$6:$P$3271,P2077,$Q$6:$Q$3271,"&lt;="&amp;Q2077,$N$6:$N$3271,Calendar!$K$4),"")</f>
        <v/>
      </c>
      <c r="W2077" s="44">
        <f>IF(AND(B2077=Queue!$C$4,OR(Queue!$K$4="*",N2077=Queue!$K$4)),Q2077,"")</f>
        <v/>
      </c>
    </row>
    <row r="2078">
      <c r="A2078" s="35">
        <f>IF(M2078="","",HYPERLINK("https://www.youtube.com/watch?v="&amp;M2078,"▶"))</f>
        <v/>
      </c>
      <c r="B2078" s="36">
        <f>IF(C2078&lt;&gt;"",C2078,IF(P2078&lt;=IFERROR(INDEX(tblChannels[Watched Through],MATCH(N2078,tblChannels[Channel ID],0)),0),"Watched","Unwatched"))</f>
        <v/>
      </c>
      <c r="C2078" s="37" t="n"/>
      <c r="D2078" s="38" t="n"/>
      <c r="E2078" s="39" t="n">
        <v>43321.77569444444</v>
      </c>
      <c r="F2078" s="47" t="inlineStr">
        <is>
          <t>Super Carlin Brothers</t>
        </is>
      </c>
      <c r="G2078" t="inlineStr">
        <is>
          <t>Why Dumbledore Actually Hired Lockhart</t>
        </is>
      </c>
      <c r="H2078" s="41" t="n">
        <v>0.00681712962962963</v>
      </c>
      <c r="I2078" s="42" t="n">
        <v>1896813</v>
      </c>
      <c r="J2078" s="42" t="n">
        <v>43895</v>
      </c>
      <c r="K2078" s="42" t="n">
        <v>5636</v>
      </c>
      <c r="L2078" s="43" t="n"/>
      <c r="M2078" s="44" t="n"/>
      <c r="N2078" s="44" t="inlineStr">
        <is>
          <t>UCKZo4N0lVPccBkSiuyVh4yg</t>
        </is>
      </c>
      <c r="O2078" s="45" t="n">
        <v>43321.94236111111</v>
      </c>
      <c r="P2078" s="46" t="n">
        <v>43321</v>
      </c>
      <c r="Q2078" s="44" t="n">
        <v>1194</v>
      </c>
      <c r="R2078" s="44" t="inlineStr">
        <is>
          <t>No Video ID yet</t>
        </is>
      </c>
      <c r="S2078" s="46" t="n"/>
      <c r="T2078" s="46" t="n"/>
      <c r="U2078" s="44" t="n"/>
      <c r="V2078" s="44">
        <f>IF(AND(P2078&gt;=Calendar!$K$2,P2078&lt;EDATE(Calendar!$K$2,1),OR(Calendar!$K$4="*",N2078=Calendar!$K$4)),P2078*100+COUNTIFS($P$6:$P$3271,P2078,$Q$6:$Q$3271,"&lt;="&amp;Q2078,$N$6:$N$3271,Calendar!$K$4),"")</f>
        <v/>
      </c>
      <c r="W2078" s="44">
        <f>IF(AND(B2078=Queue!$C$4,OR(Queue!$K$4="*",N2078=Queue!$K$4)),Q2078,"")</f>
        <v/>
      </c>
    </row>
    <row r="2079">
      <c r="A2079" s="35">
        <f>IF(M2079="","",HYPERLINK("https://www.youtube.com/watch?v="&amp;M2079,"▶"))</f>
        <v/>
      </c>
      <c r="B2079" s="36">
        <f>IF(C2079&lt;&gt;"",C2079,IF(P2079&lt;=IFERROR(INDEX(tblChannels[Watched Through],MATCH(N2079,tblChannels[Channel ID],0)),0),"Watched","Unwatched"))</f>
        <v/>
      </c>
      <c r="C2079" s="37" t="n"/>
      <c r="D2079" s="38" t="n"/>
      <c r="E2079" s="39" t="n">
        <v>43320.60347222222</v>
      </c>
      <c r="F2079" s="49" t="inlineStr">
        <is>
          <t>Super Carlin Gaming</t>
        </is>
      </c>
      <c r="G2079" t="inlineStr">
        <is>
          <t>Shoes on Animals | Rocket League #38</t>
        </is>
      </c>
      <c r="H2079" s="41" t="n">
        <v>0.01344907407407407</v>
      </c>
      <c r="I2079" s="42" t="n">
        <v>4975</v>
      </c>
      <c r="J2079" s="42" t="n">
        <v>298</v>
      </c>
      <c r="K2079" s="42" t="n">
        <v>82</v>
      </c>
      <c r="L2079" s="43" t="n"/>
      <c r="M2079" s="44" t="n"/>
      <c r="N2079" s="44" t="inlineStr">
        <is>
          <t>UCor_9jRnNNZVzTuQ92PKsaQ</t>
        </is>
      </c>
      <c r="O2079" s="45" t="n">
        <v>43320.77013888889</v>
      </c>
      <c r="P2079" s="46" t="n">
        <v>43320</v>
      </c>
      <c r="Q2079" s="44" t="n">
        <v>1193</v>
      </c>
      <c r="R2079" s="44" t="inlineStr">
        <is>
          <t>No Video ID yet</t>
        </is>
      </c>
      <c r="S2079" s="46" t="n"/>
      <c r="T2079" s="46" t="n"/>
      <c r="U2079" s="44" t="n"/>
      <c r="V2079" s="44">
        <f>IF(AND(P2079&gt;=Calendar!$K$2,P2079&lt;EDATE(Calendar!$K$2,1),OR(Calendar!$K$4="*",N2079=Calendar!$K$4)),P2079*100+COUNTIFS($P$6:$P$3271,P2079,$Q$6:$Q$3271,"&lt;="&amp;Q2079,$N$6:$N$3271,Calendar!$K$4),"")</f>
        <v/>
      </c>
      <c r="W2079" s="44">
        <f>IF(AND(B2079=Queue!$C$4,OR(Queue!$K$4="*",N2079=Queue!$K$4)),Q2079,"")</f>
        <v/>
      </c>
    </row>
    <row r="2080">
      <c r="A2080" s="35">
        <f>IF(M2080="","",HYPERLINK("https://www.youtube.com/watch?v="&amp;M2080,"▶"))</f>
        <v/>
      </c>
      <c r="B2080" s="36">
        <f>IF(C2080&lt;&gt;"",C2080,IF(P2080&lt;=IFERROR(INDEX(tblChannels[Watched Through],MATCH(N2080,tblChannels[Channel ID],0)),0),"Watched","Unwatched"))</f>
        <v/>
      </c>
      <c r="C2080" s="37" t="n"/>
      <c r="D2080" s="38" t="n"/>
      <c r="E2080" s="39" t="n">
        <v>43319.70763888889</v>
      </c>
      <c r="F2080" s="47" t="inlineStr">
        <is>
          <t>Super Carlin Brothers</t>
        </is>
      </c>
      <c r="G2080" t="inlineStr">
        <is>
          <t>The Youngest Quidditch Player | Harry Potter Theory</t>
        </is>
      </c>
      <c r="H2080" s="41" t="n">
        <v>0.007708333333333334</v>
      </c>
      <c r="I2080" s="42" t="n">
        <v>1042595</v>
      </c>
      <c r="J2080" s="42" t="n">
        <v>27651</v>
      </c>
      <c r="K2080" s="42" t="n">
        <v>3122</v>
      </c>
      <c r="L2080" s="43" t="n"/>
      <c r="M2080" s="44" t="n"/>
      <c r="N2080" s="44" t="inlineStr">
        <is>
          <t>UCKZo4N0lVPccBkSiuyVh4yg</t>
        </is>
      </c>
      <c r="O2080" s="45" t="n">
        <v>43319.87430555555</v>
      </c>
      <c r="P2080" s="46" t="n">
        <v>43319</v>
      </c>
      <c r="Q2080" s="44" t="n">
        <v>1192</v>
      </c>
      <c r="R2080" s="44" t="inlineStr">
        <is>
          <t>No Video ID yet</t>
        </is>
      </c>
      <c r="S2080" s="46" t="n"/>
      <c r="T2080" s="46" t="n"/>
      <c r="U2080" s="44" t="n"/>
      <c r="V2080" s="44">
        <f>IF(AND(P2080&gt;=Calendar!$K$2,P2080&lt;EDATE(Calendar!$K$2,1),OR(Calendar!$K$4="*",N2080=Calendar!$K$4)),P2080*100+COUNTIFS($P$6:$P$3271,P2080,$Q$6:$Q$3271,"&lt;="&amp;Q2080,$N$6:$N$3271,Calendar!$K$4),"")</f>
        <v/>
      </c>
      <c r="W2080" s="44">
        <f>IF(AND(B2080=Queue!$C$4,OR(Queue!$K$4="*",N2080=Queue!$K$4)),Q2080,"")</f>
        <v/>
      </c>
    </row>
    <row r="2081">
      <c r="A2081" s="35">
        <f>IF(M2081="","",HYPERLINK("https://www.youtube.com/watch?v="&amp;M2081,"▶"))</f>
        <v/>
      </c>
      <c r="B2081" s="36">
        <f>IF(C2081&lt;&gt;"",C2081,IF(P2081&lt;=IFERROR(INDEX(tblChannels[Watched Through],MATCH(N2081,tblChannels[Channel ID],0)),0),"Watched","Unwatched"))</f>
        <v/>
      </c>
      <c r="C2081" s="37" t="n"/>
      <c r="D2081" s="38" t="n"/>
      <c r="E2081" s="39" t="n">
        <v>43318.68611111111</v>
      </c>
      <c r="F2081" s="49" t="inlineStr">
        <is>
          <t>Super Carlin Gaming</t>
        </is>
      </c>
      <c r="G2081" t="inlineStr">
        <is>
          <t>Cloudy as a Crystal Ball | Rocket League #37</t>
        </is>
      </c>
      <c r="H2081" s="41" t="n">
        <v>0.01519675925925926</v>
      </c>
      <c r="I2081" s="42" t="n">
        <v>5353</v>
      </c>
      <c r="J2081" s="42" t="n">
        <v>258</v>
      </c>
      <c r="K2081" s="42" t="n">
        <v>71</v>
      </c>
      <c r="L2081" s="43" t="n"/>
      <c r="M2081" s="44" t="n"/>
      <c r="N2081" s="44" t="inlineStr">
        <is>
          <t>UCor_9jRnNNZVzTuQ92PKsaQ</t>
        </is>
      </c>
      <c r="O2081" s="45" t="n">
        <v>43318.85277777778</v>
      </c>
      <c r="P2081" s="46" t="n">
        <v>43318</v>
      </c>
      <c r="Q2081" s="44" t="n">
        <v>1191</v>
      </c>
      <c r="R2081" s="44" t="inlineStr">
        <is>
          <t>No Video ID yet</t>
        </is>
      </c>
      <c r="S2081" s="46" t="n"/>
      <c r="T2081" s="46" t="n"/>
      <c r="U2081" s="44" t="n"/>
      <c r="V2081" s="44">
        <f>IF(AND(P2081&gt;=Calendar!$K$2,P2081&lt;EDATE(Calendar!$K$2,1),OR(Calendar!$K$4="*",N2081=Calendar!$K$4)),P2081*100+COUNTIFS($P$6:$P$3271,P2081,$Q$6:$Q$3271,"&lt;="&amp;Q2081,$N$6:$N$3271,Calendar!$K$4),"")</f>
        <v/>
      </c>
      <c r="W2081" s="44">
        <f>IF(AND(B2081=Queue!$C$4,OR(Queue!$K$4="*",N2081=Queue!$K$4)),Q2081,"")</f>
        <v/>
      </c>
    </row>
    <row r="2082">
      <c r="A2082" s="35">
        <f>IF(M2082="","",HYPERLINK("https://www.youtube.com/watch?v="&amp;M2082,"▶"))</f>
        <v/>
      </c>
      <c r="B2082" s="36">
        <f>IF(C2082&lt;&gt;"",C2082,IF(P2082&lt;=IFERROR(INDEX(tblChannels[Watched Through],MATCH(N2082,tblChannels[Channel ID],0)),0),"Watched","Unwatched"))</f>
        <v/>
      </c>
      <c r="C2082" s="37" t="n"/>
      <c r="D2082" s="38" t="n"/>
      <c r="E2082" s="39" t="n">
        <v>43318.5125</v>
      </c>
      <c r="F2082" s="50" t="inlineStr">
        <is>
          <t>Jonathan Carlin</t>
        </is>
      </c>
      <c r="G2082" t="inlineStr">
        <is>
          <t>JORDAN FORGOT THE STRAWS</t>
        </is>
      </c>
      <c r="H2082" s="41" t="n">
        <v>0.005405092592592592</v>
      </c>
      <c r="I2082" s="42" t="n">
        <v>31524</v>
      </c>
      <c r="J2082" s="42" t="n">
        <v>1648</v>
      </c>
      <c r="K2082" s="42" t="n">
        <v>164</v>
      </c>
      <c r="L2082" s="43" t="n"/>
      <c r="M2082" s="44" t="n"/>
      <c r="N2082" s="44" t="inlineStr">
        <is>
          <t>UCYPKFe86e6nm4TVUYKLsFUQ</t>
        </is>
      </c>
      <c r="O2082" s="45" t="n">
        <v>43318.67916666667</v>
      </c>
      <c r="P2082" s="46" t="n">
        <v>43318</v>
      </c>
      <c r="Q2082" s="44" t="n">
        <v>1190</v>
      </c>
      <c r="R2082" s="44" t="inlineStr">
        <is>
          <t>No Video ID yet</t>
        </is>
      </c>
      <c r="S2082" s="46" t="n"/>
      <c r="T2082" s="46" t="n"/>
      <c r="U2082" s="44" t="n"/>
      <c r="V2082" s="44">
        <f>IF(AND(P2082&gt;=Calendar!$K$2,P2082&lt;EDATE(Calendar!$K$2,1),OR(Calendar!$K$4="*",N2082=Calendar!$K$4)),P2082*100+COUNTIFS($P$6:$P$3271,P2082,$Q$6:$Q$3271,"&lt;="&amp;Q2082,$N$6:$N$3271,Calendar!$K$4),"")</f>
        <v/>
      </c>
      <c r="W2082" s="44">
        <f>IF(AND(B2082=Queue!$C$4,OR(Queue!$K$4="*",N2082=Queue!$K$4)),Q2082,"")</f>
        <v/>
      </c>
    </row>
    <row r="2083">
      <c r="A2083" s="35">
        <f>IF(M2083="","",HYPERLINK("https://www.youtube.com/watch?v="&amp;M2083,"▶"))</f>
        <v/>
      </c>
      <c r="B2083" s="36">
        <f>IF(C2083&lt;&gt;"",C2083,IF(P2083&lt;=IFERROR(INDEX(tblChannels[Watched Through],MATCH(N2083,tblChannels[Channel ID],0)),0),"Watched","Unwatched"))</f>
        <v/>
      </c>
      <c r="C2083" s="37" t="n"/>
      <c r="D2083" s="38" t="n"/>
      <c r="E2083" s="39" t="n">
        <v>43315.74930555555</v>
      </c>
      <c r="F2083" s="49" t="inlineStr">
        <is>
          <t>Super Carlin Gaming</t>
        </is>
      </c>
      <c r="G2083" t="inlineStr">
        <is>
          <t>LIVE! Rocket League Friday Afternoon Stream</t>
        </is>
      </c>
      <c r="H2083" s="41" t="n">
        <v>0.05140046296296296</v>
      </c>
      <c r="I2083" s="42" t="n">
        <v>4117</v>
      </c>
      <c r="J2083" s="42" t="n">
        <v>142</v>
      </c>
      <c r="K2083" s="42" t="n">
        <v>19</v>
      </c>
      <c r="L2083" s="43" t="n"/>
      <c r="M2083" s="44" t="n"/>
      <c r="N2083" s="44" t="inlineStr">
        <is>
          <t>UCor_9jRnNNZVzTuQ92PKsaQ</t>
        </is>
      </c>
      <c r="O2083" s="45" t="n">
        <v>43315.91597222222</v>
      </c>
      <c r="P2083" s="46" t="n">
        <v>43315</v>
      </c>
      <c r="Q2083" s="44" t="n">
        <v>1189</v>
      </c>
      <c r="R2083" s="44" t="inlineStr">
        <is>
          <t>No Video ID yet</t>
        </is>
      </c>
      <c r="S2083" s="46" t="n"/>
      <c r="T2083" s="46" t="n"/>
      <c r="U2083" s="44" t="n"/>
      <c r="V2083" s="44">
        <f>IF(AND(P2083&gt;=Calendar!$K$2,P2083&lt;EDATE(Calendar!$K$2,1),OR(Calendar!$K$4="*",N2083=Calendar!$K$4)),P2083*100+COUNTIFS($P$6:$P$3271,P2083,$Q$6:$Q$3271,"&lt;="&amp;Q2083,$N$6:$N$3271,Calendar!$K$4),"")</f>
        <v/>
      </c>
      <c r="W2083" s="44">
        <f>IF(AND(B2083=Queue!$C$4,OR(Queue!$K$4="*",N2083=Queue!$K$4)),Q2083,"")</f>
        <v/>
      </c>
    </row>
    <row r="2084">
      <c r="A2084" s="35">
        <f>IF(M2084="","",HYPERLINK("https://www.youtube.com/watch?v="&amp;M2084,"▶"))</f>
        <v/>
      </c>
      <c r="B2084" s="36">
        <f>IF(C2084&lt;&gt;"",C2084,IF(P2084&lt;=IFERROR(INDEX(tblChannels[Watched Through],MATCH(N2084,tblChannels[Channel ID],0)),0),"Watched","Unwatched"))</f>
        <v/>
      </c>
      <c r="C2084" s="37" t="n"/>
      <c r="D2084" s="38" t="n"/>
      <c r="E2084" s="39" t="n">
        <v>43315.46736111111</v>
      </c>
      <c r="F2084" s="49" t="inlineStr">
        <is>
          <t>Super Carlin Gaming</t>
        </is>
      </c>
      <c r="G2084" t="inlineStr">
        <is>
          <t>Do the Hard Thing | Rocket League #36</t>
        </is>
      </c>
      <c r="H2084" s="41" t="n">
        <v>0.01572916666666667</v>
      </c>
      <c r="I2084" s="42" t="n">
        <v>5218</v>
      </c>
      <c r="J2084" s="42" t="n">
        <v>465</v>
      </c>
      <c r="K2084" s="42" t="n">
        <v>87</v>
      </c>
      <c r="L2084" s="43" t="n"/>
      <c r="M2084" s="44" t="n"/>
      <c r="N2084" s="44" t="inlineStr">
        <is>
          <t>UCor_9jRnNNZVzTuQ92PKsaQ</t>
        </is>
      </c>
      <c r="O2084" s="45" t="n">
        <v>43315.63402777778</v>
      </c>
      <c r="P2084" s="46" t="n">
        <v>43315</v>
      </c>
      <c r="Q2084" s="44" t="n">
        <v>1188</v>
      </c>
      <c r="R2084" s="44" t="inlineStr">
        <is>
          <t>No Video ID yet</t>
        </is>
      </c>
      <c r="S2084" s="46" t="n"/>
      <c r="T2084" s="46" t="n"/>
      <c r="U2084" s="44" t="n"/>
      <c r="V2084" s="44">
        <f>IF(AND(P2084&gt;=Calendar!$K$2,P2084&lt;EDATE(Calendar!$K$2,1),OR(Calendar!$K$4="*",N2084=Calendar!$K$4)),P2084*100+COUNTIFS($P$6:$P$3271,P2084,$Q$6:$Q$3271,"&lt;="&amp;Q2084,$N$6:$N$3271,Calendar!$K$4),"")</f>
        <v/>
      </c>
      <c r="W2084" s="44">
        <f>IF(AND(B2084=Queue!$C$4,OR(Queue!$K$4="*",N2084=Queue!$K$4)),Q2084,"")</f>
        <v/>
      </c>
    </row>
    <row r="2085">
      <c r="A2085" s="35">
        <f>IF(M2085="","",HYPERLINK("https://www.youtube.com/watch?v="&amp;M2085,"▶"))</f>
        <v/>
      </c>
      <c r="B2085" s="36">
        <f>IF(C2085&lt;&gt;"",C2085,IF(P2085&lt;=IFERROR(INDEX(tblChannels[Watched Through],MATCH(N2085,tblChannels[Channel ID],0)),0),"Watched","Unwatched"))</f>
        <v/>
      </c>
      <c r="C2085" s="37" t="n"/>
      <c r="D2085" s="38" t="n"/>
      <c r="E2085" s="39" t="n">
        <v>43314.63888888889</v>
      </c>
      <c r="F2085" s="47" t="inlineStr">
        <is>
          <t>Super Carlin Brothers</t>
        </is>
      </c>
      <c r="G2085" t="inlineStr">
        <is>
          <t>J vs Ben: HARDEST Battle of Hogwarts Quiz EVER</t>
        </is>
      </c>
      <c r="H2085" s="41" t="n">
        <v>0.0172337962962963</v>
      </c>
      <c r="I2085" s="42" t="n">
        <v>808895</v>
      </c>
      <c r="J2085" s="42" t="n">
        <v>17807</v>
      </c>
      <c r="K2085" s="42" t="n">
        <v>2684</v>
      </c>
      <c r="L2085" s="43" t="n"/>
      <c r="M2085" s="44" t="n"/>
      <c r="N2085" s="44" t="inlineStr">
        <is>
          <t>UCKZo4N0lVPccBkSiuyVh4yg</t>
        </is>
      </c>
      <c r="O2085" s="45" t="n">
        <v>43314.80555555555</v>
      </c>
      <c r="P2085" s="46" t="n">
        <v>43314</v>
      </c>
      <c r="Q2085" s="44" t="n">
        <v>1187</v>
      </c>
      <c r="R2085" s="44" t="inlineStr">
        <is>
          <t>No Video ID yet</t>
        </is>
      </c>
      <c r="S2085" s="46" t="n"/>
      <c r="T2085" s="46" t="n"/>
      <c r="U2085" s="44" t="n"/>
      <c r="V2085" s="44">
        <f>IF(AND(P2085&gt;=Calendar!$K$2,P2085&lt;EDATE(Calendar!$K$2,1),OR(Calendar!$K$4="*",N2085=Calendar!$K$4)),P2085*100+COUNTIFS($P$6:$P$3271,P2085,$Q$6:$Q$3271,"&lt;="&amp;Q2085,$N$6:$N$3271,Calendar!$K$4),"")</f>
        <v/>
      </c>
      <c r="W2085" s="44">
        <f>IF(AND(B2085=Queue!$C$4,OR(Queue!$K$4="*",N2085=Queue!$K$4)),Q2085,"")</f>
        <v/>
      </c>
    </row>
    <row r="2086">
      <c r="A2086" s="35">
        <f>IF(M2086="","",HYPERLINK("https://www.youtube.com/watch?v="&amp;M2086,"▶"))</f>
        <v/>
      </c>
      <c r="B2086" s="36">
        <f>IF(C2086&lt;&gt;"",C2086,IF(P2086&lt;=IFERROR(INDEX(tblChannels[Watched Through],MATCH(N2086,tblChannels[Channel ID],0)),0),"Watched","Unwatched"))</f>
        <v/>
      </c>
      <c r="C2086" s="37" t="n"/>
      <c r="D2086" s="38" t="n"/>
      <c r="E2086" s="39" t="n">
        <v>43314.01666666667</v>
      </c>
      <c r="F2086" s="49" t="inlineStr">
        <is>
          <t>Super Carlin Gaming</t>
        </is>
      </c>
      <c r="G2086" t="inlineStr">
        <is>
          <t>LIVE! Sims 4 - Maul's Lair Grows!</t>
        </is>
      </c>
      <c r="H2086" s="41" t="n">
        <v>0.08833333333333333</v>
      </c>
      <c r="I2086" s="42" t="n">
        <v>5851</v>
      </c>
      <c r="J2086" s="42" t="n">
        <v>199</v>
      </c>
      <c r="K2086" s="42" t="n">
        <v>13</v>
      </c>
      <c r="L2086" s="43" t="n"/>
      <c r="M2086" s="44" t="n"/>
      <c r="N2086" s="44" t="inlineStr">
        <is>
          <t>UCor_9jRnNNZVzTuQ92PKsaQ</t>
        </is>
      </c>
      <c r="O2086" s="45" t="n">
        <v>43314.18333333333</v>
      </c>
      <c r="P2086" s="46" t="n">
        <v>43314</v>
      </c>
      <c r="Q2086" s="44" t="n">
        <v>1186</v>
      </c>
      <c r="R2086" s="44" t="inlineStr">
        <is>
          <t>No Video ID yet</t>
        </is>
      </c>
      <c r="S2086" s="46" t="n"/>
      <c r="T2086" s="46" t="n"/>
      <c r="U2086" s="44" t="n"/>
      <c r="V2086" s="44">
        <f>IF(AND(P2086&gt;=Calendar!$K$2,P2086&lt;EDATE(Calendar!$K$2,1),OR(Calendar!$K$4="*",N2086=Calendar!$K$4)),P2086*100+COUNTIFS($P$6:$P$3271,P2086,$Q$6:$Q$3271,"&lt;="&amp;Q2086,$N$6:$N$3271,Calendar!$K$4),"")</f>
        <v/>
      </c>
      <c r="W2086" s="44">
        <f>IF(AND(B2086=Queue!$C$4,OR(Queue!$K$4="*",N2086=Queue!$K$4)),Q2086,"")</f>
        <v/>
      </c>
    </row>
    <row r="2087">
      <c r="A2087" s="35">
        <f>IF(M2087="","",HYPERLINK("https://www.youtube.com/watch?v="&amp;M2087,"▶"))</f>
        <v/>
      </c>
      <c r="B2087" s="36">
        <f>IF(C2087&lt;&gt;"",C2087,IF(P2087&lt;=IFERROR(INDEX(tblChannels[Watched Through],MATCH(N2087,tblChannels[Channel ID],0)),0),"Watched","Unwatched"))</f>
        <v/>
      </c>
      <c r="C2087" s="37" t="n"/>
      <c r="D2087" s="38" t="n"/>
      <c r="E2087" s="39" t="n">
        <v>43313.50486111111</v>
      </c>
      <c r="F2087" s="49" t="inlineStr">
        <is>
          <t>Super Carlin Gaming</t>
        </is>
      </c>
      <c r="G2087" t="inlineStr">
        <is>
          <t>Puppy Cuddles | Rocket League #35</t>
        </is>
      </c>
      <c r="H2087" s="41" t="n">
        <v>0.01324074074074074</v>
      </c>
      <c r="I2087" s="42" t="n">
        <v>5787</v>
      </c>
      <c r="J2087" s="42" t="n">
        <v>331</v>
      </c>
      <c r="K2087" s="42" t="n">
        <v>55</v>
      </c>
      <c r="L2087" s="43" t="n"/>
      <c r="M2087" s="44" t="n"/>
      <c r="N2087" s="44" t="inlineStr">
        <is>
          <t>UCor_9jRnNNZVzTuQ92PKsaQ</t>
        </is>
      </c>
      <c r="O2087" s="45" t="n">
        <v>43313.67152777778</v>
      </c>
      <c r="P2087" s="46" t="n">
        <v>43313</v>
      </c>
      <c r="Q2087" s="44" t="n">
        <v>1185</v>
      </c>
      <c r="R2087" s="44" t="inlineStr">
        <is>
          <t>No Video ID yet</t>
        </is>
      </c>
      <c r="S2087" s="46" t="n"/>
      <c r="T2087" s="46" t="n"/>
      <c r="U2087" s="44" t="n"/>
      <c r="V2087" s="44">
        <f>IF(AND(P2087&gt;=Calendar!$K$2,P2087&lt;EDATE(Calendar!$K$2,1),OR(Calendar!$K$4="*",N2087=Calendar!$K$4)),P2087*100+COUNTIFS($P$6:$P$3271,P2087,$Q$6:$Q$3271,"&lt;="&amp;Q2087,$N$6:$N$3271,Calendar!$K$4),"")</f>
        <v/>
      </c>
      <c r="W2087" s="44">
        <f>IF(AND(B2087=Queue!$C$4,OR(Queue!$K$4="*",N2087=Queue!$K$4)),Q2087,"")</f>
        <v/>
      </c>
    </row>
    <row r="2088">
      <c r="A2088" s="35">
        <f>IF(M2088="","",HYPERLINK("https://www.youtube.com/watch?v="&amp;M2088,"▶"))</f>
        <v/>
      </c>
      <c r="B2088" s="36">
        <f>IF(C2088&lt;&gt;"",C2088,IF(P2088&lt;=IFERROR(INDEX(tblChannels[Watched Through],MATCH(N2088,tblChannels[Channel ID],0)),0),"Watched","Unwatched"))</f>
        <v/>
      </c>
      <c r="C2088" s="37" t="n"/>
      <c r="D2088" s="38" t="n"/>
      <c r="E2088" s="39" t="n">
        <v>43312.68611111111</v>
      </c>
      <c r="F2088" s="47" t="inlineStr">
        <is>
          <t>Super Carlin Brothers</t>
        </is>
      </c>
      <c r="G2088" t="inlineStr">
        <is>
          <t>Harry Potter Theory: Kowalski Is A Descendant Of Helga Hufflepuff</t>
        </is>
      </c>
      <c r="H2088" s="41" t="n">
        <v>0.007800925925925926</v>
      </c>
      <c r="I2088" s="42" t="n">
        <v>1272173</v>
      </c>
      <c r="J2088" s="42" t="n">
        <v>38298</v>
      </c>
      <c r="K2088" s="42" t="n">
        <v>5096</v>
      </c>
      <c r="L2088" s="43" t="n"/>
      <c r="M2088" s="44" t="n"/>
      <c r="N2088" s="44" t="inlineStr">
        <is>
          <t>UCKZo4N0lVPccBkSiuyVh4yg</t>
        </is>
      </c>
      <c r="O2088" s="45" t="n">
        <v>43312.85277777778</v>
      </c>
      <c r="P2088" s="46" t="n">
        <v>43312</v>
      </c>
      <c r="Q2088" s="44" t="n">
        <v>1184</v>
      </c>
      <c r="R2088" s="44" t="inlineStr">
        <is>
          <t>No Video ID yet</t>
        </is>
      </c>
      <c r="S2088" s="46" t="n"/>
      <c r="T2088" s="46" t="n"/>
      <c r="U2088" s="44" t="n"/>
      <c r="V2088" s="44">
        <f>IF(AND(P2088&gt;=Calendar!$K$2,P2088&lt;EDATE(Calendar!$K$2,1),OR(Calendar!$K$4="*",N2088=Calendar!$K$4)),P2088*100+COUNTIFS($P$6:$P$3271,P2088,$Q$6:$Q$3271,"&lt;="&amp;Q2088,$N$6:$N$3271,Calendar!$K$4),"")</f>
        <v/>
      </c>
      <c r="W2088" s="44">
        <f>IF(AND(B2088=Queue!$C$4,OR(Queue!$K$4="*",N2088=Queue!$K$4)),Q2088,"")</f>
        <v/>
      </c>
    </row>
    <row r="2089">
      <c r="A2089" s="35">
        <f>IF(M2089="","",HYPERLINK("https://www.youtube.com/watch?v="&amp;M2089,"▶"))</f>
        <v/>
      </c>
      <c r="B2089" s="36">
        <f>IF(C2089&lt;&gt;"",C2089,IF(P2089&lt;=IFERROR(INDEX(tblChannels[Watched Through],MATCH(N2089,tblChannels[Channel ID],0)),0),"Watched","Unwatched"))</f>
        <v/>
      </c>
      <c r="C2089" s="37" t="n"/>
      <c r="D2089" s="38" t="n"/>
      <c r="E2089" s="39" t="n">
        <v>43311.58125</v>
      </c>
      <c r="F2089" s="49" t="inlineStr">
        <is>
          <t>Super Carlin Gaming</t>
        </is>
      </c>
      <c r="G2089" t="inlineStr">
        <is>
          <t>Can't Drive Boats on Land | Rocket League #34</t>
        </is>
      </c>
      <c r="H2089" s="41" t="n">
        <v>0.01342592592592593</v>
      </c>
      <c r="I2089" s="42" t="n">
        <v>4891</v>
      </c>
      <c r="J2089" s="42" t="n">
        <v>252</v>
      </c>
      <c r="K2089" s="42" t="n">
        <v>73</v>
      </c>
      <c r="L2089" s="43" t="n"/>
      <c r="M2089" s="44" t="n"/>
      <c r="N2089" s="44" t="inlineStr">
        <is>
          <t>UCor_9jRnNNZVzTuQ92PKsaQ</t>
        </is>
      </c>
      <c r="O2089" s="45" t="n">
        <v>43311.74791666667</v>
      </c>
      <c r="P2089" s="46" t="n">
        <v>43311</v>
      </c>
      <c r="Q2089" s="44" t="n">
        <v>1183</v>
      </c>
      <c r="R2089" s="44" t="inlineStr">
        <is>
          <t>No Video ID yet</t>
        </is>
      </c>
      <c r="S2089" s="46" t="n"/>
      <c r="T2089" s="46" t="n"/>
      <c r="U2089" s="44" t="n"/>
      <c r="V2089" s="44">
        <f>IF(AND(P2089&gt;=Calendar!$K$2,P2089&lt;EDATE(Calendar!$K$2,1),OR(Calendar!$K$4="*",N2089=Calendar!$K$4)),P2089*100+COUNTIFS($P$6:$P$3271,P2089,$Q$6:$Q$3271,"&lt;="&amp;Q2089,$N$6:$N$3271,Calendar!$K$4),"")</f>
        <v/>
      </c>
      <c r="W2089" s="44">
        <f>IF(AND(B2089=Queue!$C$4,OR(Queue!$K$4="*",N2089=Queue!$K$4)),Q2089,"")</f>
        <v/>
      </c>
    </row>
    <row r="2090">
      <c r="A2090" s="35">
        <f>IF(M2090="","",HYPERLINK("https://www.youtube.com/watch?v="&amp;M2090,"▶"))</f>
        <v/>
      </c>
      <c r="B2090" s="36">
        <f>IF(C2090&lt;&gt;"",C2090,IF(P2090&lt;=IFERROR(INDEX(tblChannels[Watched Through],MATCH(N2090,tblChannels[Channel ID],0)),0),"Watched","Unwatched"))</f>
        <v/>
      </c>
      <c r="C2090" s="37" t="n"/>
      <c r="D2090" s="38" t="n"/>
      <c r="E2090" s="39" t="n">
        <v>43311.50833333333</v>
      </c>
      <c r="F2090" s="50" t="inlineStr">
        <is>
          <t>Jonathan Carlin</t>
        </is>
      </c>
      <c r="G2090" t="inlineStr">
        <is>
          <t>BETH AND LUKE GO TO NEW YORK</t>
        </is>
      </c>
      <c r="H2090" s="41" t="n">
        <v>0.006527777777777778</v>
      </c>
      <c r="I2090" s="42" t="n">
        <v>30512</v>
      </c>
      <c r="J2090" s="42" t="n">
        <v>1500</v>
      </c>
      <c r="K2090" s="42" t="n">
        <v>166</v>
      </c>
      <c r="L2090" s="43" t="n"/>
      <c r="M2090" s="44" t="n"/>
      <c r="N2090" s="44" t="inlineStr">
        <is>
          <t>UCYPKFe86e6nm4TVUYKLsFUQ</t>
        </is>
      </c>
      <c r="O2090" s="45" t="n">
        <v>43311.675</v>
      </c>
      <c r="P2090" s="46" t="n">
        <v>43311</v>
      </c>
      <c r="Q2090" s="44" t="n">
        <v>1182</v>
      </c>
      <c r="R2090" s="44" t="inlineStr">
        <is>
          <t>No Video ID yet</t>
        </is>
      </c>
      <c r="S2090" s="46" t="n"/>
      <c r="T2090" s="46" t="n"/>
      <c r="U2090" s="44" t="n"/>
      <c r="V2090" s="44">
        <f>IF(AND(P2090&gt;=Calendar!$K$2,P2090&lt;EDATE(Calendar!$K$2,1),OR(Calendar!$K$4="*",N2090=Calendar!$K$4)),P2090*100+COUNTIFS($P$6:$P$3271,P2090,$Q$6:$Q$3271,"&lt;="&amp;Q2090,$N$6:$N$3271,Calendar!$K$4),"")</f>
        <v/>
      </c>
      <c r="W2090" s="44">
        <f>IF(AND(B2090=Queue!$C$4,OR(Queue!$K$4="*",N2090=Queue!$K$4)),Q2090,"")</f>
        <v/>
      </c>
    </row>
    <row r="2091">
      <c r="A2091" s="35">
        <f>IF(M2091="","",HYPERLINK("https://www.youtube.com/watch?v="&amp;M2091,"▶"))</f>
        <v/>
      </c>
      <c r="B2091" s="36">
        <f>IF(C2091&lt;&gt;"",C2091,IF(P2091&lt;=IFERROR(INDEX(tblChannels[Watched Through],MATCH(N2091,tblChannels[Channel ID],0)),0),"Watched","Unwatched"))</f>
        <v/>
      </c>
      <c r="C2091" s="37" t="n"/>
      <c r="D2091" s="38" t="n"/>
      <c r="E2091" s="39" t="n">
        <v>43308.52222222222</v>
      </c>
      <c r="F2091" s="49" t="inlineStr">
        <is>
          <t>Super Carlin Gaming</t>
        </is>
      </c>
      <c r="G2091" t="inlineStr">
        <is>
          <t>Clogging Our Way Back Up | Rocket League #33</t>
        </is>
      </c>
      <c r="H2091" s="41" t="n">
        <v>0.01737268518518519</v>
      </c>
      <c r="I2091" s="42" t="n">
        <v>4997</v>
      </c>
      <c r="J2091" s="42" t="n">
        <v>244</v>
      </c>
      <c r="K2091" s="42" t="n">
        <v>67</v>
      </c>
      <c r="L2091" s="43" t="n"/>
      <c r="M2091" s="44" t="n"/>
      <c r="N2091" s="44" t="inlineStr">
        <is>
          <t>UCor_9jRnNNZVzTuQ92PKsaQ</t>
        </is>
      </c>
      <c r="O2091" s="45" t="n">
        <v>43308.68888888889</v>
      </c>
      <c r="P2091" s="46" t="n">
        <v>43308</v>
      </c>
      <c r="Q2091" s="44" t="n">
        <v>1181</v>
      </c>
      <c r="R2091" s="44" t="inlineStr">
        <is>
          <t>No Video ID yet</t>
        </is>
      </c>
      <c r="S2091" s="46" t="n"/>
      <c r="T2091" s="46" t="n"/>
      <c r="U2091" s="44" t="n"/>
      <c r="V2091" s="44">
        <f>IF(AND(P2091&gt;=Calendar!$K$2,P2091&lt;EDATE(Calendar!$K$2,1),OR(Calendar!$K$4="*",N2091=Calendar!$K$4)),P2091*100+COUNTIFS($P$6:$P$3271,P2091,$Q$6:$Q$3271,"&lt;="&amp;Q2091,$N$6:$N$3271,Calendar!$K$4),"")</f>
        <v/>
      </c>
      <c r="W2091" s="44">
        <f>IF(AND(B2091=Queue!$C$4,OR(Queue!$K$4="*",N2091=Queue!$K$4)),Q2091,"")</f>
        <v/>
      </c>
    </row>
    <row r="2092">
      <c r="A2092" s="35">
        <f>IF(M2092="","",HYPERLINK("https://www.youtube.com/watch?v="&amp;M2092,"▶"))</f>
        <v/>
      </c>
      <c r="B2092" s="36">
        <f>IF(C2092&lt;&gt;"",C2092,IF(P2092&lt;=IFERROR(INDEX(tblChannels[Watched Through],MATCH(N2092,tblChannels[Channel ID],0)),0),"Watched","Unwatched"))</f>
        <v/>
      </c>
      <c r="C2092" s="37" t="n"/>
      <c r="D2092" s="38" t="n"/>
      <c r="E2092" s="39" t="n">
        <v>43307.67916666667</v>
      </c>
      <c r="F2092" s="47" t="inlineStr">
        <is>
          <t>Super Carlin Brothers</t>
        </is>
      </c>
      <c r="G2092" t="inlineStr">
        <is>
          <t>J vs Ben: Blind PIXAR Drawing Challenge</t>
        </is>
      </c>
      <c r="H2092" s="41" t="n">
        <v>0.00974537037037037</v>
      </c>
      <c r="I2092" s="42" t="n">
        <v>330800</v>
      </c>
      <c r="J2092" s="42" t="n">
        <v>11558</v>
      </c>
      <c r="K2092" s="42" t="n">
        <v>1218</v>
      </c>
      <c r="L2092" s="43" t="n"/>
      <c r="M2092" s="44" t="n"/>
      <c r="N2092" s="44" t="inlineStr">
        <is>
          <t>UCKZo4N0lVPccBkSiuyVh4yg</t>
        </is>
      </c>
      <c r="O2092" s="45" t="n">
        <v>43307.84583333333</v>
      </c>
      <c r="P2092" s="46" t="n">
        <v>43307</v>
      </c>
      <c r="Q2092" s="44" t="n">
        <v>1180</v>
      </c>
      <c r="R2092" s="44" t="inlineStr">
        <is>
          <t>No Video ID yet</t>
        </is>
      </c>
      <c r="S2092" s="46" t="n"/>
      <c r="T2092" s="46" t="n"/>
      <c r="U2092" s="44" t="n"/>
      <c r="V2092" s="44">
        <f>IF(AND(P2092&gt;=Calendar!$K$2,P2092&lt;EDATE(Calendar!$K$2,1),OR(Calendar!$K$4="*",N2092=Calendar!$K$4)),P2092*100+COUNTIFS($P$6:$P$3271,P2092,$Q$6:$Q$3271,"&lt;="&amp;Q2092,$N$6:$N$3271,Calendar!$K$4),"")</f>
        <v/>
      </c>
      <c r="W2092" s="44">
        <f>IF(AND(B2092=Queue!$C$4,OR(Queue!$K$4="*",N2092=Queue!$K$4)),Q2092,"")</f>
        <v/>
      </c>
    </row>
    <row r="2093">
      <c r="A2093" s="35">
        <f>IF(M2093="","",HYPERLINK("https://www.youtube.com/watch?v="&amp;M2093,"▶"))</f>
        <v/>
      </c>
      <c r="B2093" s="36">
        <f>IF(C2093&lt;&gt;"",C2093,IF(P2093&lt;=IFERROR(INDEX(tblChannels[Watched Through],MATCH(N2093,tblChannels[Channel ID],0)),0),"Watched","Unwatched"))</f>
        <v/>
      </c>
      <c r="C2093" s="37" t="n"/>
      <c r="D2093" s="38" t="n"/>
      <c r="E2093" s="39" t="n">
        <v>43306.75625</v>
      </c>
      <c r="F2093" s="49" t="inlineStr">
        <is>
          <t>Super Carlin Gaming</t>
        </is>
      </c>
      <c r="G2093" t="inlineStr">
        <is>
          <t>LIVE - Shine Thief Returns!</t>
        </is>
      </c>
      <c r="H2093" s="41" t="n">
        <v>0.03729166666666667</v>
      </c>
      <c r="I2093" s="42" t="n">
        <v>5006</v>
      </c>
      <c r="J2093" s="42" t="n">
        <v>219</v>
      </c>
      <c r="K2093" s="42" t="n">
        <v>15</v>
      </c>
      <c r="L2093" s="43" t="n"/>
      <c r="M2093" s="44" t="n"/>
      <c r="N2093" s="44" t="inlineStr">
        <is>
          <t>UCor_9jRnNNZVzTuQ92PKsaQ</t>
        </is>
      </c>
      <c r="O2093" s="45" t="n">
        <v>43306.92291666667</v>
      </c>
      <c r="P2093" s="46" t="n">
        <v>43306</v>
      </c>
      <c r="Q2093" s="44" t="n">
        <v>1179</v>
      </c>
      <c r="R2093" s="44" t="inlineStr">
        <is>
          <t>No Video ID yet</t>
        </is>
      </c>
      <c r="S2093" s="46" t="n"/>
      <c r="T2093" s="46" t="n"/>
      <c r="U2093" s="44" t="n"/>
      <c r="V2093" s="44">
        <f>IF(AND(P2093&gt;=Calendar!$K$2,P2093&lt;EDATE(Calendar!$K$2,1),OR(Calendar!$K$4="*",N2093=Calendar!$K$4)),P2093*100+COUNTIFS($P$6:$P$3271,P2093,$Q$6:$Q$3271,"&lt;="&amp;Q2093,$N$6:$N$3271,Calendar!$K$4),"")</f>
        <v/>
      </c>
      <c r="W2093" s="44">
        <f>IF(AND(B2093=Queue!$C$4,OR(Queue!$K$4="*",N2093=Queue!$K$4)),Q2093,"")</f>
        <v/>
      </c>
    </row>
    <row r="2094">
      <c r="A2094" s="35">
        <f>IF(M2094="","",HYPERLINK("https://www.youtube.com/watch?v="&amp;M2094,"▶"))</f>
        <v/>
      </c>
      <c r="B2094" s="36">
        <f>IF(C2094&lt;&gt;"",C2094,IF(P2094&lt;=IFERROR(INDEX(tblChannels[Watched Through],MATCH(N2094,tblChannels[Channel ID],0)),0),"Watched","Unwatched"))</f>
        <v/>
      </c>
      <c r="C2094" s="37" t="n"/>
      <c r="D2094" s="38" t="n"/>
      <c r="E2094" s="39" t="n">
        <v>43306.50138888889</v>
      </c>
      <c r="F2094" s="49" t="inlineStr">
        <is>
          <t>Super Carlin Gaming</t>
        </is>
      </c>
      <c r="G2094" t="inlineStr">
        <is>
          <t>The Awful Nutmeg | Rocket League #32</t>
        </is>
      </c>
      <c r="H2094" s="41" t="n">
        <v>0.0118287037037037</v>
      </c>
      <c r="I2094" s="42" t="n">
        <v>4819</v>
      </c>
      <c r="J2094" s="42" t="n">
        <v>214</v>
      </c>
      <c r="K2094" s="42" t="n">
        <v>34</v>
      </c>
      <c r="L2094" s="43" t="n"/>
      <c r="M2094" s="44" t="n"/>
      <c r="N2094" s="44" t="inlineStr">
        <is>
          <t>UCor_9jRnNNZVzTuQ92PKsaQ</t>
        </is>
      </c>
      <c r="O2094" s="45" t="n">
        <v>43306.66805555556</v>
      </c>
      <c r="P2094" s="46" t="n">
        <v>43306</v>
      </c>
      <c r="Q2094" s="44" t="n">
        <v>1178</v>
      </c>
      <c r="R2094" s="44" t="inlineStr">
        <is>
          <t>No Video ID yet</t>
        </is>
      </c>
      <c r="S2094" s="46" t="n"/>
      <c r="T2094" s="46" t="n"/>
      <c r="U2094" s="44" t="n"/>
      <c r="V2094" s="44">
        <f>IF(AND(P2094&gt;=Calendar!$K$2,P2094&lt;EDATE(Calendar!$K$2,1),OR(Calendar!$K$4="*",N2094=Calendar!$K$4)),P2094*100+COUNTIFS($P$6:$P$3271,P2094,$Q$6:$Q$3271,"&lt;="&amp;Q2094,$N$6:$N$3271,Calendar!$K$4),"")</f>
        <v/>
      </c>
      <c r="W2094" s="44">
        <f>IF(AND(B2094=Queue!$C$4,OR(Queue!$K$4="*",N2094=Queue!$K$4)),Q2094,"")</f>
        <v/>
      </c>
    </row>
    <row r="2095">
      <c r="A2095" s="35">
        <f>IF(M2095="","",HYPERLINK("https://www.youtube.com/watch?v="&amp;M2095,"▶"))</f>
        <v/>
      </c>
      <c r="B2095" s="36">
        <f>IF(C2095&lt;&gt;"",C2095,IF(P2095&lt;=IFERROR(INDEX(tblChannels[Watched Through],MATCH(N2095,tblChannels[Channel ID],0)),0),"Watched","Unwatched"))</f>
        <v/>
      </c>
      <c r="C2095" s="37" t="n"/>
      <c r="D2095" s="38" t="n"/>
      <c r="E2095" s="39" t="n">
        <v>43305.78263888889</v>
      </c>
      <c r="F2095" s="47" t="inlineStr">
        <is>
          <t>Super Carlin Brothers</t>
        </is>
      </c>
      <c r="G2095" t="inlineStr">
        <is>
          <t>Why Newt Is SO Important | Crimes of Grindelwald Trailer 2 Review</t>
        </is>
      </c>
      <c r="H2095" s="41" t="n">
        <v>0.00787037037037037</v>
      </c>
      <c r="I2095" s="42" t="n">
        <v>974312</v>
      </c>
      <c r="J2095" s="42" t="n">
        <v>24162</v>
      </c>
      <c r="K2095" s="42" t="n">
        <v>2792</v>
      </c>
      <c r="L2095" s="43" t="n"/>
      <c r="M2095" s="44" t="n"/>
      <c r="N2095" s="44" t="inlineStr">
        <is>
          <t>UCKZo4N0lVPccBkSiuyVh4yg</t>
        </is>
      </c>
      <c r="O2095" s="45" t="n">
        <v>43305.94930555556</v>
      </c>
      <c r="P2095" s="46" t="n">
        <v>43305</v>
      </c>
      <c r="Q2095" s="44" t="n">
        <v>1177</v>
      </c>
      <c r="R2095" s="44" t="inlineStr">
        <is>
          <t>No Video ID yet</t>
        </is>
      </c>
      <c r="S2095" s="46" t="n"/>
      <c r="T2095" s="46" t="n"/>
      <c r="U2095" s="44" t="n"/>
      <c r="V2095" s="44">
        <f>IF(AND(P2095&gt;=Calendar!$K$2,P2095&lt;EDATE(Calendar!$K$2,1),OR(Calendar!$K$4="*",N2095=Calendar!$K$4)),P2095*100+COUNTIFS($P$6:$P$3271,P2095,$Q$6:$Q$3271,"&lt;="&amp;Q2095,$N$6:$N$3271,Calendar!$K$4),"")</f>
        <v/>
      </c>
      <c r="W2095" s="44">
        <f>IF(AND(B2095=Queue!$C$4,OR(Queue!$K$4="*",N2095=Queue!$K$4)),Q2095,"")</f>
        <v/>
      </c>
    </row>
    <row r="2096">
      <c r="A2096" s="35">
        <f>IF(M2096="","",HYPERLINK("https://www.youtube.com/watch?v="&amp;M2096,"▶"))</f>
        <v/>
      </c>
      <c r="B2096" s="36">
        <f>IF(C2096&lt;&gt;"",C2096,IF(P2096&lt;=IFERROR(INDEX(tblChannels[Watched Through],MATCH(N2096,tblChannels[Channel ID],0)),0),"Watched","Unwatched"))</f>
        <v/>
      </c>
      <c r="C2096" s="37" t="n"/>
      <c r="D2096" s="38" t="n"/>
      <c r="E2096" s="39" t="n">
        <v>43304.45972222222</v>
      </c>
      <c r="F2096" s="49" t="inlineStr">
        <is>
          <t>Super Carlin Gaming</t>
        </is>
      </c>
      <c r="G2096" t="inlineStr">
        <is>
          <t>Ben, the Secret Villain | Rocket League #31</t>
        </is>
      </c>
      <c r="H2096" s="41" t="n">
        <v>0.01211805555555556</v>
      </c>
      <c r="I2096" s="42" t="n">
        <v>5266</v>
      </c>
      <c r="J2096" s="42" t="n">
        <v>253</v>
      </c>
      <c r="K2096" s="42" t="n">
        <v>51</v>
      </c>
      <c r="L2096" s="43" t="n"/>
      <c r="M2096" s="44" t="n"/>
      <c r="N2096" s="44" t="inlineStr">
        <is>
          <t>UCor_9jRnNNZVzTuQ92PKsaQ</t>
        </is>
      </c>
      <c r="O2096" s="45" t="n">
        <v>43304.62638888889</v>
      </c>
      <c r="P2096" s="46" t="n">
        <v>43304</v>
      </c>
      <c r="Q2096" s="44" t="n">
        <v>1176</v>
      </c>
      <c r="R2096" s="44" t="inlineStr">
        <is>
          <t>No Video ID yet</t>
        </is>
      </c>
      <c r="S2096" s="46" t="n"/>
      <c r="T2096" s="46" t="n"/>
      <c r="U2096" s="44" t="n"/>
      <c r="V2096" s="44">
        <f>IF(AND(P2096&gt;=Calendar!$K$2,P2096&lt;EDATE(Calendar!$K$2,1),OR(Calendar!$K$4="*",N2096=Calendar!$K$4)),P2096*100+COUNTIFS($P$6:$P$3271,P2096,$Q$6:$Q$3271,"&lt;="&amp;Q2096,$N$6:$N$3271,Calendar!$K$4),"")</f>
        <v/>
      </c>
      <c r="W2096" s="44">
        <f>IF(AND(B2096=Queue!$C$4,OR(Queue!$K$4="*",N2096=Queue!$K$4)),Q2096,"")</f>
        <v/>
      </c>
    </row>
    <row r="2097">
      <c r="A2097" s="35">
        <f>IF(M2097="","",HYPERLINK("https://www.youtube.com/watch?v="&amp;M2097,"▶"))</f>
        <v/>
      </c>
      <c r="B2097" s="36">
        <f>IF(C2097&lt;&gt;"",C2097,IF(P2097&lt;=IFERROR(INDEX(tblChannels[Watched Through],MATCH(N2097,tblChannels[Channel ID],0)),0),"Watched","Unwatched"))</f>
        <v/>
      </c>
      <c r="C2097" s="37" t="n"/>
      <c r="D2097" s="38" t="n"/>
      <c r="E2097" s="39" t="n">
        <v>43304.42013888889</v>
      </c>
      <c r="F2097" s="50" t="inlineStr">
        <is>
          <t>Jonathan Carlin</t>
        </is>
      </c>
      <c r="G2097" t="inlineStr">
        <is>
          <t>LUKE GOES TO THE BEACH</t>
        </is>
      </c>
      <c r="H2097" s="41" t="n">
        <v>0.005972222222222223</v>
      </c>
      <c r="I2097" s="42" t="n">
        <v>39116</v>
      </c>
      <c r="J2097" s="42" t="n">
        <v>1970</v>
      </c>
      <c r="K2097" s="42" t="n">
        <v>0</v>
      </c>
      <c r="L2097" s="43" t="n"/>
      <c r="M2097" s="44" t="n"/>
      <c r="N2097" s="44" t="inlineStr">
        <is>
          <t>UCYPKFe86e6nm4TVUYKLsFUQ</t>
        </is>
      </c>
      <c r="O2097" s="45" t="n">
        <v>43304.58680555555</v>
      </c>
      <c r="P2097" s="46" t="n">
        <v>43304</v>
      </c>
      <c r="Q2097" s="44" t="n">
        <v>1175</v>
      </c>
      <c r="R2097" s="44" t="inlineStr">
        <is>
          <t>No Video ID yet</t>
        </is>
      </c>
      <c r="S2097" s="46" t="n"/>
      <c r="T2097" s="46" t="n"/>
      <c r="U2097" s="44" t="n"/>
      <c r="V2097" s="44">
        <f>IF(AND(P2097&gt;=Calendar!$K$2,P2097&lt;EDATE(Calendar!$K$2,1),OR(Calendar!$K$4="*",N2097=Calendar!$K$4)),P2097*100+COUNTIFS($P$6:$P$3271,P2097,$Q$6:$Q$3271,"&lt;="&amp;Q2097,$N$6:$N$3271,Calendar!$K$4),"")</f>
        <v/>
      </c>
      <c r="W2097" s="44">
        <f>IF(AND(B2097=Queue!$C$4,OR(Queue!$K$4="*",N2097=Queue!$K$4)),Q2097,"")</f>
        <v/>
      </c>
    </row>
    <row r="2098">
      <c r="A2098" s="35">
        <f>IF(M2098="","",HYPERLINK("https://www.youtube.com/watch?v="&amp;M2098,"▶"))</f>
        <v/>
      </c>
      <c r="B2098" s="36">
        <f>IF(C2098&lt;&gt;"",C2098,IF(P2098&lt;=IFERROR(INDEX(tblChannels[Watched Through],MATCH(N2098,tblChannels[Channel ID],0)),0),"Watched","Unwatched"))</f>
        <v/>
      </c>
      <c r="C2098" s="37" t="n"/>
      <c r="D2098" s="38" t="n"/>
      <c r="E2098" s="39" t="n">
        <v>43301.50555555556</v>
      </c>
      <c r="F2098" s="49" t="inlineStr">
        <is>
          <t>Super Carlin Gaming</t>
        </is>
      </c>
      <c r="G2098" t="inlineStr">
        <is>
          <t>DK-Sized Duck | Rocket League #30</t>
        </is>
      </c>
      <c r="H2098" s="41" t="n">
        <v>0.01094907407407407</v>
      </c>
      <c r="I2098" s="42" t="n">
        <v>5265</v>
      </c>
      <c r="J2098" s="42" t="n">
        <v>255</v>
      </c>
      <c r="K2098" s="42" t="n">
        <v>69</v>
      </c>
      <c r="L2098" s="43" t="n"/>
      <c r="M2098" s="44" t="n"/>
      <c r="N2098" s="44" t="inlineStr">
        <is>
          <t>UCor_9jRnNNZVzTuQ92PKsaQ</t>
        </is>
      </c>
      <c r="O2098" s="45" t="n">
        <v>43301.67222222222</v>
      </c>
      <c r="P2098" s="46" t="n">
        <v>43301</v>
      </c>
      <c r="Q2098" s="44" t="n">
        <v>1174</v>
      </c>
      <c r="R2098" s="44" t="inlineStr">
        <is>
          <t>No Video ID yet</t>
        </is>
      </c>
      <c r="S2098" s="46" t="n"/>
      <c r="T2098" s="46" t="n"/>
      <c r="U2098" s="44" t="n"/>
      <c r="V2098" s="44">
        <f>IF(AND(P2098&gt;=Calendar!$K$2,P2098&lt;EDATE(Calendar!$K$2,1),OR(Calendar!$K$4="*",N2098=Calendar!$K$4)),P2098*100+COUNTIFS($P$6:$P$3271,P2098,$Q$6:$Q$3271,"&lt;="&amp;Q2098,$N$6:$N$3271,Calendar!$K$4),"")</f>
        <v/>
      </c>
      <c r="W2098" s="44">
        <f>IF(AND(B2098=Queue!$C$4,OR(Queue!$K$4="*",N2098=Queue!$K$4)),Q2098,"")</f>
        <v/>
      </c>
    </row>
    <row r="2099">
      <c r="A2099" s="35">
        <f>IF(M2099="","",HYPERLINK("https://www.youtube.com/watch?v="&amp;M2099,"▶"))</f>
        <v/>
      </c>
      <c r="B2099" s="36">
        <f>IF(C2099&lt;&gt;"",C2099,IF(P2099&lt;=IFERROR(INDEX(tblChannels[Watched Through],MATCH(N2099,tblChannels[Channel ID],0)),0),"Watched","Unwatched"))</f>
        <v/>
      </c>
      <c r="C2099" s="37" t="n"/>
      <c r="D2099" s="38" t="n"/>
      <c r="E2099" s="39" t="n">
        <v>43300.70416666667</v>
      </c>
      <c r="F2099" s="47" t="inlineStr">
        <is>
          <t>Super Carlin Brothers</t>
        </is>
      </c>
      <c r="G2099" t="inlineStr">
        <is>
          <t>Is Ron Weasley Completely and Utterly Pointless?</t>
        </is>
      </c>
      <c r="H2099" s="41" t="n">
        <v>0.007175925925925926</v>
      </c>
      <c r="I2099" s="42" t="n">
        <v>1086562</v>
      </c>
      <c r="J2099" s="42" t="n">
        <v>29678</v>
      </c>
      <c r="K2099" s="42" t="n">
        <v>5332</v>
      </c>
      <c r="L2099" s="43" t="n"/>
      <c r="M2099" s="44" t="n"/>
      <c r="N2099" s="44" t="inlineStr">
        <is>
          <t>UCKZo4N0lVPccBkSiuyVh4yg</t>
        </is>
      </c>
      <c r="O2099" s="45" t="n">
        <v>43300.87083333333</v>
      </c>
      <c r="P2099" s="46" t="n">
        <v>43300</v>
      </c>
      <c r="Q2099" s="44" t="n">
        <v>1173</v>
      </c>
      <c r="R2099" s="44" t="inlineStr">
        <is>
          <t>No Video ID yet</t>
        </is>
      </c>
      <c r="S2099" s="46" t="n"/>
      <c r="T2099" s="46" t="n"/>
      <c r="U2099" s="44" t="n"/>
      <c r="V2099" s="44">
        <f>IF(AND(P2099&gt;=Calendar!$K$2,P2099&lt;EDATE(Calendar!$K$2,1),OR(Calendar!$K$4="*",N2099=Calendar!$K$4)),P2099*100+COUNTIFS($P$6:$P$3271,P2099,$Q$6:$Q$3271,"&lt;="&amp;Q2099,$N$6:$N$3271,Calendar!$K$4),"")</f>
        <v/>
      </c>
      <c r="W2099" s="44">
        <f>IF(AND(B2099=Queue!$C$4,OR(Queue!$K$4="*",N2099=Queue!$K$4)),Q2099,"")</f>
        <v/>
      </c>
    </row>
    <row r="2100">
      <c r="A2100" s="35">
        <f>IF(M2100="","",HYPERLINK("https://www.youtube.com/watch?v="&amp;M2100,"▶"))</f>
        <v/>
      </c>
      <c r="B2100" s="36">
        <f>IF(C2100&lt;&gt;"",C2100,IF(P2100&lt;=IFERROR(INDEX(tblChannels[Watched Through],MATCH(N2100,tblChannels[Channel ID],0)),0),"Watched","Unwatched"))</f>
        <v/>
      </c>
      <c r="C2100" s="37" t="n"/>
      <c r="D2100" s="38" t="n"/>
      <c r="E2100" s="39" t="n">
        <v>43299.45069444444</v>
      </c>
      <c r="F2100" s="49" t="inlineStr">
        <is>
          <t>Super Carlin Gaming</t>
        </is>
      </c>
      <c r="G2100" t="inlineStr">
        <is>
          <t>Don't Jinx It! | Rocket League #29</t>
        </is>
      </c>
      <c r="H2100" s="41" t="n">
        <v>0.01237268518518518</v>
      </c>
      <c r="I2100" s="42" t="n">
        <v>5349</v>
      </c>
      <c r="J2100" s="42" t="n">
        <v>253</v>
      </c>
      <c r="K2100" s="42" t="n">
        <v>60</v>
      </c>
      <c r="L2100" s="43" t="n"/>
      <c r="M2100" s="44" t="n"/>
      <c r="N2100" s="44" t="inlineStr">
        <is>
          <t>UCor_9jRnNNZVzTuQ92PKsaQ</t>
        </is>
      </c>
      <c r="O2100" s="45" t="n">
        <v>43299.61736111111</v>
      </c>
      <c r="P2100" s="46" t="n">
        <v>43299</v>
      </c>
      <c r="Q2100" s="44" t="n">
        <v>1172</v>
      </c>
      <c r="R2100" s="44" t="inlineStr">
        <is>
          <t>No Video ID yet</t>
        </is>
      </c>
      <c r="S2100" s="46" t="n"/>
      <c r="T2100" s="46" t="n"/>
      <c r="U2100" s="44" t="n"/>
      <c r="V2100" s="44">
        <f>IF(AND(P2100&gt;=Calendar!$K$2,P2100&lt;EDATE(Calendar!$K$2,1),OR(Calendar!$K$4="*",N2100=Calendar!$K$4)),P2100*100+COUNTIFS($P$6:$P$3271,P2100,$Q$6:$Q$3271,"&lt;="&amp;Q2100,$N$6:$N$3271,Calendar!$K$4),"")</f>
        <v/>
      </c>
      <c r="W2100" s="44">
        <f>IF(AND(B2100=Queue!$C$4,OR(Queue!$K$4="*",N2100=Queue!$K$4)),Q2100,"")</f>
        <v/>
      </c>
    </row>
    <row r="2101">
      <c r="A2101" s="35">
        <f>IF(M2101="","",HYPERLINK("https://www.youtube.com/watch?v="&amp;M2101,"▶"))</f>
        <v/>
      </c>
      <c r="B2101" s="36">
        <f>IF(C2101&lt;&gt;"",C2101,IF(P2101&lt;=IFERROR(INDEX(tblChannels[Watched Through],MATCH(N2101,tblChannels[Channel ID],0)),0),"Watched","Unwatched"))</f>
        <v/>
      </c>
      <c r="C2101" s="37" t="n"/>
      <c r="D2101" s="38" t="n"/>
      <c r="E2101" s="39" t="n">
        <v>43298.65555555555</v>
      </c>
      <c r="F2101" s="47" t="inlineStr">
        <is>
          <t>Super Carlin Brothers</t>
        </is>
      </c>
      <c r="G2101" t="inlineStr">
        <is>
          <t>Pixar Theory: What Will Jack-Jack's FINAL Powers Be?</t>
        </is>
      </c>
      <c r="H2101" s="41" t="n">
        <v>0.01018518518518519</v>
      </c>
      <c r="I2101" s="42" t="n">
        <v>1234457</v>
      </c>
      <c r="J2101" s="42" t="n">
        <v>30944</v>
      </c>
      <c r="K2101" s="42" t="n">
        <v>4685</v>
      </c>
      <c r="L2101" s="43" t="n"/>
      <c r="M2101" s="44" t="n"/>
      <c r="N2101" s="44" t="inlineStr">
        <is>
          <t>UCKZo4N0lVPccBkSiuyVh4yg</t>
        </is>
      </c>
      <c r="O2101" s="45" t="n">
        <v>43298.82222222222</v>
      </c>
      <c r="P2101" s="46" t="n">
        <v>43298</v>
      </c>
      <c r="Q2101" s="44" t="n">
        <v>1171</v>
      </c>
      <c r="R2101" s="44" t="inlineStr">
        <is>
          <t>No Video ID yet</t>
        </is>
      </c>
      <c r="S2101" s="46" t="n"/>
      <c r="T2101" s="46" t="n"/>
      <c r="U2101" s="44" t="n"/>
      <c r="V2101" s="44">
        <f>IF(AND(P2101&gt;=Calendar!$K$2,P2101&lt;EDATE(Calendar!$K$2,1),OR(Calendar!$K$4="*",N2101=Calendar!$K$4)),P2101*100+COUNTIFS($P$6:$P$3271,P2101,$Q$6:$Q$3271,"&lt;="&amp;Q2101,$N$6:$N$3271,Calendar!$K$4),"")</f>
        <v/>
      </c>
      <c r="W2101" s="44">
        <f>IF(AND(B2101=Queue!$C$4,OR(Queue!$K$4="*",N2101=Queue!$K$4)),Q2101,"")</f>
        <v/>
      </c>
    </row>
    <row r="2102">
      <c r="A2102" s="35">
        <f>IF(M2102="","",HYPERLINK("https://www.youtube.com/watch?v="&amp;M2102,"▶"))</f>
        <v/>
      </c>
      <c r="B2102" s="36">
        <f>IF(C2102&lt;&gt;"",C2102,IF(P2102&lt;=IFERROR(INDEX(tblChannels[Watched Through],MATCH(N2102,tblChannels[Channel ID],0)),0),"Watched","Unwatched"))</f>
        <v/>
      </c>
      <c r="C2102" s="37" t="n"/>
      <c r="D2102" s="38" t="n"/>
      <c r="E2102" s="39" t="n">
        <v>43297.59027777778</v>
      </c>
      <c r="F2102" s="49" t="inlineStr">
        <is>
          <t>Super Carlin Gaming</t>
        </is>
      </c>
      <c r="G2102" t="inlineStr">
        <is>
          <t>Déjà Vu | Rocket League #28</t>
        </is>
      </c>
      <c r="H2102" s="41" t="n">
        <v>0.01815972222222222</v>
      </c>
      <c r="I2102" s="42" t="n">
        <v>6504</v>
      </c>
      <c r="J2102" s="42" t="n">
        <v>271</v>
      </c>
      <c r="K2102" s="42" t="n">
        <v>63</v>
      </c>
      <c r="L2102" s="43" t="n"/>
      <c r="M2102" s="44" t="n"/>
      <c r="N2102" s="44" t="inlineStr">
        <is>
          <t>UCor_9jRnNNZVzTuQ92PKsaQ</t>
        </is>
      </c>
      <c r="O2102" s="45" t="n">
        <v>43297.75694444445</v>
      </c>
      <c r="P2102" s="46" t="n">
        <v>43297</v>
      </c>
      <c r="Q2102" s="44" t="n">
        <v>1170</v>
      </c>
      <c r="R2102" s="44" t="inlineStr">
        <is>
          <t>No Video ID yet</t>
        </is>
      </c>
      <c r="S2102" s="46" t="n"/>
      <c r="T2102" s="46" t="n"/>
      <c r="U2102" s="44" t="n"/>
      <c r="V2102" s="44">
        <f>IF(AND(P2102&gt;=Calendar!$K$2,P2102&lt;EDATE(Calendar!$K$2,1),OR(Calendar!$K$4="*",N2102=Calendar!$K$4)),P2102*100+COUNTIFS($P$6:$P$3271,P2102,$Q$6:$Q$3271,"&lt;="&amp;Q2102,$N$6:$N$3271,Calendar!$K$4),"")</f>
        <v/>
      </c>
      <c r="W2102" s="44">
        <f>IF(AND(B2102=Queue!$C$4,OR(Queue!$K$4="*",N2102=Queue!$K$4)),Q2102,"")</f>
        <v/>
      </c>
    </row>
    <row r="2103">
      <c r="A2103" s="35">
        <f>IF(M2103="","",HYPERLINK("https://www.youtube.com/watch?v="&amp;M2103,"▶"))</f>
        <v/>
      </c>
      <c r="B2103" s="36">
        <f>IF(C2103&lt;&gt;"",C2103,IF(P2103&lt;=IFERROR(INDEX(tblChannels[Watched Through],MATCH(N2103,tblChannels[Channel ID],0)),0),"Watched","Unwatched"))</f>
        <v/>
      </c>
      <c r="C2103" s="37" t="n"/>
      <c r="D2103" s="38" t="n"/>
      <c r="E2103" s="39" t="n">
        <v>43297.53888888889</v>
      </c>
      <c r="F2103" s="50" t="inlineStr">
        <is>
          <t>Jonathan Carlin</t>
        </is>
      </c>
      <c r="G2103" t="inlineStr">
        <is>
          <t>SUPER CARLIN VID CON ADVENTURE</t>
        </is>
      </c>
      <c r="H2103" s="41" t="n">
        <v>0.007511574074074074</v>
      </c>
      <c r="I2103" s="42" t="n">
        <v>33395</v>
      </c>
      <c r="J2103" s="42" t="n">
        <v>1599</v>
      </c>
      <c r="K2103" s="42" t="n">
        <v>95</v>
      </c>
      <c r="L2103" s="43" t="n"/>
      <c r="M2103" s="44" t="n"/>
      <c r="N2103" s="44" t="inlineStr">
        <is>
          <t>UCYPKFe86e6nm4TVUYKLsFUQ</t>
        </is>
      </c>
      <c r="O2103" s="45" t="n">
        <v>43297.70555555556</v>
      </c>
      <c r="P2103" s="46" t="n">
        <v>43297</v>
      </c>
      <c r="Q2103" s="44" t="n">
        <v>1169</v>
      </c>
      <c r="R2103" s="44" t="inlineStr">
        <is>
          <t>No Video ID yet</t>
        </is>
      </c>
      <c r="S2103" s="46" t="n"/>
      <c r="T2103" s="46" t="n"/>
      <c r="U2103" s="44" t="n"/>
      <c r="V2103" s="44">
        <f>IF(AND(P2103&gt;=Calendar!$K$2,P2103&lt;EDATE(Calendar!$K$2,1),OR(Calendar!$K$4="*",N2103=Calendar!$K$4)),P2103*100+COUNTIFS($P$6:$P$3271,P2103,$Q$6:$Q$3271,"&lt;="&amp;Q2103,$N$6:$N$3271,Calendar!$K$4),"")</f>
        <v/>
      </c>
      <c r="W2103" s="44">
        <f>IF(AND(B2103=Queue!$C$4,OR(Queue!$K$4="*",N2103=Queue!$K$4)),Q2103,"")</f>
        <v/>
      </c>
    </row>
    <row r="2104">
      <c r="A2104" s="35">
        <f>IF(M2104="","",HYPERLINK("https://www.youtube.com/watch?v="&amp;M2104,"▶"))</f>
        <v/>
      </c>
      <c r="B2104" s="36">
        <f>IF(C2104&lt;&gt;"",C2104,IF(P2104&lt;=IFERROR(INDEX(tblChannels[Watched Through],MATCH(N2104,tblChannels[Channel ID],0)),0),"Watched","Unwatched"))</f>
        <v/>
      </c>
      <c r="C2104" s="37" t="n"/>
      <c r="D2104" s="38" t="n"/>
      <c r="E2104" s="39" t="n">
        <v>43295.5625</v>
      </c>
      <c r="F2104" s="49" t="inlineStr">
        <is>
          <t>Super Carlin Gaming</t>
        </is>
      </c>
      <c r="G2104" t="inlineStr">
        <is>
          <t>How Many Holes Do Straws Have? | Rocket League EXTRA</t>
        </is>
      </c>
      <c r="H2104" s="41" t="n">
        <v>0.0112037037037037</v>
      </c>
      <c r="I2104" s="42" t="n">
        <v>8452</v>
      </c>
      <c r="J2104" s="42" t="n">
        <v>291</v>
      </c>
      <c r="K2104" s="42" t="n">
        <v>92</v>
      </c>
      <c r="L2104" s="43" t="n"/>
      <c r="M2104" s="44" t="n"/>
      <c r="N2104" s="44" t="inlineStr">
        <is>
          <t>UCor_9jRnNNZVzTuQ92PKsaQ</t>
        </is>
      </c>
      <c r="O2104" s="45" t="n">
        <v>43295.72916666666</v>
      </c>
      <c r="P2104" s="46" t="n">
        <v>43295</v>
      </c>
      <c r="Q2104" s="44" t="n">
        <v>1168</v>
      </c>
      <c r="R2104" s="44" t="inlineStr">
        <is>
          <t>No Video ID yet</t>
        </is>
      </c>
      <c r="S2104" s="46" t="n"/>
      <c r="T2104" s="46" t="n"/>
      <c r="U2104" s="44" t="n"/>
      <c r="V2104" s="44">
        <f>IF(AND(P2104&gt;=Calendar!$K$2,P2104&lt;EDATE(Calendar!$K$2,1),OR(Calendar!$K$4="*",N2104=Calendar!$K$4)),P2104*100+COUNTIFS($P$6:$P$3271,P2104,$Q$6:$Q$3271,"&lt;="&amp;Q2104,$N$6:$N$3271,Calendar!$K$4),"")</f>
        <v/>
      </c>
      <c r="W2104" s="44">
        <f>IF(AND(B2104=Queue!$C$4,OR(Queue!$K$4="*",N2104=Queue!$K$4)),Q2104,"")</f>
        <v/>
      </c>
    </row>
    <row r="2105">
      <c r="A2105" s="35">
        <f>IF(M2105="","",HYPERLINK("https://www.youtube.com/watch?v="&amp;M2105,"▶"))</f>
        <v/>
      </c>
      <c r="B2105" s="36">
        <f>IF(C2105&lt;&gt;"",C2105,IF(P2105&lt;=IFERROR(INDEX(tblChannels[Watched Through],MATCH(N2105,tblChannels[Channel ID],0)),0),"Watched","Unwatched"))</f>
        <v/>
      </c>
      <c r="C2105" s="37" t="n"/>
      <c r="D2105" s="38" t="n"/>
      <c r="E2105" s="39" t="n">
        <v>43294.4375</v>
      </c>
      <c r="F2105" s="49" t="inlineStr">
        <is>
          <t>Super Carlin Gaming</t>
        </is>
      </c>
      <c r="G2105" t="inlineStr">
        <is>
          <t>Sparkly New Season | Rocket League #27</t>
        </is>
      </c>
      <c r="H2105" s="41" t="n">
        <v>0.0131712962962963</v>
      </c>
      <c r="I2105" s="42" t="n">
        <v>6117</v>
      </c>
      <c r="J2105" s="42" t="n">
        <v>256</v>
      </c>
      <c r="K2105" s="42" t="n">
        <v>86</v>
      </c>
      <c r="L2105" s="43" t="n"/>
      <c r="M2105" s="44" t="n"/>
      <c r="N2105" s="44" t="inlineStr">
        <is>
          <t>UCor_9jRnNNZVzTuQ92PKsaQ</t>
        </is>
      </c>
      <c r="O2105" s="45" t="n">
        <v>43294.60416666666</v>
      </c>
      <c r="P2105" s="46" t="n">
        <v>43294</v>
      </c>
      <c r="Q2105" s="44" t="n">
        <v>1167</v>
      </c>
      <c r="R2105" s="44" t="inlineStr">
        <is>
          <t>No Video ID yet</t>
        </is>
      </c>
      <c r="S2105" s="46" t="n"/>
      <c r="T2105" s="46" t="n"/>
      <c r="U2105" s="44" t="n"/>
      <c r="V2105" s="44">
        <f>IF(AND(P2105&gt;=Calendar!$K$2,P2105&lt;EDATE(Calendar!$K$2,1),OR(Calendar!$K$4="*",N2105=Calendar!$K$4)),P2105*100+COUNTIFS($P$6:$P$3271,P2105,$Q$6:$Q$3271,"&lt;="&amp;Q2105,$N$6:$N$3271,Calendar!$K$4),"")</f>
        <v/>
      </c>
      <c r="W2105" s="44">
        <f>IF(AND(B2105=Queue!$C$4,OR(Queue!$K$4="*",N2105=Queue!$K$4)),Q2105,"")</f>
        <v/>
      </c>
    </row>
    <row r="2106">
      <c r="A2106" s="35">
        <f>IF(M2106="","",HYPERLINK("https://www.youtube.com/watch?v="&amp;M2106,"▶"))</f>
        <v/>
      </c>
      <c r="B2106" s="36">
        <f>IF(C2106&lt;&gt;"",C2106,IF(P2106&lt;=IFERROR(INDEX(tblChannels[Watched Through],MATCH(N2106,tblChannels[Channel ID],0)),0),"Watched","Unwatched"))</f>
        <v/>
      </c>
      <c r="C2106" s="37" t="n"/>
      <c r="D2106" s="38" t="n"/>
      <c r="E2106" s="39" t="n">
        <v>43293.68680555555</v>
      </c>
      <c r="F2106" s="47" t="inlineStr">
        <is>
          <t>Super Carlin Brothers</t>
        </is>
      </c>
      <c r="G2106" t="inlineStr">
        <is>
          <t>Harry Potter Theory: The Origin of Moody's Eye</t>
        </is>
      </c>
      <c r="H2106" s="41" t="n">
        <v>0.008900462962962962</v>
      </c>
      <c r="I2106" s="42" t="n">
        <v>1425173</v>
      </c>
      <c r="J2106" s="42" t="n">
        <v>35869</v>
      </c>
      <c r="K2106" s="42" t="n">
        <v>4421</v>
      </c>
      <c r="L2106" s="43" t="n"/>
      <c r="M2106" s="44" t="n"/>
      <c r="N2106" s="44" t="inlineStr">
        <is>
          <t>UCKZo4N0lVPccBkSiuyVh4yg</t>
        </is>
      </c>
      <c r="O2106" s="45" t="n">
        <v>43293.85347222222</v>
      </c>
      <c r="P2106" s="46" t="n">
        <v>43293</v>
      </c>
      <c r="Q2106" s="44" t="n">
        <v>1166</v>
      </c>
      <c r="R2106" s="44" t="inlineStr">
        <is>
          <t>No Video ID yet</t>
        </is>
      </c>
      <c r="S2106" s="46" t="n"/>
      <c r="T2106" s="46" t="n"/>
      <c r="U2106" s="44" t="n"/>
      <c r="V2106" s="44">
        <f>IF(AND(P2106&gt;=Calendar!$K$2,P2106&lt;EDATE(Calendar!$K$2,1),OR(Calendar!$K$4="*",N2106=Calendar!$K$4)),P2106*100+COUNTIFS($P$6:$P$3271,P2106,$Q$6:$Q$3271,"&lt;="&amp;Q2106,$N$6:$N$3271,Calendar!$K$4),"")</f>
        <v/>
      </c>
      <c r="W2106" s="44">
        <f>IF(AND(B2106=Queue!$C$4,OR(Queue!$K$4="*",N2106=Queue!$K$4)),Q2106,"")</f>
        <v/>
      </c>
    </row>
    <row r="2107">
      <c r="A2107" s="35">
        <f>IF(M2107="","",HYPERLINK("https://www.youtube.com/watch?v="&amp;M2107,"▶"))</f>
        <v/>
      </c>
      <c r="B2107" s="36">
        <f>IF(C2107&lt;&gt;"",C2107,IF(P2107&lt;=IFERROR(INDEX(tblChannels[Watched Through],MATCH(N2107,tblChannels[Channel ID],0)),0),"Watched","Unwatched"))</f>
        <v/>
      </c>
      <c r="C2107" s="37" t="n"/>
      <c r="D2107" s="38" t="n"/>
      <c r="E2107" s="39" t="n">
        <v>43292.4375</v>
      </c>
      <c r="F2107" s="49" t="inlineStr">
        <is>
          <t>Super Carlin Gaming</t>
        </is>
      </c>
      <c r="G2107" t="inlineStr">
        <is>
          <t>Veritable Omelet (SEASON CHAMPIONSHIP!) | Rocket League #26</t>
        </is>
      </c>
      <c r="H2107" s="41" t="n">
        <v>0.01428240740740741</v>
      </c>
      <c r="I2107" s="42" t="n">
        <v>5925</v>
      </c>
      <c r="J2107" s="42" t="n">
        <v>290</v>
      </c>
      <c r="K2107" s="42" t="n">
        <v>96</v>
      </c>
      <c r="L2107" s="43" t="n"/>
      <c r="M2107" s="44" t="n"/>
      <c r="N2107" s="44" t="inlineStr">
        <is>
          <t>UCor_9jRnNNZVzTuQ92PKsaQ</t>
        </is>
      </c>
      <c r="O2107" s="45" t="n">
        <v>43292.60416666666</v>
      </c>
      <c r="P2107" s="46" t="n">
        <v>43292</v>
      </c>
      <c r="Q2107" s="44" t="n">
        <v>1165</v>
      </c>
      <c r="R2107" s="44" t="inlineStr">
        <is>
          <t>No Video ID yet</t>
        </is>
      </c>
      <c r="S2107" s="46" t="n"/>
      <c r="T2107" s="46" t="n"/>
      <c r="U2107" s="44" t="n"/>
      <c r="V2107" s="44">
        <f>IF(AND(P2107&gt;=Calendar!$K$2,P2107&lt;EDATE(Calendar!$K$2,1),OR(Calendar!$K$4="*",N2107=Calendar!$K$4)),P2107*100+COUNTIFS($P$6:$P$3271,P2107,$Q$6:$Q$3271,"&lt;="&amp;Q2107,$N$6:$N$3271,Calendar!$K$4),"")</f>
        <v/>
      </c>
      <c r="W2107" s="44">
        <f>IF(AND(B2107=Queue!$C$4,OR(Queue!$K$4="*",N2107=Queue!$K$4)),Q2107,"")</f>
        <v/>
      </c>
    </row>
    <row r="2108">
      <c r="A2108" s="35">
        <f>IF(M2108="","",HYPERLINK("https://www.youtube.com/watch?v="&amp;M2108,"▶"))</f>
        <v/>
      </c>
      <c r="B2108" s="36">
        <f>IF(C2108&lt;&gt;"",C2108,IF(P2108&lt;=IFERROR(INDEX(tblChannels[Watched Through],MATCH(N2108,tblChannels[Channel ID],0)),0),"Watched","Unwatched"))</f>
        <v/>
      </c>
      <c r="C2108" s="37" t="n"/>
      <c r="D2108" s="38" t="n"/>
      <c r="E2108" s="39" t="n">
        <v>43292.04027777778</v>
      </c>
      <c r="F2108" s="49" t="inlineStr">
        <is>
          <t>Super Carlin Gaming</t>
        </is>
      </c>
      <c r="G2108" t="inlineStr">
        <is>
          <t>LIVE - SIMS 4 - J, Ben, DK... and Darth Maul</t>
        </is>
      </c>
      <c r="H2108" s="41" t="n">
        <v>0.08090277777777778</v>
      </c>
      <c r="I2108" s="42" t="n">
        <v>7769</v>
      </c>
      <c r="J2108" s="42" t="n">
        <v>222</v>
      </c>
      <c r="K2108" s="42" t="n">
        <v>15</v>
      </c>
      <c r="L2108" s="43" t="n"/>
      <c r="M2108" s="44" t="n"/>
      <c r="N2108" s="44" t="inlineStr">
        <is>
          <t>UCor_9jRnNNZVzTuQ92PKsaQ</t>
        </is>
      </c>
      <c r="O2108" s="45" t="n">
        <v>43292.20694444444</v>
      </c>
      <c r="P2108" s="46" t="n">
        <v>43292</v>
      </c>
      <c r="Q2108" s="44" t="n">
        <v>1164</v>
      </c>
      <c r="R2108" s="44" t="inlineStr">
        <is>
          <t>No Video ID yet</t>
        </is>
      </c>
      <c r="S2108" s="46" t="n"/>
      <c r="T2108" s="46" t="n"/>
      <c r="U2108" s="44" t="n"/>
      <c r="V2108" s="44">
        <f>IF(AND(P2108&gt;=Calendar!$K$2,P2108&lt;EDATE(Calendar!$K$2,1),OR(Calendar!$K$4="*",N2108=Calendar!$K$4)),P2108*100+COUNTIFS($P$6:$P$3271,P2108,$Q$6:$Q$3271,"&lt;="&amp;Q2108,$N$6:$N$3271,Calendar!$K$4),"")</f>
        <v/>
      </c>
      <c r="W2108" s="44">
        <f>IF(AND(B2108=Queue!$C$4,OR(Queue!$K$4="*",N2108=Queue!$K$4)),Q2108,"")</f>
        <v/>
      </c>
    </row>
    <row r="2109">
      <c r="A2109" s="35">
        <f>IF(M2109="","",HYPERLINK("https://www.youtube.com/watch?v="&amp;M2109,"▶"))</f>
        <v/>
      </c>
      <c r="B2109" s="36">
        <f>IF(C2109&lt;&gt;"",C2109,IF(P2109&lt;=IFERROR(INDEX(tblChannels[Watched Through],MATCH(N2109,tblChannels[Channel ID],0)),0),"Watched","Unwatched"))</f>
        <v/>
      </c>
      <c r="C2109" s="37" t="n"/>
      <c r="D2109" s="38" t="n"/>
      <c r="E2109" s="39" t="n">
        <v>43291.81666666667</v>
      </c>
      <c r="F2109" s="47" t="inlineStr">
        <is>
          <t>Super Carlin Brothers</t>
        </is>
      </c>
      <c r="G2109" t="inlineStr">
        <is>
          <t>How Dumbledore REALLY Planned Harry's Death | Harry Potter Theory</t>
        </is>
      </c>
      <c r="H2109" s="41" t="n">
        <v>0.009791666666666667</v>
      </c>
      <c r="I2109" s="42" t="n">
        <v>1745061</v>
      </c>
      <c r="J2109" s="42" t="n">
        <v>40333</v>
      </c>
      <c r="K2109" s="42" t="n">
        <v>3212</v>
      </c>
      <c r="L2109" s="43" t="n"/>
      <c r="M2109" s="44" t="n"/>
      <c r="N2109" s="44" t="inlineStr">
        <is>
          <t>UCKZo4N0lVPccBkSiuyVh4yg</t>
        </is>
      </c>
      <c r="O2109" s="45" t="n">
        <v>43291.98333333333</v>
      </c>
      <c r="P2109" s="46" t="n">
        <v>43291</v>
      </c>
      <c r="Q2109" s="44" t="n">
        <v>1163</v>
      </c>
      <c r="R2109" s="44" t="inlineStr">
        <is>
          <t>No Video ID yet</t>
        </is>
      </c>
      <c r="S2109" s="46" t="n"/>
      <c r="T2109" s="46" t="n"/>
      <c r="U2109" s="44" t="n"/>
      <c r="V2109" s="44">
        <f>IF(AND(P2109&gt;=Calendar!$K$2,P2109&lt;EDATE(Calendar!$K$2,1),OR(Calendar!$K$4="*",N2109=Calendar!$K$4)),P2109*100+COUNTIFS($P$6:$P$3271,P2109,$Q$6:$Q$3271,"&lt;="&amp;Q2109,$N$6:$N$3271,Calendar!$K$4),"")</f>
        <v/>
      </c>
      <c r="W2109" s="44">
        <f>IF(AND(B2109=Queue!$C$4,OR(Queue!$K$4="*",N2109=Queue!$K$4)),Q2109,"")</f>
        <v/>
      </c>
    </row>
    <row r="2110">
      <c r="A2110" s="35">
        <f>IF(M2110="","",HYPERLINK("https://www.youtube.com/watch?v="&amp;M2110,"▶"))</f>
        <v/>
      </c>
      <c r="B2110" s="36">
        <f>IF(C2110&lt;&gt;"",C2110,IF(P2110&lt;=IFERROR(INDEX(tblChannels[Watched Through],MATCH(N2110,tblChannels[Channel ID],0)),0),"Watched","Unwatched"))</f>
        <v/>
      </c>
      <c r="C2110" s="37" t="n"/>
      <c r="D2110" s="38" t="n"/>
      <c r="E2110" s="39" t="n">
        <v>43290.575</v>
      </c>
      <c r="F2110" s="49" t="inlineStr">
        <is>
          <t>Super Carlin Gaming</t>
        </is>
      </c>
      <c r="G2110" t="inlineStr">
        <is>
          <t>Crock Pot Liners | Rocket League #25</t>
        </is>
      </c>
      <c r="H2110" s="41" t="n">
        <v>0.01418981481481481</v>
      </c>
      <c r="I2110" s="42" t="n">
        <v>5940</v>
      </c>
      <c r="J2110" s="42" t="n">
        <v>271</v>
      </c>
      <c r="K2110" s="42" t="n">
        <v>75</v>
      </c>
      <c r="L2110" s="43" t="n"/>
      <c r="M2110" s="44" t="n"/>
      <c r="N2110" s="44" t="inlineStr">
        <is>
          <t>UCor_9jRnNNZVzTuQ92PKsaQ</t>
        </is>
      </c>
      <c r="O2110" s="45" t="n">
        <v>43290.74166666667</v>
      </c>
      <c r="P2110" s="46" t="n">
        <v>43290</v>
      </c>
      <c r="Q2110" s="44" t="n">
        <v>1162</v>
      </c>
      <c r="R2110" s="44" t="inlineStr">
        <is>
          <t>No Video ID yet</t>
        </is>
      </c>
      <c r="S2110" s="46" t="n"/>
      <c r="T2110" s="46" t="n"/>
      <c r="U2110" s="44" t="n"/>
      <c r="V2110" s="44">
        <f>IF(AND(P2110&gt;=Calendar!$K$2,P2110&lt;EDATE(Calendar!$K$2,1),OR(Calendar!$K$4="*",N2110=Calendar!$K$4)),P2110*100+COUNTIFS($P$6:$P$3271,P2110,$Q$6:$Q$3271,"&lt;="&amp;Q2110,$N$6:$N$3271,Calendar!$K$4),"")</f>
        <v/>
      </c>
      <c r="W2110" s="44">
        <f>IF(AND(B2110=Queue!$C$4,OR(Queue!$K$4="*",N2110=Queue!$K$4)),Q2110,"")</f>
        <v/>
      </c>
    </row>
    <row r="2111">
      <c r="A2111" s="35">
        <f>IF(M2111="","",HYPERLINK("https://www.youtube.com/watch?v="&amp;M2111,"▶"))</f>
        <v/>
      </c>
      <c r="B2111" s="36">
        <f>IF(C2111&lt;&gt;"",C2111,IF(P2111&lt;=IFERROR(INDEX(tblChannels[Watched Through],MATCH(N2111,tblChannels[Channel ID],0)),0),"Watched","Unwatched"))</f>
        <v/>
      </c>
      <c r="C2111" s="37" t="n"/>
      <c r="D2111" s="38" t="n"/>
      <c r="E2111" s="39" t="n">
        <v>43290.46458333333</v>
      </c>
      <c r="F2111" s="50" t="inlineStr">
        <is>
          <t>Jonathan Carlin</t>
        </is>
      </c>
      <c r="G2111" t="inlineStr">
        <is>
          <t>SPARTAN RACE | DC MEET UP</t>
        </is>
      </c>
      <c r="H2111" s="41" t="n">
        <v>0.007060185185185185</v>
      </c>
      <c r="I2111" s="42" t="n">
        <v>36333</v>
      </c>
      <c r="J2111" s="42" t="n">
        <v>1654</v>
      </c>
      <c r="K2111" s="42" t="n">
        <v>158</v>
      </c>
      <c r="L2111" s="43" t="n"/>
      <c r="M2111" s="44" t="n"/>
      <c r="N2111" s="44" t="inlineStr">
        <is>
          <t>UCYPKFe86e6nm4TVUYKLsFUQ</t>
        </is>
      </c>
      <c r="O2111" s="45" t="n">
        <v>43290.63125</v>
      </c>
      <c r="P2111" s="46" t="n">
        <v>43290</v>
      </c>
      <c r="Q2111" s="44" t="n">
        <v>1161</v>
      </c>
      <c r="R2111" s="44" t="inlineStr">
        <is>
          <t>No Video ID yet</t>
        </is>
      </c>
      <c r="S2111" s="46" t="n"/>
      <c r="T2111" s="46" t="n"/>
      <c r="U2111" s="44" t="n"/>
      <c r="V2111" s="44">
        <f>IF(AND(P2111&gt;=Calendar!$K$2,P2111&lt;EDATE(Calendar!$K$2,1),OR(Calendar!$K$4="*",N2111=Calendar!$K$4)),P2111*100+COUNTIFS($P$6:$P$3271,P2111,$Q$6:$Q$3271,"&lt;="&amp;Q2111,$N$6:$N$3271,Calendar!$K$4),"")</f>
        <v/>
      </c>
      <c r="W2111" s="44">
        <f>IF(AND(B2111=Queue!$C$4,OR(Queue!$K$4="*",N2111=Queue!$K$4)),Q2111,"")</f>
        <v/>
      </c>
    </row>
    <row r="2112">
      <c r="A2112" s="35">
        <f>IF(M2112="","",HYPERLINK("https://www.youtube.com/watch?v="&amp;M2112,"▶"))</f>
        <v/>
      </c>
      <c r="B2112" s="36">
        <f>IF(C2112&lt;&gt;"",C2112,IF(P2112&lt;=IFERROR(INDEX(tblChannels[Watched Through],MATCH(N2112,tblChannels[Channel ID],0)),0),"Watched","Unwatched"))</f>
        <v/>
      </c>
      <c r="C2112" s="37" t="n"/>
      <c r="D2112" s="38" t="n"/>
      <c r="E2112" s="39" t="n">
        <v>43287.4375</v>
      </c>
      <c r="F2112" s="49" t="inlineStr">
        <is>
          <t>Super Carlin Gaming</t>
        </is>
      </c>
      <c r="G2112" t="inlineStr">
        <is>
          <t>Standing in a Puddle | Rocket League #24</t>
        </is>
      </c>
      <c r="H2112" s="41" t="n">
        <v>0.01306712962962963</v>
      </c>
      <c r="I2112" s="42" t="n">
        <v>5959</v>
      </c>
      <c r="J2112" s="42" t="n">
        <v>271</v>
      </c>
      <c r="K2112" s="42" t="n">
        <v>55</v>
      </c>
      <c r="L2112" s="43" t="n"/>
      <c r="M2112" s="44" t="n"/>
      <c r="N2112" s="44" t="inlineStr">
        <is>
          <t>UCor_9jRnNNZVzTuQ92PKsaQ</t>
        </is>
      </c>
      <c r="O2112" s="45" t="n">
        <v>43287.60416666666</v>
      </c>
      <c r="P2112" s="46" t="n">
        <v>43287</v>
      </c>
      <c r="Q2112" s="44" t="n">
        <v>1160</v>
      </c>
      <c r="R2112" s="44" t="inlineStr">
        <is>
          <t>No Video ID yet</t>
        </is>
      </c>
      <c r="S2112" s="46" t="n"/>
      <c r="T2112" s="46" t="n"/>
      <c r="U2112" s="44" t="n"/>
      <c r="V2112" s="44">
        <f>IF(AND(P2112&gt;=Calendar!$K$2,P2112&lt;EDATE(Calendar!$K$2,1),OR(Calendar!$K$4="*",N2112=Calendar!$K$4)),P2112*100+COUNTIFS($P$6:$P$3271,P2112,$Q$6:$Q$3271,"&lt;="&amp;Q2112,$N$6:$N$3271,Calendar!$K$4),"")</f>
        <v/>
      </c>
      <c r="W2112" s="44">
        <f>IF(AND(B2112=Queue!$C$4,OR(Queue!$K$4="*",N2112=Queue!$K$4)),Q2112,"")</f>
        <v/>
      </c>
    </row>
    <row r="2113">
      <c r="A2113" s="35">
        <f>IF(M2113="","",HYPERLINK("https://www.youtube.com/watch?v="&amp;M2113,"▶"))</f>
        <v/>
      </c>
      <c r="B2113" s="36">
        <f>IF(C2113&lt;&gt;"",C2113,IF(P2113&lt;=IFERROR(INDEX(tblChannels[Watched Through],MATCH(N2113,tblChannels[Channel ID],0)),0),"Watched","Unwatched"))</f>
        <v/>
      </c>
      <c r="C2113" s="37" t="n"/>
      <c r="D2113" s="38" t="n"/>
      <c r="E2113" s="39" t="n">
        <v>43287.04861111111</v>
      </c>
      <c r="F2113" s="49" t="inlineStr">
        <is>
          <t>Super Carlin Gaming</t>
        </is>
      </c>
      <c r="G2113" t="inlineStr">
        <is>
          <t>LIVE - Rocket League! T-REX EXPLOSIONS!</t>
        </is>
      </c>
      <c r="H2113" s="41" t="n">
        <v>0.07550925925925926</v>
      </c>
      <c r="I2113" s="42" t="n">
        <v>2345</v>
      </c>
      <c r="J2113" s="42" t="n">
        <v>128</v>
      </c>
      <c r="K2113" s="42" t="n">
        <v>5</v>
      </c>
      <c r="L2113" s="43" t="n"/>
      <c r="M2113" s="44" t="n"/>
      <c r="N2113" s="44" t="inlineStr">
        <is>
          <t>UCor_9jRnNNZVzTuQ92PKsaQ</t>
        </is>
      </c>
      <c r="O2113" s="45" t="n">
        <v>43287.21527777778</v>
      </c>
      <c r="P2113" s="46" t="n">
        <v>43287</v>
      </c>
      <c r="Q2113" s="44" t="n">
        <v>1159</v>
      </c>
      <c r="R2113" s="44" t="inlineStr">
        <is>
          <t>No Video ID yet</t>
        </is>
      </c>
      <c r="S2113" s="46" t="n"/>
      <c r="T2113" s="46" t="n"/>
      <c r="U2113" s="44" t="n"/>
      <c r="V2113" s="44">
        <f>IF(AND(P2113&gt;=Calendar!$K$2,P2113&lt;EDATE(Calendar!$K$2,1),OR(Calendar!$K$4="*",N2113=Calendar!$K$4)),P2113*100+COUNTIFS($P$6:$P$3271,P2113,$Q$6:$Q$3271,"&lt;="&amp;Q2113,$N$6:$N$3271,Calendar!$K$4),"")</f>
        <v/>
      </c>
      <c r="W2113" s="44">
        <f>IF(AND(B2113=Queue!$C$4,OR(Queue!$K$4="*",N2113=Queue!$K$4)),Q2113,"")</f>
        <v/>
      </c>
    </row>
    <row r="2114">
      <c r="A2114" s="35">
        <f>IF(M2114="","",HYPERLINK("https://www.youtube.com/watch?v="&amp;M2114,"▶"))</f>
        <v/>
      </c>
      <c r="B2114" s="36">
        <f>IF(C2114&lt;&gt;"",C2114,IF(P2114&lt;=IFERROR(INDEX(tblChannels[Watched Through],MATCH(N2114,tblChannels[Channel ID],0)),0),"Watched","Unwatched"))</f>
        <v/>
      </c>
      <c r="C2114" s="37" t="n"/>
      <c r="D2114" s="38" t="n"/>
      <c r="E2114" s="39" t="n">
        <v>43286.79930555556</v>
      </c>
      <c r="F2114" s="47" t="inlineStr">
        <is>
          <t>Super Carlin Brothers</t>
        </is>
      </c>
      <c r="G2114" t="inlineStr">
        <is>
          <t>Everything They LEFT OUT Of Incredibles 2</t>
        </is>
      </c>
      <c r="H2114" s="41" t="n">
        <v>0.006134259259259259</v>
      </c>
      <c r="I2114" s="42" t="n">
        <v>971175</v>
      </c>
      <c r="J2114" s="42" t="n">
        <v>26066</v>
      </c>
      <c r="K2114" s="42" t="n">
        <v>2006</v>
      </c>
      <c r="L2114" s="43" t="n"/>
      <c r="M2114" s="44" t="n"/>
      <c r="N2114" s="44" t="inlineStr">
        <is>
          <t>UCKZo4N0lVPccBkSiuyVh4yg</t>
        </is>
      </c>
      <c r="O2114" s="45" t="n">
        <v>43286.96597222222</v>
      </c>
      <c r="P2114" s="46" t="n">
        <v>43286</v>
      </c>
      <c r="Q2114" s="44" t="n">
        <v>1158</v>
      </c>
      <c r="R2114" s="44" t="inlineStr">
        <is>
          <t>No Video ID yet</t>
        </is>
      </c>
      <c r="S2114" s="46" t="n"/>
      <c r="T2114" s="46" t="n"/>
      <c r="U2114" s="44" t="n"/>
      <c r="V2114" s="44">
        <f>IF(AND(P2114&gt;=Calendar!$K$2,P2114&lt;EDATE(Calendar!$K$2,1),OR(Calendar!$K$4="*",N2114=Calendar!$K$4)),P2114*100+COUNTIFS($P$6:$P$3271,P2114,$Q$6:$Q$3271,"&lt;="&amp;Q2114,$N$6:$N$3271,Calendar!$K$4),"")</f>
        <v/>
      </c>
      <c r="W2114" s="44">
        <f>IF(AND(B2114=Queue!$C$4,OR(Queue!$K$4="*",N2114=Queue!$K$4)),Q2114,"")</f>
        <v/>
      </c>
    </row>
    <row r="2115">
      <c r="A2115" s="35">
        <f>IF(M2115="","",HYPERLINK("https://www.youtube.com/watch?v="&amp;M2115,"▶"))</f>
        <v/>
      </c>
      <c r="B2115" s="36">
        <f>IF(C2115&lt;&gt;"",C2115,IF(P2115&lt;=IFERROR(INDEX(tblChannels[Watched Through],MATCH(N2115,tblChannels[Channel ID],0)),0),"Watched","Unwatched"))</f>
        <v/>
      </c>
      <c r="C2115" s="37" t="n"/>
      <c r="D2115" s="38" t="n"/>
      <c r="E2115" s="39" t="n">
        <v>43285.4375</v>
      </c>
      <c r="F2115" s="49" t="inlineStr">
        <is>
          <t>Super Carlin Gaming</t>
        </is>
      </c>
      <c r="G2115" t="inlineStr">
        <is>
          <t>Low and Wet | Rocket League #23</t>
        </is>
      </c>
      <c r="H2115" s="41" t="n">
        <v>0.01459490740740741</v>
      </c>
      <c r="I2115" s="42" t="n">
        <v>6139</v>
      </c>
      <c r="J2115" s="42" t="n">
        <v>284</v>
      </c>
      <c r="K2115" s="42" t="n">
        <v>65</v>
      </c>
      <c r="L2115" s="43" t="n"/>
      <c r="M2115" s="44" t="n"/>
      <c r="N2115" s="44" t="inlineStr">
        <is>
          <t>UCor_9jRnNNZVzTuQ92PKsaQ</t>
        </is>
      </c>
      <c r="O2115" s="45" t="n">
        <v>43285.60416666666</v>
      </c>
      <c r="P2115" s="46" t="n">
        <v>43285</v>
      </c>
      <c r="Q2115" s="44" t="n">
        <v>1157</v>
      </c>
      <c r="R2115" s="44" t="inlineStr">
        <is>
          <t>No Video ID yet</t>
        </is>
      </c>
      <c r="S2115" s="46" t="n"/>
      <c r="T2115" s="46" t="n"/>
      <c r="U2115" s="44" t="n"/>
      <c r="V2115" s="44">
        <f>IF(AND(P2115&gt;=Calendar!$K$2,P2115&lt;EDATE(Calendar!$K$2,1),OR(Calendar!$K$4="*",N2115=Calendar!$K$4)),P2115*100+COUNTIFS($P$6:$P$3271,P2115,$Q$6:$Q$3271,"&lt;="&amp;Q2115,$N$6:$N$3271,Calendar!$K$4),"")</f>
        <v/>
      </c>
      <c r="W2115" s="44">
        <f>IF(AND(B2115=Queue!$C$4,OR(Queue!$K$4="*",N2115=Queue!$K$4)),Q2115,"")</f>
        <v/>
      </c>
    </row>
    <row r="2116">
      <c r="A2116" s="35">
        <f>IF(M2116="","",HYPERLINK("https://www.youtube.com/watch?v="&amp;M2116,"▶"))</f>
        <v/>
      </c>
      <c r="B2116" s="36">
        <f>IF(C2116&lt;&gt;"",C2116,IF(P2116&lt;=IFERROR(INDEX(tblChannels[Watched Through],MATCH(N2116,tblChannels[Channel ID],0)),0),"Watched","Unwatched"))</f>
        <v/>
      </c>
      <c r="C2116" s="37" t="n"/>
      <c r="D2116" s="38" t="n"/>
      <c r="E2116" s="39" t="n">
        <v>43284.77430555555</v>
      </c>
      <c r="F2116" s="47" t="inlineStr">
        <is>
          <t>Super Carlin Brothers</t>
        </is>
      </c>
      <c r="G2116" t="inlineStr">
        <is>
          <t>Pixar Theory: MR. GIBBS REVEALED!</t>
        </is>
      </c>
      <c r="H2116" s="41" t="n">
        <v>0.009571759259259259</v>
      </c>
      <c r="I2116" s="42" t="n">
        <v>1839955</v>
      </c>
      <c r="J2116" s="42" t="n">
        <v>42652</v>
      </c>
      <c r="K2116" s="42" t="n">
        <v>6095</v>
      </c>
      <c r="L2116" s="43" t="n"/>
      <c r="M2116" s="44" t="n"/>
      <c r="N2116" s="44" t="inlineStr">
        <is>
          <t>UCKZo4N0lVPccBkSiuyVh4yg</t>
        </is>
      </c>
      <c r="O2116" s="45" t="n">
        <v>43284.94097222222</v>
      </c>
      <c r="P2116" s="46" t="n">
        <v>43284</v>
      </c>
      <c r="Q2116" s="44" t="n">
        <v>1156</v>
      </c>
      <c r="R2116" s="44" t="inlineStr">
        <is>
          <t>No Video ID yet</t>
        </is>
      </c>
      <c r="S2116" s="46" t="n"/>
      <c r="T2116" s="46" t="n"/>
      <c r="U2116" s="44" t="n"/>
      <c r="V2116" s="44">
        <f>IF(AND(P2116&gt;=Calendar!$K$2,P2116&lt;EDATE(Calendar!$K$2,1),OR(Calendar!$K$4="*",N2116=Calendar!$K$4)),P2116*100+COUNTIFS($P$6:$P$3271,P2116,$Q$6:$Q$3271,"&lt;="&amp;Q2116,$N$6:$N$3271,Calendar!$K$4),"")</f>
        <v/>
      </c>
      <c r="W2116" s="44">
        <f>IF(AND(B2116=Queue!$C$4,OR(Queue!$K$4="*",N2116=Queue!$K$4)),Q2116,"")</f>
        <v/>
      </c>
    </row>
    <row r="2117">
      <c r="A2117" s="35">
        <f>IF(M2117="","",HYPERLINK("https://www.youtube.com/watch?v="&amp;M2117,"▶"))</f>
        <v/>
      </c>
      <c r="B2117" s="36">
        <f>IF(C2117&lt;&gt;"",C2117,IF(P2117&lt;=IFERROR(INDEX(tblChannels[Watched Through],MATCH(N2117,tblChannels[Channel ID],0)),0),"Watched","Unwatched"))</f>
        <v/>
      </c>
      <c r="C2117" s="37" t="n"/>
      <c r="D2117" s="38" t="n"/>
      <c r="E2117" s="39" t="n">
        <v>43283.6375</v>
      </c>
      <c r="F2117" s="49" t="inlineStr">
        <is>
          <t>Super Carlin Gaming</t>
        </is>
      </c>
      <c r="G2117" t="inlineStr">
        <is>
          <t>We Got Someone Fired | Rocket League #22</t>
        </is>
      </c>
      <c r="H2117" s="41" t="n">
        <v>0.01493055555555556</v>
      </c>
      <c r="I2117" s="42" t="n">
        <v>6587</v>
      </c>
      <c r="J2117" s="42" t="n">
        <v>310</v>
      </c>
      <c r="K2117" s="42" t="n">
        <v>77</v>
      </c>
      <c r="L2117" s="43" t="n"/>
      <c r="M2117" s="44" t="n"/>
      <c r="N2117" s="44" t="inlineStr">
        <is>
          <t>UCor_9jRnNNZVzTuQ92PKsaQ</t>
        </is>
      </c>
      <c r="O2117" s="45" t="n">
        <v>43283.80416666667</v>
      </c>
      <c r="P2117" s="46" t="n">
        <v>43283</v>
      </c>
      <c r="Q2117" s="44" t="n">
        <v>1155</v>
      </c>
      <c r="R2117" s="44" t="inlineStr">
        <is>
          <t>No Video ID yet</t>
        </is>
      </c>
      <c r="S2117" s="46" t="n"/>
      <c r="T2117" s="46" t="n"/>
      <c r="U2117" s="44" t="n"/>
      <c r="V2117" s="44">
        <f>IF(AND(P2117&gt;=Calendar!$K$2,P2117&lt;EDATE(Calendar!$K$2,1),OR(Calendar!$K$4="*",N2117=Calendar!$K$4)),P2117*100+COUNTIFS($P$6:$P$3271,P2117,$Q$6:$Q$3271,"&lt;="&amp;Q2117,$N$6:$N$3271,Calendar!$K$4),"")</f>
        <v/>
      </c>
      <c r="W2117" s="44">
        <f>IF(AND(B2117=Queue!$C$4,OR(Queue!$K$4="*",N2117=Queue!$K$4)),Q2117,"")</f>
        <v/>
      </c>
    </row>
    <row r="2118">
      <c r="A2118" s="35">
        <f>IF(M2118="","",HYPERLINK("https://www.youtube.com/watch?v="&amp;M2118,"▶"))</f>
        <v/>
      </c>
      <c r="B2118" s="36">
        <f>IF(C2118&lt;&gt;"",C2118,IF(P2118&lt;=IFERROR(INDEX(tblChannels[Watched Through],MATCH(N2118,tblChannels[Channel ID],0)),0),"Watched","Unwatched"))</f>
        <v/>
      </c>
      <c r="C2118" s="37" t="n"/>
      <c r="D2118" s="38" t="n"/>
      <c r="E2118" s="39" t="n">
        <v>43283.48194444444</v>
      </c>
      <c r="F2118" s="50" t="inlineStr">
        <is>
          <t>Jonathan Carlin</t>
        </is>
      </c>
      <c r="G2118" t="inlineStr">
        <is>
          <t>Beth's Last Week of School | Jordan's First Week at SCB</t>
        </is>
      </c>
      <c r="H2118" s="41" t="n">
        <v>0.006724537037037037</v>
      </c>
      <c r="I2118" s="42" t="n">
        <v>39982</v>
      </c>
      <c r="J2118" s="42" t="n">
        <v>1907</v>
      </c>
      <c r="K2118" s="42" t="n">
        <v>235</v>
      </c>
      <c r="L2118" s="43" t="n"/>
      <c r="M2118" s="44" t="n"/>
      <c r="N2118" s="44" t="inlineStr">
        <is>
          <t>UCYPKFe86e6nm4TVUYKLsFUQ</t>
        </is>
      </c>
      <c r="O2118" s="45" t="n">
        <v>43283.64861111111</v>
      </c>
      <c r="P2118" s="46" t="n">
        <v>43283</v>
      </c>
      <c r="Q2118" s="44" t="n">
        <v>1154</v>
      </c>
      <c r="R2118" s="44" t="inlineStr">
        <is>
          <t>No Video ID yet</t>
        </is>
      </c>
      <c r="S2118" s="46" t="n"/>
      <c r="T2118" s="46" t="n"/>
      <c r="U2118" s="44" t="n"/>
      <c r="V2118" s="44">
        <f>IF(AND(P2118&gt;=Calendar!$K$2,P2118&lt;EDATE(Calendar!$K$2,1),OR(Calendar!$K$4="*",N2118=Calendar!$K$4)),P2118*100+COUNTIFS($P$6:$P$3271,P2118,$Q$6:$Q$3271,"&lt;="&amp;Q2118,$N$6:$N$3271,Calendar!$K$4),"")</f>
        <v/>
      </c>
      <c r="W2118" s="44">
        <f>IF(AND(B2118=Queue!$C$4,OR(Queue!$K$4="*",N2118=Queue!$K$4)),Q2118,"")</f>
        <v/>
      </c>
    </row>
    <row r="2119">
      <c r="A2119" s="35">
        <f>IF(M2119="","",HYPERLINK("https://www.youtube.com/watch?v="&amp;M2119,"▶"))</f>
        <v/>
      </c>
      <c r="B2119" s="36">
        <f>IF(C2119&lt;&gt;"",C2119,IF(P2119&lt;=IFERROR(INDEX(tblChannels[Watched Through],MATCH(N2119,tblChannels[Channel ID],0)),0),"Watched","Unwatched"))</f>
        <v/>
      </c>
      <c r="C2119" s="37" t="n"/>
      <c r="D2119" s="38" t="n"/>
      <c r="E2119" s="39" t="n">
        <v>43283.05</v>
      </c>
      <c r="F2119" s="49" t="inlineStr">
        <is>
          <t>Super Carlin Gaming</t>
        </is>
      </c>
      <c r="G2119" t="inlineStr">
        <is>
          <t>LIVE - Rocket League! Probably Getting Destroyed Online...</t>
        </is>
      </c>
      <c r="H2119" s="41" t="n">
        <v>0.08182870370370371</v>
      </c>
      <c r="I2119" s="42" t="n">
        <v>2929</v>
      </c>
      <c r="J2119" s="42" t="n">
        <v>126</v>
      </c>
      <c r="K2119" s="42" t="n">
        <v>7</v>
      </c>
      <c r="L2119" s="43" t="n"/>
      <c r="M2119" s="44" t="n"/>
      <c r="N2119" s="44" t="inlineStr">
        <is>
          <t>UCor_9jRnNNZVzTuQ92PKsaQ</t>
        </is>
      </c>
      <c r="O2119" s="45" t="n">
        <v>43283.21666666667</v>
      </c>
      <c r="P2119" s="46" t="n">
        <v>43283</v>
      </c>
      <c r="Q2119" s="44" t="n">
        <v>1153</v>
      </c>
      <c r="R2119" s="44" t="inlineStr">
        <is>
          <t>No Video ID yet</t>
        </is>
      </c>
      <c r="S2119" s="46" t="n"/>
      <c r="T2119" s="46" t="n"/>
      <c r="U2119" s="44" t="n"/>
      <c r="V2119" s="44">
        <f>IF(AND(P2119&gt;=Calendar!$K$2,P2119&lt;EDATE(Calendar!$K$2,1),OR(Calendar!$K$4="*",N2119=Calendar!$K$4)),P2119*100+COUNTIFS($P$6:$P$3271,P2119,$Q$6:$Q$3271,"&lt;="&amp;Q2119,$N$6:$N$3271,Calendar!$K$4),"")</f>
        <v/>
      </c>
      <c r="W2119" s="44">
        <f>IF(AND(B2119=Queue!$C$4,OR(Queue!$K$4="*",N2119=Queue!$K$4)),Q2119,"")</f>
        <v/>
      </c>
    </row>
    <row r="2120">
      <c r="A2120" s="35">
        <f>IF(M2120="","",HYPERLINK("https://www.youtube.com/watch?v="&amp;M2120,"▶"))</f>
        <v/>
      </c>
      <c r="B2120" s="36">
        <f>IF(C2120&lt;&gt;"",C2120,IF(P2120&lt;=IFERROR(INDEX(tblChannels[Watched Through],MATCH(N2120,tblChannels[Channel ID],0)),0),"Watched","Unwatched"))</f>
        <v/>
      </c>
      <c r="C2120" s="37" t="n"/>
      <c r="D2120" s="38" t="n"/>
      <c r="E2120" s="39" t="n">
        <v>43280.41666666666</v>
      </c>
      <c r="F2120" s="49" t="inlineStr">
        <is>
          <t>Super Carlin Gaming</t>
        </is>
      </c>
      <c r="G2120" t="inlineStr">
        <is>
          <t>I'M BATMAN | Rocket League #21</t>
        </is>
      </c>
      <c r="H2120" s="41" t="n">
        <v>0.01478009259259259</v>
      </c>
      <c r="I2120" s="42" t="n">
        <v>6554</v>
      </c>
      <c r="J2120" s="42" t="n">
        <v>265</v>
      </c>
      <c r="K2120" s="42" t="n">
        <v>93</v>
      </c>
      <c r="L2120" s="43" t="n"/>
      <c r="M2120" s="44" t="n"/>
      <c r="N2120" s="44" t="inlineStr">
        <is>
          <t>UCor_9jRnNNZVzTuQ92PKsaQ</t>
        </is>
      </c>
      <c r="O2120" s="45" t="n">
        <v>43280.58333333334</v>
      </c>
      <c r="P2120" s="46" t="n">
        <v>43280</v>
      </c>
      <c r="Q2120" s="44" t="n">
        <v>1152</v>
      </c>
      <c r="R2120" s="44" t="inlineStr">
        <is>
          <t>No Video ID yet</t>
        </is>
      </c>
      <c r="S2120" s="46" t="n"/>
      <c r="T2120" s="46" t="n"/>
      <c r="U2120" s="44" t="n"/>
      <c r="V2120" s="44">
        <f>IF(AND(P2120&gt;=Calendar!$K$2,P2120&lt;EDATE(Calendar!$K$2,1),OR(Calendar!$K$4="*",N2120=Calendar!$K$4)),P2120*100+COUNTIFS($P$6:$P$3271,P2120,$Q$6:$Q$3271,"&lt;="&amp;Q2120,$N$6:$N$3271,Calendar!$K$4),"")</f>
        <v/>
      </c>
      <c r="W2120" s="44">
        <f>IF(AND(B2120=Queue!$C$4,OR(Queue!$K$4="*",N2120=Queue!$K$4)),Q2120,"")</f>
        <v/>
      </c>
    </row>
    <row r="2121">
      <c r="A2121" s="35">
        <f>IF(M2121="","",HYPERLINK("https://www.youtube.com/watch?v="&amp;M2121,"▶"))</f>
        <v/>
      </c>
      <c r="B2121" s="36">
        <f>IF(C2121&lt;&gt;"",C2121,IF(P2121&lt;=IFERROR(INDEX(tblChannels[Watched Through],MATCH(N2121,tblChannels[Channel ID],0)),0),"Watched","Unwatched"))</f>
        <v/>
      </c>
      <c r="C2121" s="37" t="n"/>
      <c r="D2121" s="38" t="n"/>
      <c r="E2121" s="39" t="n">
        <v>43279.64513888889</v>
      </c>
      <c r="F2121" s="47" t="inlineStr">
        <is>
          <t>Super Carlin Brothers</t>
        </is>
      </c>
      <c r="G2121" t="inlineStr">
        <is>
          <t>J vs Ben vs Brizzy: Sorting Pixar Characters Into Hogwarts Houses</t>
        </is>
      </c>
      <c r="H2121" s="41" t="n">
        <v>0.01842592592592593</v>
      </c>
      <c r="I2121" s="42" t="n">
        <v>774668</v>
      </c>
      <c r="J2121" s="42" t="n">
        <v>17942</v>
      </c>
      <c r="K2121" s="42" t="n">
        <v>3508</v>
      </c>
      <c r="L2121" s="43" t="n"/>
      <c r="M2121" s="44" t="n"/>
      <c r="N2121" s="44" t="inlineStr">
        <is>
          <t>UCKZo4N0lVPccBkSiuyVh4yg</t>
        </is>
      </c>
      <c r="O2121" s="45" t="n">
        <v>43279.81180555555</v>
      </c>
      <c r="P2121" s="46" t="n">
        <v>43279</v>
      </c>
      <c r="Q2121" s="44" t="n">
        <v>1151</v>
      </c>
      <c r="R2121" s="44" t="inlineStr">
        <is>
          <t>No Video ID yet</t>
        </is>
      </c>
      <c r="S2121" s="46" t="n"/>
      <c r="T2121" s="46" t="n"/>
      <c r="U2121" s="44" t="n"/>
      <c r="V2121" s="44">
        <f>IF(AND(P2121&gt;=Calendar!$K$2,P2121&lt;EDATE(Calendar!$K$2,1),OR(Calendar!$K$4="*",N2121=Calendar!$K$4)),P2121*100+COUNTIFS($P$6:$P$3271,P2121,$Q$6:$Q$3271,"&lt;="&amp;Q2121,$N$6:$N$3271,Calendar!$K$4),"")</f>
        <v/>
      </c>
      <c r="W2121" s="44">
        <f>IF(AND(B2121=Queue!$C$4,OR(Queue!$K$4="*",N2121=Queue!$K$4)),Q2121,"")</f>
        <v/>
      </c>
    </row>
    <row r="2122">
      <c r="A2122" s="35">
        <f>IF(M2122="","",HYPERLINK("https://www.youtube.com/watch?v="&amp;M2122,"▶"))</f>
        <v/>
      </c>
      <c r="B2122" s="36">
        <f>IF(C2122&lt;&gt;"",C2122,IF(P2122&lt;=IFERROR(INDEX(tblChannels[Watched Through],MATCH(N2122,tblChannels[Channel ID],0)),0),"Watched","Unwatched"))</f>
        <v/>
      </c>
      <c r="C2122" s="37" t="n"/>
      <c r="D2122" s="38" t="n"/>
      <c r="E2122" s="39" t="n">
        <v>43278.41666666666</v>
      </c>
      <c r="F2122" s="49" t="inlineStr">
        <is>
          <t>Super Carlin Gaming</t>
        </is>
      </c>
      <c r="G2122" t="inlineStr">
        <is>
          <t>Crusty Toothpaste | Rocket League #20</t>
        </is>
      </c>
      <c r="H2122" s="41" t="n">
        <v>0.01288194444444444</v>
      </c>
      <c r="I2122" s="42" t="n">
        <v>6678</v>
      </c>
      <c r="J2122" s="42" t="n">
        <v>259</v>
      </c>
      <c r="K2122" s="42" t="n">
        <v>60</v>
      </c>
      <c r="L2122" s="43" t="n"/>
      <c r="M2122" s="44" t="n"/>
      <c r="N2122" s="44" t="inlineStr">
        <is>
          <t>UCor_9jRnNNZVzTuQ92PKsaQ</t>
        </is>
      </c>
      <c r="O2122" s="45" t="n">
        <v>43278.58333333334</v>
      </c>
      <c r="P2122" s="46" t="n">
        <v>43278</v>
      </c>
      <c r="Q2122" s="44" t="n">
        <v>1150</v>
      </c>
      <c r="R2122" s="44" t="inlineStr">
        <is>
          <t>No Video ID yet</t>
        </is>
      </c>
      <c r="S2122" s="46" t="n"/>
      <c r="T2122" s="46" t="n"/>
      <c r="U2122" s="44" t="n"/>
      <c r="V2122" s="44">
        <f>IF(AND(P2122&gt;=Calendar!$K$2,P2122&lt;EDATE(Calendar!$K$2,1),OR(Calendar!$K$4="*",N2122=Calendar!$K$4)),P2122*100+COUNTIFS($P$6:$P$3271,P2122,$Q$6:$Q$3271,"&lt;="&amp;Q2122,$N$6:$N$3271,Calendar!$K$4),"")</f>
        <v/>
      </c>
      <c r="W2122" s="44">
        <f>IF(AND(B2122=Queue!$C$4,OR(Queue!$K$4="*",N2122=Queue!$K$4)),Q2122,"")</f>
        <v/>
      </c>
    </row>
    <row r="2123">
      <c r="A2123" s="35">
        <f>IF(M2123="","",HYPERLINK("https://www.youtube.com/watch?v="&amp;M2123,"▶"))</f>
        <v/>
      </c>
      <c r="B2123" s="36">
        <f>IF(C2123&lt;&gt;"",C2123,IF(P2123&lt;=IFERROR(INDEX(tblChannels[Watched Through],MATCH(N2123,tblChannels[Channel ID],0)),0),"Watched","Unwatched"))</f>
        <v/>
      </c>
      <c r="C2123" s="37" t="n"/>
      <c r="D2123" s="38" t="n"/>
      <c r="E2123" s="39" t="n">
        <v>43277.625</v>
      </c>
      <c r="F2123" s="47" t="inlineStr">
        <is>
          <t>Super Carlin Brothers</t>
        </is>
      </c>
      <c r="G2123" t="inlineStr">
        <is>
          <t>Top 10 CRINGE Moments in Harry Potter Movies</t>
        </is>
      </c>
      <c r="H2123" s="41" t="n">
        <v>0.010625</v>
      </c>
      <c r="I2123" s="42" t="n">
        <v>2212728</v>
      </c>
      <c r="J2123" s="42" t="n">
        <v>53324</v>
      </c>
      <c r="K2123" s="42" t="n">
        <v>10356</v>
      </c>
      <c r="L2123" s="43" t="n"/>
      <c r="M2123" s="44" t="n"/>
      <c r="N2123" s="44" t="inlineStr">
        <is>
          <t>UCKZo4N0lVPccBkSiuyVh4yg</t>
        </is>
      </c>
      <c r="O2123" s="45" t="n">
        <v>43277.79166666666</v>
      </c>
      <c r="P2123" s="46" t="n">
        <v>43277</v>
      </c>
      <c r="Q2123" s="44" t="n">
        <v>1149</v>
      </c>
      <c r="R2123" s="44" t="inlineStr">
        <is>
          <t>No Video ID yet</t>
        </is>
      </c>
      <c r="S2123" s="46" t="n"/>
      <c r="T2123" s="46" t="n"/>
      <c r="U2123" s="44" t="n"/>
      <c r="V2123" s="44">
        <f>IF(AND(P2123&gt;=Calendar!$K$2,P2123&lt;EDATE(Calendar!$K$2,1),OR(Calendar!$K$4="*",N2123=Calendar!$K$4)),P2123*100+COUNTIFS($P$6:$P$3271,P2123,$Q$6:$Q$3271,"&lt;="&amp;Q2123,$N$6:$N$3271,Calendar!$K$4),"")</f>
        <v/>
      </c>
      <c r="W2123" s="44">
        <f>IF(AND(B2123=Queue!$C$4,OR(Queue!$K$4="*",N2123=Queue!$K$4)),Q2123,"")</f>
        <v/>
      </c>
    </row>
    <row r="2124">
      <c r="A2124" s="35">
        <f>IF(M2124="","",HYPERLINK("https://www.youtube.com/watch?v="&amp;M2124,"▶"))</f>
        <v/>
      </c>
      <c r="B2124" s="36">
        <f>IF(C2124&lt;&gt;"",C2124,IF(P2124&lt;=IFERROR(INDEX(tblChannels[Watched Through],MATCH(N2124,tblChannels[Channel ID],0)),0),"Watched","Unwatched"))</f>
        <v/>
      </c>
      <c r="C2124" s="37" t="n"/>
      <c r="D2124" s="38" t="n"/>
      <c r="E2124" s="39" t="n">
        <v>43276.41666666666</v>
      </c>
      <c r="F2124" s="49" t="inlineStr">
        <is>
          <t>Super Carlin Gaming</t>
        </is>
      </c>
      <c r="G2124" t="inlineStr">
        <is>
          <t>Video Games Make Me Sing! | Rocket League #19</t>
        </is>
      </c>
      <c r="H2124" s="41" t="n">
        <v>0.01375</v>
      </c>
      <c r="I2124" s="42" t="n">
        <v>6954</v>
      </c>
      <c r="J2124" s="42" t="n">
        <v>292</v>
      </c>
      <c r="K2124" s="42" t="n">
        <v>81</v>
      </c>
      <c r="L2124" s="43" t="n"/>
      <c r="M2124" s="44" t="n"/>
      <c r="N2124" s="44" t="inlineStr">
        <is>
          <t>UCor_9jRnNNZVzTuQ92PKsaQ</t>
        </is>
      </c>
      <c r="O2124" s="45" t="n">
        <v>43276.58333333334</v>
      </c>
      <c r="P2124" s="46" t="n">
        <v>43276</v>
      </c>
      <c r="Q2124" s="44" t="n">
        <v>1148</v>
      </c>
      <c r="R2124" s="44" t="inlineStr">
        <is>
          <t>No Video ID yet</t>
        </is>
      </c>
      <c r="S2124" s="46" t="n"/>
      <c r="T2124" s="46" t="n"/>
      <c r="U2124" s="44" t="n"/>
      <c r="V2124" s="44">
        <f>IF(AND(P2124&gt;=Calendar!$K$2,P2124&lt;EDATE(Calendar!$K$2,1),OR(Calendar!$K$4="*",N2124=Calendar!$K$4)),P2124*100+COUNTIFS($P$6:$P$3271,P2124,$Q$6:$Q$3271,"&lt;="&amp;Q2124,$N$6:$N$3271,Calendar!$K$4),"")</f>
        <v/>
      </c>
      <c r="W2124" s="44">
        <f>IF(AND(B2124=Queue!$C$4,OR(Queue!$K$4="*",N2124=Queue!$K$4)),Q2124,"")</f>
        <v/>
      </c>
    </row>
    <row r="2125">
      <c r="A2125" s="35">
        <f>IF(M2125="","",HYPERLINK("https://www.youtube.com/watch?v="&amp;M2125,"▶"))</f>
        <v/>
      </c>
      <c r="B2125" s="36">
        <f>IF(C2125&lt;&gt;"",C2125,IF(P2125&lt;=IFERROR(INDEX(tblChannels[Watched Through],MATCH(N2125,tblChannels[Channel ID],0)),0),"Watched","Unwatched"))</f>
        <v/>
      </c>
      <c r="C2125" s="37" t="n"/>
      <c r="D2125" s="38" t="n"/>
      <c r="E2125" s="39" t="n">
        <v>43273.4375</v>
      </c>
      <c r="F2125" s="49" t="inlineStr">
        <is>
          <t>Super Carlin Gaming</t>
        </is>
      </c>
      <c r="G2125" t="inlineStr">
        <is>
          <t>Not Just Woolies | Rocket League #18</t>
        </is>
      </c>
      <c r="H2125" s="41" t="n">
        <v>0.01322916666666667</v>
      </c>
      <c r="I2125" s="42" t="n">
        <v>7004</v>
      </c>
      <c r="J2125" s="42" t="n">
        <v>275</v>
      </c>
      <c r="K2125" s="42" t="n">
        <v>64</v>
      </c>
      <c r="L2125" s="43" t="n"/>
      <c r="M2125" s="44" t="n"/>
      <c r="N2125" s="44" t="inlineStr">
        <is>
          <t>UCor_9jRnNNZVzTuQ92PKsaQ</t>
        </is>
      </c>
      <c r="O2125" s="45" t="n">
        <v>43273.60416666666</v>
      </c>
      <c r="P2125" s="46" t="n">
        <v>43273</v>
      </c>
      <c r="Q2125" s="44" t="n">
        <v>1147</v>
      </c>
      <c r="R2125" s="44" t="inlineStr">
        <is>
          <t>No Video ID yet</t>
        </is>
      </c>
      <c r="S2125" s="46" t="n"/>
      <c r="T2125" s="46" t="n"/>
      <c r="U2125" s="44" t="n"/>
      <c r="V2125" s="44">
        <f>IF(AND(P2125&gt;=Calendar!$K$2,P2125&lt;EDATE(Calendar!$K$2,1),OR(Calendar!$K$4="*",N2125=Calendar!$K$4)),P2125*100+COUNTIFS($P$6:$P$3271,P2125,$Q$6:$Q$3271,"&lt;="&amp;Q2125,$N$6:$N$3271,Calendar!$K$4),"")</f>
        <v/>
      </c>
      <c r="W2125" s="44">
        <f>IF(AND(B2125=Queue!$C$4,OR(Queue!$K$4="*",N2125=Queue!$K$4)),Q2125,"")</f>
        <v/>
      </c>
    </row>
    <row r="2126">
      <c r="A2126" s="35">
        <f>IF(M2126="","",HYPERLINK("https://www.youtube.com/watch?v="&amp;M2126,"▶"))</f>
        <v/>
      </c>
      <c r="B2126" s="36">
        <f>IF(C2126&lt;&gt;"",C2126,IF(P2126&lt;=IFERROR(INDEX(tblChannels[Watched Through],MATCH(N2126,tblChannels[Channel ID],0)),0),"Watched","Unwatched"))</f>
        <v/>
      </c>
      <c r="C2126" s="37" t="n"/>
      <c r="D2126" s="38" t="n"/>
      <c r="E2126" s="39" t="n">
        <v>43272.625</v>
      </c>
      <c r="F2126" s="47" t="inlineStr">
        <is>
          <t>Super Carlin Brothers</t>
        </is>
      </c>
      <c r="G2126" t="inlineStr">
        <is>
          <t>How Incredibles 2 Fits Into The Pixar Theory</t>
        </is>
      </c>
      <c r="H2126" s="41" t="n">
        <v>0.007141203703703703</v>
      </c>
      <c r="I2126" s="42" t="n">
        <v>1602292</v>
      </c>
      <c r="J2126" s="42" t="n">
        <v>41445</v>
      </c>
      <c r="K2126" s="42" t="n">
        <v>4427</v>
      </c>
      <c r="L2126" s="43" t="n"/>
      <c r="M2126" s="44" t="n"/>
      <c r="N2126" s="44" t="inlineStr">
        <is>
          <t>UCKZo4N0lVPccBkSiuyVh4yg</t>
        </is>
      </c>
      <c r="O2126" s="45" t="n">
        <v>43272.79166666666</v>
      </c>
      <c r="P2126" s="46" t="n">
        <v>43272</v>
      </c>
      <c r="Q2126" s="44" t="n">
        <v>1146</v>
      </c>
      <c r="R2126" s="44" t="inlineStr">
        <is>
          <t>No Video ID yet</t>
        </is>
      </c>
      <c r="S2126" s="46" t="n"/>
      <c r="T2126" s="46" t="n"/>
      <c r="U2126" s="44" t="n"/>
      <c r="V2126" s="44">
        <f>IF(AND(P2126&gt;=Calendar!$K$2,P2126&lt;EDATE(Calendar!$K$2,1),OR(Calendar!$K$4="*",N2126=Calendar!$K$4)),P2126*100+COUNTIFS($P$6:$P$3271,P2126,$Q$6:$Q$3271,"&lt;="&amp;Q2126,$N$6:$N$3271,Calendar!$K$4),"")</f>
        <v/>
      </c>
      <c r="W2126" s="44">
        <f>IF(AND(B2126=Queue!$C$4,OR(Queue!$K$4="*",N2126=Queue!$K$4)),Q2126,"")</f>
        <v/>
      </c>
    </row>
    <row r="2127">
      <c r="A2127" s="35">
        <f>IF(M2127="","",HYPERLINK("https://www.youtube.com/watch?v="&amp;M2127,"▶"))</f>
        <v/>
      </c>
      <c r="B2127" s="36">
        <f>IF(C2127&lt;&gt;"",C2127,IF(P2127&lt;=IFERROR(INDEX(tblChannels[Watched Through],MATCH(N2127,tblChannels[Channel ID],0)),0),"Watched","Unwatched"))</f>
        <v/>
      </c>
      <c r="C2127" s="37" t="n"/>
      <c r="D2127" s="38" t="n"/>
      <c r="E2127" s="39" t="n">
        <v>43271.4375</v>
      </c>
      <c r="F2127" s="49" t="inlineStr">
        <is>
          <t>Super Carlin Gaming</t>
        </is>
      </c>
      <c r="G2127" t="inlineStr">
        <is>
          <t>Dallas Fort Houston | Rocket League #17</t>
        </is>
      </c>
      <c r="H2127" s="41" t="n">
        <v>0.01520833333333333</v>
      </c>
      <c r="I2127" s="42" t="n">
        <v>7947</v>
      </c>
      <c r="J2127" s="42" t="n">
        <v>298</v>
      </c>
      <c r="K2127" s="42" t="n">
        <v>64</v>
      </c>
      <c r="L2127" s="43" t="n"/>
      <c r="M2127" s="44" t="n"/>
      <c r="N2127" s="44" t="inlineStr">
        <is>
          <t>UCor_9jRnNNZVzTuQ92PKsaQ</t>
        </is>
      </c>
      <c r="O2127" s="45" t="n">
        <v>43271.60416666666</v>
      </c>
      <c r="P2127" s="46" t="n">
        <v>43271</v>
      </c>
      <c r="Q2127" s="44" t="n">
        <v>1145</v>
      </c>
      <c r="R2127" s="44" t="inlineStr">
        <is>
          <t>No Video ID yet</t>
        </is>
      </c>
      <c r="S2127" s="46" t="n"/>
      <c r="T2127" s="46" t="n"/>
      <c r="U2127" s="44" t="n"/>
      <c r="V2127" s="44">
        <f>IF(AND(P2127&gt;=Calendar!$K$2,P2127&lt;EDATE(Calendar!$K$2,1),OR(Calendar!$K$4="*",N2127=Calendar!$K$4)),P2127*100+COUNTIFS($P$6:$P$3271,P2127,$Q$6:$Q$3271,"&lt;="&amp;Q2127,$N$6:$N$3271,Calendar!$K$4),"")</f>
        <v/>
      </c>
      <c r="W2127" s="44">
        <f>IF(AND(B2127=Queue!$C$4,OR(Queue!$K$4="*",N2127=Queue!$K$4)),Q2127,"")</f>
        <v/>
      </c>
    </row>
    <row r="2128">
      <c r="A2128" s="35">
        <f>IF(M2128="","",HYPERLINK("https://www.youtube.com/watch?v="&amp;M2128,"▶"))</f>
        <v/>
      </c>
      <c r="B2128" s="36">
        <f>IF(C2128&lt;&gt;"",C2128,IF(P2128&lt;=IFERROR(INDEX(tblChannels[Watched Through],MATCH(N2128,tblChannels[Channel ID],0)),0),"Watched","Unwatched"))</f>
        <v/>
      </c>
      <c r="C2128" s="37" t="n"/>
      <c r="D2128" s="38" t="n"/>
      <c r="E2128" s="39" t="n">
        <v>43270.51388888889</v>
      </c>
      <c r="F2128" s="47" t="inlineStr">
        <is>
          <t>Super Carlin Brothers</t>
        </is>
      </c>
      <c r="G2128" t="inlineStr">
        <is>
          <t>Is Incredibles 2 The Best Pixar Sequel? | SPOILER REVIEW</t>
        </is>
      </c>
      <c r="H2128" s="41" t="n">
        <v>0.03846064814814815</v>
      </c>
      <c r="I2128" s="42" t="n">
        <v>609532</v>
      </c>
      <c r="J2128" s="42" t="n">
        <v>13600</v>
      </c>
      <c r="K2128" s="42" t="n">
        <v>4081</v>
      </c>
      <c r="L2128" s="43" t="n"/>
      <c r="M2128" s="44" t="n"/>
      <c r="N2128" s="44" t="inlineStr">
        <is>
          <t>UCKZo4N0lVPccBkSiuyVh4yg</t>
        </is>
      </c>
      <c r="O2128" s="45" t="n">
        <v>43270.68055555555</v>
      </c>
      <c r="P2128" s="46" t="n">
        <v>43270</v>
      </c>
      <c r="Q2128" s="44" t="n">
        <v>1144</v>
      </c>
      <c r="R2128" s="44" t="inlineStr">
        <is>
          <t>No Video ID yet</t>
        </is>
      </c>
      <c r="S2128" s="46" t="n"/>
      <c r="T2128" s="46" t="n"/>
      <c r="U2128" s="44" t="n"/>
      <c r="V2128" s="44">
        <f>IF(AND(P2128&gt;=Calendar!$K$2,P2128&lt;EDATE(Calendar!$K$2,1),OR(Calendar!$K$4="*",N2128=Calendar!$K$4)),P2128*100+COUNTIFS($P$6:$P$3271,P2128,$Q$6:$Q$3271,"&lt;="&amp;Q2128,$N$6:$N$3271,Calendar!$K$4),"")</f>
        <v/>
      </c>
      <c r="W2128" s="44">
        <f>IF(AND(B2128=Queue!$C$4,OR(Queue!$K$4="*",N2128=Queue!$K$4)),Q2128,"")</f>
        <v/>
      </c>
    </row>
    <row r="2129">
      <c r="A2129" s="35">
        <f>IF(M2129="","",HYPERLINK("https://www.youtube.com/watch?v="&amp;M2129,"▶"))</f>
        <v/>
      </c>
      <c r="B2129" s="36">
        <f>IF(C2129&lt;&gt;"",C2129,IF(P2129&lt;=IFERROR(INDEX(tblChannels[Watched Through],MATCH(N2129,tblChannels[Channel ID],0)),0),"Watched","Unwatched"))</f>
        <v/>
      </c>
      <c r="C2129" s="37" t="n"/>
      <c r="D2129" s="38" t="n"/>
      <c r="E2129" s="39" t="n">
        <v>43269.72013888889</v>
      </c>
      <c r="F2129" s="50" t="inlineStr">
        <is>
          <t>Jonathan Carlin</t>
        </is>
      </c>
      <c r="G2129" t="inlineStr">
        <is>
          <t>New Employees Cause Floods and Fevers</t>
        </is>
      </c>
      <c r="H2129" s="41" t="n">
        <v>0.00818287037037037</v>
      </c>
      <c r="I2129" s="42" t="n">
        <v>44665</v>
      </c>
      <c r="J2129" s="42" t="n">
        <v>1981</v>
      </c>
      <c r="K2129" s="42" t="n">
        <v>285</v>
      </c>
      <c r="L2129" s="43" t="n"/>
      <c r="M2129" s="44" t="n"/>
      <c r="N2129" s="44" t="inlineStr">
        <is>
          <t>UCYPKFe86e6nm4TVUYKLsFUQ</t>
        </is>
      </c>
      <c r="O2129" s="45" t="n">
        <v>43269.88680555556</v>
      </c>
      <c r="P2129" s="46" t="n">
        <v>43269</v>
      </c>
      <c r="Q2129" s="44" t="n">
        <v>1143</v>
      </c>
      <c r="R2129" s="44" t="inlineStr">
        <is>
          <t>No Video ID yet</t>
        </is>
      </c>
      <c r="S2129" s="46" t="n"/>
      <c r="T2129" s="46" t="n"/>
      <c r="U2129" s="44" t="n"/>
      <c r="V2129" s="44">
        <f>IF(AND(P2129&gt;=Calendar!$K$2,P2129&lt;EDATE(Calendar!$K$2,1),OR(Calendar!$K$4="*",N2129=Calendar!$K$4)),P2129*100+COUNTIFS($P$6:$P$3271,P2129,$Q$6:$Q$3271,"&lt;="&amp;Q2129,$N$6:$N$3271,Calendar!$K$4),"")</f>
        <v/>
      </c>
      <c r="W2129" s="44">
        <f>IF(AND(B2129=Queue!$C$4,OR(Queue!$K$4="*",N2129=Queue!$K$4)),Q2129,"")</f>
        <v/>
      </c>
    </row>
    <row r="2130">
      <c r="A2130" s="35">
        <f>IF(M2130="","",HYPERLINK("https://www.youtube.com/watch?v="&amp;M2130,"▶"))</f>
        <v/>
      </c>
      <c r="B2130" s="36">
        <f>IF(C2130&lt;&gt;"",C2130,IF(P2130&lt;=IFERROR(INDEX(tblChannels[Watched Through],MATCH(N2130,tblChannels[Channel ID],0)),0),"Watched","Unwatched"))</f>
        <v/>
      </c>
      <c r="C2130" s="37" t="n"/>
      <c r="D2130" s="38" t="n"/>
      <c r="E2130" s="39" t="n">
        <v>43269.44236111111</v>
      </c>
      <c r="F2130" s="49" t="inlineStr">
        <is>
          <t>Super Carlin Gaming</t>
        </is>
      </c>
      <c r="G2130" t="inlineStr">
        <is>
          <t>The Ol' Whiff &amp; Score | Rocket League #16</t>
        </is>
      </c>
      <c r="H2130" s="41" t="n">
        <v>0.01458333333333333</v>
      </c>
      <c r="I2130" s="42" t="n">
        <v>7836</v>
      </c>
      <c r="J2130" s="42" t="n">
        <v>312</v>
      </c>
      <c r="K2130" s="42" t="n">
        <v>62</v>
      </c>
      <c r="L2130" s="43" t="n"/>
      <c r="M2130" s="44" t="n"/>
      <c r="N2130" s="44" t="inlineStr">
        <is>
          <t>UCor_9jRnNNZVzTuQ92PKsaQ</t>
        </is>
      </c>
      <c r="O2130" s="45" t="n">
        <v>43269.60902777778</v>
      </c>
      <c r="P2130" s="46" t="n">
        <v>43269</v>
      </c>
      <c r="Q2130" s="44" t="n">
        <v>1142</v>
      </c>
      <c r="R2130" s="44" t="inlineStr">
        <is>
          <t>No Video ID yet</t>
        </is>
      </c>
      <c r="S2130" s="46" t="n"/>
      <c r="T2130" s="46" t="n"/>
      <c r="U2130" s="44" t="n"/>
      <c r="V2130" s="44">
        <f>IF(AND(P2130&gt;=Calendar!$K$2,P2130&lt;EDATE(Calendar!$K$2,1),OR(Calendar!$K$4="*",N2130=Calendar!$K$4)),P2130*100+COUNTIFS($P$6:$P$3271,P2130,$Q$6:$Q$3271,"&lt;="&amp;Q2130,$N$6:$N$3271,Calendar!$K$4),"")</f>
        <v/>
      </c>
      <c r="W2130" s="44">
        <f>IF(AND(B2130=Queue!$C$4,OR(Queue!$K$4="*",N2130=Queue!$K$4)),Q2130,"")</f>
        <v/>
      </c>
    </row>
    <row r="2131">
      <c r="A2131" s="35">
        <f>IF(M2131="","",HYPERLINK("https://www.youtube.com/watch?v="&amp;M2131,"▶"))</f>
        <v/>
      </c>
      <c r="B2131" s="36">
        <f>IF(C2131&lt;&gt;"",C2131,IF(P2131&lt;=IFERROR(INDEX(tblChannels[Watched Through],MATCH(N2131,tblChannels[Channel ID],0)),0),"Watched","Unwatched"))</f>
        <v/>
      </c>
      <c r="C2131" s="37" t="n"/>
      <c r="D2131" s="38" t="n"/>
      <c r="E2131" s="39" t="n">
        <v>43266.4375</v>
      </c>
      <c r="F2131" s="49" t="inlineStr">
        <is>
          <t>Super Carlin Gaming</t>
        </is>
      </c>
      <c r="G2131" t="inlineStr">
        <is>
          <t>Holy Krabbie Patties | Rocket League #15</t>
        </is>
      </c>
      <c r="H2131" s="41" t="n">
        <v>0.0140162037037037</v>
      </c>
      <c r="I2131" s="42" t="n">
        <v>8037</v>
      </c>
      <c r="J2131" s="42" t="n">
        <v>316</v>
      </c>
      <c r="K2131" s="42" t="n">
        <v>79</v>
      </c>
      <c r="L2131" s="43" t="n"/>
      <c r="M2131" s="44" t="n"/>
      <c r="N2131" s="44" t="inlineStr">
        <is>
          <t>UCor_9jRnNNZVzTuQ92PKsaQ</t>
        </is>
      </c>
      <c r="O2131" s="45" t="n">
        <v>43266.60416666666</v>
      </c>
      <c r="P2131" s="46" t="n">
        <v>43266</v>
      </c>
      <c r="Q2131" s="44" t="n">
        <v>1141</v>
      </c>
      <c r="R2131" s="44" t="inlineStr">
        <is>
          <t>No Video ID yet</t>
        </is>
      </c>
      <c r="S2131" s="46" t="n"/>
      <c r="T2131" s="46" t="n"/>
      <c r="U2131" s="44" t="n"/>
      <c r="V2131" s="44">
        <f>IF(AND(P2131&gt;=Calendar!$K$2,P2131&lt;EDATE(Calendar!$K$2,1),OR(Calendar!$K$4="*",N2131=Calendar!$K$4)),P2131*100+COUNTIFS($P$6:$P$3271,P2131,$Q$6:$Q$3271,"&lt;="&amp;Q2131,$N$6:$N$3271,Calendar!$K$4),"")</f>
        <v/>
      </c>
      <c r="W2131" s="44">
        <f>IF(AND(B2131=Queue!$C$4,OR(Queue!$K$4="*",N2131=Queue!$K$4)),Q2131,"")</f>
        <v/>
      </c>
    </row>
    <row r="2132">
      <c r="A2132" s="35">
        <f>IF(M2132="","",HYPERLINK("https://www.youtube.com/watch?v="&amp;M2132,"▶"))</f>
        <v/>
      </c>
      <c r="B2132" s="36">
        <f>IF(C2132&lt;&gt;"",C2132,IF(P2132&lt;=IFERROR(INDEX(tblChannels[Watched Through],MATCH(N2132,tblChannels[Channel ID],0)),0),"Watched","Unwatched"))</f>
        <v/>
      </c>
      <c r="C2132" s="37" t="n"/>
      <c r="D2132" s="38" t="n"/>
      <c r="E2132" s="39" t="n">
        <v>43265.71180555555</v>
      </c>
      <c r="F2132" s="47" t="inlineStr">
        <is>
          <t>Super Carlin Brothers</t>
        </is>
      </c>
      <c r="G2132" t="inlineStr">
        <is>
          <t>Neville Is Master Of The Elder Wand | Harry Potter Theory</t>
        </is>
      </c>
      <c r="H2132" s="41" t="n">
        <v>0.008553240740740741</v>
      </c>
      <c r="I2132" s="42" t="n">
        <v>713529</v>
      </c>
      <c r="J2132" s="42" t="n">
        <v>20102</v>
      </c>
      <c r="K2132" s="42" t="n">
        <v>2660</v>
      </c>
      <c r="L2132" s="43" t="n"/>
      <c r="M2132" s="44" t="n"/>
      <c r="N2132" s="44" t="inlineStr">
        <is>
          <t>UCKZo4N0lVPccBkSiuyVh4yg</t>
        </is>
      </c>
      <c r="O2132" s="45" t="n">
        <v>43265.87847222222</v>
      </c>
      <c r="P2132" s="46" t="n">
        <v>43265</v>
      </c>
      <c r="Q2132" s="44" t="n">
        <v>1140</v>
      </c>
      <c r="R2132" s="44" t="inlineStr">
        <is>
          <t>No Video ID yet</t>
        </is>
      </c>
      <c r="S2132" s="46" t="n"/>
      <c r="T2132" s="46" t="n"/>
      <c r="U2132" s="44" t="n"/>
      <c r="V2132" s="44">
        <f>IF(AND(P2132&gt;=Calendar!$K$2,P2132&lt;EDATE(Calendar!$K$2,1),OR(Calendar!$K$4="*",N2132=Calendar!$K$4)),P2132*100+COUNTIFS($P$6:$P$3271,P2132,$Q$6:$Q$3271,"&lt;="&amp;Q2132,$N$6:$N$3271,Calendar!$K$4),"")</f>
        <v/>
      </c>
      <c r="W2132" s="44">
        <f>IF(AND(B2132=Queue!$C$4,OR(Queue!$K$4="*",N2132=Queue!$K$4)),Q2132,"")</f>
        <v/>
      </c>
    </row>
    <row r="2133">
      <c r="A2133" s="35">
        <f>IF(M2133="","",HYPERLINK("https://www.youtube.com/watch?v="&amp;M2133,"▶"))</f>
        <v/>
      </c>
      <c r="B2133" s="36">
        <f>IF(C2133&lt;&gt;"",C2133,IF(P2133&lt;=IFERROR(INDEX(tblChannels[Watched Through],MATCH(N2133,tblChannels[Channel ID],0)),0),"Watched","Unwatched"))</f>
        <v/>
      </c>
      <c r="C2133" s="37" t="n"/>
      <c r="D2133" s="38" t="n"/>
      <c r="E2133" s="39" t="n">
        <v>43265.53402777778</v>
      </c>
      <c r="F2133" s="49" t="inlineStr">
        <is>
          <t>Super Carlin Gaming</t>
        </is>
      </c>
      <c r="G2133" t="inlineStr">
        <is>
          <t>Live Streaming Signing!</t>
        </is>
      </c>
      <c r="H2133" s="41" t="n">
        <v>0.03734953703703704</v>
      </c>
      <c r="I2133" s="42" t="n">
        <v>4158</v>
      </c>
      <c r="J2133" s="42" t="n">
        <v>235</v>
      </c>
      <c r="K2133" s="42" t="n">
        <v>38</v>
      </c>
      <c r="L2133" s="43" t="n"/>
      <c r="M2133" s="44" t="n"/>
      <c r="N2133" s="44" t="inlineStr">
        <is>
          <t>UCor_9jRnNNZVzTuQ92PKsaQ</t>
        </is>
      </c>
      <c r="O2133" s="45" t="n">
        <v>43265.70069444444</v>
      </c>
      <c r="P2133" s="46" t="n">
        <v>43265</v>
      </c>
      <c r="Q2133" s="44" t="n">
        <v>1139</v>
      </c>
      <c r="R2133" s="44" t="inlineStr">
        <is>
          <t>No Video ID yet</t>
        </is>
      </c>
      <c r="S2133" s="46" t="n"/>
      <c r="T2133" s="46" t="n"/>
      <c r="U2133" s="44" t="n"/>
      <c r="V2133" s="44">
        <f>IF(AND(P2133&gt;=Calendar!$K$2,P2133&lt;EDATE(Calendar!$K$2,1),OR(Calendar!$K$4="*",N2133=Calendar!$K$4)),P2133*100+COUNTIFS($P$6:$P$3271,P2133,$Q$6:$Q$3271,"&lt;="&amp;Q2133,$N$6:$N$3271,Calendar!$K$4),"")</f>
        <v/>
      </c>
      <c r="W2133" s="44">
        <f>IF(AND(B2133=Queue!$C$4,OR(Queue!$K$4="*",N2133=Queue!$K$4)),Q2133,"")</f>
        <v/>
      </c>
    </row>
    <row r="2134">
      <c r="A2134" s="35">
        <f>IF(M2134="","",HYPERLINK("https://www.youtube.com/watch?v="&amp;M2134,"▶"))</f>
        <v/>
      </c>
      <c r="B2134" s="36">
        <f>IF(C2134&lt;&gt;"",C2134,IF(P2134&lt;=IFERROR(INDEX(tblChannels[Watched Through],MATCH(N2134,tblChannels[Channel ID],0)),0),"Watched","Unwatched"))</f>
        <v/>
      </c>
      <c r="C2134" s="37" t="n"/>
      <c r="D2134" s="38" t="n"/>
      <c r="E2134" s="39" t="n">
        <v>43264.4375</v>
      </c>
      <c r="F2134" s="49" t="inlineStr">
        <is>
          <t>Super Carlin Gaming</t>
        </is>
      </c>
      <c r="G2134" t="inlineStr">
        <is>
          <t>Humbled? | Rocket League #14</t>
        </is>
      </c>
      <c r="H2134" s="41" t="n">
        <v>0.01197916666666667</v>
      </c>
      <c r="I2134" s="42" t="n">
        <v>7994</v>
      </c>
      <c r="J2134" s="42" t="n">
        <v>298</v>
      </c>
      <c r="K2134" s="42" t="n">
        <v>53</v>
      </c>
      <c r="L2134" s="43" t="n"/>
      <c r="M2134" s="44" t="n"/>
      <c r="N2134" s="44" t="inlineStr">
        <is>
          <t>UCor_9jRnNNZVzTuQ92PKsaQ</t>
        </is>
      </c>
      <c r="O2134" s="45" t="n">
        <v>43264.60416666666</v>
      </c>
      <c r="P2134" s="46" t="n">
        <v>43264</v>
      </c>
      <c r="Q2134" s="44" t="n">
        <v>1138</v>
      </c>
      <c r="R2134" s="44" t="inlineStr">
        <is>
          <t>No Video ID yet</t>
        </is>
      </c>
      <c r="S2134" s="46" t="n"/>
      <c r="T2134" s="46" t="n"/>
      <c r="U2134" s="44" t="n"/>
      <c r="V2134" s="44">
        <f>IF(AND(P2134&gt;=Calendar!$K$2,P2134&lt;EDATE(Calendar!$K$2,1),OR(Calendar!$K$4="*",N2134=Calendar!$K$4)),P2134*100+COUNTIFS($P$6:$P$3271,P2134,$Q$6:$Q$3271,"&lt;="&amp;Q2134,$N$6:$N$3271,Calendar!$K$4),"")</f>
        <v/>
      </c>
      <c r="W2134" s="44">
        <f>IF(AND(B2134=Queue!$C$4,OR(Queue!$K$4="*",N2134=Queue!$K$4)),Q2134,"")</f>
        <v/>
      </c>
    </row>
    <row r="2135">
      <c r="A2135" s="35">
        <f>IF(M2135="","",HYPERLINK("https://www.youtube.com/watch?v="&amp;M2135,"▶"))</f>
        <v/>
      </c>
      <c r="B2135" s="36">
        <f>IF(C2135&lt;&gt;"",C2135,IF(P2135&lt;=IFERROR(INDEX(tblChannels[Watched Through],MATCH(N2135,tblChannels[Channel ID],0)),0),"Watched","Unwatched"))</f>
        <v/>
      </c>
      <c r="C2135" s="37" t="n"/>
      <c r="D2135" s="38" t="n"/>
      <c r="E2135" s="39" t="n">
        <v>43263.71458333333</v>
      </c>
      <c r="F2135" s="47" t="inlineStr">
        <is>
          <t>Super Carlin Brothers</t>
        </is>
      </c>
      <c r="G2135" t="inlineStr">
        <is>
          <t>How Harry Potter and the Deathly Hallows Was Kept Secret | Harry Potter History</t>
        </is>
      </c>
      <c r="H2135" s="41" t="n">
        <v>0.01005787037037037</v>
      </c>
      <c r="I2135" s="42" t="n">
        <v>796996</v>
      </c>
      <c r="J2135" s="42" t="n">
        <v>24236</v>
      </c>
      <c r="K2135" s="42" t="n">
        <v>3581</v>
      </c>
      <c r="L2135" s="43" t="n"/>
      <c r="M2135" s="44" t="n"/>
      <c r="N2135" s="44" t="inlineStr">
        <is>
          <t>UCKZo4N0lVPccBkSiuyVh4yg</t>
        </is>
      </c>
      <c r="O2135" s="45" t="n">
        <v>43263.88125</v>
      </c>
      <c r="P2135" s="46" t="n">
        <v>43263</v>
      </c>
      <c r="Q2135" s="44" t="n">
        <v>1137</v>
      </c>
      <c r="R2135" s="44" t="inlineStr">
        <is>
          <t>No Video ID yet</t>
        </is>
      </c>
      <c r="S2135" s="46" t="n"/>
      <c r="T2135" s="46" t="n"/>
      <c r="U2135" s="44" t="n"/>
      <c r="V2135" s="44">
        <f>IF(AND(P2135&gt;=Calendar!$K$2,P2135&lt;EDATE(Calendar!$K$2,1),OR(Calendar!$K$4="*",N2135=Calendar!$K$4)),P2135*100+COUNTIFS($P$6:$P$3271,P2135,$Q$6:$Q$3271,"&lt;="&amp;Q2135,$N$6:$N$3271,Calendar!$K$4),"")</f>
        <v/>
      </c>
      <c r="W2135" s="44">
        <f>IF(AND(B2135=Queue!$C$4,OR(Queue!$K$4="*",N2135=Queue!$K$4)),Q2135,"")</f>
        <v/>
      </c>
    </row>
    <row r="2136">
      <c r="A2136" s="35">
        <f>IF(M2136="","",HYPERLINK("https://www.youtube.com/watch?v="&amp;M2136,"▶"))</f>
        <v/>
      </c>
      <c r="B2136" s="36">
        <f>IF(C2136&lt;&gt;"",C2136,IF(P2136&lt;=IFERROR(INDEX(tblChannels[Watched Through],MATCH(N2136,tblChannels[Channel ID],0)),0),"Watched","Unwatched"))</f>
        <v/>
      </c>
      <c r="C2136" s="37" t="n"/>
      <c r="D2136" s="38" t="n"/>
      <c r="E2136" s="39" t="n">
        <v>43262.56875</v>
      </c>
      <c r="F2136" s="50" t="inlineStr">
        <is>
          <t>Jonathan Carlin</t>
        </is>
      </c>
      <c r="G2136" t="inlineStr">
        <is>
          <t>FLASH FLOOD ADVENTURE</t>
        </is>
      </c>
      <c r="H2136" s="41" t="n">
        <v>0.01072916666666667</v>
      </c>
      <c r="I2136" s="42" t="n">
        <v>61932</v>
      </c>
      <c r="J2136" s="42" t="n">
        <v>2391</v>
      </c>
      <c r="K2136" s="42" t="n">
        <v>284</v>
      </c>
      <c r="L2136" s="43" t="n"/>
      <c r="M2136" s="44" t="n"/>
      <c r="N2136" s="44" t="inlineStr">
        <is>
          <t>UCYPKFe86e6nm4TVUYKLsFUQ</t>
        </is>
      </c>
      <c r="O2136" s="45" t="n">
        <v>43262.73541666667</v>
      </c>
      <c r="P2136" s="46" t="n">
        <v>43262</v>
      </c>
      <c r="Q2136" s="44" t="n">
        <v>1136</v>
      </c>
      <c r="R2136" s="44" t="inlineStr">
        <is>
          <t>No Video ID yet</t>
        </is>
      </c>
      <c r="S2136" s="46" t="n"/>
      <c r="T2136" s="46" t="n"/>
      <c r="U2136" s="44" t="n"/>
      <c r="V2136" s="44">
        <f>IF(AND(P2136&gt;=Calendar!$K$2,P2136&lt;EDATE(Calendar!$K$2,1),OR(Calendar!$K$4="*",N2136=Calendar!$K$4)),P2136*100+COUNTIFS($P$6:$P$3271,P2136,$Q$6:$Q$3271,"&lt;="&amp;Q2136,$N$6:$N$3271,Calendar!$K$4),"")</f>
        <v/>
      </c>
      <c r="W2136" s="44">
        <f>IF(AND(B2136=Queue!$C$4,OR(Queue!$K$4="*",N2136=Queue!$K$4)),Q2136,"")</f>
        <v/>
      </c>
    </row>
    <row r="2137">
      <c r="A2137" s="35">
        <f>IF(M2137="","",HYPERLINK("https://www.youtube.com/watch?v="&amp;M2137,"▶"))</f>
        <v/>
      </c>
      <c r="B2137" s="36">
        <f>IF(C2137&lt;&gt;"",C2137,IF(P2137&lt;=IFERROR(INDEX(tblChannels[Watched Through],MATCH(N2137,tblChannels[Channel ID],0)),0),"Watched","Unwatched"))</f>
        <v/>
      </c>
      <c r="C2137" s="37" t="n"/>
      <c r="D2137" s="38" t="n"/>
      <c r="E2137" s="39" t="n">
        <v>43262.47638888889</v>
      </c>
      <c r="F2137" s="49" t="inlineStr">
        <is>
          <t>Super Carlin Gaming</t>
        </is>
      </c>
      <c r="G2137" t="inlineStr">
        <is>
          <t>Dinosaurs, I Hate You | Rocket League #13</t>
        </is>
      </c>
      <c r="H2137" s="41" t="n">
        <v>0.01261574074074074</v>
      </c>
      <c r="I2137" s="42" t="n">
        <v>8982</v>
      </c>
      <c r="J2137" s="42" t="n">
        <v>310</v>
      </c>
      <c r="K2137" s="42" t="n">
        <v>58</v>
      </c>
      <c r="L2137" s="43" t="n"/>
      <c r="M2137" s="44" t="n"/>
      <c r="N2137" s="44" t="inlineStr">
        <is>
          <t>UCor_9jRnNNZVzTuQ92PKsaQ</t>
        </is>
      </c>
      <c r="O2137" s="45" t="n">
        <v>43262.64305555556</v>
      </c>
      <c r="P2137" s="46" t="n">
        <v>43262</v>
      </c>
      <c r="Q2137" s="44" t="n">
        <v>1135</v>
      </c>
      <c r="R2137" s="44" t="inlineStr">
        <is>
          <t>No Video ID yet</t>
        </is>
      </c>
      <c r="S2137" s="46" t="n"/>
      <c r="T2137" s="46" t="n"/>
      <c r="U2137" s="44" t="n"/>
      <c r="V2137" s="44">
        <f>IF(AND(P2137&gt;=Calendar!$K$2,P2137&lt;EDATE(Calendar!$K$2,1),OR(Calendar!$K$4="*",N2137=Calendar!$K$4)),P2137*100+COUNTIFS($P$6:$P$3271,P2137,$Q$6:$Q$3271,"&lt;="&amp;Q2137,$N$6:$N$3271,Calendar!$K$4),"")</f>
        <v/>
      </c>
      <c r="W2137" s="44">
        <f>IF(AND(B2137=Queue!$C$4,OR(Queue!$K$4="*",N2137=Queue!$K$4)),Q2137,"")</f>
        <v/>
      </c>
    </row>
    <row r="2138">
      <c r="A2138" s="35">
        <f>IF(M2138="","",HYPERLINK("https://www.youtube.com/watch?v="&amp;M2138,"▶"))</f>
        <v/>
      </c>
      <c r="B2138" s="36">
        <f>IF(C2138&lt;&gt;"",C2138,IF(P2138&lt;=IFERROR(INDEX(tblChannels[Watched Through],MATCH(N2138,tblChannels[Channel ID],0)),0),"Watched","Unwatched"))</f>
        <v/>
      </c>
      <c r="C2138" s="37" t="n"/>
      <c r="D2138" s="38" t="n"/>
      <c r="E2138" s="39" t="n">
        <v>43259.4375</v>
      </c>
      <c r="F2138" s="49" t="inlineStr">
        <is>
          <t>Super Carlin Gaming</t>
        </is>
      </c>
      <c r="G2138" t="inlineStr">
        <is>
          <t>Fill the Void | Rocket League #12</t>
        </is>
      </c>
      <c r="H2138" s="41" t="n">
        <v>0.01275462962962963</v>
      </c>
      <c r="I2138" s="42" t="n">
        <v>9374</v>
      </c>
      <c r="J2138" s="42" t="n">
        <v>317</v>
      </c>
      <c r="K2138" s="42" t="n">
        <v>82</v>
      </c>
      <c r="L2138" s="43" t="n"/>
      <c r="M2138" s="44" t="n"/>
      <c r="N2138" s="44" t="inlineStr">
        <is>
          <t>UCor_9jRnNNZVzTuQ92PKsaQ</t>
        </is>
      </c>
      <c r="O2138" s="45" t="n">
        <v>43259.60416666666</v>
      </c>
      <c r="P2138" s="46" t="n">
        <v>43259</v>
      </c>
      <c r="Q2138" s="44" t="n">
        <v>1134</v>
      </c>
      <c r="R2138" s="44" t="inlineStr">
        <is>
          <t>No Video ID yet</t>
        </is>
      </c>
      <c r="S2138" s="46" t="n"/>
      <c r="T2138" s="46" t="n"/>
      <c r="U2138" s="44" t="n"/>
      <c r="V2138" s="44">
        <f>IF(AND(P2138&gt;=Calendar!$K$2,P2138&lt;EDATE(Calendar!$K$2,1),OR(Calendar!$K$4="*",N2138=Calendar!$K$4)),P2138*100+COUNTIFS($P$6:$P$3271,P2138,$Q$6:$Q$3271,"&lt;="&amp;Q2138,$N$6:$N$3271,Calendar!$K$4),"")</f>
        <v/>
      </c>
      <c r="W2138" s="44">
        <f>IF(AND(B2138=Queue!$C$4,OR(Queue!$K$4="*",N2138=Queue!$K$4)),Q2138,"")</f>
        <v/>
      </c>
    </row>
    <row r="2139">
      <c r="A2139" s="35">
        <f>IF(M2139="","",HYPERLINK("https://www.youtube.com/watch?v="&amp;M2139,"▶"))</f>
        <v/>
      </c>
      <c r="B2139" s="36">
        <f>IF(C2139&lt;&gt;"",C2139,IF(P2139&lt;=IFERROR(INDEX(tblChannels[Watched Through],MATCH(N2139,tblChannels[Channel ID],0)),0),"Watched","Unwatched"))</f>
        <v/>
      </c>
      <c r="C2139" s="37" t="n"/>
      <c r="D2139" s="38" t="n"/>
      <c r="E2139" s="39" t="n">
        <v>43258.75902777778</v>
      </c>
      <c r="F2139" s="47" t="inlineStr">
        <is>
          <t>Super Carlin Brothers</t>
        </is>
      </c>
      <c r="G2139" t="inlineStr">
        <is>
          <t>Top 10 Easter Eggs To Look For In Incredibles 2</t>
        </is>
      </c>
      <c r="H2139" s="41" t="n">
        <v>0.008043981481481482</v>
      </c>
      <c r="I2139" s="42" t="n">
        <v>277248</v>
      </c>
      <c r="J2139" s="42" t="n">
        <v>10512</v>
      </c>
      <c r="K2139" s="42" t="n">
        <v>1422</v>
      </c>
      <c r="L2139" s="43" t="n"/>
      <c r="M2139" s="44" t="n"/>
      <c r="N2139" s="44" t="inlineStr">
        <is>
          <t>UCKZo4N0lVPccBkSiuyVh4yg</t>
        </is>
      </c>
      <c r="O2139" s="45" t="n">
        <v>43258.92569444444</v>
      </c>
      <c r="P2139" s="46" t="n">
        <v>43258</v>
      </c>
      <c r="Q2139" s="44" t="n">
        <v>1133</v>
      </c>
      <c r="R2139" s="44" t="inlineStr">
        <is>
          <t>No Video ID yet</t>
        </is>
      </c>
      <c r="S2139" s="46" t="n"/>
      <c r="T2139" s="46" t="n"/>
      <c r="U2139" s="44" t="n"/>
      <c r="V2139" s="44">
        <f>IF(AND(P2139&gt;=Calendar!$K$2,P2139&lt;EDATE(Calendar!$K$2,1),OR(Calendar!$K$4="*",N2139=Calendar!$K$4)),P2139*100+COUNTIFS($P$6:$P$3271,P2139,$Q$6:$Q$3271,"&lt;="&amp;Q2139,$N$6:$N$3271,Calendar!$K$4),"")</f>
        <v/>
      </c>
      <c r="W2139" s="44">
        <f>IF(AND(B2139=Queue!$C$4,OR(Queue!$K$4="*",N2139=Queue!$K$4)),Q2139,"")</f>
        <v/>
      </c>
    </row>
    <row r="2140">
      <c r="A2140" s="35">
        <f>IF(M2140="","",HYPERLINK("https://www.youtube.com/watch?v="&amp;M2140,"▶"))</f>
        <v/>
      </c>
      <c r="B2140" s="36">
        <f>IF(C2140&lt;&gt;"",C2140,IF(P2140&lt;=IFERROR(INDEX(tblChannels[Watched Through],MATCH(N2140,tblChannels[Channel ID],0)),0),"Watched","Unwatched"))</f>
        <v/>
      </c>
      <c r="C2140" s="37" t="n"/>
      <c r="D2140" s="38" t="n"/>
      <c r="E2140" s="39" t="n">
        <v>43257.4375</v>
      </c>
      <c r="F2140" s="49" t="inlineStr">
        <is>
          <t>Super Carlin Gaming</t>
        </is>
      </c>
      <c r="G2140" t="inlineStr">
        <is>
          <t>Gopher in the Pothole | Rocket League #11</t>
        </is>
      </c>
      <c r="H2140" s="41" t="n">
        <v>0.01452546296296296</v>
      </c>
      <c r="I2140" s="42" t="n">
        <v>9801</v>
      </c>
      <c r="J2140" s="42" t="n">
        <v>383</v>
      </c>
      <c r="K2140" s="42" t="n">
        <v>70</v>
      </c>
      <c r="L2140" s="43" t="n"/>
      <c r="M2140" s="44" t="n"/>
      <c r="N2140" s="44" t="inlineStr">
        <is>
          <t>UCor_9jRnNNZVzTuQ92PKsaQ</t>
        </is>
      </c>
      <c r="O2140" s="45" t="n">
        <v>43257.60416666666</v>
      </c>
      <c r="P2140" s="46" t="n">
        <v>43257</v>
      </c>
      <c r="Q2140" s="44" t="n">
        <v>1132</v>
      </c>
      <c r="R2140" s="44" t="inlineStr">
        <is>
          <t>No Video ID yet</t>
        </is>
      </c>
      <c r="S2140" s="46" t="n"/>
      <c r="T2140" s="46" t="n"/>
      <c r="U2140" s="44" t="n"/>
      <c r="V2140" s="44">
        <f>IF(AND(P2140&gt;=Calendar!$K$2,P2140&lt;EDATE(Calendar!$K$2,1),OR(Calendar!$K$4="*",N2140=Calendar!$K$4)),P2140*100+COUNTIFS($P$6:$P$3271,P2140,$Q$6:$Q$3271,"&lt;="&amp;Q2140,$N$6:$N$3271,Calendar!$K$4),"")</f>
        <v/>
      </c>
      <c r="W2140" s="44">
        <f>IF(AND(B2140=Queue!$C$4,OR(Queue!$K$4="*",N2140=Queue!$K$4)),Q2140,"")</f>
        <v/>
      </c>
    </row>
    <row r="2141">
      <c r="A2141" s="35">
        <f>IF(M2141="","",HYPERLINK("https://www.youtube.com/watch?v="&amp;M2141,"▶"))</f>
        <v/>
      </c>
      <c r="B2141" s="36">
        <f>IF(C2141&lt;&gt;"",C2141,IF(P2141&lt;=IFERROR(INDEX(tblChannels[Watched Through],MATCH(N2141,tblChannels[Channel ID],0)),0),"Watched","Unwatched"))</f>
        <v/>
      </c>
      <c r="C2141" s="37" t="n"/>
      <c r="D2141" s="38" t="n"/>
      <c r="E2141" s="39" t="n">
        <v>43256.69027777778</v>
      </c>
      <c r="F2141" s="47" t="inlineStr">
        <is>
          <t>Super Carlin Brothers</t>
        </is>
      </c>
      <c r="G2141" t="inlineStr">
        <is>
          <t>Did SOLO Reveal Rey's Mother!? | Star Wars Theory</t>
        </is>
      </c>
      <c r="H2141" s="41" t="n">
        <v>0.007245370370370371</v>
      </c>
      <c r="I2141" s="42" t="n">
        <v>838164</v>
      </c>
      <c r="J2141" s="42" t="n">
        <v>17316</v>
      </c>
      <c r="K2141" s="42" t="n">
        <v>3749</v>
      </c>
      <c r="L2141" s="43" t="n"/>
      <c r="M2141" s="44" t="n"/>
      <c r="N2141" s="44" t="inlineStr">
        <is>
          <t>UCKZo4N0lVPccBkSiuyVh4yg</t>
        </is>
      </c>
      <c r="O2141" s="45" t="n">
        <v>43256.85694444444</v>
      </c>
      <c r="P2141" s="46" t="n">
        <v>43256</v>
      </c>
      <c r="Q2141" s="44" t="n">
        <v>1131</v>
      </c>
      <c r="R2141" s="44" t="inlineStr">
        <is>
          <t>No Video ID yet</t>
        </is>
      </c>
      <c r="S2141" s="46" t="n"/>
      <c r="T2141" s="46" t="n"/>
      <c r="U2141" s="44" t="n"/>
      <c r="V2141" s="44">
        <f>IF(AND(P2141&gt;=Calendar!$K$2,P2141&lt;EDATE(Calendar!$K$2,1),OR(Calendar!$K$4="*",N2141=Calendar!$K$4)),P2141*100+COUNTIFS($P$6:$P$3271,P2141,$Q$6:$Q$3271,"&lt;="&amp;Q2141,$N$6:$N$3271,Calendar!$K$4),"")</f>
        <v/>
      </c>
      <c r="W2141" s="44">
        <f>IF(AND(B2141=Queue!$C$4,OR(Queue!$K$4="*",N2141=Queue!$K$4)),Q2141,"")</f>
        <v/>
      </c>
    </row>
    <row r="2142">
      <c r="A2142" s="35">
        <f>IF(M2142="","",HYPERLINK("https://www.youtube.com/watch?v="&amp;M2142,"▶"))</f>
        <v/>
      </c>
      <c r="B2142" s="36">
        <f>IF(C2142&lt;&gt;"",C2142,IF(P2142&lt;=IFERROR(INDEX(tblChannels[Watched Through],MATCH(N2142,tblChannels[Channel ID],0)),0),"Watched","Unwatched"))</f>
        <v/>
      </c>
      <c r="C2142" s="37" t="n"/>
      <c r="D2142" s="38" t="n"/>
      <c r="E2142" s="39" t="n">
        <v>43255.45694444444</v>
      </c>
      <c r="F2142" s="50" t="inlineStr">
        <is>
          <t>Jonathan Carlin</t>
        </is>
      </c>
      <c r="G2142" t="inlineStr">
        <is>
          <t>TOGETHER FOR 12 YEARS!</t>
        </is>
      </c>
      <c r="H2142" s="41" t="n">
        <v>0.005601851851851852</v>
      </c>
      <c r="I2142" s="42" t="n">
        <v>60731</v>
      </c>
      <c r="J2142" s="42" t="n">
        <v>2963</v>
      </c>
      <c r="K2142" s="42" t="n">
        <v>200</v>
      </c>
      <c r="L2142" s="43" t="n"/>
      <c r="M2142" s="44" t="n"/>
      <c r="N2142" s="44" t="inlineStr">
        <is>
          <t>UCYPKFe86e6nm4TVUYKLsFUQ</t>
        </is>
      </c>
      <c r="O2142" s="45" t="n">
        <v>43255.62361111111</v>
      </c>
      <c r="P2142" s="46" t="n">
        <v>43255</v>
      </c>
      <c r="Q2142" s="44" t="n">
        <v>1130</v>
      </c>
      <c r="R2142" s="44" t="inlineStr">
        <is>
          <t>No Video ID yet</t>
        </is>
      </c>
      <c r="S2142" s="46" t="n"/>
      <c r="T2142" s="46" t="n"/>
      <c r="U2142" s="44" t="n"/>
      <c r="V2142" s="44">
        <f>IF(AND(P2142&gt;=Calendar!$K$2,P2142&lt;EDATE(Calendar!$K$2,1),OR(Calendar!$K$4="*",N2142=Calendar!$K$4)),P2142*100+COUNTIFS($P$6:$P$3271,P2142,$Q$6:$Q$3271,"&lt;="&amp;Q2142,$N$6:$N$3271,Calendar!$K$4),"")</f>
        <v/>
      </c>
      <c r="W2142" s="44">
        <f>IF(AND(B2142=Queue!$C$4,OR(Queue!$K$4="*",N2142=Queue!$K$4)),Q2142,"")</f>
        <v/>
      </c>
    </row>
    <row r="2143">
      <c r="A2143" s="35">
        <f>IF(M2143="","",HYPERLINK("https://www.youtube.com/watch?v="&amp;M2143,"▶"))</f>
        <v/>
      </c>
      <c r="B2143" s="36">
        <f>IF(C2143&lt;&gt;"",C2143,IF(P2143&lt;=IFERROR(INDEX(tblChannels[Watched Through],MATCH(N2143,tblChannels[Channel ID],0)),0),"Watched","Unwatched"))</f>
        <v/>
      </c>
      <c r="C2143" s="37" t="n"/>
      <c r="D2143" s="38" t="n"/>
      <c r="E2143" s="39" t="n">
        <v>43255.4375</v>
      </c>
      <c r="F2143" s="49" t="inlineStr">
        <is>
          <t>Super Carlin Gaming</t>
        </is>
      </c>
      <c r="G2143" t="inlineStr">
        <is>
          <t>The Other R Word | Rocket League #10</t>
        </is>
      </c>
      <c r="H2143" s="41" t="n">
        <v>0.01392361111111111</v>
      </c>
      <c r="I2143" s="42" t="n">
        <v>10577</v>
      </c>
      <c r="J2143" s="42" t="n">
        <v>424</v>
      </c>
      <c r="K2143" s="42" t="n">
        <v>186</v>
      </c>
      <c r="L2143" s="43" t="n"/>
      <c r="M2143" s="44" t="n"/>
      <c r="N2143" s="44" t="inlineStr">
        <is>
          <t>UCor_9jRnNNZVzTuQ92PKsaQ</t>
        </is>
      </c>
      <c r="O2143" s="45" t="n">
        <v>43255.60416666666</v>
      </c>
      <c r="P2143" s="46" t="n">
        <v>43255</v>
      </c>
      <c r="Q2143" s="44" t="n">
        <v>1129</v>
      </c>
      <c r="R2143" s="44" t="inlineStr">
        <is>
          <t>No Video ID yet</t>
        </is>
      </c>
      <c r="S2143" s="46" t="n"/>
      <c r="T2143" s="46" t="n"/>
      <c r="U2143" s="44" t="n"/>
      <c r="V2143" s="44">
        <f>IF(AND(P2143&gt;=Calendar!$K$2,P2143&lt;EDATE(Calendar!$K$2,1),OR(Calendar!$K$4="*",N2143=Calendar!$K$4)),P2143*100+COUNTIFS($P$6:$P$3271,P2143,$Q$6:$Q$3271,"&lt;="&amp;Q2143,$N$6:$N$3271,Calendar!$K$4),"")</f>
        <v/>
      </c>
      <c r="W2143" s="44">
        <f>IF(AND(B2143=Queue!$C$4,OR(Queue!$K$4="*",N2143=Queue!$K$4)),Q2143,"")</f>
        <v/>
      </c>
    </row>
    <row r="2144">
      <c r="A2144" s="35">
        <f>IF(M2144="","",HYPERLINK("https://www.youtube.com/watch?v="&amp;M2144,"▶"))</f>
        <v/>
      </c>
      <c r="B2144" s="36">
        <f>IF(C2144&lt;&gt;"",C2144,IF(P2144&lt;=IFERROR(INDEX(tblChannels[Watched Through],MATCH(N2144,tblChannels[Channel ID],0)),0),"Watched","Unwatched"))</f>
        <v/>
      </c>
      <c r="C2144" s="37" t="n"/>
      <c r="D2144" s="38" t="n"/>
      <c r="E2144" s="39" t="n">
        <v>43252.75416666667</v>
      </c>
      <c r="F2144" s="49" t="inlineStr">
        <is>
          <t>Super Carlin Gaming</t>
        </is>
      </c>
      <c r="G2144" t="inlineStr">
        <is>
          <t>LIVE - Q&amp;A with Ben, J and DK! - Friday Rocket League</t>
        </is>
      </c>
      <c r="H2144" s="41" t="n">
        <v>0.06438657407407407</v>
      </c>
      <c r="I2144" s="42" t="n">
        <v>4075</v>
      </c>
      <c r="J2144" s="42" t="n">
        <v>167</v>
      </c>
      <c r="K2144" s="42" t="n">
        <v>11</v>
      </c>
      <c r="L2144" s="43" t="n"/>
      <c r="M2144" s="44" t="n"/>
      <c r="N2144" s="44" t="inlineStr">
        <is>
          <t>UCor_9jRnNNZVzTuQ92PKsaQ</t>
        </is>
      </c>
      <c r="O2144" s="45" t="n">
        <v>43252.92083333333</v>
      </c>
      <c r="P2144" s="46" t="n">
        <v>43252</v>
      </c>
      <c r="Q2144" s="44" t="n">
        <v>1128</v>
      </c>
      <c r="R2144" s="44" t="inlineStr">
        <is>
          <t>No Video ID yet</t>
        </is>
      </c>
      <c r="S2144" s="46" t="n"/>
      <c r="T2144" s="46" t="n"/>
      <c r="U2144" s="44" t="n"/>
      <c r="V2144" s="44">
        <f>IF(AND(P2144&gt;=Calendar!$K$2,P2144&lt;EDATE(Calendar!$K$2,1),OR(Calendar!$K$4="*",N2144=Calendar!$K$4)),P2144*100+COUNTIFS($P$6:$P$3271,P2144,$Q$6:$Q$3271,"&lt;="&amp;Q2144,$N$6:$N$3271,Calendar!$K$4),"")</f>
        <v/>
      </c>
      <c r="W2144" s="44">
        <f>IF(AND(B2144=Queue!$C$4,OR(Queue!$K$4="*",N2144=Queue!$K$4)),Q2144,"")</f>
        <v/>
      </c>
    </row>
    <row r="2145">
      <c r="A2145" s="35">
        <f>IF(M2145="","",HYPERLINK("https://www.youtube.com/watch?v="&amp;M2145,"▶"))</f>
        <v/>
      </c>
      <c r="B2145" s="36">
        <f>IF(C2145&lt;&gt;"",C2145,IF(P2145&lt;=IFERROR(INDEX(tblChannels[Watched Through],MATCH(N2145,tblChannels[Channel ID],0)),0),"Watched","Unwatched"))</f>
        <v/>
      </c>
      <c r="C2145" s="37" t="n"/>
      <c r="D2145" s="38" t="n"/>
      <c r="E2145" s="39" t="n">
        <v>43252.61666666667</v>
      </c>
      <c r="F2145" s="49" t="inlineStr">
        <is>
          <t>Super Carlin Gaming</t>
        </is>
      </c>
      <c r="G2145" t="inlineStr">
        <is>
          <t>Trash Bags | Rocket League #9</t>
        </is>
      </c>
      <c r="H2145" s="41" t="n">
        <v>0.01271990740740741</v>
      </c>
      <c r="I2145" s="42" t="n">
        <v>10502</v>
      </c>
      <c r="J2145" s="42" t="n">
        <v>377</v>
      </c>
      <c r="K2145" s="42" t="n">
        <v>61</v>
      </c>
      <c r="L2145" s="43" t="n"/>
      <c r="M2145" s="44" t="n"/>
      <c r="N2145" s="44" t="inlineStr">
        <is>
          <t>UCor_9jRnNNZVzTuQ92PKsaQ</t>
        </is>
      </c>
      <c r="O2145" s="45" t="n">
        <v>43252.78333333333</v>
      </c>
      <c r="P2145" s="46" t="n">
        <v>43252</v>
      </c>
      <c r="Q2145" s="44" t="n">
        <v>1127</v>
      </c>
      <c r="R2145" s="44" t="inlineStr">
        <is>
          <t>No Video ID yet</t>
        </is>
      </c>
      <c r="S2145" s="46" t="n"/>
      <c r="T2145" s="46" t="n"/>
      <c r="U2145" s="44" t="n"/>
      <c r="V2145" s="44">
        <f>IF(AND(P2145&gt;=Calendar!$K$2,P2145&lt;EDATE(Calendar!$K$2,1),OR(Calendar!$K$4="*",N2145=Calendar!$K$4)),P2145*100+COUNTIFS($P$6:$P$3271,P2145,$Q$6:$Q$3271,"&lt;="&amp;Q2145,$N$6:$N$3271,Calendar!$K$4),"")</f>
        <v/>
      </c>
      <c r="W2145" s="44">
        <f>IF(AND(B2145=Queue!$C$4,OR(Queue!$K$4="*",N2145=Queue!$K$4)),Q2145,"")</f>
        <v/>
      </c>
    </row>
    <row r="2146">
      <c r="A2146" s="35">
        <f>IF(M2146="","",HYPERLINK("https://www.youtube.com/watch?v="&amp;M2146,"▶"))</f>
        <v/>
      </c>
      <c r="B2146" s="36">
        <f>IF(C2146&lt;&gt;"",C2146,IF(P2146&lt;=IFERROR(INDEX(tblChannels[Watched Through],MATCH(N2146,tblChannels[Channel ID],0)),0),"Watched","Unwatched"))</f>
        <v/>
      </c>
      <c r="C2146" s="37" t="n"/>
      <c r="D2146" s="38" t="n"/>
      <c r="E2146" s="39" t="n">
        <v>43251.74236111111</v>
      </c>
      <c r="F2146" s="47" t="inlineStr">
        <is>
          <t>Super Carlin Brothers</t>
        </is>
      </c>
      <c r="G2146" t="inlineStr">
        <is>
          <t>Newt's Secret Dragon Revealed | Fantastic Beasts Theory</t>
        </is>
      </c>
      <c r="H2146" s="41" t="n">
        <v>0.007997685185185186</v>
      </c>
      <c r="I2146" s="42" t="n">
        <v>358288</v>
      </c>
      <c r="J2146" s="42" t="n">
        <v>12646</v>
      </c>
      <c r="K2146" s="42" t="n">
        <v>1919</v>
      </c>
      <c r="L2146" s="43" t="n"/>
      <c r="M2146" s="44" t="n"/>
      <c r="N2146" s="44" t="inlineStr">
        <is>
          <t>UCKZo4N0lVPccBkSiuyVh4yg</t>
        </is>
      </c>
      <c r="O2146" s="45" t="n">
        <v>43251.90902777778</v>
      </c>
      <c r="P2146" s="46" t="n">
        <v>43251</v>
      </c>
      <c r="Q2146" s="44" t="n">
        <v>1126</v>
      </c>
      <c r="R2146" s="44" t="inlineStr">
        <is>
          <t>No Video ID yet</t>
        </is>
      </c>
      <c r="S2146" s="46" t="n"/>
      <c r="T2146" s="46" t="n"/>
      <c r="U2146" s="44" t="n"/>
      <c r="V2146" s="44">
        <f>IF(AND(P2146&gt;=Calendar!$K$2,P2146&lt;EDATE(Calendar!$K$2,1),OR(Calendar!$K$4="*",N2146=Calendar!$K$4)),P2146*100+COUNTIFS($P$6:$P$3271,P2146,$Q$6:$Q$3271,"&lt;="&amp;Q2146,$N$6:$N$3271,Calendar!$K$4),"")</f>
        <v/>
      </c>
      <c r="W2146" s="44">
        <f>IF(AND(B2146=Queue!$C$4,OR(Queue!$K$4="*",N2146=Queue!$K$4)),Q2146,"")</f>
        <v/>
      </c>
    </row>
    <row r="2147">
      <c r="A2147" s="35">
        <f>IF(M2147="","",HYPERLINK("https://www.youtube.com/watch?v="&amp;M2147,"▶"))</f>
        <v/>
      </c>
      <c r="B2147" s="36">
        <f>IF(C2147&lt;&gt;"",C2147,IF(P2147&lt;=IFERROR(INDEX(tblChannels[Watched Through],MATCH(N2147,tblChannels[Channel ID],0)),0),"Watched","Unwatched"))</f>
        <v/>
      </c>
      <c r="C2147" s="37" t="n"/>
      <c r="D2147" s="38" t="n"/>
      <c r="E2147" s="39" t="n">
        <v>43250.5</v>
      </c>
      <c r="F2147" s="49" t="inlineStr">
        <is>
          <t>Super Carlin Gaming</t>
        </is>
      </c>
      <c r="G2147" t="inlineStr">
        <is>
          <t>Why Am I Not The BOSS? | Rocket League #8</t>
        </is>
      </c>
      <c r="H2147" s="41" t="n">
        <v>0.01310185185185185</v>
      </c>
      <c r="I2147" s="42" t="n">
        <v>11890</v>
      </c>
      <c r="J2147" s="42" t="n">
        <v>399</v>
      </c>
      <c r="K2147" s="42" t="n">
        <v>85</v>
      </c>
      <c r="L2147" s="43" t="n"/>
      <c r="M2147" s="44" t="n"/>
      <c r="N2147" s="44" t="inlineStr">
        <is>
          <t>UCor_9jRnNNZVzTuQ92PKsaQ</t>
        </is>
      </c>
      <c r="O2147" s="45" t="n">
        <v>43250.66666666666</v>
      </c>
      <c r="P2147" s="46" t="n">
        <v>43250</v>
      </c>
      <c r="Q2147" s="44" t="n">
        <v>1125</v>
      </c>
      <c r="R2147" s="44" t="inlineStr">
        <is>
          <t>No Video ID yet</t>
        </is>
      </c>
      <c r="S2147" s="46" t="n"/>
      <c r="T2147" s="46" t="n"/>
      <c r="U2147" s="44" t="n"/>
      <c r="V2147" s="44">
        <f>IF(AND(P2147&gt;=Calendar!$K$2,P2147&lt;EDATE(Calendar!$K$2,1),OR(Calendar!$K$4="*",N2147=Calendar!$K$4)),P2147*100+COUNTIFS($P$6:$P$3271,P2147,$Q$6:$Q$3271,"&lt;="&amp;Q2147,$N$6:$N$3271,Calendar!$K$4),"")</f>
        <v/>
      </c>
      <c r="W2147" s="44">
        <f>IF(AND(B2147=Queue!$C$4,OR(Queue!$K$4="*",N2147=Queue!$K$4)),Q2147,"")</f>
        <v/>
      </c>
    </row>
    <row r="2148">
      <c r="A2148" s="35">
        <f>IF(M2148="","",HYPERLINK("https://www.youtube.com/watch?v="&amp;M2148,"▶"))</f>
        <v/>
      </c>
      <c r="B2148" s="36">
        <f>IF(C2148&lt;&gt;"",C2148,IF(P2148&lt;=IFERROR(INDEX(tblChannels[Watched Through],MATCH(N2148,tblChannels[Channel ID],0)),0),"Watched","Unwatched"))</f>
        <v/>
      </c>
      <c r="C2148" s="37" t="n"/>
      <c r="D2148" s="38" t="n"/>
      <c r="E2148" s="39" t="n">
        <v>43249.74236111111</v>
      </c>
      <c r="F2148" s="47" t="inlineStr">
        <is>
          <t>Super Carlin Brothers</t>
        </is>
      </c>
      <c r="G2148" t="inlineStr">
        <is>
          <t>The RAREST Harry Potter Book EVER</t>
        </is>
      </c>
      <c r="H2148" s="41" t="n">
        <v>0.008530092592592593</v>
      </c>
      <c r="I2148" s="42" t="n">
        <v>1200961</v>
      </c>
      <c r="J2148" s="42" t="n">
        <v>32985</v>
      </c>
      <c r="K2148" s="42" t="n">
        <v>4414</v>
      </c>
      <c r="L2148" s="43" t="n"/>
      <c r="M2148" s="44" t="n"/>
      <c r="N2148" s="44" t="inlineStr">
        <is>
          <t>UCKZo4N0lVPccBkSiuyVh4yg</t>
        </is>
      </c>
      <c r="O2148" s="45" t="n">
        <v>43249.90902777778</v>
      </c>
      <c r="P2148" s="46" t="n">
        <v>43249</v>
      </c>
      <c r="Q2148" s="44" t="n">
        <v>1124</v>
      </c>
      <c r="R2148" s="44" t="inlineStr">
        <is>
          <t>No Video ID yet</t>
        </is>
      </c>
      <c r="S2148" s="46" t="n"/>
      <c r="T2148" s="46" t="n"/>
      <c r="U2148" s="44" t="n"/>
      <c r="V2148" s="44">
        <f>IF(AND(P2148&gt;=Calendar!$K$2,P2148&lt;EDATE(Calendar!$K$2,1),OR(Calendar!$K$4="*",N2148=Calendar!$K$4)),P2148*100+COUNTIFS($P$6:$P$3271,P2148,$Q$6:$Q$3271,"&lt;="&amp;Q2148,$N$6:$N$3271,Calendar!$K$4),"")</f>
        <v/>
      </c>
      <c r="W2148" s="44">
        <f>IF(AND(B2148=Queue!$C$4,OR(Queue!$K$4="*",N2148=Queue!$K$4)),Q2148,"")</f>
        <v/>
      </c>
    </row>
    <row r="2149">
      <c r="A2149" s="35">
        <f>IF(M2149="","",HYPERLINK("https://www.youtube.com/watch?v="&amp;M2149,"▶"))</f>
        <v/>
      </c>
      <c r="B2149" s="36">
        <f>IF(C2149&lt;&gt;"",C2149,IF(P2149&lt;=IFERROR(INDEX(tblChannels[Watched Through],MATCH(N2149,tblChannels[Channel ID],0)),0),"Watched","Unwatched"))</f>
        <v/>
      </c>
      <c r="C2149" s="37" t="n"/>
      <c r="D2149" s="38" t="n"/>
      <c r="E2149" s="39" t="n">
        <v>43248.82708333333</v>
      </c>
      <c r="F2149" s="50" t="inlineStr">
        <is>
          <t>Jonathan Carlin</t>
        </is>
      </c>
      <c r="G2149" t="inlineStr">
        <is>
          <t>I FORGOT MY PANTS!</t>
        </is>
      </c>
      <c r="H2149" s="41" t="n">
        <v>0.007916666666666667</v>
      </c>
      <c r="I2149" s="42" t="n">
        <v>45376</v>
      </c>
      <c r="J2149" s="42" t="n">
        <v>1890</v>
      </c>
      <c r="K2149" s="42" t="n">
        <v>185</v>
      </c>
      <c r="L2149" s="43" t="n"/>
      <c r="M2149" s="44" t="n"/>
      <c r="N2149" s="44" t="inlineStr">
        <is>
          <t>UCYPKFe86e6nm4TVUYKLsFUQ</t>
        </is>
      </c>
      <c r="O2149" s="45" t="n">
        <v>43248.99375</v>
      </c>
      <c r="P2149" s="46" t="n">
        <v>43248</v>
      </c>
      <c r="Q2149" s="44" t="n">
        <v>1123</v>
      </c>
      <c r="R2149" s="44" t="inlineStr">
        <is>
          <t>No Video ID yet</t>
        </is>
      </c>
      <c r="S2149" s="46" t="n"/>
      <c r="T2149" s="46" t="n"/>
      <c r="U2149" s="44" t="n"/>
      <c r="V2149" s="44">
        <f>IF(AND(P2149&gt;=Calendar!$K$2,P2149&lt;EDATE(Calendar!$K$2,1),OR(Calendar!$K$4="*",N2149=Calendar!$K$4)),P2149*100+COUNTIFS($P$6:$P$3271,P2149,$Q$6:$Q$3271,"&lt;="&amp;Q2149,$N$6:$N$3271,Calendar!$K$4),"")</f>
        <v/>
      </c>
      <c r="W2149" s="44">
        <f>IF(AND(B2149=Queue!$C$4,OR(Queue!$K$4="*",N2149=Queue!$K$4)),Q2149,"")</f>
        <v/>
      </c>
    </row>
    <row r="2150">
      <c r="A2150" s="35">
        <f>IF(M2150="","",HYPERLINK("https://www.youtube.com/watch?v="&amp;M2150,"▶"))</f>
        <v/>
      </c>
      <c r="B2150" s="36">
        <f>IF(C2150&lt;&gt;"",C2150,IF(P2150&lt;=IFERROR(INDEX(tblChannels[Watched Through],MATCH(N2150,tblChannels[Channel ID],0)),0),"Watched","Unwatched"))</f>
        <v/>
      </c>
      <c r="C2150" s="37" t="n"/>
      <c r="D2150" s="38" t="n"/>
      <c r="E2150" s="39" t="n">
        <v>43248.41666666666</v>
      </c>
      <c r="F2150" s="49" t="inlineStr">
        <is>
          <t>Super Carlin Gaming</t>
        </is>
      </c>
      <c r="G2150" t="inlineStr">
        <is>
          <t>The Thief of Happiness | Rocket League #7</t>
        </is>
      </c>
      <c r="H2150" s="41" t="n">
        <v>0.01280092592592593</v>
      </c>
      <c r="I2150" s="42" t="n">
        <v>12768</v>
      </c>
      <c r="J2150" s="42" t="n">
        <v>465</v>
      </c>
      <c r="K2150" s="42" t="n">
        <v>81</v>
      </c>
      <c r="L2150" s="43" t="n"/>
      <c r="M2150" s="44" t="n"/>
      <c r="N2150" s="44" t="inlineStr">
        <is>
          <t>UCor_9jRnNNZVzTuQ92PKsaQ</t>
        </is>
      </c>
      <c r="O2150" s="45" t="n">
        <v>43248.58333333334</v>
      </c>
      <c r="P2150" s="46" t="n">
        <v>43248</v>
      </c>
      <c r="Q2150" s="44" t="n">
        <v>1122</v>
      </c>
      <c r="R2150" s="44" t="inlineStr">
        <is>
          <t>No Video ID yet</t>
        </is>
      </c>
      <c r="S2150" s="46" t="n"/>
      <c r="T2150" s="46" t="n"/>
      <c r="U2150" s="44" t="n"/>
      <c r="V2150" s="44">
        <f>IF(AND(P2150&gt;=Calendar!$K$2,P2150&lt;EDATE(Calendar!$K$2,1),OR(Calendar!$K$4="*",N2150=Calendar!$K$4)),P2150*100+COUNTIFS($P$6:$P$3271,P2150,$Q$6:$Q$3271,"&lt;="&amp;Q2150,$N$6:$N$3271,Calendar!$K$4),"")</f>
        <v/>
      </c>
      <c r="W2150" s="44">
        <f>IF(AND(B2150=Queue!$C$4,OR(Queue!$K$4="*",N2150=Queue!$K$4)),Q2150,"")</f>
        <v/>
      </c>
    </row>
    <row r="2151">
      <c r="A2151" s="35">
        <f>IF(M2151="","",HYPERLINK("https://www.youtube.com/watch?v="&amp;M2151,"▶"))</f>
        <v/>
      </c>
      <c r="B2151" s="36">
        <f>IF(C2151&lt;&gt;"",C2151,IF(P2151&lt;=IFERROR(INDEX(tblChannels[Watched Through],MATCH(N2151,tblChannels[Channel ID],0)),0),"Watched","Unwatched"))</f>
        <v/>
      </c>
      <c r="C2151" s="37" t="n"/>
      <c r="D2151" s="38" t="n"/>
      <c r="E2151" s="39" t="n">
        <v>43246.69791666666</v>
      </c>
      <c r="F2151" s="49" t="inlineStr">
        <is>
          <t>Super Carlin Gaming</t>
        </is>
      </c>
      <c r="G2151" t="inlineStr">
        <is>
          <t>LIVE - Beth Builds a Family! | SIMS 4</t>
        </is>
      </c>
      <c r="H2151" s="41" t="n">
        <v>0.07284722222222222</v>
      </c>
      <c r="I2151" s="42" t="n">
        <v>12803</v>
      </c>
      <c r="J2151" s="42" t="n">
        <v>389</v>
      </c>
      <c r="K2151" s="42" t="n">
        <v>42</v>
      </c>
      <c r="L2151" s="43" t="n"/>
      <c r="M2151" s="44" t="n"/>
      <c r="N2151" s="44" t="inlineStr">
        <is>
          <t>UCor_9jRnNNZVzTuQ92PKsaQ</t>
        </is>
      </c>
      <c r="O2151" s="45" t="n">
        <v>43246.86458333334</v>
      </c>
      <c r="P2151" s="46" t="n">
        <v>43246</v>
      </c>
      <c r="Q2151" s="44" t="n">
        <v>1121</v>
      </c>
      <c r="R2151" s="44" t="inlineStr">
        <is>
          <t>No Video ID yet</t>
        </is>
      </c>
      <c r="S2151" s="46" t="n"/>
      <c r="T2151" s="46" t="n"/>
      <c r="U2151" s="44" t="n"/>
      <c r="V2151" s="44">
        <f>IF(AND(P2151&gt;=Calendar!$K$2,P2151&lt;EDATE(Calendar!$K$2,1),OR(Calendar!$K$4="*",N2151=Calendar!$K$4)),P2151*100+COUNTIFS($P$6:$P$3271,P2151,$Q$6:$Q$3271,"&lt;="&amp;Q2151,$N$6:$N$3271,Calendar!$K$4),"")</f>
        <v/>
      </c>
      <c r="W2151" s="44">
        <f>IF(AND(B2151=Queue!$C$4,OR(Queue!$K$4="*",N2151=Queue!$K$4)),Q2151,"")</f>
        <v/>
      </c>
    </row>
    <row r="2152">
      <c r="A2152" s="35">
        <f>IF(M2152="","",HYPERLINK("https://www.youtube.com/watch?v="&amp;M2152,"▶"))</f>
        <v/>
      </c>
      <c r="B2152" s="36">
        <f>IF(C2152&lt;&gt;"",C2152,IF(P2152&lt;=IFERROR(INDEX(tblChannels[Watched Through],MATCH(N2152,tblChannels[Channel ID],0)),0),"Watched","Unwatched"))</f>
        <v/>
      </c>
      <c r="C2152" s="37" t="n"/>
      <c r="D2152" s="38" t="n"/>
      <c r="E2152" s="39" t="n">
        <v>43245.48402777778</v>
      </c>
      <c r="F2152" s="49" t="inlineStr">
        <is>
          <t>Super Carlin Gaming</t>
        </is>
      </c>
      <c r="G2152" t="inlineStr">
        <is>
          <t>Everything Bad is Wrong with the World | Rocket League #6</t>
        </is>
      </c>
      <c r="H2152" s="41" t="n">
        <v>0.01498842592592593</v>
      </c>
      <c r="I2152" s="42" t="n">
        <v>13043</v>
      </c>
      <c r="J2152" s="42" t="n">
        <v>483</v>
      </c>
      <c r="K2152" s="42" t="n">
        <v>67</v>
      </c>
      <c r="L2152" s="43" t="n"/>
      <c r="M2152" s="44" t="n"/>
      <c r="N2152" s="44" t="inlineStr">
        <is>
          <t>UCor_9jRnNNZVzTuQ92PKsaQ</t>
        </is>
      </c>
      <c r="O2152" s="45" t="n">
        <v>43245.65069444444</v>
      </c>
      <c r="P2152" s="46" t="n">
        <v>43245</v>
      </c>
      <c r="Q2152" s="44" t="n">
        <v>1120</v>
      </c>
      <c r="R2152" s="44" t="inlineStr">
        <is>
          <t>No Video ID yet</t>
        </is>
      </c>
      <c r="S2152" s="46" t="n"/>
      <c r="T2152" s="46" t="n"/>
      <c r="U2152" s="44" t="n"/>
      <c r="V2152" s="44">
        <f>IF(AND(P2152&gt;=Calendar!$K$2,P2152&lt;EDATE(Calendar!$K$2,1),OR(Calendar!$K$4="*",N2152=Calendar!$K$4)),P2152*100+COUNTIFS($P$6:$P$3271,P2152,$Q$6:$Q$3271,"&lt;="&amp;Q2152,$N$6:$N$3271,Calendar!$K$4),"")</f>
        <v/>
      </c>
      <c r="W2152" s="44">
        <f>IF(AND(B2152=Queue!$C$4,OR(Queue!$K$4="*",N2152=Queue!$K$4)),Q2152,"")</f>
        <v/>
      </c>
    </row>
    <row r="2153">
      <c r="A2153" s="35">
        <f>IF(M2153="","",HYPERLINK("https://www.youtube.com/watch?v="&amp;M2153,"▶"))</f>
        <v/>
      </c>
      <c r="B2153" s="36">
        <f>IF(C2153&lt;&gt;"",C2153,IF(P2153&lt;=IFERROR(INDEX(tblChannels[Watched Through],MATCH(N2153,tblChannels[Channel ID],0)),0),"Watched","Unwatched"))</f>
        <v/>
      </c>
      <c r="C2153" s="37" t="n"/>
      <c r="D2153" s="38" t="n"/>
      <c r="E2153" s="39" t="n">
        <v>43244.6625</v>
      </c>
      <c r="F2153" s="47" t="inlineStr">
        <is>
          <t>Super Carlin Brothers</t>
        </is>
      </c>
      <c r="G2153" t="inlineStr">
        <is>
          <t>J vs Ben: ULTIMATE Sirius Black Quiz</t>
        </is>
      </c>
      <c r="H2153" s="41" t="n">
        <v>0.024375</v>
      </c>
      <c r="I2153" s="42" t="n">
        <v>1324390</v>
      </c>
      <c r="J2153" s="42" t="n">
        <v>20847</v>
      </c>
      <c r="K2153" s="42" t="n">
        <v>4285</v>
      </c>
      <c r="L2153" s="43" t="n"/>
      <c r="M2153" s="44" t="n"/>
      <c r="N2153" s="44" t="inlineStr">
        <is>
          <t>UCKZo4N0lVPccBkSiuyVh4yg</t>
        </is>
      </c>
      <c r="O2153" s="45" t="n">
        <v>43244.82916666667</v>
      </c>
      <c r="P2153" s="46" t="n">
        <v>43244</v>
      </c>
      <c r="Q2153" s="44" t="n">
        <v>1119</v>
      </c>
      <c r="R2153" s="44" t="inlineStr">
        <is>
          <t>No Video ID yet</t>
        </is>
      </c>
      <c r="S2153" s="46" t="n"/>
      <c r="T2153" s="46" t="n"/>
      <c r="U2153" s="44" t="n"/>
      <c r="V2153" s="44">
        <f>IF(AND(P2153&gt;=Calendar!$K$2,P2153&lt;EDATE(Calendar!$K$2,1),OR(Calendar!$K$4="*",N2153=Calendar!$K$4)),P2153*100+COUNTIFS($P$6:$P$3271,P2153,$Q$6:$Q$3271,"&lt;="&amp;Q2153,$N$6:$N$3271,Calendar!$K$4),"")</f>
        <v/>
      </c>
      <c r="W2153" s="44">
        <f>IF(AND(B2153=Queue!$C$4,OR(Queue!$K$4="*",N2153=Queue!$K$4)),Q2153,"")</f>
        <v/>
      </c>
    </row>
    <row r="2154">
      <c r="A2154" s="35">
        <f>IF(M2154="","",HYPERLINK("https://www.youtube.com/watch?v="&amp;M2154,"▶"))</f>
        <v/>
      </c>
      <c r="B2154" s="36">
        <f>IF(C2154&lt;&gt;"",C2154,IF(P2154&lt;=IFERROR(INDEX(tblChannels[Watched Through],MATCH(N2154,tblChannels[Channel ID],0)),0),"Watched","Unwatched"))</f>
        <v/>
      </c>
      <c r="C2154" s="37" t="n"/>
      <c r="D2154" s="38" t="n"/>
      <c r="E2154" s="39" t="n">
        <v>43243.88125</v>
      </c>
      <c r="F2154" s="50" t="inlineStr">
        <is>
          <t>Jonathan Carlin</t>
        </is>
      </c>
      <c r="G2154" t="inlineStr">
        <is>
          <t>Q&amp;A w/Beth &amp; J (AND LUKE)</t>
        </is>
      </c>
      <c r="H2154" s="41" t="n">
        <v>0.04277777777777778</v>
      </c>
      <c r="I2154" s="42" t="n">
        <v>15409</v>
      </c>
      <c r="J2154" s="42" t="n">
        <v>593</v>
      </c>
      <c r="K2154" s="42" t="n">
        <v>0</v>
      </c>
      <c r="L2154" s="43" t="n"/>
      <c r="M2154" s="44" t="n"/>
      <c r="N2154" s="44" t="inlineStr">
        <is>
          <t>UCYPKFe86e6nm4TVUYKLsFUQ</t>
        </is>
      </c>
      <c r="O2154" s="45" t="n">
        <v>43244.04791666667</v>
      </c>
      <c r="P2154" s="46" t="n">
        <v>43243</v>
      </c>
      <c r="Q2154" s="44" t="n">
        <v>1118</v>
      </c>
      <c r="R2154" s="44" t="inlineStr">
        <is>
          <t>No Video ID yet</t>
        </is>
      </c>
      <c r="S2154" s="46" t="n"/>
      <c r="T2154" s="46" t="n"/>
      <c r="U2154" s="44" t="n"/>
      <c r="V2154" s="44">
        <f>IF(AND(P2154&gt;=Calendar!$K$2,P2154&lt;EDATE(Calendar!$K$2,1),OR(Calendar!$K$4="*",N2154=Calendar!$K$4)),P2154*100+COUNTIFS($P$6:$P$3271,P2154,$Q$6:$Q$3271,"&lt;="&amp;Q2154,$N$6:$N$3271,Calendar!$K$4),"")</f>
        <v/>
      </c>
      <c r="W2154" s="44">
        <f>IF(AND(B2154=Queue!$C$4,OR(Queue!$K$4="*",N2154=Queue!$K$4)),Q2154,"")</f>
        <v/>
      </c>
    </row>
    <row r="2155">
      <c r="A2155" s="35">
        <f>IF(M2155="","",HYPERLINK("https://www.youtube.com/watch?v="&amp;M2155,"▶"))</f>
        <v/>
      </c>
      <c r="B2155" s="36">
        <f>IF(C2155&lt;&gt;"",C2155,IF(P2155&lt;=IFERROR(INDEX(tblChannels[Watched Through],MATCH(N2155,tblChannels[Channel ID],0)),0),"Watched","Unwatched"))</f>
        <v/>
      </c>
      <c r="C2155" s="37" t="n"/>
      <c r="D2155" s="38" t="n"/>
      <c r="E2155" s="39" t="n">
        <v>43243.82222222222</v>
      </c>
      <c r="F2155" s="50" t="inlineStr">
        <is>
          <t>Jonathan Carlin</t>
        </is>
      </c>
      <c r="G2155" t="inlineStr">
        <is>
          <t>Jonathan Carlin Live Stream</t>
        </is>
      </c>
      <c r="H2155" s="41" t="n">
        <v>0</v>
      </c>
      <c r="I2155" s="42" t="n">
        <v>0</v>
      </c>
      <c r="J2155" s="42" t="n">
        <v>0</v>
      </c>
      <c r="K2155" s="42" t="n">
        <v>0</v>
      </c>
      <c r="L2155" s="43" t="n"/>
      <c r="M2155" s="44" t="n"/>
      <c r="N2155" s="44" t="inlineStr">
        <is>
          <t>UCYPKFe86e6nm4TVUYKLsFUQ</t>
        </is>
      </c>
      <c r="O2155" s="45" t="n">
        <v>43243.98888888889</v>
      </c>
      <c r="P2155" s="46" t="n">
        <v>43243</v>
      </c>
      <c r="Q2155" s="44" t="n">
        <v>1117</v>
      </c>
      <c r="R2155" s="44" t="inlineStr">
        <is>
          <t>No Video ID yet</t>
        </is>
      </c>
      <c r="S2155" s="46" t="n"/>
      <c r="T2155" s="46" t="n"/>
      <c r="U2155" s="44" t="n"/>
      <c r="V2155" s="44">
        <f>IF(AND(P2155&gt;=Calendar!$K$2,P2155&lt;EDATE(Calendar!$K$2,1),OR(Calendar!$K$4="*",N2155=Calendar!$K$4)),P2155*100+COUNTIFS($P$6:$P$3271,P2155,$Q$6:$Q$3271,"&lt;="&amp;Q2155,$N$6:$N$3271,Calendar!$K$4),"")</f>
        <v/>
      </c>
      <c r="W2155" s="44">
        <f>IF(AND(B2155=Queue!$C$4,OR(Queue!$K$4="*",N2155=Queue!$K$4)),Q2155,"")</f>
        <v/>
      </c>
    </row>
    <row r="2156">
      <c r="A2156" s="35">
        <f>IF(M2156="","",HYPERLINK("https://www.youtube.com/watch?v="&amp;M2156,"▶"))</f>
        <v/>
      </c>
      <c r="B2156" s="36">
        <f>IF(C2156&lt;&gt;"",C2156,IF(P2156&lt;=IFERROR(INDEX(tblChannels[Watched Through],MATCH(N2156,tblChannels[Channel ID],0)),0),"Watched","Unwatched"))</f>
        <v/>
      </c>
      <c r="C2156" s="37" t="n"/>
      <c r="D2156" s="38" t="n"/>
      <c r="E2156" s="39" t="n">
        <v>43243.49305555555</v>
      </c>
      <c r="F2156" s="49" t="inlineStr">
        <is>
          <t>Super Carlin Gaming</t>
        </is>
      </c>
      <c r="G2156" t="inlineStr">
        <is>
          <t>Give a Dog a Job | Rocket League #5</t>
        </is>
      </c>
      <c r="H2156" s="41" t="n">
        <v>0.01228009259259259</v>
      </c>
      <c r="I2156" s="42" t="n">
        <v>13241</v>
      </c>
      <c r="J2156" s="42" t="n">
        <v>467</v>
      </c>
      <c r="K2156" s="42" t="n">
        <v>115</v>
      </c>
      <c r="L2156" s="43" t="n"/>
      <c r="M2156" s="44" t="n"/>
      <c r="N2156" s="44" t="inlineStr">
        <is>
          <t>UCor_9jRnNNZVzTuQ92PKsaQ</t>
        </is>
      </c>
      <c r="O2156" s="45" t="n">
        <v>43243.65972222222</v>
      </c>
      <c r="P2156" s="46" t="n">
        <v>43243</v>
      </c>
      <c r="Q2156" s="44" t="n">
        <v>1116</v>
      </c>
      <c r="R2156" s="44" t="inlineStr">
        <is>
          <t>No Video ID yet</t>
        </is>
      </c>
      <c r="S2156" s="46" t="n"/>
      <c r="T2156" s="46" t="n"/>
      <c r="U2156" s="44" t="n"/>
      <c r="V2156" s="44">
        <f>IF(AND(P2156&gt;=Calendar!$K$2,P2156&lt;EDATE(Calendar!$K$2,1),OR(Calendar!$K$4="*",N2156=Calendar!$K$4)),P2156*100+COUNTIFS($P$6:$P$3271,P2156,$Q$6:$Q$3271,"&lt;="&amp;Q2156,$N$6:$N$3271,Calendar!$K$4),"")</f>
        <v/>
      </c>
      <c r="W2156" s="44">
        <f>IF(AND(B2156=Queue!$C$4,OR(Queue!$K$4="*",N2156=Queue!$K$4)),Q2156,"")</f>
        <v/>
      </c>
    </row>
    <row r="2157">
      <c r="A2157" s="35">
        <f>IF(M2157="","",HYPERLINK("https://www.youtube.com/watch?v="&amp;M2157,"▶"))</f>
        <v/>
      </c>
      <c r="B2157" s="36">
        <f>IF(C2157&lt;&gt;"",C2157,IF(P2157&lt;=IFERROR(INDEX(tblChannels[Watched Through],MATCH(N2157,tblChannels[Channel ID],0)),0),"Watched","Unwatched"))</f>
        <v/>
      </c>
      <c r="C2157" s="37" t="n"/>
      <c r="D2157" s="38" t="n"/>
      <c r="E2157" s="39" t="n">
        <v>43242.94375</v>
      </c>
      <c r="F2157" s="49" t="inlineStr">
        <is>
          <t>Super Carlin Gaming</t>
        </is>
      </c>
      <c r="G2157" t="inlineStr">
        <is>
          <t>LIVE: Come Rage With Me! - Getting Over It</t>
        </is>
      </c>
      <c r="H2157" s="41" t="n">
        <v>0.06592592592592593</v>
      </c>
      <c r="I2157" s="42" t="n">
        <v>4773</v>
      </c>
      <c r="J2157" s="42" t="n">
        <v>216</v>
      </c>
      <c r="K2157" s="42" t="n">
        <v>12</v>
      </c>
      <c r="L2157" s="43" t="n"/>
      <c r="M2157" s="44" t="n"/>
      <c r="N2157" s="44" t="inlineStr">
        <is>
          <t>UCor_9jRnNNZVzTuQ92PKsaQ</t>
        </is>
      </c>
      <c r="O2157" s="45" t="n">
        <v>43243.11041666667</v>
      </c>
      <c r="P2157" s="46" t="n">
        <v>43242</v>
      </c>
      <c r="Q2157" s="44" t="n">
        <v>1115</v>
      </c>
      <c r="R2157" s="44" t="inlineStr">
        <is>
          <t>No Video ID yet</t>
        </is>
      </c>
      <c r="S2157" s="46" t="n"/>
      <c r="T2157" s="46" t="n"/>
      <c r="U2157" s="44" t="n"/>
      <c r="V2157" s="44">
        <f>IF(AND(P2157&gt;=Calendar!$K$2,P2157&lt;EDATE(Calendar!$K$2,1),OR(Calendar!$K$4="*",N2157=Calendar!$K$4)),P2157*100+COUNTIFS($P$6:$P$3271,P2157,$Q$6:$Q$3271,"&lt;="&amp;Q2157,$N$6:$N$3271,Calendar!$K$4),"")</f>
        <v/>
      </c>
      <c r="W2157" s="44">
        <f>IF(AND(B2157=Queue!$C$4,OR(Queue!$K$4="*",N2157=Queue!$K$4)),Q2157,"")</f>
        <v/>
      </c>
    </row>
    <row r="2158">
      <c r="A2158" s="35">
        <f>IF(M2158="","",HYPERLINK("https://www.youtube.com/watch?v="&amp;M2158,"▶"))</f>
        <v/>
      </c>
      <c r="B2158" s="36">
        <f>IF(C2158&lt;&gt;"",C2158,IF(P2158&lt;=IFERROR(INDEX(tblChannels[Watched Through],MATCH(N2158,tblChannels[Channel ID],0)),0),"Watched","Unwatched"))</f>
        <v/>
      </c>
      <c r="C2158" s="37" t="n"/>
      <c r="D2158" s="38" t="n"/>
      <c r="E2158" s="39" t="n">
        <v>43242.72361111111</v>
      </c>
      <c r="F2158" s="47" t="inlineStr">
        <is>
          <t>Super Carlin Brothers</t>
        </is>
      </c>
      <c r="G2158" t="inlineStr">
        <is>
          <t>Why Do Wizards Study Astronomy? | Harry Potter Explained</t>
        </is>
      </c>
      <c r="H2158" s="41" t="n">
        <v>0.007083333333333333</v>
      </c>
      <c r="I2158" s="42" t="n">
        <v>819515</v>
      </c>
      <c r="J2158" s="42" t="n">
        <v>22501</v>
      </c>
      <c r="K2158" s="42" t="n">
        <v>2715</v>
      </c>
      <c r="L2158" s="43" t="n"/>
      <c r="M2158" s="44" t="n"/>
      <c r="N2158" s="44" t="inlineStr">
        <is>
          <t>UCKZo4N0lVPccBkSiuyVh4yg</t>
        </is>
      </c>
      <c r="O2158" s="45" t="n">
        <v>43242.89027777778</v>
      </c>
      <c r="P2158" s="46" t="n">
        <v>43242</v>
      </c>
      <c r="Q2158" s="44" t="n">
        <v>1114</v>
      </c>
      <c r="R2158" s="44" t="inlineStr">
        <is>
          <t>No Video ID yet</t>
        </is>
      </c>
      <c r="S2158" s="46" t="n"/>
      <c r="T2158" s="46" t="n"/>
      <c r="U2158" s="44" t="n"/>
      <c r="V2158" s="44">
        <f>IF(AND(P2158&gt;=Calendar!$K$2,P2158&lt;EDATE(Calendar!$K$2,1),OR(Calendar!$K$4="*",N2158=Calendar!$K$4)),P2158*100+COUNTIFS($P$6:$P$3271,P2158,$Q$6:$Q$3271,"&lt;="&amp;Q2158,$N$6:$N$3271,Calendar!$K$4),"")</f>
        <v/>
      </c>
      <c r="W2158" s="44">
        <f>IF(AND(B2158=Queue!$C$4,OR(Queue!$K$4="*",N2158=Queue!$K$4)),Q2158,"")</f>
        <v/>
      </c>
    </row>
    <row r="2159">
      <c r="A2159" s="35">
        <f>IF(M2159="","",HYPERLINK("https://www.youtube.com/watch?v="&amp;M2159,"▶"))</f>
        <v/>
      </c>
      <c r="B2159" s="36">
        <f>IF(C2159&lt;&gt;"",C2159,IF(P2159&lt;=IFERROR(INDEX(tblChannels[Watched Through],MATCH(N2159,tblChannels[Channel ID],0)),0),"Watched","Unwatched"))</f>
        <v/>
      </c>
      <c r="C2159" s="37" t="n"/>
      <c r="D2159" s="38" t="n"/>
      <c r="E2159" s="39" t="n">
        <v>43242.41666666666</v>
      </c>
      <c r="F2159" s="50" t="inlineStr">
        <is>
          <t>Jonathan Carlin</t>
        </is>
      </c>
      <c r="G2159" t="inlineStr">
        <is>
          <t>Luke's First Road Trip!</t>
        </is>
      </c>
      <c r="H2159" s="41" t="n">
        <v>0.008738425925925926</v>
      </c>
      <c r="I2159" s="42" t="n">
        <v>46936</v>
      </c>
      <c r="J2159" s="42" t="n">
        <v>1928</v>
      </c>
      <c r="K2159" s="42" t="n">
        <v>440</v>
      </c>
      <c r="L2159" s="43" t="n"/>
      <c r="M2159" s="44" t="n"/>
      <c r="N2159" s="44" t="inlineStr">
        <is>
          <t>UCYPKFe86e6nm4TVUYKLsFUQ</t>
        </is>
      </c>
      <c r="O2159" s="45" t="n">
        <v>43242.58333333334</v>
      </c>
      <c r="P2159" s="46" t="n">
        <v>43242</v>
      </c>
      <c r="Q2159" s="44" t="n">
        <v>1113</v>
      </c>
      <c r="R2159" s="44" t="inlineStr">
        <is>
          <t>No Video ID yet</t>
        </is>
      </c>
      <c r="S2159" s="46" t="n"/>
      <c r="T2159" s="46" t="n"/>
      <c r="U2159" s="44" t="n"/>
      <c r="V2159" s="44">
        <f>IF(AND(P2159&gt;=Calendar!$K$2,P2159&lt;EDATE(Calendar!$K$2,1),OR(Calendar!$K$4="*",N2159=Calendar!$K$4)),P2159*100+COUNTIFS($P$6:$P$3271,P2159,$Q$6:$Q$3271,"&lt;="&amp;Q2159,$N$6:$N$3271,Calendar!$K$4),"")</f>
        <v/>
      </c>
      <c r="W2159" s="44">
        <f>IF(AND(B2159=Queue!$C$4,OR(Queue!$K$4="*",N2159=Queue!$K$4)),Q2159,"")</f>
        <v/>
      </c>
    </row>
    <row r="2160">
      <c r="A2160" s="35">
        <f>IF(M2160="","",HYPERLINK("https://www.youtube.com/watch?v="&amp;M2160,"▶"))</f>
        <v/>
      </c>
      <c r="B2160" s="36">
        <f>IF(C2160&lt;&gt;"",C2160,IF(P2160&lt;=IFERROR(INDEX(tblChannels[Watched Through],MATCH(N2160,tblChannels[Channel ID],0)),0),"Watched","Unwatched"))</f>
        <v/>
      </c>
      <c r="C2160" s="37" t="n"/>
      <c r="D2160" s="38" t="n"/>
      <c r="E2160" s="39" t="n">
        <v>43241.46597222222</v>
      </c>
      <c r="F2160" s="49" t="inlineStr">
        <is>
          <t>Super Carlin Gaming</t>
        </is>
      </c>
      <c r="G2160" t="inlineStr">
        <is>
          <t>Getting a BowFlex™ | Rocket League #4</t>
        </is>
      </c>
      <c r="H2160" s="41" t="n">
        <v>0.01295138888888889</v>
      </c>
      <c r="I2160" s="42" t="n">
        <v>15296</v>
      </c>
      <c r="J2160" s="42" t="n">
        <v>520</v>
      </c>
      <c r="K2160" s="42" t="n">
        <v>76</v>
      </c>
      <c r="L2160" s="43" t="n"/>
      <c r="M2160" s="44" t="n"/>
      <c r="N2160" s="44" t="inlineStr">
        <is>
          <t>UCor_9jRnNNZVzTuQ92PKsaQ</t>
        </is>
      </c>
      <c r="O2160" s="45" t="n">
        <v>43241.63263888889</v>
      </c>
      <c r="P2160" s="46" t="n">
        <v>43241</v>
      </c>
      <c r="Q2160" s="44" t="n">
        <v>1112</v>
      </c>
      <c r="R2160" s="44" t="inlineStr">
        <is>
          <t>No Video ID yet</t>
        </is>
      </c>
      <c r="S2160" s="46" t="n"/>
      <c r="T2160" s="46" t="n"/>
      <c r="U2160" s="44" t="n"/>
      <c r="V2160" s="44">
        <f>IF(AND(P2160&gt;=Calendar!$K$2,P2160&lt;EDATE(Calendar!$K$2,1),OR(Calendar!$K$4="*",N2160=Calendar!$K$4)),P2160*100+COUNTIFS($P$6:$P$3271,P2160,$Q$6:$Q$3271,"&lt;="&amp;Q2160,$N$6:$N$3271,Calendar!$K$4),"")</f>
        <v/>
      </c>
      <c r="W2160" s="44">
        <f>IF(AND(B2160=Queue!$C$4,OR(Queue!$K$4="*",N2160=Queue!$K$4)),Q2160,"")</f>
        <v/>
      </c>
    </row>
    <row r="2161">
      <c r="A2161" s="35">
        <f>IF(M2161="","",HYPERLINK("https://www.youtube.com/watch?v="&amp;M2161,"▶"))</f>
        <v/>
      </c>
      <c r="B2161" s="36">
        <f>IF(C2161&lt;&gt;"",C2161,IF(P2161&lt;=IFERROR(INDEX(tblChannels[Watched Through],MATCH(N2161,tblChannels[Channel ID],0)),0),"Watched","Unwatched"))</f>
        <v/>
      </c>
      <c r="C2161" s="37" t="n"/>
      <c r="D2161" s="38" t="n"/>
      <c r="E2161" s="39" t="n">
        <v>43238.74722222222</v>
      </c>
      <c r="F2161" s="49" t="inlineStr">
        <is>
          <t>Super Carlin Gaming</t>
        </is>
      </c>
      <c r="G2161" t="inlineStr">
        <is>
          <t>LIVE: Q&amp;A w/ Ben, J and DK - Rocket League!</t>
        </is>
      </c>
      <c r="H2161" s="41" t="n">
        <v>0.06275462962962963</v>
      </c>
      <c r="I2161" s="42" t="n">
        <v>6554</v>
      </c>
      <c r="J2161" s="42" t="n">
        <v>229</v>
      </c>
      <c r="K2161" s="42" t="n">
        <v>22</v>
      </c>
      <c r="L2161" s="43" t="n"/>
      <c r="M2161" s="44" t="n"/>
      <c r="N2161" s="44" t="inlineStr">
        <is>
          <t>UCor_9jRnNNZVzTuQ92PKsaQ</t>
        </is>
      </c>
      <c r="O2161" s="45" t="n">
        <v>43238.91388888889</v>
      </c>
      <c r="P2161" s="46" t="n">
        <v>43238</v>
      </c>
      <c r="Q2161" s="44" t="n">
        <v>1111</v>
      </c>
      <c r="R2161" s="44" t="inlineStr">
        <is>
          <t>No Video ID yet</t>
        </is>
      </c>
      <c r="S2161" s="46" t="n"/>
      <c r="T2161" s="46" t="n"/>
      <c r="U2161" s="44" t="n"/>
      <c r="V2161" s="44">
        <f>IF(AND(P2161&gt;=Calendar!$K$2,P2161&lt;EDATE(Calendar!$K$2,1),OR(Calendar!$K$4="*",N2161=Calendar!$K$4)),P2161*100+COUNTIFS($P$6:$P$3271,P2161,$Q$6:$Q$3271,"&lt;="&amp;Q2161,$N$6:$N$3271,Calendar!$K$4),"")</f>
        <v/>
      </c>
      <c r="W2161" s="44">
        <f>IF(AND(B2161=Queue!$C$4,OR(Queue!$K$4="*",N2161=Queue!$K$4)),Q2161,"")</f>
        <v/>
      </c>
    </row>
    <row r="2162">
      <c r="A2162" s="35">
        <f>IF(M2162="","",HYPERLINK("https://www.youtube.com/watch?v="&amp;M2162,"▶"))</f>
        <v/>
      </c>
      <c r="B2162" s="36">
        <f>IF(C2162&lt;&gt;"",C2162,IF(P2162&lt;=IFERROR(INDEX(tblChannels[Watched Through],MATCH(N2162,tblChannels[Channel ID],0)),0),"Watched","Unwatched"))</f>
        <v/>
      </c>
      <c r="C2162" s="37" t="n"/>
      <c r="D2162" s="38" t="n"/>
      <c r="E2162" s="39" t="n">
        <v>43238.45416666667</v>
      </c>
      <c r="F2162" s="49" t="inlineStr">
        <is>
          <t>Super Carlin Gaming</t>
        </is>
      </c>
      <c r="G2162" t="inlineStr">
        <is>
          <t>Salty the Cracker | Rocket League #3</t>
        </is>
      </c>
      <c r="H2162" s="41" t="n">
        <v>0.01174768518518519</v>
      </c>
      <c r="I2162" s="42" t="n">
        <v>18053</v>
      </c>
      <c r="J2162" s="42" t="n">
        <v>530</v>
      </c>
      <c r="K2162" s="42" t="n">
        <v>101</v>
      </c>
      <c r="L2162" s="43" t="n"/>
      <c r="M2162" s="44" t="n"/>
      <c r="N2162" s="44" t="inlineStr">
        <is>
          <t>UCor_9jRnNNZVzTuQ92PKsaQ</t>
        </is>
      </c>
      <c r="O2162" s="45" t="n">
        <v>43238.62083333333</v>
      </c>
      <c r="P2162" s="46" t="n">
        <v>43238</v>
      </c>
      <c r="Q2162" s="44" t="n">
        <v>1110</v>
      </c>
      <c r="R2162" s="44" t="inlineStr">
        <is>
          <t>No Video ID yet</t>
        </is>
      </c>
      <c r="S2162" s="46" t="n"/>
      <c r="T2162" s="46" t="n"/>
      <c r="U2162" s="44" t="n"/>
      <c r="V2162" s="44">
        <f>IF(AND(P2162&gt;=Calendar!$K$2,P2162&lt;EDATE(Calendar!$K$2,1),OR(Calendar!$K$4="*",N2162=Calendar!$K$4)),P2162*100+COUNTIFS($P$6:$P$3271,P2162,$Q$6:$Q$3271,"&lt;="&amp;Q2162,$N$6:$N$3271,Calendar!$K$4),"")</f>
        <v/>
      </c>
      <c r="W2162" s="44">
        <f>IF(AND(B2162=Queue!$C$4,OR(Queue!$K$4="*",N2162=Queue!$K$4)),Q2162,"")</f>
        <v/>
      </c>
    </row>
    <row r="2163">
      <c r="A2163" s="35">
        <f>IF(M2163="","",HYPERLINK("https://www.youtube.com/watch?v="&amp;M2163,"▶"))</f>
        <v/>
      </c>
      <c r="B2163" s="36">
        <f>IF(C2163&lt;&gt;"",C2163,IF(P2163&lt;=IFERROR(INDEX(tblChannels[Watched Through],MATCH(N2163,tblChannels[Channel ID],0)),0),"Watched","Unwatched"))</f>
        <v/>
      </c>
      <c r="C2163" s="37" t="n"/>
      <c r="D2163" s="38" t="n"/>
      <c r="E2163" s="39" t="n">
        <v>43238.00555555556</v>
      </c>
      <c r="F2163" s="49" t="inlineStr">
        <is>
          <t>Super Carlin Gaming</t>
        </is>
      </c>
      <c r="G2163" t="inlineStr">
        <is>
          <t>Another Night of Angry Zen - Getting Over It</t>
        </is>
      </c>
      <c r="H2163" s="41" t="n">
        <v>0.05737268518518519</v>
      </c>
      <c r="I2163" s="42" t="n">
        <v>4815</v>
      </c>
      <c r="J2163" s="42" t="n">
        <v>209</v>
      </c>
      <c r="K2163" s="42" t="n">
        <v>11</v>
      </c>
      <c r="L2163" s="43" t="n"/>
      <c r="M2163" s="44" t="n"/>
      <c r="N2163" s="44" t="inlineStr">
        <is>
          <t>UCor_9jRnNNZVzTuQ92PKsaQ</t>
        </is>
      </c>
      <c r="O2163" s="45" t="n">
        <v>43238.17222222222</v>
      </c>
      <c r="P2163" s="46" t="n">
        <v>43238</v>
      </c>
      <c r="Q2163" s="44" t="n">
        <v>1109</v>
      </c>
      <c r="R2163" s="44" t="inlineStr">
        <is>
          <t>No Video ID yet</t>
        </is>
      </c>
      <c r="S2163" s="46" t="n"/>
      <c r="T2163" s="46" t="n"/>
      <c r="U2163" s="44" t="n"/>
      <c r="V2163" s="44">
        <f>IF(AND(P2163&gt;=Calendar!$K$2,P2163&lt;EDATE(Calendar!$K$2,1),OR(Calendar!$K$4="*",N2163=Calendar!$K$4)),P2163*100+COUNTIFS($P$6:$P$3271,P2163,$Q$6:$Q$3271,"&lt;="&amp;Q2163,$N$6:$N$3271,Calendar!$K$4),"")</f>
        <v/>
      </c>
      <c r="W2163" s="44">
        <f>IF(AND(B2163=Queue!$C$4,OR(Queue!$K$4="*",N2163=Queue!$K$4)),Q2163,"")</f>
        <v/>
      </c>
    </row>
    <row r="2164">
      <c r="A2164" s="35">
        <f>IF(M2164="","",HYPERLINK("https://www.youtube.com/watch?v="&amp;M2164,"▶"))</f>
        <v/>
      </c>
      <c r="B2164" s="36">
        <f>IF(C2164&lt;&gt;"",C2164,IF(P2164&lt;=IFERROR(INDEX(tblChannels[Watched Through],MATCH(N2164,tblChannels[Channel ID],0)),0),"Watched","Unwatched"))</f>
        <v/>
      </c>
      <c r="C2164" s="37" t="n"/>
      <c r="D2164" s="38" t="n"/>
      <c r="E2164" s="39" t="n">
        <v>43237.76041666666</v>
      </c>
      <c r="F2164" s="47" t="inlineStr">
        <is>
          <t>Super Carlin Brothers</t>
        </is>
      </c>
      <c r="G2164" t="inlineStr">
        <is>
          <t>Fred's Secret Family History | Big Hero 6 Theory</t>
        </is>
      </c>
      <c r="H2164" s="41" t="n">
        <v>0.006712962962962963</v>
      </c>
      <c r="I2164" s="42" t="n">
        <v>1629560</v>
      </c>
      <c r="J2164" s="42" t="n">
        <v>27465</v>
      </c>
      <c r="K2164" s="42" t="n">
        <v>3474</v>
      </c>
      <c r="L2164" s="43" t="n"/>
      <c r="M2164" s="44" t="n"/>
      <c r="N2164" s="44" t="inlineStr">
        <is>
          <t>UCKZo4N0lVPccBkSiuyVh4yg</t>
        </is>
      </c>
      <c r="O2164" s="45" t="n">
        <v>43237.92708333334</v>
      </c>
      <c r="P2164" s="46" t="n">
        <v>43237</v>
      </c>
      <c r="Q2164" s="44" t="n">
        <v>1108</v>
      </c>
      <c r="R2164" s="44" t="inlineStr">
        <is>
          <t>No Video ID yet</t>
        </is>
      </c>
      <c r="S2164" s="46" t="n"/>
      <c r="T2164" s="46" t="n"/>
      <c r="U2164" s="44" t="n"/>
      <c r="V2164" s="44">
        <f>IF(AND(P2164&gt;=Calendar!$K$2,P2164&lt;EDATE(Calendar!$K$2,1),OR(Calendar!$K$4="*",N2164=Calendar!$K$4)),P2164*100+COUNTIFS($P$6:$P$3271,P2164,$Q$6:$Q$3271,"&lt;="&amp;Q2164,$N$6:$N$3271,Calendar!$K$4),"")</f>
        <v/>
      </c>
      <c r="W2164" s="44">
        <f>IF(AND(B2164=Queue!$C$4,OR(Queue!$K$4="*",N2164=Queue!$K$4)),Q2164,"")</f>
        <v/>
      </c>
    </row>
    <row r="2165">
      <c r="A2165" s="35">
        <f>IF(M2165="","",HYPERLINK("https://www.youtube.com/watch?v="&amp;M2165,"▶"))</f>
        <v/>
      </c>
      <c r="B2165" s="36">
        <f>IF(C2165&lt;&gt;"",C2165,IF(P2165&lt;=IFERROR(INDEX(tblChannels[Watched Through],MATCH(N2165,tblChannels[Channel ID],0)),0),"Watched","Unwatched"))</f>
        <v/>
      </c>
      <c r="C2165" s="37" t="n"/>
      <c r="D2165" s="38" t="n"/>
      <c r="E2165" s="39" t="n">
        <v>43236.48333333333</v>
      </c>
      <c r="F2165" s="49" t="inlineStr">
        <is>
          <t>Super Carlin Gaming</t>
        </is>
      </c>
      <c r="G2165" t="inlineStr">
        <is>
          <t>Ghosts Hate Rain | Rocket League #2</t>
        </is>
      </c>
      <c r="H2165" s="41" t="n">
        <v>0.01518518518518519</v>
      </c>
      <c r="I2165" s="42" t="n">
        <v>23801</v>
      </c>
      <c r="J2165" s="42" t="n">
        <v>750</v>
      </c>
      <c r="K2165" s="42" t="n">
        <v>150</v>
      </c>
      <c r="L2165" s="43" t="n"/>
      <c r="M2165" s="44" t="n"/>
      <c r="N2165" s="44" t="inlineStr">
        <is>
          <t>UCor_9jRnNNZVzTuQ92PKsaQ</t>
        </is>
      </c>
      <c r="O2165" s="45" t="n">
        <v>43236.65</v>
      </c>
      <c r="P2165" s="46" t="n">
        <v>43236</v>
      </c>
      <c r="Q2165" s="44" t="n">
        <v>1107</v>
      </c>
      <c r="R2165" s="44" t="inlineStr">
        <is>
          <t>No Video ID yet</t>
        </is>
      </c>
      <c r="S2165" s="46" t="n"/>
      <c r="T2165" s="46" t="n"/>
      <c r="U2165" s="44" t="n"/>
      <c r="V2165" s="44">
        <f>IF(AND(P2165&gt;=Calendar!$K$2,P2165&lt;EDATE(Calendar!$K$2,1),OR(Calendar!$K$4="*",N2165=Calendar!$K$4)),P2165*100+COUNTIFS($P$6:$P$3271,P2165,$Q$6:$Q$3271,"&lt;="&amp;Q2165,$N$6:$N$3271,Calendar!$K$4),"")</f>
        <v/>
      </c>
      <c r="W2165" s="44">
        <f>IF(AND(B2165=Queue!$C$4,OR(Queue!$K$4="*",N2165=Queue!$K$4)),Q2165,"")</f>
        <v/>
      </c>
    </row>
    <row r="2166">
      <c r="A2166" s="35">
        <f>IF(M2166="","",HYPERLINK("https://www.youtube.com/watch?v="&amp;M2166,"▶"))</f>
        <v/>
      </c>
      <c r="B2166" s="36">
        <f>IF(C2166&lt;&gt;"",C2166,IF(P2166&lt;=IFERROR(INDEX(tblChannels[Watched Through],MATCH(N2166,tblChannels[Channel ID],0)),0),"Watched","Unwatched"))</f>
        <v/>
      </c>
      <c r="C2166" s="37" t="n"/>
      <c r="D2166" s="38" t="n"/>
      <c r="E2166" s="39" t="n">
        <v>43235.83819444444</v>
      </c>
      <c r="F2166" s="47" t="inlineStr">
        <is>
          <t>Super Carlin Brothers</t>
        </is>
      </c>
      <c r="G2166" t="inlineStr">
        <is>
          <t>Is Avengers Infinity War The Best Marvel Movie? | SPOILER REVIEW</t>
        </is>
      </c>
      <c r="H2166" s="41" t="n">
        <v>0.03842592592592593</v>
      </c>
      <c r="I2166" s="42" t="n">
        <v>805135</v>
      </c>
      <c r="J2166" s="42" t="n">
        <v>16157</v>
      </c>
      <c r="K2166" s="42" t="n">
        <v>4503</v>
      </c>
      <c r="L2166" s="43" t="n"/>
      <c r="M2166" s="44" t="n"/>
      <c r="N2166" s="44" t="inlineStr">
        <is>
          <t>UCKZo4N0lVPccBkSiuyVh4yg</t>
        </is>
      </c>
      <c r="O2166" s="45" t="n">
        <v>43236.00486111111</v>
      </c>
      <c r="P2166" s="46" t="n">
        <v>43235</v>
      </c>
      <c r="Q2166" s="44" t="n">
        <v>1106</v>
      </c>
      <c r="R2166" s="44" t="inlineStr">
        <is>
          <t>No Video ID yet</t>
        </is>
      </c>
      <c r="S2166" s="46" t="n"/>
      <c r="T2166" s="46" t="n"/>
      <c r="U2166" s="44" t="n"/>
      <c r="V2166" s="44">
        <f>IF(AND(P2166&gt;=Calendar!$K$2,P2166&lt;EDATE(Calendar!$K$2,1),OR(Calendar!$K$4="*",N2166=Calendar!$K$4)),P2166*100+COUNTIFS($P$6:$P$3271,P2166,$Q$6:$Q$3271,"&lt;="&amp;Q2166,$N$6:$N$3271,Calendar!$K$4),"")</f>
        <v/>
      </c>
      <c r="W2166" s="44">
        <f>IF(AND(B2166=Queue!$C$4,OR(Queue!$K$4="*",N2166=Queue!$K$4)),Q2166,"")</f>
        <v/>
      </c>
    </row>
    <row r="2167">
      <c r="A2167" s="35">
        <f>IF(M2167="","",HYPERLINK("https://www.youtube.com/watch?v="&amp;M2167,"▶"))</f>
        <v/>
      </c>
      <c r="B2167" s="36">
        <f>IF(C2167&lt;&gt;"",C2167,IF(P2167&lt;=IFERROR(INDEX(tblChannels[Watched Through],MATCH(N2167,tblChannels[Channel ID],0)),0),"Watched","Unwatched"))</f>
        <v/>
      </c>
      <c r="C2167" s="37" t="n"/>
      <c r="D2167" s="38" t="n"/>
      <c r="E2167" s="39" t="n">
        <v>43234.60416666666</v>
      </c>
      <c r="F2167" s="49" t="inlineStr">
        <is>
          <t>Super Carlin Gaming</t>
        </is>
      </c>
      <c r="G2167" t="inlineStr">
        <is>
          <t>It Begins! | Rocket League #1</t>
        </is>
      </c>
      <c r="H2167" s="41" t="n">
        <v>0.01481481481481482</v>
      </c>
      <c r="I2167" s="42" t="n">
        <v>57001</v>
      </c>
      <c r="J2167" s="42" t="n">
        <v>1515</v>
      </c>
      <c r="K2167" s="42" t="n">
        <v>268</v>
      </c>
      <c r="L2167" s="43" t="n"/>
      <c r="M2167" s="44" t="n"/>
      <c r="N2167" s="44" t="inlineStr">
        <is>
          <t>UCor_9jRnNNZVzTuQ92PKsaQ</t>
        </is>
      </c>
      <c r="O2167" s="45" t="n">
        <v>43234.77083333334</v>
      </c>
      <c r="P2167" s="46" t="n">
        <v>43234</v>
      </c>
      <c r="Q2167" s="44" t="n">
        <v>1105</v>
      </c>
      <c r="R2167" s="44" t="inlineStr">
        <is>
          <t>No Video ID yet</t>
        </is>
      </c>
      <c r="S2167" s="46" t="n"/>
      <c r="T2167" s="46" t="n"/>
      <c r="U2167" s="44" t="n"/>
      <c r="V2167" s="44">
        <f>IF(AND(P2167&gt;=Calendar!$K$2,P2167&lt;EDATE(Calendar!$K$2,1),OR(Calendar!$K$4="*",N2167=Calendar!$K$4)),P2167*100+COUNTIFS($P$6:$P$3271,P2167,$Q$6:$Q$3271,"&lt;="&amp;Q2167,$N$6:$N$3271,Calendar!$K$4),"")</f>
        <v/>
      </c>
      <c r="W2167" s="44">
        <f>IF(AND(B2167=Queue!$C$4,OR(Queue!$K$4="*",N2167=Queue!$K$4)),Q2167,"")</f>
        <v/>
      </c>
    </row>
    <row r="2168">
      <c r="A2168" s="35">
        <f>IF(M2168="","",HYPERLINK("https://www.youtube.com/watch?v="&amp;M2168,"▶"))</f>
        <v/>
      </c>
      <c r="B2168" s="36">
        <f>IF(C2168&lt;&gt;"",C2168,IF(P2168&lt;=IFERROR(INDEX(tblChannels[Watched Through],MATCH(N2168,tblChannels[Channel ID],0)),0),"Watched","Unwatched"))</f>
        <v/>
      </c>
      <c r="C2168" s="37" t="n"/>
      <c r="D2168" s="38" t="n"/>
      <c r="E2168" s="39" t="n">
        <v>43234.48888888889</v>
      </c>
      <c r="F2168" s="50" t="inlineStr">
        <is>
          <t>Jonathan Carlin</t>
        </is>
      </c>
      <c r="G2168" t="inlineStr">
        <is>
          <t>BLITZ WEEK</t>
        </is>
      </c>
      <c r="H2168" s="41" t="n">
        <v>0.006689814814814815</v>
      </c>
      <c r="I2168" s="42" t="n">
        <v>36789</v>
      </c>
      <c r="J2168" s="42" t="n">
        <v>1795</v>
      </c>
      <c r="K2168" s="42" t="n">
        <v>142</v>
      </c>
      <c r="L2168" s="43" t="n"/>
      <c r="M2168" s="44" t="n"/>
      <c r="N2168" s="44" t="inlineStr">
        <is>
          <t>UCYPKFe86e6nm4TVUYKLsFUQ</t>
        </is>
      </c>
      <c r="O2168" s="45" t="n">
        <v>43234.65555555555</v>
      </c>
      <c r="P2168" s="46" t="n">
        <v>43234</v>
      </c>
      <c r="Q2168" s="44" t="n">
        <v>1104</v>
      </c>
      <c r="R2168" s="44" t="inlineStr">
        <is>
          <t>No Video ID yet</t>
        </is>
      </c>
      <c r="S2168" s="46" t="n"/>
      <c r="T2168" s="46" t="n"/>
      <c r="U2168" s="44" t="n"/>
      <c r="V2168" s="44">
        <f>IF(AND(P2168&gt;=Calendar!$K$2,P2168&lt;EDATE(Calendar!$K$2,1),OR(Calendar!$K$4="*",N2168=Calendar!$K$4)),P2168*100+COUNTIFS($P$6:$P$3271,P2168,$Q$6:$Q$3271,"&lt;="&amp;Q2168,$N$6:$N$3271,Calendar!$K$4),"")</f>
        <v/>
      </c>
      <c r="W2168" s="44">
        <f>IF(AND(B2168=Queue!$C$4,OR(Queue!$K$4="*",N2168=Queue!$K$4)),Q2168,"")</f>
        <v/>
      </c>
    </row>
    <row r="2169">
      <c r="A2169" s="35">
        <f>IF(M2169="","",HYPERLINK("https://www.youtube.com/watch?v="&amp;M2169,"▶"))</f>
        <v/>
      </c>
      <c r="B2169" s="36">
        <f>IF(C2169&lt;&gt;"",C2169,IF(P2169&lt;=IFERROR(INDEX(tblChannels[Watched Through],MATCH(N2169,tblChannels[Channel ID],0)),0),"Watched","Unwatched"))</f>
        <v/>
      </c>
      <c r="C2169" s="37" t="n"/>
      <c r="D2169" s="38" t="n"/>
      <c r="E2169" s="39" t="n">
        <v>43230.75208333333</v>
      </c>
      <c r="F2169" s="47" t="inlineStr">
        <is>
          <t>Super Carlin Brothers</t>
        </is>
      </c>
      <c r="G2169" t="inlineStr">
        <is>
          <t>Why Lucius Malfoy Is The Worst Death Eater Ever</t>
        </is>
      </c>
      <c r="H2169" s="41" t="n">
        <v>0.008148148148148147</v>
      </c>
      <c r="I2169" s="42" t="n">
        <v>1443383</v>
      </c>
      <c r="J2169" s="42" t="n">
        <v>32296</v>
      </c>
      <c r="K2169" s="42" t="n">
        <v>2804</v>
      </c>
      <c r="L2169" s="43" t="n"/>
      <c r="M2169" s="44" t="n"/>
      <c r="N2169" s="44" t="inlineStr">
        <is>
          <t>UCKZo4N0lVPccBkSiuyVh4yg</t>
        </is>
      </c>
      <c r="O2169" s="45" t="n">
        <v>43230.91875</v>
      </c>
      <c r="P2169" s="46" t="n">
        <v>43230</v>
      </c>
      <c r="Q2169" s="44" t="n">
        <v>1103</v>
      </c>
      <c r="R2169" s="44" t="inlineStr">
        <is>
          <t>No Video ID yet</t>
        </is>
      </c>
      <c r="S2169" s="46" t="n"/>
      <c r="T2169" s="46" t="n"/>
      <c r="U2169" s="44" t="n"/>
      <c r="V2169" s="44">
        <f>IF(AND(P2169&gt;=Calendar!$K$2,P2169&lt;EDATE(Calendar!$K$2,1),OR(Calendar!$K$4="*",N2169=Calendar!$K$4)),P2169*100+COUNTIFS($P$6:$P$3271,P2169,$Q$6:$Q$3271,"&lt;="&amp;Q2169,$N$6:$N$3271,Calendar!$K$4),"")</f>
        <v/>
      </c>
      <c r="W2169" s="44">
        <f>IF(AND(B2169=Queue!$C$4,OR(Queue!$K$4="*",N2169=Queue!$K$4)),Q2169,"")</f>
        <v/>
      </c>
    </row>
    <row r="2170">
      <c r="A2170" s="35">
        <f>IF(M2170="","",HYPERLINK("https://www.youtube.com/watch?v="&amp;M2170,"▶"))</f>
        <v/>
      </c>
      <c r="B2170" s="36">
        <f>IF(C2170&lt;&gt;"",C2170,IF(P2170&lt;=IFERROR(INDEX(tblChannels[Watched Through],MATCH(N2170,tblChannels[Channel ID],0)),0),"Watched","Unwatched"))</f>
        <v/>
      </c>
      <c r="C2170" s="37" t="n"/>
      <c r="D2170" s="38" t="n"/>
      <c r="E2170" s="39" t="n">
        <v>43230</v>
      </c>
      <c r="F2170" s="49" t="inlineStr">
        <is>
          <t>Super Carlin Gaming</t>
        </is>
      </c>
      <c r="G2170" t="inlineStr">
        <is>
          <t>Keep Calm SLAM AND FWOOP - Getting Over It</t>
        </is>
      </c>
      <c r="H2170" s="41" t="n">
        <v>0.06739583333333334</v>
      </c>
      <c r="I2170" s="42" t="n">
        <v>5632</v>
      </c>
      <c r="J2170" s="42" t="n">
        <v>256</v>
      </c>
      <c r="K2170" s="42" t="n">
        <v>18</v>
      </c>
      <c r="L2170" s="43" t="n"/>
      <c r="M2170" s="44" t="n"/>
      <c r="N2170" s="44" t="inlineStr">
        <is>
          <t>UCor_9jRnNNZVzTuQ92PKsaQ</t>
        </is>
      </c>
      <c r="O2170" s="45" t="n">
        <v>43230.16666666666</v>
      </c>
      <c r="P2170" s="46" t="n">
        <v>43230</v>
      </c>
      <c r="Q2170" s="44" t="n">
        <v>1102</v>
      </c>
      <c r="R2170" s="44" t="inlineStr">
        <is>
          <t>No Video ID yet</t>
        </is>
      </c>
      <c r="S2170" s="46" t="n"/>
      <c r="T2170" s="46" t="n"/>
      <c r="U2170" s="44" t="n"/>
      <c r="V2170" s="44">
        <f>IF(AND(P2170&gt;=Calendar!$K$2,P2170&lt;EDATE(Calendar!$K$2,1),OR(Calendar!$K$4="*",N2170=Calendar!$K$4)),P2170*100+COUNTIFS($P$6:$P$3271,P2170,$Q$6:$Q$3271,"&lt;="&amp;Q2170,$N$6:$N$3271,Calendar!$K$4),"")</f>
        <v/>
      </c>
      <c r="W2170" s="44">
        <f>IF(AND(B2170=Queue!$C$4,OR(Queue!$K$4="*",N2170=Queue!$K$4)),Q2170,"")</f>
        <v/>
      </c>
    </row>
    <row r="2171">
      <c r="A2171" s="35">
        <f>IF(M2171="","",HYPERLINK("https://www.youtube.com/watch?v="&amp;M2171,"▶"))</f>
        <v/>
      </c>
      <c r="B2171" s="36">
        <f>IF(C2171&lt;&gt;"",C2171,IF(P2171&lt;=IFERROR(INDEX(tblChannels[Watched Through],MATCH(N2171,tblChannels[Channel ID],0)),0),"Watched","Unwatched"))</f>
        <v/>
      </c>
      <c r="C2171" s="37" t="n"/>
      <c r="D2171" s="38" t="n"/>
      <c r="E2171" s="39" t="n">
        <v>43228.98680555556</v>
      </c>
      <c r="F2171" s="49" t="inlineStr">
        <is>
          <t>Super Carlin Gaming</t>
        </is>
      </c>
      <c r="G2171" t="inlineStr">
        <is>
          <t>I Need A COOP! - Stardew Valley</t>
        </is>
      </c>
      <c r="H2171" s="41" t="n">
        <v>0.03601851851851852</v>
      </c>
      <c r="I2171" s="42" t="n">
        <v>4936</v>
      </c>
      <c r="J2171" s="42" t="n">
        <v>205</v>
      </c>
      <c r="K2171" s="42" t="n">
        <v>21</v>
      </c>
      <c r="L2171" s="43" t="n"/>
      <c r="M2171" s="44" t="n"/>
      <c r="N2171" s="44" t="inlineStr">
        <is>
          <t>UCor_9jRnNNZVzTuQ92PKsaQ</t>
        </is>
      </c>
      <c r="O2171" s="45" t="n">
        <v>43229.15347222222</v>
      </c>
      <c r="P2171" s="46" t="n">
        <v>43228</v>
      </c>
      <c r="Q2171" s="44" t="n">
        <v>1101</v>
      </c>
      <c r="R2171" s="44" t="inlineStr">
        <is>
          <t>No Video ID yet</t>
        </is>
      </c>
      <c r="S2171" s="46" t="n"/>
      <c r="T2171" s="46" t="n"/>
      <c r="U2171" s="44" t="n"/>
      <c r="V2171" s="44">
        <f>IF(AND(P2171&gt;=Calendar!$K$2,P2171&lt;EDATE(Calendar!$K$2,1),OR(Calendar!$K$4="*",N2171=Calendar!$K$4)),P2171*100+COUNTIFS($P$6:$P$3271,P2171,$Q$6:$Q$3271,"&lt;="&amp;Q2171,$N$6:$N$3271,Calendar!$K$4),"")</f>
        <v/>
      </c>
      <c r="W2171" s="44">
        <f>IF(AND(B2171=Queue!$C$4,OR(Queue!$K$4="*",N2171=Queue!$K$4)),Q2171,"")</f>
        <v/>
      </c>
    </row>
    <row r="2172">
      <c r="A2172" s="35">
        <f>IF(M2172="","",HYPERLINK("https://www.youtube.com/watch?v="&amp;M2172,"▶"))</f>
        <v/>
      </c>
      <c r="B2172" s="36">
        <f>IF(C2172&lt;&gt;"",C2172,IF(P2172&lt;=IFERROR(INDEX(tblChannels[Watched Through],MATCH(N2172,tblChannels[Channel ID],0)),0),"Watched","Unwatched"))</f>
        <v/>
      </c>
      <c r="C2172" s="37" t="n"/>
      <c r="D2172" s="38" t="n"/>
      <c r="E2172" s="39" t="n">
        <v>43228.71388888889</v>
      </c>
      <c r="F2172" s="47" t="inlineStr">
        <is>
          <t>Super Carlin Brothers</t>
        </is>
      </c>
      <c r="G2172" t="inlineStr">
        <is>
          <t>Pixar Theory: The Government Hired Syndrome</t>
        </is>
      </c>
      <c r="H2172" s="41" t="n">
        <v>0.008518518518518519</v>
      </c>
      <c r="I2172" s="42" t="n">
        <v>655387</v>
      </c>
      <c r="J2172" s="42" t="n">
        <v>20387</v>
      </c>
      <c r="K2172" s="42" t="n">
        <v>1547</v>
      </c>
      <c r="L2172" s="43" t="n"/>
      <c r="M2172" s="44" t="n"/>
      <c r="N2172" s="44" t="inlineStr">
        <is>
          <t>UCKZo4N0lVPccBkSiuyVh4yg</t>
        </is>
      </c>
      <c r="O2172" s="45" t="n">
        <v>43228.88055555556</v>
      </c>
      <c r="P2172" s="46" t="n">
        <v>43228</v>
      </c>
      <c r="Q2172" s="44" t="n">
        <v>1100</v>
      </c>
      <c r="R2172" s="44" t="inlineStr">
        <is>
          <t>No Video ID yet</t>
        </is>
      </c>
      <c r="S2172" s="46" t="n"/>
      <c r="T2172" s="46" t="n"/>
      <c r="U2172" s="44" t="n"/>
      <c r="V2172" s="44">
        <f>IF(AND(P2172&gt;=Calendar!$K$2,P2172&lt;EDATE(Calendar!$K$2,1),OR(Calendar!$K$4="*",N2172=Calendar!$K$4)),P2172*100+COUNTIFS($P$6:$P$3271,P2172,$Q$6:$Q$3271,"&lt;="&amp;Q2172,$N$6:$N$3271,Calendar!$K$4),"")</f>
        <v/>
      </c>
      <c r="W2172" s="44">
        <f>IF(AND(B2172=Queue!$C$4,OR(Queue!$K$4="*",N2172=Queue!$K$4)),Q2172,"")</f>
        <v/>
      </c>
    </row>
    <row r="2173">
      <c r="A2173" s="35">
        <f>IF(M2173="","",HYPERLINK("https://www.youtube.com/watch?v="&amp;M2173,"▶"))</f>
        <v/>
      </c>
      <c r="B2173" s="36">
        <f>IF(C2173&lt;&gt;"",C2173,IF(P2173&lt;=IFERROR(INDEX(tblChannels[Watched Through],MATCH(N2173,tblChannels[Channel ID],0)),0),"Watched","Unwatched"))</f>
        <v/>
      </c>
      <c r="C2173" s="37" t="n"/>
      <c r="D2173" s="38" t="n"/>
      <c r="E2173" s="39" t="n">
        <v>43227.79027777778</v>
      </c>
      <c r="F2173" s="50" t="inlineStr">
        <is>
          <t>Jonathan Carlin</t>
        </is>
      </c>
      <c r="G2173" t="inlineStr">
        <is>
          <t>BETH RUNS THE TOUGHEST HALF MARATHON IN AMERICA</t>
        </is>
      </c>
      <c r="H2173" s="41" t="n">
        <v>0.006747685185185186</v>
      </c>
      <c r="I2173" s="42" t="n">
        <v>33887</v>
      </c>
      <c r="J2173" s="42" t="n">
        <v>1670</v>
      </c>
      <c r="K2173" s="42" t="n">
        <v>202</v>
      </c>
      <c r="L2173" s="43" t="n"/>
      <c r="M2173" s="44" t="n"/>
      <c r="N2173" s="44" t="inlineStr">
        <is>
          <t>UCYPKFe86e6nm4TVUYKLsFUQ</t>
        </is>
      </c>
      <c r="O2173" s="45" t="n">
        <v>43227.95694444444</v>
      </c>
      <c r="P2173" s="46" t="n">
        <v>43227</v>
      </c>
      <c r="Q2173" s="44" t="n">
        <v>1099</v>
      </c>
      <c r="R2173" s="44" t="inlineStr">
        <is>
          <t>No Video ID yet</t>
        </is>
      </c>
      <c r="S2173" s="46" t="n"/>
      <c r="T2173" s="46" t="n"/>
      <c r="U2173" s="44" t="n"/>
      <c r="V2173" s="44">
        <f>IF(AND(P2173&gt;=Calendar!$K$2,P2173&lt;EDATE(Calendar!$K$2,1),OR(Calendar!$K$4="*",N2173=Calendar!$K$4)),P2173*100+COUNTIFS($P$6:$P$3271,P2173,$Q$6:$Q$3271,"&lt;="&amp;Q2173,$N$6:$N$3271,Calendar!$K$4),"")</f>
        <v/>
      </c>
      <c r="W2173" s="44">
        <f>IF(AND(B2173=Queue!$C$4,OR(Queue!$K$4="*",N2173=Queue!$K$4)),Q2173,"")</f>
        <v/>
      </c>
    </row>
    <row r="2174">
      <c r="A2174" s="35">
        <f>IF(M2174="","",HYPERLINK("https://www.youtube.com/watch?v="&amp;M2174,"▶"))</f>
        <v/>
      </c>
      <c r="B2174" s="36">
        <f>IF(C2174&lt;&gt;"",C2174,IF(P2174&lt;=IFERROR(INDEX(tblChannels[Watched Through],MATCH(N2174,tblChannels[Channel ID],0)),0),"Watched","Unwatched"))</f>
        <v/>
      </c>
      <c r="C2174" s="37" t="n"/>
      <c r="D2174" s="38" t="n"/>
      <c r="E2174" s="39" t="n">
        <v>43223.96944444445</v>
      </c>
      <c r="F2174" s="49" t="inlineStr">
        <is>
          <t>Super Carlin Gaming</t>
        </is>
      </c>
      <c r="G2174" t="inlineStr">
        <is>
          <t>Why Am I Doing This To Myself?! - GETTING OVER IT</t>
        </is>
      </c>
      <c r="H2174" s="41" t="n">
        <v>0.04796296296296296</v>
      </c>
      <c r="I2174" s="42" t="n">
        <v>10506</v>
      </c>
      <c r="J2174" s="42" t="n">
        <v>315</v>
      </c>
      <c r="K2174" s="42" t="n">
        <v>25</v>
      </c>
      <c r="L2174" s="43" t="n"/>
      <c r="M2174" s="44" t="n"/>
      <c r="N2174" s="44" t="inlineStr">
        <is>
          <t>UCor_9jRnNNZVzTuQ92PKsaQ</t>
        </is>
      </c>
      <c r="O2174" s="45" t="n">
        <v>43224.13611111111</v>
      </c>
      <c r="P2174" s="46" t="n">
        <v>43223</v>
      </c>
      <c r="Q2174" s="44" t="n">
        <v>1098</v>
      </c>
      <c r="R2174" s="44" t="inlineStr">
        <is>
          <t>No Video ID yet</t>
        </is>
      </c>
      <c r="S2174" s="46" t="n"/>
      <c r="T2174" s="46" t="n"/>
      <c r="U2174" s="44" t="n"/>
      <c r="V2174" s="44">
        <f>IF(AND(P2174&gt;=Calendar!$K$2,P2174&lt;EDATE(Calendar!$K$2,1),OR(Calendar!$K$4="*",N2174=Calendar!$K$4)),P2174*100+COUNTIFS($P$6:$P$3271,P2174,$Q$6:$Q$3271,"&lt;="&amp;Q2174,$N$6:$N$3271,Calendar!$K$4),"")</f>
        <v/>
      </c>
      <c r="W2174" s="44">
        <f>IF(AND(B2174=Queue!$C$4,OR(Queue!$K$4="*",N2174=Queue!$K$4)),Q2174,"")</f>
        <v/>
      </c>
    </row>
    <row r="2175">
      <c r="A2175" s="35">
        <f>IF(M2175="","",HYPERLINK("https://www.youtube.com/watch?v="&amp;M2175,"▶"))</f>
        <v/>
      </c>
      <c r="B2175" s="36">
        <f>IF(C2175&lt;&gt;"",C2175,IF(P2175&lt;=IFERROR(INDEX(tblChannels[Watched Through],MATCH(N2175,tblChannels[Channel ID],0)),0),"Watched","Unwatched"))</f>
        <v/>
      </c>
      <c r="C2175" s="37" t="n"/>
      <c r="D2175" s="38" t="n"/>
      <c r="E2175" s="39" t="n">
        <v>43223.71944444445</v>
      </c>
      <c r="F2175" s="47" t="inlineStr">
        <is>
          <t>Super Carlin Brothers</t>
        </is>
      </c>
      <c r="G2175" t="inlineStr">
        <is>
          <t>Why Moana Looks Like Te Fiti | Disney Theory</t>
        </is>
      </c>
      <c r="H2175" s="41" t="n">
        <v>0.00619212962962963</v>
      </c>
      <c r="I2175" s="42" t="n">
        <v>3096492</v>
      </c>
      <c r="J2175" s="42" t="n">
        <v>85425</v>
      </c>
      <c r="K2175" s="42" t="n">
        <v>7250</v>
      </c>
      <c r="L2175" s="43" t="n"/>
      <c r="M2175" s="44" t="n"/>
      <c r="N2175" s="44" t="inlineStr">
        <is>
          <t>UCKZo4N0lVPccBkSiuyVh4yg</t>
        </is>
      </c>
      <c r="O2175" s="45" t="n">
        <v>43223.88611111111</v>
      </c>
      <c r="P2175" s="46" t="n">
        <v>43223</v>
      </c>
      <c r="Q2175" s="44" t="n">
        <v>1097</v>
      </c>
      <c r="R2175" s="44" t="inlineStr">
        <is>
          <t>No Video ID yet</t>
        </is>
      </c>
      <c r="S2175" s="46" t="n"/>
      <c r="T2175" s="46" t="n"/>
      <c r="U2175" s="44" t="n"/>
      <c r="V2175" s="44">
        <f>IF(AND(P2175&gt;=Calendar!$K$2,P2175&lt;EDATE(Calendar!$K$2,1),OR(Calendar!$K$4="*",N2175=Calendar!$K$4)),P2175*100+COUNTIFS($P$6:$P$3271,P2175,$Q$6:$Q$3271,"&lt;="&amp;Q2175,$N$6:$N$3271,Calendar!$K$4),"")</f>
        <v/>
      </c>
      <c r="W2175" s="44">
        <f>IF(AND(B2175=Queue!$C$4,OR(Queue!$K$4="*",N2175=Queue!$K$4)),Q2175,"")</f>
        <v/>
      </c>
    </row>
    <row r="2176">
      <c r="A2176" s="35">
        <f>IF(M2176="","",HYPERLINK("https://www.youtube.com/watch?v="&amp;M2176,"▶"))</f>
        <v/>
      </c>
      <c r="B2176" s="36">
        <f>IF(C2176&lt;&gt;"",C2176,IF(P2176&lt;=IFERROR(INDEX(tblChannels[Watched Through],MATCH(N2176,tblChannels[Channel ID],0)),0),"Watched","Unwatched"))</f>
        <v/>
      </c>
      <c r="C2176" s="37" t="n"/>
      <c r="D2176" s="38" t="n"/>
      <c r="E2176" s="39" t="n">
        <v>43223.56041666667</v>
      </c>
      <c r="F2176" s="49" t="inlineStr">
        <is>
          <t>Super Carlin Gaming</t>
        </is>
      </c>
      <c r="G2176" t="inlineStr">
        <is>
          <t>J IS TOTALLY GETTING OVER IT!</t>
        </is>
      </c>
      <c r="H2176" s="41" t="n">
        <v>0.07559027777777778</v>
      </c>
      <c r="I2176" s="42" t="n">
        <v>7239</v>
      </c>
      <c r="J2176" s="42" t="n">
        <v>278</v>
      </c>
      <c r="K2176" s="42" t="n">
        <v>18</v>
      </c>
      <c r="L2176" s="43" t="n"/>
      <c r="M2176" s="44" t="n"/>
      <c r="N2176" s="44" t="inlineStr">
        <is>
          <t>UCor_9jRnNNZVzTuQ92PKsaQ</t>
        </is>
      </c>
      <c r="O2176" s="45" t="n">
        <v>43223.72708333333</v>
      </c>
      <c r="P2176" s="46" t="n">
        <v>43223</v>
      </c>
      <c r="Q2176" s="44" t="n">
        <v>1096</v>
      </c>
      <c r="R2176" s="44" t="inlineStr">
        <is>
          <t>No Video ID yet</t>
        </is>
      </c>
      <c r="S2176" s="46" t="n"/>
      <c r="T2176" s="46" t="n"/>
      <c r="U2176" s="44" t="n"/>
      <c r="V2176" s="44">
        <f>IF(AND(P2176&gt;=Calendar!$K$2,P2176&lt;EDATE(Calendar!$K$2,1),OR(Calendar!$K$4="*",N2176=Calendar!$K$4)),P2176*100+COUNTIFS($P$6:$P$3271,P2176,$Q$6:$Q$3271,"&lt;="&amp;Q2176,$N$6:$N$3271,Calendar!$K$4),"")</f>
        <v/>
      </c>
      <c r="W2176" s="44">
        <f>IF(AND(B2176=Queue!$C$4,OR(Queue!$K$4="*",N2176=Queue!$K$4)),Q2176,"")</f>
        <v/>
      </c>
    </row>
    <row r="2177">
      <c r="A2177" s="35">
        <f>IF(M2177="","",HYPERLINK("https://www.youtube.com/watch?v="&amp;M2177,"▶"))</f>
        <v/>
      </c>
      <c r="B2177" s="36">
        <f>IF(C2177&lt;&gt;"",C2177,IF(P2177&lt;=IFERROR(INDEX(tblChannels[Watched Through],MATCH(N2177,tblChannels[Channel ID],0)),0),"Watched","Unwatched"))</f>
        <v/>
      </c>
      <c r="C2177" s="37" t="n"/>
      <c r="D2177" s="38" t="n"/>
      <c r="E2177" s="39" t="n">
        <v>43222.74861111111</v>
      </c>
      <c r="F2177" s="49" t="inlineStr">
        <is>
          <t>Super Carlin Gaming</t>
        </is>
      </c>
      <c r="G2177" t="inlineStr">
        <is>
          <t>Ben &amp; J play 'Getting Over It"</t>
        </is>
      </c>
      <c r="H2177" s="41" t="n">
        <v>0.08002314814814815</v>
      </c>
      <c r="I2177" s="42" t="n">
        <v>13197</v>
      </c>
      <c r="J2177" s="42" t="n">
        <v>462</v>
      </c>
      <c r="K2177" s="42" t="n">
        <v>33</v>
      </c>
      <c r="L2177" s="43" t="n"/>
      <c r="M2177" s="44" t="n"/>
      <c r="N2177" s="44" t="inlineStr">
        <is>
          <t>UCor_9jRnNNZVzTuQ92PKsaQ</t>
        </is>
      </c>
      <c r="O2177" s="45" t="n">
        <v>43222.91527777778</v>
      </c>
      <c r="P2177" s="46" t="n">
        <v>43222</v>
      </c>
      <c r="Q2177" s="44" t="n">
        <v>1095</v>
      </c>
      <c r="R2177" s="44" t="inlineStr">
        <is>
          <t>No Video ID yet</t>
        </is>
      </c>
      <c r="S2177" s="46" t="n"/>
      <c r="T2177" s="46" t="n"/>
      <c r="U2177" s="44" t="n"/>
      <c r="V2177" s="44">
        <f>IF(AND(P2177&gt;=Calendar!$K$2,P2177&lt;EDATE(Calendar!$K$2,1),OR(Calendar!$K$4="*",N2177=Calendar!$K$4)),P2177*100+COUNTIFS($P$6:$P$3271,P2177,$Q$6:$Q$3271,"&lt;="&amp;Q2177,$N$6:$N$3271,Calendar!$K$4),"")</f>
        <v/>
      </c>
      <c r="W2177" s="44">
        <f>IF(AND(B2177=Queue!$C$4,OR(Queue!$K$4="*",N2177=Queue!$K$4)),Q2177,"")</f>
        <v/>
      </c>
    </row>
    <row r="2178">
      <c r="A2178" s="35">
        <f>IF(M2178="","",HYPERLINK("https://www.youtube.com/watch?v="&amp;M2178,"▶"))</f>
        <v/>
      </c>
      <c r="B2178" s="36">
        <f>IF(C2178&lt;&gt;"",C2178,IF(P2178&lt;=IFERROR(INDEX(tblChannels[Watched Through],MATCH(N2178,tblChannels[Channel ID],0)),0),"Watched","Unwatched"))</f>
        <v/>
      </c>
      <c r="C2178" s="37" t="n"/>
      <c r="D2178" s="38" t="n"/>
      <c r="E2178" s="39" t="n">
        <v>43221.72430555556</v>
      </c>
      <c r="F2178" s="47" t="inlineStr">
        <is>
          <t>Super Carlin Brothers</t>
        </is>
      </c>
      <c r="G2178" t="inlineStr">
        <is>
          <t>Which House Was Hagrid In? | Harry Potter Theory</t>
        </is>
      </c>
      <c r="H2178" s="41" t="n">
        <v>0.01032407407407407</v>
      </c>
      <c r="I2178" s="42" t="n">
        <v>2448207</v>
      </c>
      <c r="J2178" s="42" t="n">
        <v>56156</v>
      </c>
      <c r="K2178" s="42" t="n">
        <v>12858</v>
      </c>
      <c r="L2178" s="43" t="n"/>
      <c r="M2178" s="44" t="n"/>
      <c r="N2178" s="44" t="inlineStr">
        <is>
          <t>UCKZo4N0lVPccBkSiuyVh4yg</t>
        </is>
      </c>
      <c r="O2178" s="45" t="n">
        <v>43221.89097222222</v>
      </c>
      <c r="P2178" s="46" t="n">
        <v>43221</v>
      </c>
      <c r="Q2178" s="44" t="n">
        <v>1094</v>
      </c>
      <c r="R2178" s="44" t="inlineStr">
        <is>
          <t>No Video ID yet</t>
        </is>
      </c>
      <c r="S2178" s="46" t="n"/>
      <c r="T2178" s="46" t="n"/>
      <c r="U2178" s="44" t="n"/>
      <c r="V2178" s="44">
        <f>IF(AND(P2178&gt;=Calendar!$K$2,P2178&lt;EDATE(Calendar!$K$2,1),OR(Calendar!$K$4="*",N2178=Calendar!$K$4)),P2178*100+COUNTIFS($P$6:$P$3271,P2178,$Q$6:$Q$3271,"&lt;="&amp;Q2178,$N$6:$N$3271,Calendar!$K$4),"")</f>
        <v/>
      </c>
      <c r="W2178" s="44">
        <f>IF(AND(B2178=Queue!$C$4,OR(Queue!$K$4="*",N2178=Queue!$K$4)),Q2178,"")</f>
        <v/>
      </c>
    </row>
    <row r="2179">
      <c r="A2179" s="35">
        <f>IF(M2179="","",HYPERLINK("https://www.youtube.com/watch?v="&amp;M2179,"▶"))</f>
        <v/>
      </c>
      <c r="B2179" s="36">
        <f>IF(C2179&lt;&gt;"",C2179,IF(P2179&lt;=IFERROR(INDEX(tblChannels[Watched Through],MATCH(N2179,tblChannels[Channel ID],0)),0),"Watched","Unwatched"))</f>
        <v/>
      </c>
      <c r="C2179" s="37" t="n"/>
      <c r="D2179" s="38" t="n"/>
      <c r="E2179" s="39" t="n">
        <v>43220.56805555556</v>
      </c>
      <c r="F2179" s="50" t="inlineStr">
        <is>
          <t>Jonathan Carlin</t>
        </is>
      </c>
      <c r="G2179" t="inlineStr">
        <is>
          <t>BETH'S FIRST WEEK BACK AT SCHOOL!</t>
        </is>
      </c>
      <c r="H2179" s="41" t="n">
        <v>0.006469907407407408</v>
      </c>
      <c r="I2179" s="42" t="n">
        <v>40117</v>
      </c>
      <c r="J2179" s="42" t="n">
        <v>2011</v>
      </c>
      <c r="K2179" s="42" t="n">
        <v>290</v>
      </c>
      <c r="L2179" s="43" t="n"/>
      <c r="M2179" s="44" t="n"/>
      <c r="N2179" s="44" t="inlineStr">
        <is>
          <t>UCYPKFe86e6nm4TVUYKLsFUQ</t>
        </is>
      </c>
      <c r="O2179" s="45" t="n">
        <v>43220.73472222222</v>
      </c>
      <c r="P2179" s="46" t="n">
        <v>43220</v>
      </c>
      <c r="Q2179" s="44" t="n">
        <v>1093</v>
      </c>
      <c r="R2179" s="44" t="inlineStr">
        <is>
          <t>No Video ID yet</t>
        </is>
      </c>
      <c r="S2179" s="46" t="n"/>
      <c r="T2179" s="46" t="n"/>
      <c r="U2179" s="44" t="n"/>
      <c r="V2179" s="44">
        <f>IF(AND(P2179&gt;=Calendar!$K$2,P2179&lt;EDATE(Calendar!$K$2,1),OR(Calendar!$K$4="*",N2179=Calendar!$K$4)),P2179*100+COUNTIFS($P$6:$P$3271,P2179,$Q$6:$Q$3271,"&lt;="&amp;Q2179,$N$6:$N$3271,Calendar!$K$4),"")</f>
        <v/>
      </c>
      <c r="W2179" s="44">
        <f>IF(AND(B2179=Queue!$C$4,OR(Queue!$K$4="*",N2179=Queue!$K$4)),Q2179,"")</f>
        <v/>
      </c>
    </row>
    <row r="2180">
      <c r="A2180" s="35">
        <f>IF(M2180="","",HYPERLINK("https://www.youtube.com/watch?v="&amp;M2180,"▶"))</f>
        <v/>
      </c>
      <c r="B2180" s="36">
        <f>IF(C2180&lt;&gt;"",C2180,IF(P2180&lt;=IFERROR(INDEX(tblChannels[Watched Through],MATCH(N2180,tblChannels[Channel ID],0)),0),"Watched","Unwatched"))</f>
        <v/>
      </c>
      <c r="C2180" s="37" t="n"/>
      <c r="D2180" s="38" t="n"/>
      <c r="E2180" s="39" t="n">
        <v>43218.59791666667</v>
      </c>
      <c r="F2180" s="49" t="inlineStr">
        <is>
          <t>Super Carlin Gaming</t>
        </is>
      </c>
      <c r="G2180" t="inlineStr">
        <is>
          <t>Luke and J Play Pokemon Leaf Green | Mono Type FIRE Run #6</t>
        </is>
      </c>
      <c r="H2180" s="41" t="n">
        <v>0.05646990740740741</v>
      </c>
      <c r="I2180" s="42" t="n">
        <v>11617</v>
      </c>
      <c r="J2180" s="42" t="n">
        <v>294</v>
      </c>
      <c r="K2180" s="42" t="n">
        <v>45</v>
      </c>
      <c r="L2180" s="43" t="n"/>
      <c r="M2180" s="44" t="n"/>
      <c r="N2180" s="44" t="inlineStr">
        <is>
          <t>UCor_9jRnNNZVzTuQ92PKsaQ</t>
        </is>
      </c>
      <c r="O2180" s="45" t="n">
        <v>43218.76458333333</v>
      </c>
      <c r="P2180" s="46" t="n">
        <v>43218</v>
      </c>
      <c r="Q2180" s="44" t="n">
        <v>1092</v>
      </c>
      <c r="R2180" s="44" t="inlineStr">
        <is>
          <t>No Video ID yet</t>
        </is>
      </c>
      <c r="S2180" s="46" t="n"/>
      <c r="T2180" s="46" t="n"/>
      <c r="U2180" s="44" t="n"/>
      <c r="V2180" s="44">
        <f>IF(AND(P2180&gt;=Calendar!$K$2,P2180&lt;EDATE(Calendar!$K$2,1),OR(Calendar!$K$4="*",N2180=Calendar!$K$4)),P2180*100+COUNTIFS($P$6:$P$3271,P2180,$Q$6:$Q$3271,"&lt;="&amp;Q2180,$N$6:$N$3271,Calendar!$K$4),"")</f>
        <v/>
      </c>
      <c r="W2180" s="44">
        <f>IF(AND(B2180=Queue!$C$4,OR(Queue!$K$4="*",N2180=Queue!$K$4)),Q2180,"")</f>
        <v/>
      </c>
    </row>
    <row r="2181">
      <c r="A2181" s="35">
        <f>IF(M2181="","",HYPERLINK("https://www.youtube.com/watch?v="&amp;M2181,"▶"))</f>
        <v/>
      </c>
      <c r="B2181" s="36">
        <f>IF(C2181&lt;&gt;"",C2181,IF(P2181&lt;=IFERROR(INDEX(tblChannels[Watched Through],MATCH(N2181,tblChannels[Channel ID],0)),0),"Watched","Unwatched"))</f>
        <v/>
      </c>
      <c r="C2181" s="37" t="n"/>
      <c r="D2181" s="38" t="n"/>
      <c r="E2181" s="39" t="n">
        <v>43217.7375</v>
      </c>
      <c r="F2181" s="49" t="inlineStr">
        <is>
          <t>Super Carlin Gaming</t>
        </is>
      </c>
      <c r="G2181" t="inlineStr">
        <is>
          <t>Mario Kart LIVE! Possibly for the last time?!?</t>
        </is>
      </c>
      <c r="H2181" s="41" t="n">
        <v>0.04684027777777778</v>
      </c>
      <c r="I2181" s="42" t="n">
        <v>13221</v>
      </c>
      <c r="J2181" s="42" t="n">
        <v>416</v>
      </c>
      <c r="K2181" s="42" t="n">
        <v>56</v>
      </c>
      <c r="L2181" s="43" t="n"/>
      <c r="M2181" s="44" t="n"/>
      <c r="N2181" s="44" t="inlineStr">
        <is>
          <t>UCor_9jRnNNZVzTuQ92PKsaQ</t>
        </is>
      </c>
      <c r="O2181" s="45" t="n">
        <v>43217.90416666667</v>
      </c>
      <c r="P2181" s="46" t="n">
        <v>43217</v>
      </c>
      <c r="Q2181" s="44" t="n">
        <v>1091</v>
      </c>
      <c r="R2181" s="44" t="inlineStr">
        <is>
          <t>No Video ID yet</t>
        </is>
      </c>
      <c r="S2181" s="46" t="n"/>
      <c r="T2181" s="46" t="n"/>
      <c r="U2181" s="44" t="n"/>
      <c r="V2181" s="44">
        <f>IF(AND(P2181&gt;=Calendar!$K$2,P2181&lt;EDATE(Calendar!$K$2,1),OR(Calendar!$K$4="*",N2181=Calendar!$K$4)),P2181*100+COUNTIFS($P$6:$P$3271,P2181,$Q$6:$Q$3271,"&lt;="&amp;Q2181,$N$6:$N$3271,Calendar!$K$4),"")</f>
        <v/>
      </c>
      <c r="W2181" s="44">
        <f>IF(AND(B2181=Queue!$C$4,OR(Queue!$K$4="*",N2181=Queue!$K$4)),Q2181,"")</f>
        <v/>
      </c>
    </row>
    <row r="2182">
      <c r="A2182" s="35">
        <f>IF(M2182="","",HYPERLINK("https://www.youtube.com/watch?v="&amp;M2182,"▶"))</f>
        <v/>
      </c>
      <c r="B2182" s="36">
        <f>IF(C2182&lt;&gt;"",C2182,IF(P2182&lt;=IFERROR(INDEX(tblChannels[Watched Through],MATCH(N2182,tblChannels[Channel ID],0)),0),"Watched","Unwatched"))</f>
        <v/>
      </c>
      <c r="C2182" s="37" t="n"/>
      <c r="D2182" s="38" t="n"/>
      <c r="E2182" s="39" t="n">
        <v>43217.63472222222</v>
      </c>
      <c r="F2182" s="47" t="inlineStr">
        <is>
          <t>Super Carlin Brothers</t>
        </is>
      </c>
      <c r="G2182" t="inlineStr">
        <is>
          <t>J vs Ben: HARDEST Remus Lupin Quiz EVER!</t>
        </is>
      </c>
      <c r="H2182" s="41" t="n">
        <v>0.02197916666666667</v>
      </c>
      <c r="I2182" s="42" t="n">
        <v>1116318</v>
      </c>
      <c r="J2182" s="42" t="n">
        <v>20005</v>
      </c>
      <c r="K2182" s="42" t="n">
        <v>3337</v>
      </c>
      <c r="L2182" s="43" t="n"/>
      <c r="M2182" s="44" t="n"/>
      <c r="N2182" s="44" t="inlineStr">
        <is>
          <t>UCKZo4N0lVPccBkSiuyVh4yg</t>
        </is>
      </c>
      <c r="O2182" s="45" t="n">
        <v>43217.80138888889</v>
      </c>
      <c r="P2182" s="46" t="n">
        <v>43217</v>
      </c>
      <c r="Q2182" s="44" t="n">
        <v>1090</v>
      </c>
      <c r="R2182" s="44" t="inlineStr">
        <is>
          <t>No Video ID yet</t>
        </is>
      </c>
      <c r="S2182" s="46" t="n"/>
      <c r="T2182" s="46" t="n"/>
      <c r="U2182" s="44" t="n"/>
      <c r="V2182" s="44">
        <f>IF(AND(P2182&gt;=Calendar!$K$2,P2182&lt;EDATE(Calendar!$K$2,1),OR(Calendar!$K$4="*",N2182=Calendar!$K$4)),P2182*100+COUNTIFS($P$6:$P$3271,P2182,$Q$6:$Q$3271,"&lt;="&amp;Q2182,$N$6:$N$3271,Calendar!$K$4),"")</f>
        <v/>
      </c>
      <c r="W2182" s="44">
        <f>IF(AND(B2182=Queue!$C$4,OR(Queue!$K$4="*",N2182=Queue!$K$4)),Q2182,"")</f>
        <v/>
      </c>
    </row>
    <row r="2183">
      <c r="A2183" s="35">
        <f>IF(M2183="","",HYPERLINK("https://www.youtube.com/watch?v="&amp;M2183,"▶"))</f>
        <v/>
      </c>
      <c r="B2183" s="36">
        <f>IF(C2183&lt;&gt;"",C2183,IF(P2183&lt;=IFERROR(INDEX(tblChannels[Watched Through],MATCH(N2183,tblChannels[Channel ID],0)),0),"Watched","Unwatched"))</f>
        <v/>
      </c>
      <c r="C2183" s="37" t="n"/>
      <c r="D2183" s="38" t="n"/>
      <c r="E2183" s="39" t="n">
        <v>43216.4875</v>
      </c>
      <c r="F2183" s="49" t="inlineStr">
        <is>
          <t>Super Carlin Gaming</t>
        </is>
      </c>
      <c r="G2183" t="inlineStr">
        <is>
          <t>Hamstrings | Mario Kart Roulette #92</t>
        </is>
      </c>
      <c r="H2183" s="41" t="n">
        <v>0.01306712962962963</v>
      </c>
      <c r="I2183" s="42" t="n">
        <v>9687</v>
      </c>
      <c r="J2183" s="42" t="n">
        <v>371</v>
      </c>
      <c r="K2183" s="42" t="n">
        <v>73</v>
      </c>
      <c r="L2183" s="43" t="n"/>
      <c r="M2183" s="44" t="n"/>
      <c r="N2183" s="44" t="inlineStr">
        <is>
          <t>UCor_9jRnNNZVzTuQ92PKsaQ</t>
        </is>
      </c>
      <c r="O2183" s="45" t="n">
        <v>43216.65416666667</v>
      </c>
      <c r="P2183" s="46" t="n">
        <v>43216</v>
      </c>
      <c r="Q2183" s="44" t="n">
        <v>1089</v>
      </c>
      <c r="R2183" s="44" t="inlineStr">
        <is>
          <t>No Video ID yet</t>
        </is>
      </c>
      <c r="S2183" s="46" t="n"/>
      <c r="T2183" s="46" t="n"/>
      <c r="U2183" s="44" t="n"/>
      <c r="V2183" s="44">
        <f>IF(AND(P2183&gt;=Calendar!$K$2,P2183&lt;EDATE(Calendar!$K$2,1),OR(Calendar!$K$4="*",N2183=Calendar!$K$4)),P2183*100+COUNTIFS($P$6:$P$3271,P2183,$Q$6:$Q$3271,"&lt;="&amp;Q2183,$N$6:$N$3271,Calendar!$K$4),"")</f>
        <v/>
      </c>
      <c r="W2183" s="44">
        <f>IF(AND(B2183=Queue!$C$4,OR(Queue!$K$4="*",N2183=Queue!$K$4)),Q2183,"")</f>
        <v/>
      </c>
    </row>
    <row r="2184">
      <c r="A2184" s="35">
        <f>IF(M2184="","",HYPERLINK("https://www.youtube.com/watch?v="&amp;M2184,"▶"))</f>
        <v/>
      </c>
      <c r="B2184" s="36">
        <f>IF(C2184&lt;&gt;"",C2184,IF(P2184&lt;=IFERROR(INDEX(tblChannels[Watched Through],MATCH(N2184,tblChannels[Channel ID],0)),0),"Watched","Unwatched"))</f>
        <v/>
      </c>
      <c r="C2184" s="37" t="n"/>
      <c r="D2184" s="38" t="n"/>
      <c r="E2184" s="39" t="n">
        <v>43214.69861111111</v>
      </c>
      <c r="F2184" s="47" t="inlineStr">
        <is>
          <t>Super Carlin Brothers</t>
        </is>
      </c>
      <c r="G2184" t="inlineStr">
        <is>
          <t>EVERY MARVEL MOVIE RANKED</t>
        </is>
      </c>
      <c r="H2184" s="41" t="n">
        <v>0.03819444444444445</v>
      </c>
      <c r="I2184" s="42" t="n">
        <v>708332</v>
      </c>
      <c r="J2184" s="42" t="n">
        <v>13676</v>
      </c>
      <c r="K2184" s="42" t="n">
        <v>4383</v>
      </c>
      <c r="L2184" s="43" t="n"/>
      <c r="M2184" s="44" t="n"/>
      <c r="N2184" s="44" t="inlineStr">
        <is>
          <t>UCKZo4N0lVPccBkSiuyVh4yg</t>
        </is>
      </c>
      <c r="O2184" s="45" t="n">
        <v>43214.86527777778</v>
      </c>
      <c r="P2184" s="46" t="n">
        <v>43214</v>
      </c>
      <c r="Q2184" s="44" t="n">
        <v>1088</v>
      </c>
      <c r="R2184" s="44" t="inlineStr">
        <is>
          <t>No Video ID yet</t>
        </is>
      </c>
      <c r="S2184" s="46" t="n"/>
      <c r="T2184" s="46" t="n"/>
      <c r="U2184" s="44" t="n"/>
      <c r="V2184" s="44">
        <f>IF(AND(P2184&gt;=Calendar!$K$2,P2184&lt;EDATE(Calendar!$K$2,1),OR(Calendar!$K$4="*",N2184=Calendar!$K$4)),P2184*100+COUNTIFS($P$6:$P$3271,P2184,$Q$6:$Q$3271,"&lt;="&amp;Q2184,$N$6:$N$3271,Calendar!$K$4),"")</f>
        <v/>
      </c>
      <c r="W2184" s="44">
        <f>IF(AND(B2184=Queue!$C$4,OR(Queue!$K$4="*",N2184=Queue!$K$4)),Q2184,"")</f>
        <v/>
      </c>
    </row>
    <row r="2185">
      <c r="A2185" s="35">
        <f>IF(M2185="","",HYPERLINK("https://www.youtube.com/watch?v="&amp;M2185,"▶"))</f>
        <v/>
      </c>
      <c r="B2185" s="36">
        <f>IF(C2185&lt;&gt;"",C2185,IF(P2185&lt;=IFERROR(INDEX(tblChannels[Watched Through],MATCH(N2185,tblChannels[Channel ID],0)),0),"Watched","Unwatched"))</f>
        <v/>
      </c>
      <c r="C2185" s="37" t="n"/>
      <c r="D2185" s="38" t="n"/>
      <c r="E2185" s="39" t="n">
        <v>43214.44236111111</v>
      </c>
      <c r="F2185" s="49" t="inlineStr">
        <is>
          <t>Super Carlin Gaming</t>
        </is>
      </c>
      <c r="G2185" t="inlineStr">
        <is>
          <t>Ben Got Catfished | Mario Kart Roulette #91</t>
        </is>
      </c>
      <c r="H2185" s="41" t="n">
        <v>0.0134837962962963</v>
      </c>
      <c r="I2185" s="42" t="n">
        <v>8982</v>
      </c>
      <c r="J2185" s="42" t="n">
        <v>387</v>
      </c>
      <c r="K2185" s="42" t="n">
        <v>81</v>
      </c>
      <c r="L2185" s="43" t="n"/>
      <c r="M2185" s="44" t="n"/>
      <c r="N2185" s="44" t="inlineStr">
        <is>
          <t>UCor_9jRnNNZVzTuQ92PKsaQ</t>
        </is>
      </c>
      <c r="O2185" s="45" t="n">
        <v>43214.60902777778</v>
      </c>
      <c r="P2185" s="46" t="n">
        <v>43214</v>
      </c>
      <c r="Q2185" s="44" t="n">
        <v>1087</v>
      </c>
      <c r="R2185" s="44" t="inlineStr">
        <is>
          <t>No Video ID yet</t>
        </is>
      </c>
      <c r="S2185" s="46" t="n"/>
      <c r="T2185" s="46" t="n"/>
      <c r="U2185" s="44" t="n"/>
      <c r="V2185" s="44">
        <f>IF(AND(P2185&gt;=Calendar!$K$2,P2185&lt;EDATE(Calendar!$K$2,1),OR(Calendar!$K$4="*",N2185=Calendar!$K$4)),P2185*100+COUNTIFS($P$6:$P$3271,P2185,$Q$6:$Q$3271,"&lt;="&amp;Q2185,$N$6:$N$3271,Calendar!$K$4),"")</f>
        <v/>
      </c>
      <c r="W2185" s="44">
        <f>IF(AND(B2185=Queue!$C$4,OR(Queue!$K$4="*",N2185=Queue!$K$4)),Q2185,"")</f>
        <v/>
      </c>
    </row>
    <row r="2186">
      <c r="A2186" s="35">
        <f>IF(M2186="","",HYPERLINK("https://www.youtube.com/watch?v="&amp;M2186,"▶"))</f>
        <v/>
      </c>
      <c r="B2186" s="36">
        <f>IF(C2186&lt;&gt;"",C2186,IF(P2186&lt;=IFERROR(INDEX(tblChannels[Watched Through],MATCH(N2186,tblChannels[Channel ID],0)),0),"Watched","Unwatched"))</f>
        <v/>
      </c>
      <c r="C2186" s="37" t="n"/>
      <c r="D2186" s="38" t="n"/>
      <c r="E2186" s="39" t="n">
        <v>43213.59097222222</v>
      </c>
      <c r="F2186" s="50" t="inlineStr">
        <is>
          <t>Jonathan Carlin</t>
        </is>
      </c>
      <c r="G2186" t="inlineStr">
        <is>
          <t>Luke Learns to ROLL OVER!</t>
        </is>
      </c>
      <c r="H2186" s="41" t="n">
        <v>0.006631944444444445</v>
      </c>
      <c r="I2186" s="42" t="n">
        <v>54927</v>
      </c>
      <c r="J2186" s="42" t="n">
        <v>2289</v>
      </c>
      <c r="K2186" s="42" t="n">
        <v>257</v>
      </c>
      <c r="L2186" s="43" t="n"/>
      <c r="M2186" s="44" t="n"/>
      <c r="N2186" s="44" t="inlineStr">
        <is>
          <t>UCYPKFe86e6nm4TVUYKLsFUQ</t>
        </is>
      </c>
      <c r="O2186" s="45" t="n">
        <v>43213.75763888889</v>
      </c>
      <c r="P2186" s="46" t="n">
        <v>43213</v>
      </c>
      <c r="Q2186" s="44" t="n">
        <v>1086</v>
      </c>
      <c r="R2186" s="44" t="inlineStr">
        <is>
          <t>No Video ID yet</t>
        </is>
      </c>
      <c r="S2186" s="46" t="n"/>
      <c r="T2186" s="46" t="n"/>
      <c r="U2186" s="44" t="n"/>
      <c r="V2186" s="44">
        <f>IF(AND(P2186&gt;=Calendar!$K$2,P2186&lt;EDATE(Calendar!$K$2,1),OR(Calendar!$K$4="*",N2186=Calendar!$K$4)),P2186*100+COUNTIFS($P$6:$P$3271,P2186,$Q$6:$Q$3271,"&lt;="&amp;Q2186,$N$6:$N$3271,Calendar!$K$4),"")</f>
        <v/>
      </c>
      <c r="W2186" s="44">
        <f>IF(AND(B2186=Queue!$C$4,OR(Queue!$K$4="*",N2186=Queue!$K$4)),Q2186,"")</f>
        <v/>
      </c>
    </row>
    <row r="2187">
      <c r="A2187" s="35">
        <f>IF(M2187="","",HYPERLINK("https://www.youtube.com/watch?v="&amp;M2187,"▶"))</f>
        <v/>
      </c>
      <c r="B2187" s="36">
        <f>IF(C2187&lt;&gt;"",C2187,IF(P2187&lt;=IFERROR(INDEX(tblChannels[Watched Through],MATCH(N2187,tblChannels[Channel ID],0)),0),"Watched","Unwatched"))</f>
        <v/>
      </c>
      <c r="C2187" s="37" t="n"/>
      <c r="D2187" s="38" t="n"/>
      <c r="E2187" s="39" t="n">
        <v>43209.80555555555</v>
      </c>
      <c r="F2187" s="47" t="inlineStr">
        <is>
          <t>Super Carlin Brothers</t>
        </is>
      </c>
      <c r="G2187" t="inlineStr">
        <is>
          <t>Shrek Vs Disney</t>
        </is>
      </c>
      <c r="H2187" s="41" t="n">
        <v>0.006875</v>
      </c>
      <c r="I2187" s="42" t="n">
        <v>724209</v>
      </c>
      <c r="J2187" s="42" t="n">
        <v>24313</v>
      </c>
      <c r="K2187" s="42" t="n">
        <v>2558</v>
      </c>
      <c r="L2187" s="43" t="n"/>
      <c r="M2187" s="44" t="n"/>
      <c r="N2187" s="44" t="inlineStr">
        <is>
          <t>UCKZo4N0lVPccBkSiuyVh4yg</t>
        </is>
      </c>
      <c r="O2187" s="45" t="n">
        <v>43209.97222222222</v>
      </c>
      <c r="P2187" s="46" t="n">
        <v>43209</v>
      </c>
      <c r="Q2187" s="44" t="n">
        <v>1085</v>
      </c>
      <c r="R2187" s="44" t="inlineStr">
        <is>
          <t>No Video ID yet</t>
        </is>
      </c>
      <c r="S2187" s="46" t="n"/>
      <c r="T2187" s="46" t="n"/>
      <c r="U2187" s="44" t="n"/>
      <c r="V2187" s="44">
        <f>IF(AND(P2187&gt;=Calendar!$K$2,P2187&lt;EDATE(Calendar!$K$2,1),OR(Calendar!$K$4="*",N2187=Calendar!$K$4)),P2187*100+COUNTIFS($P$6:$P$3271,P2187,$Q$6:$Q$3271,"&lt;="&amp;Q2187,$N$6:$N$3271,Calendar!$K$4),"")</f>
        <v/>
      </c>
      <c r="W2187" s="44">
        <f>IF(AND(B2187=Queue!$C$4,OR(Queue!$K$4="*",N2187=Queue!$K$4)),Q2187,"")</f>
        <v/>
      </c>
    </row>
    <row r="2188">
      <c r="A2188" s="35">
        <f>IF(M2188="","",HYPERLINK("https://www.youtube.com/watch?v="&amp;M2188,"▶"))</f>
        <v/>
      </c>
      <c r="B2188" s="36">
        <f>IF(C2188&lt;&gt;"",C2188,IF(P2188&lt;=IFERROR(INDEX(tblChannels[Watched Through],MATCH(N2188,tblChannels[Channel ID],0)),0),"Watched","Unwatched"))</f>
        <v/>
      </c>
      <c r="C2188" s="37" t="n"/>
      <c r="D2188" s="38" t="n"/>
      <c r="E2188" s="39" t="n">
        <v>43209.4375</v>
      </c>
      <c r="F2188" s="49" t="inlineStr">
        <is>
          <t>Super Carlin Gaming</t>
        </is>
      </c>
      <c r="G2188" t="inlineStr">
        <is>
          <t>Donkey Pillows | Mario Kart Roulette #90</t>
        </is>
      </c>
      <c r="H2188" s="41" t="n">
        <v>0.01438657407407407</v>
      </c>
      <c r="I2188" s="42" t="n">
        <v>8805</v>
      </c>
      <c r="J2188" s="42" t="n">
        <v>357</v>
      </c>
      <c r="K2188" s="42" t="n">
        <v>99</v>
      </c>
      <c r="L2188" s="43" t="n"/>
      <c r="M2188" s="44" t="n"/>
      <c r="N2188" s="44" t="inlineStr">
        <is>
          <t>UCor_9jRnNNZVzTuQ92PKsaQ</t>
        </is>
      </c>
      <c r="O2188" s="45" t="n">
        <v>43209.60416666666</v>
      </c>
      <c r="P2188" s="46" t="n">
        <v>43209</v>
      </c>
      <c r="Q2188" s="44" t="n">
        <v>1084</v>
      </c>
      <c r="R2188" s="44" t="inlineStr">
        <is>
          <t>No Video ID yet</t>
        </is>
      </c>
      <c r="S2188" s="46" t="n"/>
      <c r="T2188" s="46" t="n"/>
      <c r="U2188" s="44" t="n"/>
      <c r="V2188" s="44">
        <f>IF(AND(P2188&gt;=Calendar!$K$2,P2188&lt;EDATE(Calendar!$K$2,1),OR(Calendar!$K$4="*",N2188=Calendar!$K$4)),P2188*100+COUNTIFS($P$6:$P$3271,P2188,$Q$6:$Q$3271,"&lt;="&amp;Q2188,$N$6:$N$3271,Calendar!$K$4),"")</f>
        <v/>
      </c>
      <c r="W2188" s="44">
        <f>IF(AND(B2188=Queue!$C$4,OR(Queue!$K$4="*",N2188=Queue!$K$4)),Q2188,"")</f>
        <v/>
      </c>
    </row>
    <row r="2189">
      <c r="A2189" s="35">
        <f>IF(M2189="","",HYPERLINK("https://www.youtube.com/watch?v="&amp;M2189,"▶"))</f>
        <v/>
      </c>
      <c r="B2189" s="36">
        <f>IF(C2189&lt;&gt;"",C2189,IF(P2189&lt;=IFERROR(INDEX(tblChannels[Watched Through],MATCH(N2189,tblChannels[Channel ID],0)),0),"Watched","Unwatched"))</f>
        <v/>
      </c>
      <c r="C2189" s="37" t="n"/>
      <c r="D2189" s="38" t="n"/>
      <c r="E2189" s="39" t="n">
        <v>43207.73402777778</v>
      </c>
      <c r="F2189" s="47" t="inlineStr">
        <is>
          <t>Super Carlin Brothers</t>
        </is>
      </c>
      <c r="G2189" t="inlineStr">
        <is>
          <t>Frozen Makes NO Sense</t>
        </is>
      </c>
      <c r="H2189" s="41" t="n">
        <v>0.007916666666666667</v>
      </c>
      <c r="I2189" s="42" t="n">
        <v>785448</v>
      </c>
      <c r="J2189" s="42" t="n">
        <v>30299</v>
      </c>
      <c r="K2189" s="42" t="n">
        <v>3413</v>
      </c>
      <c r="L2189" s="43" t="n"/>
      <c r="M2189" s="44" t="n"/>
      <c r="N2189" s="44" t="inlineStr">
        <is>
          <t>UCKZo4N0lVPccBkSiuyVh4yg</t>
        </is>
      </c>
      <c r="O2189" s="45" t="n">
        <v>43207.90069444444</v>
      </c>
      <c r="P2189" s="46" t="n">
        <v>43207</v>
      </c>
      <c r="Q2189" s="44" t="n">
        <v>1083</v>
      </c>
      <c r="R2189" s="44" t="inlineStr">
        <is>
          <t>No Video ID yet</t>
        </is>
      </c>
      <c r="S2189" s="46" t="n"/>
      <c r="T2189" s="46" t="n"/>
      <c r="U2189" s="44" t="n"/>
      <c r="V2189" s="44">
        <f>IF(AND(P2189&gt;=Calendar!$K$2,P2189&lt;EDATE(Calendar!$K$2,1),OR(Calendar!$K$4="*",N2189=Calendar!$K$4)),P2189*100+COUNTIFS($P$6:$P$3271,P2189,$Q$6:$Q$3271,"&lt;="&amp;Q2189,$N$6:$N$3271,Calendar!$K$4),"")</f>
        <v/>
      </c>
      <c r="W2189" s="44">
        <f>IF(AND(B2189=Queue!$C$4,OR(Queue!$K$4="*",N2189=Queue!$K$4)),Q2189,"")</f>
        <v/>
      </c>
    </row>
    <row r="2190">
      <c r="A2190" s="35">
        <f>IF(M2190="","",HYPERLINK("https://www.youtube.com/watch?v="&amp;M2190,"▶"))</f>
        <v/>
      </c>
      <c r="B2190" s="36">
        <f>IF(C2190&lt;&gt;"",C2190,IF(P2190&lt;=IFERROR(INDEX(tblChannels[Watched Through],MATCH(N2190,tblChannels[Channel ID],0)),0),"Watched","Unwatched"))</f>
        <v/>
      </c>
      <c r="C2190" s="37" t="n"/>
      <c r="D2190" s="38" t="n"/>
      <c r="E2190" s="39" t="n">
        <v>43207.4375</v>
      </c>
      <c r="F2190" s="49" t="inlineStr">
        <is>
          <t>Super Carlin Gaming</t>
        </is>
      </c>
      <c r="G2190" t="inlineStr">
        <is>
          <t>Apple Juice | Mario Kart Roulette #89</t>
        </is>
      </c>
      <c r="H2190" s="41" t="n">
        <v>0.01340277777777778</v>
      </c>
      <c r="I2190" s="42" t="n">
        <v>8151</v>
      </c>
      <c r="J2190" s="42" t="n">
        <v>357</v>
      </c>
      <c r="K2190" s="42" t="n">
        <v>139</v>
      </c>
      <c r="L2190" s="43" t="n"/>
      <c r="M2190" s="44" t="n"/>
      <c r="N2190" s="44" t="inlineStr">
        <is>
          <t>UCor_9jRnNNZVzTuQ92PKsaQ</t>
        </is>
      </c>
      <c r="O2190" s="45" t="n">
        <v>43207.60416666666</v>
      </c>
      <c r="P2190" s="46" t="n">
        <v>43207</v>
      </c>
      <c r="Q2190" s="44" t="n">
        <v>1082</v>
      </c>
      <c r="R2190" s="44" t="inlineStr">
        <is>
          <t>No Video ID yet</t>
        </is>
      </c>
      <c r="S2190" s="46" t="n"/>
      <c r="T2190" s="46" t="n"/>
      <c r="U2190" s="44" t="n"/>
      <c r="V2190" s="44">
        <f>IF(AND(P2190&gt;=Calendar!$K$2,P2190&lt;EDATE(Calendar!$K$2,1),OR(Calendar!$K$4="*",N2190=Calendar!$K$4)),P2190*100+COUNTIFS($P$6:$P$3271,P2190,$Q$6:$Q$3271,"&lt;="&amp;Q2190,$N$6:$N$3271,Calendar!$K$4),"")</f>
        <v/>
      </c>
      <c r="W2190" s="44">
        <f>IF(AND(B2190=Queue!$C$4,OR(Queue!$K$4="*",N2190=Queue!$K$4)),Q2190,"")</f>
        <v/>
      </c>
    </row>
    <row r="2191">
      <c r="A2191" s="35">
        <f>IF(M2191="","",HYPERLINK("https://www.youtube.com/watch?v="&amp;M2191,"▶"))</f>
        <v/>
      </c>
      <c r="B2191" s="36">
        <f>IF(C2191&lt;&gt;"",C2191,IF(P2191&lt;=IFERROR(INDEX(tblChannels[Watched Through],MATCH(N2191,tblChannels[Channel ID],0)),0),"Watched","Unwatched"))</f>
        <v/>
      </c>
      <c r="C2191" s="37" t="n"/>
      <c r="D2191" s="38" t="n"/>
      <c r="E2191" s="39" t="n">
        <v>43206.64791666667</v>
      </c>
      <c r="F2191" s="50" t="inlineStr">
        <is>
          <t>Jonathan Carlin</t>
        </is>
      </c>
      <c r="G2191" t="inlineStr">
        <is>
          <t>How To Be A Fashionable Dad</t>
        </is>
      </c>
      <c r="H2191" s="41" t="n">
        <v>0.004456018518518519</v>
      </c>
      <c r="I2191" s="42" t="n">
        <v>34666</v>
      </c>
      <c r="J2191" s="42" t="n">
        <v>1663</v>
      </c>
      <c r="K2191" s="42" t="n">
        <v>137</v>
      </c>
      <c r="L2191" s="43" t="n"/>
      <c r="M2191" s="44" t="n"/>
      <c r="N2191" s="44" t="inlineStr">
        <is>
          <t>UCYPKFe86e6nm4TVUYKLsFUQ</t>
        </is>
      </c>
      <c r="O2191" s="45" t="n">
        <v>43206.81458333333</v>
      </c>
      <c r="P2191" s="46" t="n">
        <v>43206</v>
      </c>
      <c r="Q2191" s="44" t="n">
        <v>1081</v>
      </c>
      <c r="R2191" s="44" t="inlineStr">
        <is>
          <t>No Video ID yet</t>
        </is>
      </c>
      <c r="S2191" s="46" t="n"/>
      <c r="T2191" s="46" t="n"/>
      <c r="U2191" s="44" t="n"/>
      <c r="V2191" s="44">
        <f>IF(AND(P2191&gt;=Calendar!$K$2,P2191&lt;EDATE(Calendar!$K$2,1),OR(Calendar!$K$4="*",N2191=Calendar!$K$4)),P2191*100+COUNTIFS($P$6:$P$3271,P2191,$Q$6:$Q$3271,"&lt;="&amp;Q2191,$N$6:$N$3271,Calendar!$K$4),"")</f>
        <v/>
      </c>
      <c r="W2191" s="44">
        <f>IF(AND(B2191=Queue!$C$4,OR(Queue!$K$4="*",N2191=Queue!$K$4)),Q2191,"")</f>
        <v/>
      </c>
    </row>
    <row r="2192">
      <c r="A2192" s="35">
        <f>IF(M2192="","",HYPERLINK("https://www.youtube.com/watch?v="&amp;M2192,"▶"))</f>
        <v/>
      </c>
      <c r="B2192" s="36">
        <f>IF(C2192&lt;&gt;"",C2192,IF(P2192&lt;=IFERROR(INDEX(tblChannels[Watched Through],MATCH(N2192,tblChannels[Channel ID],0)),0),"Watched","Unwatched"))</f>
        <v/>
      </c>
      <c r="C2192" s="37" t="n"/>
      <c r="D2192" s="38" t="n"/>
      <c r="E2192" s="39" t="n">
        <v>43202.76944444444</v>
      </c>
      <c r="F2192" s="47" t="inlineStr">
        <is>
          <t>Super Carlin Brothers</t>
        </is>
      </c>
      <c r="G2192" t="inlineStr">
        <is>
          <t>What Happened To Kristoff's Parents? | Frozen Theory</t>
        </is>
      </c>
      <c r="H2192" s="41" t="n">
        <v>0.006863425925925926</v>
      </c>
      <c r="I2192" s="42" t="n">
        <v>993482</v>
      </c>
      <c r="J2192" s="42" t="n">
        <v>27685</v>
      </c>
      <c r="K2192" s="42" t="n">
        <v>2749</v>
      </c>
      <c r="L2192" s="43" t="n"/>
      <c r="M2192" s="44" t="n"/>
      <c r="N2192" s="44" t="inlineStr">
        <is>
          <t>UCKZo4N0lVPccBkSiuyVh4yg</t>
        </is>
      </c>
      <c r="O2192" s="45" t="n">
        <v>43202.93611111111</v>
      </c>
      <c r="P2192" s="46" t="n">
        <v>43202</v>
      </c>
      <c r="Q2192" s="44" t="n">
        <v>1080</v>
      </c>
      <c r="R2192" s="44" t="inlineStr">
        <is>
          <t>No Video ID yet</t>
        </is>
      </c>
      <c r="S2192" s="46" t="n"/>
      <c r="T2192" s="46" t="n"/>
      <c r="U2192" s="44" t="n"/>
      <c r="V2192" s="44">
        <f>IF(AND(P2192&gt;=Calendar!$K$2,P2192&lt;EDATE(Calendar!$K$2,1),OR(Calendar!$K$4="*",N2192=Calendar!$K$4)),P2192*100+COUNTIFS($P$6:$P$3271,P2192,$Q$6:$Q$3271,"&lt;="&amp;Q2192,$N$6:$N$3271,Calendar!$K$4),"")</f>
        <v/>
      </c>
      <c r="W2192" s="44">
        <f>IF(AND(B2192=Queue!$C$4,OR(Queue!$K$4="*",N2192=Queue!$K$4)),Q2192,"")</f>
        <v/>
      </c>
    </row>
    <row r="2193">
      <c r="A2193" s="35">
        <f>IF(M2193="","",HYPERLINK("https://www.youtube.com/watch?v="&amp;M2193,"▶"))</f>
        <v/>
      </c>
      <c r="B2193" s="36">
        <f>IF(C2193&lt;&gt;"",C2193,IF(P2193&lt;=IFERROR(INDEX(tblChannels[Watched Through],MATCH(N2193,tblChannels[Channel ID],0)),0),"Watched","Unwatched"))</f>
        <v/>
      </c>
      <c r="C2193" s="37" t="n"/>
      <c r="D2193" s="38" t="n"/>
      <c r="E2193" s="39" t="n">
        <v>43202.46458333333</v>
      </c>
      <c r="F2193" s="49" t="inlineStr">
        <is>
          <t>Super Carlin Gaming</t>
        </is>
      </c>
      <c r="G2193" t="inlineStr">
        <is>
          <t>What Defines a Loaf? | Mario Kart Roulette #88</t>
        </is>
      </c>
      <c r="H2193" s="41" t="n">
        <v>0.01189814814814815</v>
      </c>
      <c r="I2193" s="42" t="n">
        <v>7861</v>
      </c>
      <c r="J2193" s="42" t="n">
        <v>380</v>
      </c>
      <c r="K2193" s="42" t="n">
        <v>153</v>
      </c>
      <c r="L2193" s="43" t="n"/>
      <c r="M2193" s="44" t="n"/>
      <c r="N2193" s="44" t="inlineStr">
        <is>
          <t>UCor_9jRnNNZVzTuQ92PKsaQ</t>
        </is>
      </c>
      <c r="O2193" s="45" t="n">
        <v>43202.63125</v>
      </c>
      <c r="P2193" s="46" t="n">
        <v>43202</v>
      </c>
      <c r="Q2193" s="44" t="n">
        <v>1079</v>
      </c>
      <c r="R2193" s="44" t="inlineStr">
        <is>
          <t>No Video ID yet</t>
        </is>
      </c>
      <c r="S2193" s="46" t="n"/>
      <c r="T2193" s="46" t="n"/>
      <c r="U2193" s="44" t="n"/>
      <c r="V2193" s="44">
        <f>IF(AND(P2193&gt;=Calendar!$K$2,P2193&lt;EDATE(Calendar!$K$2,1),OR(Calendar!$K$4="*",N2193=Calendar!$K$4)),P2193*100+COUNTIFS($P$6:$P$3271,P2193,$Q$6:$Q$3271,"&lt;="&amp;Q2193,$N$6:$N$3271,Calendar!$K$4),"")</f>
        <v/>
      </c>
      <c r="W2193" s="44">
        <f>IF(AND(B2193=Queue!$C$4,OR(Queue!$K$4="*",N2193=Queue!$K$4)),Q2193,"")</f>
        <v/>
      </c>
    </row>
    <row r="2194">
      <c r="A2194" s="35">
        <f>IF(M2194="","",HYPERLINK("https://www.youtube.com/watch?v="&amp;M2194,"▶"))</f>
        <v/>
      </c>
      <c r="B2194" s="36">
        <f>IF(C2194&lt;&gt;"",C2194,IF(P2194&lt;=IFERROR(INDEX(tblChannels[Watched Through],MATCH(N2194,tblChannels[Channel ID],0)),0),"Watched","Unwatched"))</f>
        <v/>
      </c>
      <c r="C2194" s="37" t="n"/>
      <c r="D2194" s="38" t="n"/>
      <c r="E2194" s="39" t="n">
        <v>43200.71805555555</v>
      </c>
      <c r="F2194" s="47" t="inlineStr">
        <is>
          <t>Super Carlin Brothers</t>
        </is>
      </c>
      <c r="G2194" t="inlineStr">
        <is>
          <t>Why Credence Definitely Won't Survive | Fantastic Beasts Theory</t>
        </is>
      </c>
      <c r="H2194" s="41" t="n">
        <v>0.008414351851851852</v>
      </c>
      <c r="I2194" s="42" t="n">
        <v>841798</v>
      </c>
      <c r="J2194" s="42" t="n">
        <v>22535</v>
      </c>
      <c r="K2194" s="42" t="n">
        <v>2977</v>
      </c>
      <c r="L2194" s="43" t="n"/>
      <c r="M2194" s="44" t="n"/>
      <c r="N2194" s="44" t="inlineStr">
        <is>
          <t>UCKZo4N0lVPccBkSiuyVh4yg</t>
        </is>
      </c>
      <c r="O2194" s="45" t="n">
        <v>43200.88472222222</v>
      </c>
      <c r="P2194" s="46" t="n">
        <v>43200</v>
      </c>
      <c r="Q2194" s="44" t="n">
        <v>1078</v>
      </c>
      <c r="R2194" s="44" t="inlineStr">
        <is>
          <t>No Video ID yet</t>
        </is>
      </c>
      <c r="S2194" s="46" t="n"/>
      <c r="T2194" s="46" t="n"/>
      <c r="U2194" s="44" t="n"/>
      <c r="V2194" s="44">
        <f>IF(AND(P2194&gt;=Calendar!$K$2,P2194&lt;EDATE(Calendar!$K$2,1),OR(Calendar!$K$4="*",N2194=Calendar!$K$4)),P2194*100+COUNTIFS($P$6:$P$3271,P2194,$Q$6:$Q$3271,"&lt;="&amp;Q2194,$N$6:$N$3271,Calendar!$K$4),"")</f>
        <v/>
      </c>
      <c r="W2194" s="44">
        <f>IF(AND(B2194=Queue!$C$4,OR(Queue!$K$4="*",N2194=Queue!$K$4)),Q2194,"")</f>
        <v/>
      </c>
    </row>
    <row r="2195">
      <c r="A2195" s="35">
        <f>IF(M2195="","",HYPERLINK("https://www.youtube.com/watch?v="&amp;M2195,"▶"))</f>
        <v/>
      </c>
      <c r="B2195" s="36">
        <f>IF(C2195&lt;&gt;"",C2195,IF(P2195&lt;=IFERROR(INDEX(tblChannels[Watched Through],MATCH(N2195,tblChannels[Channel ID],0)),0),"Watched","Unwatched"))</f>
        <v/>
      </c>
      <c r="C2195" s="37" t="n"/>
      <c r="D2195" s="38" t="n"/>
      <c r="E2195" s="39" t="n">
        <v>43200.46041666667</v>
      </c>
      <c r="F2195" s="49" t="inlineStr">
        <is>
          <t>Super Carlin Gaming</t>
        </is>
      </c>
      <c r="G2195" t="inlineStr">
        <is>
          <t>Emotional Affair | Mario Kart Roulette #87</t>
        </is>
      </c>
      <c r="H2195" s="41" t="n">
        <v>0.01146990740740741</v>
      </c>
      <c r="I2195" s="42" t="n">
        <v>7454</v>
      </c>
      <c r="J2195" s="42" t="n">
        <v>332</v>
      </c>
      <c r="K2195" s="42" t="n">
        <v>102</v>
      </c>
      <c r="L2195" s="43" t="n"/>
      <c r="M2195" s="44" t="n"/>
      <c r="N2195" s="44" t="inlineStr">
        <is>
          <t>UCor_9jRnNNZVzTuQ92PKsaQ</t>
        </is>
      </c>
      <c r="O2195" s="45" t="n">
        <v>43200.62708333333</v>
      </c>
      <c r="P2195" s="46" t="n">
        <v>43200</v>
      </c>
      <c r="Q2195" s="44" t="n">
        <v>1077</v>
      </c>
      <c r="R2195" s="44" t="inlineStr">
        <is>
          <t>No Video ID yet</t>
        </is>
      </c>
      <c r="S2195" s="46" t="n"/>
      <c r="T2195" s="46" t="n"/>
      <c r="U2195" s="44" t="n"/>
      <c r="V2195" s="44">
        <f>IF(AND(P2195&gt;=Calendar!$K$2,P2195&lt;EDATE(Calendar!$K$2,1),OR(Calendar!$K$4="*",N2195=Calendar!$K$4)),P2195*100+COUNTIFS($P$6:$P$3271,P2195,$Q$6:$Q$3271,"&lt;="&amp;Q2195,$N$6:$N$3271,Calendar!$K$4),"")</f>
        <v/>
      </c>
      <c r="W2195" s="44">
        <f>IF(AND(B2195=Queue!$C$4,OR(Queue!$K$4="*",N2195=Queue!$K$4)),Q2195,"")</f>
        <v/>
      </c>
    </row>
    <row r="2196">
      <c r="A2196" s="35">
        <f>IF(M2196="","",HYPERLINK("https://www.youtube.com/watch?v="&amp;M2196,"▶"))</f>
        <v/>
      </c>
      <c r="B2196" s="36">
        <f>IF(C2196&lt;&gt;"",C2196,IF(P2196&lt;=IFERROR(INDEX(tblChannels[Watched Through],MATCH(N2196,tblChannels[Channel ID],0)),0),"Watched","Unwatched"))</f>
        <v/>
      </c>
      <c r="C2196" s="37" t="n"/>
      <c r="D2196" s="38" t="n"/>
      <c r="E2196" s="39" t="n">
        <v>43199.56041666667</v>
      </c>
      <c r="F2196" s="50" t="inlineStr">
        <is>
          <t>Jonathan Carlin</t>
        </is>
      </c>
      <c r="G2196" t="inlineStr">
        <is>
          <t>THE 300 POUND SQUAT!</t>
        </is>
      </c>
      <c r="H2196" s="41" t="n">
        <v>0.003449074074074074</v>
      </c>
      <c r="I2196" s="42" t="n">
        <v>24532</v>
      </c>
      <c r="J2196" s="42" t="n">
        <v>1455</v>
      </c>
      <c r="K2196" s="42" t="n">
        <v>203</v>
      </c>
      <c r="L2196" s="43" t="n"/>
      <c r="M2196" s="44" t="n"/>
      <c r="N2196" s="44" t="inlineStr">
        <is>
          <t>UCYPKFe86e6nm4TVUYKLsFUQ</t>
        </is>
      </c>
      <c r="O2196" s="45" t="n">
        <v>43199.72708333333</v>
      </c>
      <c r="P2196" s="46" t="n">
        <v>43199</v>
      </c>
      <c r="Q2196" s="44" t="n">
        <v>1076</v>
      </c>
      <c r="R2196" s="44" t="inlineStr">
        <is>
          <t>No Video ID yet</t>
        </is>
      </c>
      <c r="S2196" s="46" t="n"/>
      <c r="T2196" s="46" t="n"/>
      <c r="U2196" s="44" t="n"/>
      <c r="V2196" s="44">
        <f>IF(AND(P2196&gt;=Calendar!$K$2,P2196&lt;EDATE(Calendar!$K$2,1),OR(Calendar!$K$4="*",N2196=Calendar!$K$4)),P2196*100+COUNTIFS($P$6:$P$3271,P2196,$Q$6:$Q$3271,"&lt;="&amp;Q2196,$N$6:$N$3271,Calendar!$K$4),"")</f>
        <v/>
      </c>
      <c r="W2196" s="44">
        <f>IF(AND(B2196=Queue!$C$4,OR(Queue!$K$4="*",N2196=Queue!$K$4)),Q2196,"")</f>
        <v/>
      </c>
    </row>
    <row r="2197">
      <c r="A2197" s="35">
        <f>IF(M2197="","",HYPERLINK("https://www.youtube.com/watch?v="&amp;M2197,"▶"))</f>
        <v/>
      </c>
      <c r="B2197" s="36">
        <f>IF(C2197&lt;&gt;"",C2197,IF(P2197&lt;=IFERROR(INDEX(tblChannels[Watched Through],MATCH(N2197,tblChannels[Channel ID],0)),0),"Watched","Unwatched"))</f>
        <v/>
      </c>
      <c r="C2197" s="37" t="n"/>
      <c r="D2197" s="38" t="n"/>
      <c r="E2197" s="39" t="n">
        <v>43195.83819444444</v>
      </c>
      <c r="F2197" s="47" t="inlineStr">
        <is>
          <t>Super Carlin Brothers</t>
        </is>
      </c>
      <c r="G2197" t="inlineStr">
        <is>
          <t>Albus Percival Wulfric Brian Dumbledore's Ridiculously Long Name Finally Explained At Last</t>
        </is>
      </c>
      <c r="H2197" s="41" t="n">
        <v>0.006064814814814815</v>
      </c>
      <c r="I2197" s="42" t="n">
        <v>848899</v>
      </c>
      <c r="J2197" s="42" t="n">
        <v>24827</v>
      </c>
      <c r="K2197" s="42" t="n">
        <v>4871</v>
      </c>
      <c r="L2197" s="43" t="n"/>
      <c r="M2197" s="44" t="n"/>
      <c r="N2197" s="44" t="inlineStr">
        <is>
          <t>UCKZo4N0lVPccBkSiuyVh4yg</t>
        </is>
      </c>
      <c r="O2197" s="45" t="n">
        <v>43196.00486111111</v>
      </c>
      <c r="P2197" s="46" t="n">
        <v>43195</v>
      </c>
      <c r="Q2197" s="44" t="n">
        <v>1075</v>
      </c>
      <c r="R2197" s="44" t="inlineStr">
        <is>
          <t>No Video ID yet</t>
        </is>
      </c>
      <c r="S2197" s="46" t="n"/>
      <c r="T2197" s="46" t="n"/>
      <c r="U2197" s="44" t="n"/>
      <c r="V2197" s="44">
        <f>IF(AND(P2197&gt;=Calendar!$K$2,P2197&lt;EDATE(Calendar!$K$2,1),OR(Calendar!$K$4="*",N2197=Calendar!$K$4)),P2197*100+COUNTIFS($P$6:$P$3271,P2197,$Q$6:$Q$3271,"&lt;="&amp;Q2197,$N$6:$N$3271,Calendar!$K$4),"")</f>
        <v/>
      </c>
      <c r="W2197" s="44">
        <f>IF(AND(B2197=Queue!$C$4,OR(Queue!$K$4="*",N2197=Queue!$K$4)),Q2197,"")</f>
        <v/>
      </c>
    </row>
    <row r="2198">
      <c r="A2198" s="35">
        <f>IF(M2198="","",HYPERLINK("https://www.youtube.com/watch?v="&amp;M2198,"▶"))</f>
        <v/>
      </c>
      <c r="B2198" s="36">
        <f>IF(C2198&lt;&gt;"",C2198,IF(P2198&lt;=IFERROR(INDEX(tblChannels[Watched Through],MATCH(N2198,tblChannels[Channel ID],0)),0),"Watched","Unwatched"))</f>
        <v/>
      </c>
      <c r="C2198" s="37" t="n"/>
      <c r="D2198" s="38" t="n"/>
      <c r="E2198" s="39" t="n">
        <v>43195.4375</v>
      </c>
      <c r="F2198" s="49" t="inlineStr">
        <is>
          <t>Super Carlin Gaming</t>
        </is>
      </c>
      <c r="G2198" t="inlineStr">
        <is>
          <t>Assertive With Your Feelings | Mario Kart Roulette #86</t>
        </is>
      </c>
      <c r="H2198" s="41" t="n">
        <v>0.0115162037037037</v>
      </c>
      <c r="I2198" s="42" t="n">
        <v>7784</v>
      </c>
      <c r="J2198" s="42" t="n">
        <v>338</v>
      </c>
      <c r="K2198" s="42" t="n">
        <v>100</v>
      </c>
      <c r="L2198" s="43" t="n"/>
      <c r="M2198" s="44" t="n"/>
      <c r="N2198" s="44" t="inlineStr">
        <is>
          <t>UCor_9jRnNNZVzTuQ92PKsaQ</t>
        </is>
      </c>
      <c r="O2198" s="45" t="n">
        <v>43195.60416666666</v>
      </c>
      <c r="P2198" s="46" t="n">
        <v>43195</v>
      </c>
      <c r="Q2198" s="44" t="n">
        <v>1074</v>
      </c>
      <c r="R2198" s="44" t="inlineStr">
        <is>
          <t>No Video ID yet</t>
        </is>
      </c>
      <c r="S2198" s="46" t="n"/>
      <c r="T2198" s="46" t="n"/>
      <c r="U2198" s="44" t="n"/>
      <c r="V2198" s="44">
        <f>IF(AND(P2198&gt;=Calendar!$K$2,P2198&lt;EDATE(Calendar!$K$2,1),OR(Calendar!$K$4="*",N2198=Calendar!$K$4)),P2198*100+COUNTIFS($P$6:$P$3271,P2198,$Q$6:$Q$3271,"&lt;="&amp;Q2198,$N$6:$N$3271,Calendar!$K$4),"")</f>
        <v/>
      </c>
      <c r="W2198" s="44">
        <f>IF(AND(B2198=Queue!$C$4,OR(Queue!$K$4="*",N2198=Queue!$K$4)),Q2198,"")</f>
        <v/>
      </c>
    </row>
    <row r="2199">
      <c r="A2199" s="35">
        <f>IF(M2199="","",HYPERLINK("https://www.youtube.com/watch?v="&amp;M2199,"▶"))</f>
        <v/>
      </c>
      <c r="B2199" s="36">
        <f>IF(C2199&lt;&gt;"",C2199,IF(P2199&lt;=IFERROR(INDEX(tblChannels[Watched Through],MATCH(N2199,tblChannels[Channel ID],0)),0),"Watched","Unwatched"))</f>
        <v/>
      </c>
      <c r="C2199" s="37" t="n"/>
      <c r="D2199" s="38" t="n"/>
      <c r="E2199" s="39" t="n">
        <v>43193.84305555555</v>
      </c>
      <c r="F2199" s="47" t="inlineStr">
        <is>
          <t>Super Carlin Brothers</t>
        </is>
      </c>
      <c r="G2199" t="inlineStr">
        <is>
          <t>The Haunted History Of The Haunted Mansion</t>
        </is>
      </c>
      <c r="H2199" s="41" t="n">
        <v>0.007615740740740741</v>
      </c>
      <c r="I2199" s="42" t="n">
        <v>487921</v>
      </c>
      <c r="J2199" s="42" t="n">
        <v>15664</v>
      </c>
      <c r="K2199" s="42" t="n">
        <v>2335</v>
      </c>
      <c r="L2199" s="43" t="n"/>
      <c r="M2199" s="44" t="n"/>
      <c r="N2199" s="44" t="inlineStr">
        <is>
          <t>UCKZo4N0lVPccBkSiuyVh4yg</t>
        </is>
      </c>
      <c r="O2199" s="45" t="n">
        <v>43194.00972222222</v>
      </c>
      <c r="P2199" s="46" t="n">
        <v>43193</v>
      </c>
      <c r="Q2199" s="44" t="n">
        <v>1073</v>
      </c>
      <c r="R2199" s="44" t="inlineStr">
        <is>
          <t>No Video ID yet</t>
        </is>
      </c>
      <c r="S2199" s="46" t="n"/>
      <c r="T2199" s="46" t="n"/>
      <c r="U2199" s="44" t="n"/>
      <c r="V2199" s="44">
        <f>IF(AND(P2199&gt;=Calendar!$K$2,P2199&lt;EDATE(Calendar!$K$2,1),OR(Calendar!$K$4="*",N2199=Calendar!$K$4)),P2199*100+COUNTIFS($P$6:$P$3271,P2199,$Q$6:$Q$3271,"&lt;="&amp;Q2199,$N$6:$N$3271,Calendar!$K$4),"")</f>
        <v/>
      </c>
      <c r="W2199" s="44">
        <f>IF(AND(B2199=Queue!$C$4,OR(Queue!$K$4="*",N2199=Queue!$K$4)),Q2199,"")</f>
        <v/>
      </c>
    </row>
    <row r="2200">
      <c r="A2200" s="35">
        <f>IF(M2200="","",HYPERLINK("https://www.youtube.com/watch?v="&amp;M2200,"▶"))</f>
        <v/>
      </c>
      <c r="B2200" s="36">
        <f>IF(C2200&lt;&gt;"",C2200,IF(P2200&lt;=IFERROR(INDEX(tblChannels[Watched Through],MATCH(N2200,tblChannels[Channel ID],0)),0),"Watched","Unwatched"))</f>
        <v/>
      </c>
      <c r="C2200" s="37" t="n"/>
      <c r="D2200" s="38" t="n"/>
      <c r="E2200" s="39" t="n">
        <v>43193.4375</v>
      </c>
      <c r="F2200" s="49" t="inlineStr">
        <is>
          <t>Super Carlin Gaming</t>
        </is>
      </c>
      <c r="G2200" t="inlineStr">
        <is>
          <t>The Pretzel Method | Mario Kart Roulette 85??</t>
        </is>
      </c>
      <c r="H2200" s="41" t="n">
        <v>0.0115162037037037</v>
      </c>
      <c r="I2200" s="42" t="n">
        <v>7970</v>
      </c>
      <c r="J2200" s="42" t="n">
        <v>380</v>
      </c>
      <c r="K2200" s="42" t="n">
        <v>159</v>
      </c>
      <c r="L2200" s="43" t="n"/>
      <c r="M2200" s="44" t="n"/>
      <c r="N2200" s="44" t="inlineStr">
        <is>
          <t>UCor_9jRnNNZVzTuQ92PKsaQ</t>
        </is>
      </c>
      <c r="O2200" s="45" t="n">
        <v>43193.60416666666</v>
      </c>
      <c r="P2200" s="46" t="n">
        <v>43193</v>
      </c>
      <c r="Q2200" s="44" t="n">
        <v>1072</v>
      </c>
      <c r="R2200" s="44" t="inlineStr">
        <is>
          <t>No Video ID yet</t>
        </is>
      </c>
      <c r="S2200" s="46" t="n"/>
      <c r="T2200" s="46" t="n"/>
      <c r="U2200" s="44" t="n"/>
      <c r="V2200" s="44">
        <f>IF(AND(P2200&gt;=Calendar!$K$2,P2200&lt;EDATE(Calendar!$K$2,1),OR(Calendar!$K$4="*",N2200=Calendar!$K$4)),P2200*100+COUNTIFS($P$6:$P$3271,P2200,$Q$6:$Q$3271,"&lt;="&amp;Q2200,$N$6:$N$3271,Calendar!$K$4),"")</f>
        <v/>
      </c>
      <c r="W2200" s="44">
        <f>IF(AND(B2200=Queue!$C$4,OR(Queue!$K$4="*",N2200=Queue!$K$4)),Q2200,"")</f>
        <v/>
      </c>
    </row>
    <row r="2201">
      <c r="A2201" s="35">
        <f>IF(M2201="","",HYPERLINK("https://www.youtube.com/watch?v="&amp;M2201,"▶"))</f>
        <v/>
      </c>
      <c r="B2201" s="36">
        <f>IF(C2201&lt;&gt;"",C2201,IF(P2201&lt;=IFERROR(INDEX(tblChannels[Watched Through],MATCH(N2201,tblChannels[Channel ID],0)),0),"Watched","Unwatched"))</f>
        <v/>
      </c>
      <c r="C2201" s="37" t="n"/>
      <c r="D2201" s="38" t="n"/>
      <c r="E2201" s="39" t="n">
        <v>43192.49305555555</v>
      </c>
      <c r="F2201" s="50" t="inlineStr">
        <is>
          <t>Jonathan Carlin</t>
        </is>
      </c>
      <c r="G2201" t="inlineStr">
        <is>
          <t>DISNEY WORLD ADVENTURE!</t>
        </is>
      </c>
      <c r="H2201" s="41" t="n">
        <v>0.00787037037037037</v>
      </c>
      <c r="I2201" s="42" t="n">
        <v>76059</v>
      </c>
      <c r="J2201" s="42" t="n">
        <v>2885</v>
      </c>
      <c r="K2201" s="42" t="n">
        <v>312</v>
      </c>
      <c r="L2201" s="43" t="n"/>
      <c r="M2201" s="44" t="n"/>
      <c r="N2201" s="44" t="inlineStr">
        <is>
          <t>UCYPKFe86e6nm4TVUYKLsFUQ</t>
        </is>
      </c>
      <c r="O2201" s="45" t="n">
        <v>43192.65972222222</v>
      </c>
      <c r="P2201" s="46" t="n">
        <v>43192</v>
      </c>
      <c r="Q2201" s="44" t="n">
        <v>1071</v>
      </c>
      <c r="R2201" s="44" t="inlineStr">
        <is>
          <t>No Video ID yet</t>
        </is>
      </c>
      <c r="S2201" s="46" t="n"/>
      <c r="T2201" s="46" t="n"/>
      <c r="U2201" s="44" t="n"/>
      <c r="V2201" s="44">
        <f>IF(AND(P2201&gt;=Calendar!$K$2,P2201&lt;EDATE(Calendar!$K$2,1),OR(Calendar!$K$4="*",N2201=Calendar!$K$4)),P2201*100+COUNTIFS($P$6:$P$3271,P2201,$Q$6:$Q$3271,"&lt;="&amp;Q2201,$N$6:$N$3271,Calendar!$K$4),"")</f>
        <v/>
      </c>
      <c r="W2201" s="44">
        <f>IF(AND(B2201=Queue!$C$4,OR(Queue!$K$4="*",N2201=Queue!$K$4)),Q2201,"")</f>
        <v/>
      </c>
    </row>
    <row r="2202">
      <c r="A2202" s="35">
        <f>IF(M2202="","",HYPERLINK("https://www.youtube.com/watch?v="&amp;M2202,"▶"))</f>
        <v/>
      </c>
      <c r="B2202" s="36">
        <f>IF(C2202&lt;&gt;"",C2202,IF(P2202&lt;=IFERROR(INDEX(tblChannels[Watched Through],MATCH(N2202,tblChannels[Channel ID],0)),0),"Watched","Unwatched"))</f>
        <v/>
      </c>
      <c r="C2202" s="37" t="n"/>
      <c r="D2202" s="38" t="n"/>
      <c r="E2202" s="39" t="n">
        <v>43188.66111111111</v>
      </c>
      <c r="F2202" s="47" t="inlineStr">
        <is>
          <t>Super Carlin Brothers</t>
        </is>
      </c>
      <c r="G2202" t="inlineStr">
        <is>
          <t>The Most Underrated Disney Movie EVER!</t>
        </is>
      </c>
      <c r="H2202" s="41" t="n">
        <v>0.006956018518518518</v>
      </c>
      <c r="I2202" s="42" t="n">
        <v>1342579</v>
      </c>
      <c r="J2202" s="42" t="n">
        <v>39786</v>
      </c>
      <c r="K2202" s="42" t="n">
        <v>8048</v>
      </c>
      <c r="L2202" s="43" t="n"/>
      <c r="M2202" s="44" t="n"/>
      <c r="N2202" s="44" t="inlineStr">
        <is>
          <t>UCKZo4N0lVPccBkSiuyVh4yg</t>
        </is>
      </c>
      <c r="O2202" s="45" t="n">
        <v>43188.82777777778</v>
      </c>
      <c r="P2202" s="46" t="n">
        <v>43188</v>
      </c>
      <c r="Q2202" s="44" t="n">
        <v>1070</v>
      </c>
      <c r="R2202" s="44" t="inlineStr">
        <is>
          <t>No Video ID yet</t>
        </is>
      </c>
      <c r="S2202" s="46" t="n"/>
      <c r="T2202" s="46" t="n"/>
      <c r="U2202" s="44" t="n"/>
      <c r="V2202" s="44">
        <f>IF(AND(P2202&gt;=Calendar!$K$2,P2202&lt;EDATE(Calendar!$K$2,1),OR(Calendar!$K$4="*",N2202=Calendar!$K$4)),P2202*100+COUNTIFS($P$6:$P$3271,P2202,$Q$6:$Q$3271,"&lt;="&amp;Q2202,$N$6:$N$3271,Calendar!$K$4),"")</f>
        <v/>
      </c>
      <c r="W2202" s="44">
        <f>IF(AND(B2202=Queue!$C$4,OR(Queue!$K$4="*",N2202=Queue!$K$4)),Q2202,"")</f>
        <v/>
      </c>
    </row>
    <row r="2203">
      <c r="A2203" s="35">
        <f>IF(M2203="","",HYPERLINK("https://www.youtube.com/watch?v="&amp;M2203,"▶"))</f>
        <v/>
      </c>
      <c r="B2203" s="36">
        <f>IF(C2203&lt;&gt;"",C2203,IF(P2203&lt;=IFERROR(INDEX(tblChannels[Watched Through],MATCH(N2203,tblChannels[Channel ID],0)),0),"Watched","Unwatched"))</f>
        <v/>
      </c>
      <c r="C2203" s="37" t="n"/>
      <c r="D2203" s="38" t="n"/>
      <c r="E2203" s="39" t="n">
        <v>43188.41666666666</v>
      </c>
      <c r="F2203" s="49" t="inlineStr">
        <is>
          <t>Super Carlin Gaming</t>
        </is>
      </c>
      <c r="G2203" t="inlineStr">
        <is>
          <t>Living with the Ex | Mario Kart Roulette #84</t>
        </is>
      </c>
      <c r="H2203" s="41" t="n">
        <v>0.01390046296296296</v>
      </c>
      <c r="I2203" s="42" t="n">
        <v>8577</v>
      </c>
      <c r="J2203" s="42" t="n">
        <v>370</v>
      </c>
      <c r="K2203" s="42" t="n">
        <v>141</v>
      </c>
      <c r="L2203" s="43" t="n"/>
      <c r="M2203" s="44" t="n"/>
      <c r="N2203" s="44" t="inlineStr">
        <is>
          <t>UCor_9jRnNNZVzTuQ92PKsaQ</t>
        </is>
      </c>
      <c r="O2203" s="45" t="n">
        <v>43188.58333333334</v>
      </c>
      <c r="P2203" s="46" t="n">
        <v>43188</v>
      </c>
      <c r="Q2203" s="44" t="n">
        <v>1069</v>
      </c>
      <c r="R2203" s="44" t="inlineStr">
        <is>
          <t>No Video ID yet</t>
        </is>
      </c>
      <c r="S2203" s="46" t="n"/>
      <c r="T2203" s="46" t="n"/>
      <c r="U2203" s="44" t="n"/>
      <c r="V2203" s="44">
        <f>IF(AND(P2203&gt;=Calendar!$K$2,P2203&lt;EDATE(Calendar!$K$2,1),OR(Calendar!$K$4="*",N2203=Calendar!$K$4)),P2203*100+COUNTIFS($P$6:$P$3271,P2203,$Q$6:$Q$3271,"&lt;="&amp;Q2203,$N$6:$N$3271,Calendar!$K$4),"")</f>
        <v/>
      </c>
      <c r="W2203" s="44">
        <f>IF(AND(B2203=Queue!$C$4,OR(Queue!$K$4="*",N2203=Queue!$K$4)),Q2203,"")</f>
        <v/>
      </c>
    </row>
    <row r="2204">
      <c r="A2204" s="35">
        <f>IF(M2204="","",HYPERLINK("https://www.youtube.com/watch?v="&amp;M2204,"▶"))</f>
        <v/>
      </c>
      <c r="B2204" s="36">
        <f>IF(C2204&lt;&gt;"",C2204,IF(P2204&lt;=IFERROR(INDEX(tblChannels[Watched Through],MATCH(N2204,tblChannels[Channel ID],0)),0),"Watched","Unwatched"))</f>
        <v/>
      </c>
      <c r="C2204" s="37" t="n"/>
      <c r="D2204" s="38" t="n"/>
      <c r="E2204" s="39" t="n">
        <v>43186.61666666667</v>
      </c>
      <c r="F2204" s="47" t="inlineStr">
        <is>
          <t>Super Carlin Brothers</t>
        </is>
      </c>
      <c r="G2204" t="inlineStr">
        <is>
          <t>Figment: The Most Popular Disney Character You've Never Heard Of</t>
        </is>
      </c>
      <c r="H2204" s="41" t="n">
        <v>0.006678240740740741</v>
      </c>
      <c r="I2204" s="42" t="n">
        <v>687754</v>
      </c>
      <c r="J2204" s="42" t="n">
        <v>22127</v>
      </c>
      <c r="K2204" s="42" t="n">
        <v>5136</v>
      </c>
      <c r="L2204" s="43" t="n"/>
      <c r="M2204" s="44" t="n"/>
      <c r="N2204" s="44" t="inlineStr">
        <is>
          <t>UCKZo4N0lVPccBkSiuyVh4yg</t>
        </is>
      </c>
      <c r="O2204" s="45" t="n">
        <v>43186.78333333333</v>
      </c>
      <c r="P2204" s="46" t="n">
        <v>43186</v>
      </c>
      <c r="Q2204" s="44" t="n">
        <v>1068</v>
      </c>
      <c r="R2204" s="44" t="inlineStr">
        <is>
          <t>No Video ID yet</t>
        </is>
      </c>
      <c r="S2204" s="46" t="n"/>
      <c r="T2204" s="46" t="n"/>
      <c r="U2204" s="44" t="n"/>
      <c r="V2204" s="44">
        <f>IF(AND(P2204&gt;=Calendar!$K$2,P2204&lt;EDATE(Calendar!$K$2,1),OR(Calendar!$K$4="*",N2204=Calendar!$K$4)),P2204*100+COUNTIFS($P$6:$P$3271,P2204,$Q$6:$Q$3271,"&lt;="&amp;Q2204,$N$6:$N$3271,Calendar!$K$4),"")</f>
        <v/>
      </c>
      <c r="W2204" s="44">
        <f>IF(AND(B2204=Queue!$C$4,OR(Queue!$K$4="*",N2204=Queue!$K$4)),Q2204,"")</f>
        <v/>
      </c>
    </row>
    <row r="2205">
      <c r="A2205" s="35">
        <f>IF(M2205="","",HYPERLINK("https://www.youtube.com/watch?v="&amp;M2205,"▶"))</f>
        <v/>
      </c>
      <c r="B2205" s="36">
        <f>IF(C2205&lt;&gt;"",C2205,IF(P2205&lt;=IFERROR(INDEX(tblChannels[Watched Through],MATCH(N2205,tblChannels[Channel ID],0)),0),"Watched","Unwatched"))</f>
        <v/>
      </c>
      <c r="C2205" s="37" t="n"/>
      <c r="D2205" s="38" t="n"/>
      <c r="E2205" s="39" t="n">
        <v>43186.57847222222</v>
      </c>
      <c r="F2205" s="50" t="inlineStr">
        <is>
          <t>Jonathan Carlin</t>
        </is>
      </c>
      <c r="G2205" t="inlineStr">
        <is>
          <t>Luke Is Three Months Old!</t>
        </is>
      </c>
      <c r="H2205" s="41" t="n">
        <v>0.007025462962962963</v>
      </c>
      <c r="I2205" s="42" t="n">
        <v>57194</v>
      </c>
      <c r="J2205" s="42" t="n">
        <v>2254</v>
      </c>
      <c r="K2205" s="42" t="n">
        <v>263</v>
      </c>
      <c r="L2205" s="43" t="n"/>
      <c r="M2205" s="44" t="n"/>
      <c r="N2205" s="44" t="inlineStr">
        <is>
          <t>UCYPKFe86e6nm4TVUYKLsFUQ</t>
        </is>
      </c>
      <c r="O2205" s="45" t="n">
        <v>43186.74513888889</v>
      </c>
      <c r="P2205" s="46" t="n">
        <v>43186</v>
      </c>
      <c r="Q2205" s="44" t="n">
        <v>1067</v>
      </c>
      <c r="R2205" s="44" t="inlineStr">
        <is>
          <t>No Video ID yet</t>
        </is>
      </c>
      <c r="S2205" s="46" t="n"/>
      <c r="T2205" s="46" t="n"/>
      <c r="U2205" s="44" t="n"/>
      <c r="V2205" s="44">
        <f>IF(AND(P2205&gt;=Calendar!$K$2,P2205&lt;EDATE(Calendar!$K$2,1),OR(Calendar!$K$4="*",N2205=Calendar!$K$4)),P2205*100+COUNTIFS($P$6:$P$3271,P2205,$Q$6:$Q$3271,"&lt;="&amp;Q2205,$N$6:$N$3271,Calendar!$K$4),"")</f>
        <v/>
      </c>
      <c r="W2205" s="44">
        <f>IF(AND(B2205=Queue!$C$4,OR(Queue!$K$4="*",N2205=Queue!$K$4)),Q2205,"")</f>
        <v/>
      </c>
    </row>
    <row r="2206">
      <c r="A2206" s="35">
        <f>IF(M2206="","",HYPERLINK("https://www.youtube.com/watch?v="&amp;M2206,"▶"))</f>
        <v/>
      </c>
      <c r="B2206" s="36">
        <f>IF(C2206&lt;&gt;"",C2206,IF(P2206&lt;=IFERROR(INDEX(tblChannels[Watched Through],MATCH(N2206,tblChannels[Channel ID],0)),0),"Watched","Unwatched"))</f>
        <v/>
      </c>
      <c r="C2206" s="37" t="n"/>
      <c r="D2206" s="38" t="n"/>
      <c r="E2206" s="39" t="n">
        <v>43186.46597222222</v>
      </c>
      <c r="F2206" s="49" t="inlineStr">
        <is>
          <t>Super Carlin Gaming</t>
        </is>
      </c>
      <c r="G2206" t="inlineStr">
        <is>
          <t>Elephant in a Dress | Mario Kart Roulette #83</t>
        </is>
      </c>
      <c r="H2206" s="41" t="n">
        <v>0.01141203703703704</v>
      </c>
      <c r="I2206" s="42" t="n">
        <v>8306</v>
      </c>
      <c r="J2206" s="42" t="n">
        <v>356</v>
      </c>
      <c r="K2206" s="42" t="n">
        <v>177</v>
      </c>
      <c r="L2206" s="43" t="n"/>
      <c r="M2206" s="44" t="n"/>
      <c r="N2206" s="44" t="inlineStr">
        <is>
          <t>UCor_9jRnNNZVzTuQ92PKsaQ</t>
        </is>
      </c>
      <c r="O2206" s="45" t="n">
        <v>43186.63263888889</v>
      </c>
      <c r="P2206" s="46" t="n">
        <v>43186</v>
      </c>
      <c r="Q2206" s="44" t="n">
        <v>1066</v>
      </c>
      <c r="R2206" s="44" t="inlineStr">
        <is>
          <t>No Video ID yet</t>
        </is>
      </c>
      <c r="S2206" s="46" t="n"/>
      <c r="T2206" s="46" t="n"/>
      <c r="U2206" s="44" t="n"/>
      <c r="V2206" s="44">
        <f>IF(AND(P2206&gt;=Calendar!$K$2,P2206&lt;EDATE(Calendar!$K$2,1),OR(Calendar!$K$4="*",N2206=Calendar!$K$4)),P2206*100+COUNTIFS($P$6:$P$3271,P2206,$Q$6:$Q$3271,"&lt;="&amp;Q2206,$N$6:$N$3271,Calendar!$K$4),"")</f>
        <v/>
      </c>
      <c r="W2206" s="44">
        <f>IF(AND(B2206=Queue!$C$4,OR(Queue!$K$4="*",N2206=Queue!$K$4)),Q2206,"")</f>
        <v/>
      </c>
    </row>
    <row r="2207">
      <c r="A2207" s="35">
        <f>IF(M2207="","",HYPERLINK("https://www.youtube.com/watch?v="&amp;M2207,"▶"))</f>
        <v/>
      </c>
      <c r="B2207" s="36">
        <f>IF(C2207&lt;&gt;"",C2207,IF(P2207&lt;=IFERROR(INDEX(tblChannels[Watched Through],MATCH(N2207,tblChannels[Channel ID],0)),0),"Watched","Unwatched"))</f>
        <v/>
      </c>
      <c r="C2207" s="37" t="n"/>
      <c r="D2207" s="38" t="n"/>
      <c r="E2207" s="39" t="n">
        <v>43182.74375</v>
      </c>
      <c r="F2207" s="49" t="inlineStr">
        <is>
          <t>Super Carlin Gaming</t>
        </is>
      </c>
      <c r="G2207" t="inlineStr">
        <is>
          <t>Friday Mario Kart Live Stream - J vs. The World!</t>
        </is>
      </c>
      <c r="H2207" s="41" t="n">
        <v>0.06498842592592592</v>
      </c>
      <c r="I2207" s="42" t="n">
        <v>6024</v>
      </c>
      <c r="J2207" s="42" t="n">
        <v>200</v>
      </c>
      <c r="K2207" s="42" t="n">
        <v>22</v>
      </c>
      <c r="L2207" s="43" t="n"/>
      <c r="M2207" s="44" t="n"/>
      <c r="N2207" s="44" t="inlineStr">
        <is>
          <t>UCor_9jRnNNZVzTuQ92PKsaQ</t>
        </is>
      </c>
      <c r="O2207" s="45" t="n">
        <v>43182.91041666667</v>
      </c>
      <c r="P2207" s="46" t="n">
        <v>43182</v>
      </c>
      <c r="Q2207" s="44" t="n">
        <v>1065</v>
      </c>
      <c r="R2207" s="44" t="inlineStr">
        <is>
          <t>No Video ID yet</t>
        </is>
      </c>
      <c r="S2207" s="46" t="n"/>
      <c r="T2207" s="46" t="n"/>
      <c r="U2207" s="44" t="n"/>
      <c r="V2207" s="44">
        <f>IF(AND(P2207&gt;=Calendar!$K$2,P2207&lt;EDATE(Calendar!$K$2,1),OR(Calendar!$K$4="*",N2207=Calendar!$K$4)),P2207*100+COUNTIFS($P$6:$P$3271,P2207,$Q$6:$Q$3271,"&lt;="&amp;Q2207,$N$6:$N$3271,Calendar!$K$4),"")</f>
        <v/>
      </c>
      <c r="W2207" s="44">
        <f>IF(AND(B2207=Queue!$C$4,OR(Queue!$K$4="*",N2207=Queue!$K$4)),Q2207,"")</f>
        <v/>
      </c>
    </row>
    <row r="2208">
      <c r="A2208" s="35">
        <f>IF(M2208="","",HYPERLINK("https://www.youtube.com/watch?v="&amp;M2208,"▶"))</f>
        <v/>
      </c>
      <c r="B2208" s="36">
        <f>IF(C2208&lt;&gt;"",C2208,IF(P2208&lt;=IFERROR(INDEX(tblChannels[Watched Through],MATCH(N2208,tblChannels[Channel ID],0)),0),"Watched","Unwatched"))</f>
        <v/>
      </c>
      <c r="C2208" s="37" t="n"/>
      <c r="D2208" s="38" t="n"/>
      <c r="E2208" s="39" t="n">
        <v>43181.62222222222</v>
      </c>
      <c r="F2208" s="47" t="inlineStr">
        <is>
          <t>Super Carlin Brothers</t>
        </is>
      </c>
      <c r="G2208" t="inlineStr">
        <is>
          <t>J vs Ben: ULTIMATE Frozen Trivia Quiz</t>
        </is>
      </c>
      <c r="H2208" s="41" t="n">
        <v>0.02082175925925926</v>
      </c>
      <c r="I2208" s="42" t="n">
        <v>546192</v>
      </c>
      <c r="J2208" s="42" t="n">
        <v>12207</v>
      </c>
      <c r="K2208" s="42" t="n">
        <v>2754</v>
      </c>
      <c r="L2208" s="43" t="n"/>
      <c r="M2208" s="44" t="n"/>
      <c r="N2208" s="44" t="inlineStr">
        <is>
          <t>UCKZo4N0lVPccBkSiuyVh4yg</t>
        </is>
      </c>
      <c r="O2208" s="45" t="n">
        <v>43181.78888888889</v>
      </c>
      <c r="P2208" s="46" t="n">
        <v>43181</v>
      </c>
      <c r="Q2208" s="44" t="n">
        <v>1064</v>
      </c>
      <c r="R2208" s="44" t="inlineStr">
        <is>
          <t>No Video ID yet</t>
        </is>
      </c>
      <c r="S2208" s="46" t="n"/>
      <c r="T2208" s="46" t="n"/>
      <c r="U2208" s="44" t="n"/>
      <c r="V2208" s="44">
        <f>IF(AND(P2208&gt;=Calendar!$K$2,P2208&lt;EDATE(Calendar!$K$2,1),OR(Calendar!$K$4="*",N2208=Calendar!$K$4)),P2208*100+COUNTIFS($P$6:$P$3271,P2208,$Q$6:$Q$3271,"&lt;="&amp;Q2208,$N$6:$N$3271,Calendar!$K$4),"")</f>
        <v/>
      </c>
      <c r="W2208" s="44">
        <f>IF(AND(B2208=Queue!$C$4,OR(Queue!$K$4="*",N2208=Queue!$K$4)),Q2208,"")</f>
        <v/>
      </c>
    </row>
    <row r="2209">
      <c r="A2209" s="35">
        <f>IF(M2209="","",HYPERLINK("https://www.youtube.com/watch?v="&amp;M2209,"▶"))</f>
        <v/>
      </c>
      <c r="B2209" s="36">
        <f>IF(C2209&lt;&gt;"",C2209,IF(P2209&lt;=IFERROR(INDEX(tblChannels[Watched Through],MATCH(N2209,tblChannels[Channel ID],0)),0),"Watched","Unwatched"))</f>
        <v/>
      </c>
      <c r="C2209" s="37" t="n"/>
      <c r="D2209" s="38" t="n"/>
      <c r="E2209" s="39" t="n">
        <v>43181.4375</v>
      </c>
      <c r="F2209" s="49" t="inlineStr">
        <is>
          <t>Super Carlin Gaming</t>
        </is>
      </c>
      <c r="G2209" t="inlineStr">
        <is>
          <t>Something Got Messed Up | Mario Kart Roulette #82</t>
        </is>
      </c>
      <c r="H2209" s="41" t="n">
        <v>0.01315972222222222</v>
      </c>
      <c r="I2209" s="42" t="n">
        <v>8622</v>
      </c>
      <c r="J2209" s="42" t="n">
        <v>376</v>
      </c>
      <c r="K2209" s="42" t="n">
        <v>163</v>
      </c>
      <c r="L2209" s="43" t="n"/>
      <c r="M2209" s="44" t="n"/>
      <c r="N2209" s="44" t="inlineStr">
        <is>
          <t>UCor_9jRnNNZVzTuQ92PKsaQ</t>
        </is>
      </c>
      <c r="O2209" s="45" t="n">
        <v>43181.60416666666</v>
      </c>
      <c r="P2209" s="46" t="n">
        <v>43181</v>
      </c>
      <c r="Q2209" s="44" t="n">
        <v>1063</v>
      </c>
      <c r="R2209" s="44" t="inlineStr">
        <is>
          <t>No Video ID yet</t>
        </is>
      </c>
      <c r="S2209" s="46" t="n"/>
      <c r="T2209" s="46" t="n"/>
      <c r="U2209" s="44" t="n"/>
      <c r="V2209" s="44">
        <f>IF(AND(P2209&gt;=Calendar!$K$2,P2209&lt;EDATE(Calendar!$K$2,1),OR(Calendar!$K$4="*",N2209=Calendar!$K$4)),P2209*100+COUNTIFS($P$6:$P$3271,P2209,$Q$6:$Q$3271,"&lt;="&amp;Q2209,$N$6:$N$3271,Calendar!$K$4),"")</f>
        <v/>
      </c>
      <c r="W2209" s="44">
        <f>IF(AND(B2209=Queue!$C$4,OR(Queue!$K$4="*",N2209=Queue!$K$4)),Q2209,"")</f>
        <v/>
      </c>
    </row>
    <row r="2210">
      <c r="A2210" s="35">
        <f>IF(M2210="","",HYPERLINK("https://www.youtube.com/watch?v="&amp;M2210,"▶"))</f>
        <v/>
      </c>
      <c r="B2210" s="36">
        <f>IF(C2210&lt;&gt;"",C2210,IF(P2210&lt;=IFERROR(INDEX(tblChannels[Watched Through],MATCH(N2210,tblChannels[Channel ID],0)),0),"Watched","Unwatched"))</f>
        <v/>
      </c>
      <c r="C2210" s="37" t="n"/>
      <c r="D2210" s="38" t="n"/>
      <c r="E2210" s="39" t="n">
        <v>43179.69930555556</v>
      </c>
      <c r="F2210" s="47" t="inlineStr">
        <is>
          <t>Super Carlin Brothers</t>
        </is>
      </c>
      <c r="G2210" t="inlineStr">
        <is>
          <t>Is "Harry Potter and the Cursed Child" Canon?</t>
        </is>
      </c>
      <c r="H2210" s="41" t="n">
        <v>0.009328703703703704</v>
      </c>
      <c r="I2210" s="42" t="n">
        <v>1081134</v>
      </c>
      <c r="J2210" s="42" t="n">
        <v>34190</v>
      </c>
      <c r="K2210" s="42" t="n">
        <v>7470</v>
      </c>
      <c r="L2210" s="43" t="n"/>
      <c r="M2210" s="44" t="n"/>
      <c r="N2210" s="44" t="inlineStr">
        <is>
          <t>UCKZo4N0lVPccBkSiuyVh4yg</t>
        </is>
      </c>
      <c r="O2210" s="45" t="n">
        <v>43179.86597222222</v>
      </c>
      <c r="P2210" s="46" t="n">
        <v>43179</v>
      </c>
      <c r="Q2210" s="44" t="n">
        <v>1062</v>
      </c>
      <c r="R2210" s="44" t="inlineStr">
        <is>
          <t>No Video ID yet</t>
        </is>
      </c>
      <c r="S2210" s="46" t="n"/>
      <c r="T2210" s="46" t="n"/>
      <c r="U2210" s="44" t="n"/>
      <c r="V2210" s="44">
        <f>IF(AND(P2210&gt;=Calendar!$K$2,P2210&lt;EDATE(Calendar!$K$2,1),OR(Calendar!$K$4="*",N2210=Calendar!$K$4)),P2210*100+COUNTIFS($P$6:$P$3271,P2210,$Q$6:$Q$3271,"&lt;="&amp;Q2210,$N$6:$N$3271,Calendar!$K$4),"")</f>
        <v/>
      </c>
      <c r="W2210" s="44">
        <f>IF(AND(B2210=Queue!$C$4,OR(Queue!$K$4="*",N2210=Queue!$K$4)),Q2210,"")</f>
        <v/>
      </c>
    </row>
    <row r="2211">
      <c r="A2211" s="35">
        <f>IF(M2211="","",HYPERLINK("https://www.youtube.com/watch?v="&amp;M2211,"▶"))</f>
        <v/>
      </c>
      <c r="B2211" s="36">
        <f>IF(C2211&lt;&gt;"",C2211,IF(P2211&lt;=IFERROR(INDEX(tblChannels[Watched Through],MATCH(N2211,tblChannels[Channel ID],0)),0),"Watched","Unwatched"))</f>
        <v/>
      </c>
      <c r="C2211" s="37" t="n"/>
      <c r="D2211" s="38" t="n"/>
      <c r="E2211" s="39" t="n">
        <v>43179.44722222222</v>
      </c>
      <c r="F2211" s="49" t="inlineStr">
        <is>
          <t>Super Carlin Gaming</t>
        </is>
      </c>
      <c r="G2211" t="inlineStr">
        <is>
          <t>Dealing With Anxiety | Mario Kart Roulette #81</t>
        </is>
      </c>
      <c r="H2211" s="41" t="n">
        <v>0.01168981481481481</v>
      </c>
      <c r="I2211" s="42" t="n">
        <v>8669</v>
      </c>
      <c r="J2211" s="42" t="n">
        <v>414</v>
      </c>
      <c r="K2211" s="42" t="n">
        <v>128</v>
      </c>
      <c r="L2211" s="43" t="n"/>
      <c r="M2211" s="44" t="n"/>
      <c r="N2211" s="44" t="inlineStr">
        <is>
          <t>UCor_9jRnNNZVzTuQ92PKsaQ</t>
        </is>
      </c>
      <c r="O2211" s="45" t="n">
        <v>43179.61388888889</v>
      </c>
      <c r="P2211" s="46" t="n">
        <v>43179</v>
      </c>
      <c r="Q2211" s="44" t="n">
        <v>1061</v>
      </c>
      <c r="R2211" s="44" t="inlineStr">
        <is>
          <t>No Video ID yet</t>
        </is>
      </c>
      <c r="S2211" s="46" t="n"/>
      <c r="T2211" s="46" t="n"/>
      <c r="U2211" s="44" t="n"/>
      <c r="V2211" s="44">
        <f>IF(AND(P2211&gt;=Calendar!$K$2,P2211&lt;EDATE(Calendar!$K$2,1),OR(Calendar!$K$4="*",N2211=Calendar!$K$4)),P2211*100+COUNTIFS($P$6:$P$3271,P2211,$Q$6:$Q$3271,"&lt;="&amp;Q2211,$N$6:$N$3271,Calendar!$K$4),"")</f>
        <v/>
      </c>
      <c r="W2211" s="44">
        <f>IF(AND(B2211=Queue!$C$4,OR(Queue!$K$4="*",N2211=Queue!$K$4)),Q2211,"")</f>
        <v/>
      </c>
    </row>
    <row r="2212">
      <c r="A2212" s="35">
        <f>IF(M2212="","",HYPERLINK("https://www.youtube.com/watch?v="&amp;M2212,"▶"))</f>
        <v/>
      </c>
      <c r="B2212" s="36">
        <f>IF(C2212&lt;&gt;"",C2212,IF(P2212&lt;=IFERROR(INDEX(tblChannels[Watched Through],MATCH(N2212,tblChannels[Channel ID],0)),0),"Watched","Unwatched"))</f>
        <v/>
      </c>
      <c r="C2212" s="37" t="n"/>
      <c r="D2212" s="38" t="n"/>
      <c r="E2212" s="39" t="n">
        <v>43178.69444444445</v>
      </c>
      <c r="F2212" s="50" t="inlineStr">
        <is>
          <t>Jonathan Carlin</t>
        </is>
      </c>
      <c r="G2212" t="inlineStr">
        <is>
          <t>The Difference A Year Makes</t>
        </is>
      </c>
      <c r="H2212" s="41" t="n">
        <v>0.005486111111111111</v>
      </c>
      <c r="I2212" s="42" t="n">
        <v>46714</v>
      </c>
      <c r="J2212" s="42" t="n">
        <v>2259</v>
      </c>
      <c r="K2212" s="42" t="n">
        <v>211</v>
      </c>
      <c r="L2212" s="43" t="n"/>
      <c r="M2212" s="44" t="n"/>
      <c r="N2212" s="44" t="inlineStr">
        <is>
          <t>UCYPKFe86e6nm4TVUYKLsFUQ</t>
        </is>
      </c>
      <c r="O2212" s="45" t="n">
        <v>43178.86111111111</v>
      </c>
      <c r="P2212" s="46" t="n">
        <v>43178</v>
      </c>
      <c r="Q2212" s="44" t="n">
        <v>1060</v>
      </c>
      <c r="R2212" s="44" t="inlineStr">
        <is>
          <t>No Video ID yet</t>
        </is>
      </c>
      <c r="S2212" s="46" t="n"/>
      <c r="T2212" s="46" t="n"/>
      <c r="U2212" s="44" t="n"/>
      <c r="V2212" s="44">
        <f>IF(AND(P2212&gt;=Calendar!$K$2,P2212&lt;EDATE(Calendar!$K$2,1),OR(Calendar!$K$4="*",N2212=Calendar!$K$4)),P2212*100+COUNTIFS($P$6:$P$3271,P2212,$Q$6:$Q$3271,"&lt;="&amp;Q2212,$N$6:$N$3271,Calendar!$K$4),"")</f>
        <v/>
      </c>
      <c r="W2212" s="44">
        <f>IF(AND(B2212=Queue!$C$4,OR(Queue!$K$4="*",N2212=Queue!$K$4)),Q2212,"")</f>
        <v/>
      </c>
    </row>
    <row r="2213">
      <c r="A2213" s="35">
        <f>IF(M2213="","",HYPERLINK("https://www.youtube.com/watch?v="&amp;M2213,"▶"))</f>
        <v/>
      </c>
      <c r="B2213" s="36">
        <f>IF(C2213&lt;&gt;"",C2213,IF(P2213&lt;=IFERROR(INDEX(tblChannels[Watched Through],MATCH(N2213,tblChannels[Channel ID],0)),0),"Watched","Unwatched"))</f>
        <v/>
      </c>
      <c r="C2213" s="37" t="n"/>
      <c r="D2213" s="38" t="n"/>
      <c r="E2213" s="39" t="n">
        <v>43174.70138888889</v>
      </c>
      <c r="F2213" s="47" t="inlineStr">
        <is>
          <t>Super Carlin Brothers</t>
        </is>
      </c>
      <c r="G2213" t="inlineStr">
        <is>
          <t>Harry Potter Is An Imposter?</t>
        </is>
      </c>
      <c r="H2213" s="41" t="n">
        <v>0.006631944444444445</v>
      </c>
      <c r="I2213" s="42" t="n">
        <v>863525</v>
      </c>
      <c r="J2213" s="42" t="n">
        <v>25739</v>
      </c>
      <c r="K2213" s="42" t="n">
        <v>2905</v>
      </c>
      <c r="L2213" s="43" t="n"/>
      <c r="M2213" s="44" t="n"/>
      <c r="N2213" s="44" t="inlineStr">
        <is>
          <t>UCKZo4N0lVPccBkSiuyVh4yg</t>
        </is>
      </c>
      <c r="O2213" s="45" t="n">
        <v>43174.86805555555</v>
      </c>
      <c r="P2213" s="46" t="n">
        <v>43174</v>
      </c>
      <c r="Q2213" s="44" t="n">
        <v>1059</v>
      </c>
      <c r="R2213" s="44" t="inlineStr">
        <is>
          <t>No Video ID yet</t>
        </is>
      </c>
      <c r="S2213" s="46" t="n"/>
      <c r="T2213" s="46" t="n"/>
      <c r="U2213" s="44" t="n"/>
      <c r="V2213" s="44">
        <f>IF(AND(P2213&gt;=Calendar!$K$2,P2213&lt;EDATE(Calendar!$K$2,1),OR(Calendar!$K$4="*",N2213=Calendar!$K$4)),P2213*100+COUNTIFS($P$6:$P$3271,P2213,$Q$6:$Q$3271,"&lt;="&amp;Q2213,$N$6:$N$3271,Calendar!$K$4),"")</f>
        <v/>
      </c>
      <c r="W2213" s="44">
        <f>IF(AND(B2213=Queue!$C$4,OR(Queue!$K$4="*",N2213=Queue!$K$4)),Q2213,"")</f>
        <v/>
      </c>
    </row>
    <row r="2214">
      <c r="A2214" s="35">
        <f>IF(M2214="","",HYPERLINK("https://www.youtube.com/watch?v="&amp;M2214,"▶"))</f>
        <v/>
      </c>
      <c r="B2214" s="36">
        <f>IF(C2214&lt;&gt;"",C2214,IF(P2214&lt;=IFERROR(INDEX(tblChannels[Watched Through],MATCH(N2214,tblChannels[Channel ID],0)),0),"Watched","Unwatched"))</f>
        <v/>
      </c>
      <c r="C2214" s="37" t="n"/>
      <c r="D2214" s="38" t="n"/>
      <c r="E2214" s="39" t="n">
        <v>43174.54722222222</v>
      </c>
      <c r="F2214" s="49" t="inlineStr">
        <is>
          <t>Super Carlin Gaming</t>
        </is>
      </c>
      <c r="G2214" t="inlineStr">
        <is>
          <t>The Double W | Mario Kart Roulette #80</t>
        </is>
      </c>
      <c r="H2214" s="41" t="n">
        <v>0.01260416666666667</v>
      </c>
      <c r="I2214" s="42" t="n">
        <v>9347</v>
      </c>
      <c r="J2214" s="42" t="n">
        <v>370</v>
      </c>
      <c r="K2214" s="42" t="n">
        <v>180</v>
      </c>
      <c r="L2214" s="43" t="n"/>
      <c r="M2214" s="44" t="n"/>
      <c r="N2214" s="44" t="inlineStr">
        <is>
          <t>UCor_9jRnNNZVzTuQ92PKsaQ</t>
        </is>
      </c>
      <c r="O2214" s="45" t="n">
        <v>43174.71388888889</v>
      </c>
      <c r="P2214" s="46" t="n">
        <v>43174</v>
      </c>
      <c r="Q2214" s="44" t="n">
        <v>1058</v>
      </c>
      <c r="R2214" s="44" t="inlineStr">
        <is>
          <t>No Video ID yet</t>
        </is>
      </c>
      <c r="S2214" s="46" t="n"/>
      <c r="T2214" s="46" t="n"/>
      <c r="U2214" s="44" t="n"/>
      <c r="V2214" s="44">
        <f>IF(AND(P2214&gt;=Calendar!$K$2,P2214&lt;EDATE(Calendar!$K$2,1),OR(Calendar!$K$4="*",N2214=Calendar!$K$4)),P2214*100+COUNTIFS($P$6:$P$3271,P2214,$Q$6:$Q$3271,"&lt;="&amp;Q2214,$N$6:$N$3271,Calendar!$K$4),"")</f>
        <v/>
      </c>
      <c r="W2214" s="44">
        <f>IF(AND(B2214=Queue!$C$4,OR(Queue!$K$4="*",N2214=Queue!$K$4)),Q2214,"")</f>
        <v/>
      </c>
    </row>
    <row r="2215">
      <c r="A2215" s="35">
        <f>IF(M2215="","",HYPERLINK("https://www.youtube.com/watch?v="&amp;M2215,"▶"))</f>
        <v/>
      </c>
      <c r="B2215" s="36">
        <f>IF(C2215&lt;&gt;"",C2215,IF(P2215&lt;=IFERROR(INDEX(tblChannels[Watched Through],MATCH(N2215,tblChannels[Channel ID],0)),0),"Watched","Unwatched"))</f>
        <v/>
      </c>
      <c r="C2215" s="37" t="n"/>
      <c r="D2215" s="38" t="n"/>
      <c r="E2215" s="39" t="n">
        <v>43172.87777777778</v>
      </c>
      <c r="F2215" s="47" t="inlineStr">
        <is>
          <t>Super Carlin Brothers</t>
        </is>
      </c>
      <c r="G2215" t="inlineStr">
        <is>
          <t>Bellatrix &amp; Credence Are Related?! | Fantastic Beasts Theory</t>
        </is>
      </c>
      <c r="H2215" s="41" t="n">
        <v>0.007476851851851852</v>
      </c>
      <c r="I2215" s="42" t="n">
        <v>763812</v>
      </c>
      <c r="J2215" s="42" t="n">
        <v>23191</v>
      </c>
      <c r="K2215" s="42" t="n">
        <v>2449</v>
      </c>
      <c r="L2215" s="43" t="n"/>
      <c r="M2215" s="44" t="n"/>
      <c r="N2215" s="44" t="inlineStr">
        <is>
          <t>UCKZo4N0lVPccBkSiuyVh4yg</t>
        </is>
      </c>
      <c r="O2215" s="45" t="n">
        <v>43173.04444444444</v>
      </c>
      <c r="P2215" s="46" t="n">
        <v>43172</v>
      </c>
      <c r="Q2215" s="44" t="n">
        <v>1057</v>
      </c>
      <c r="R2215" s="44" t="inlineStr">
        <is>
          <t>No Video ID yet</t>
        </is>
      </c>
      <c r="S2215" s="46" t="n"/>
      <c r="T2215" s="46" t="n"/>
      <c r="U2215" s="44" t="n"/>
      <c r="V2215" s="44">
        <f>IF(AND(P2215&gt;=Calendar!$K$2,P2215&lt;EDATE(Calendar!$K$2,1),OR(Calendar!$K$4="*",N2215=Calendar!$K$4)),P2215*100+COUNTIFS($P$6:$P$3271,P2215,$Q$6:$Q$3271,"&lt;="&amp;Q2215,$N$6:$N$3271,Calendar!$K$4),"")</f>
        <v/>
      </c>
      <c r="W2215" s="44">
        <f>IF(AND(B2215=Queue!$C$4,OR(Queue!$K$4="*",N2215=Queue!$K$4)),Q2215,"")</f>
        <v/>
      </c>
    </row>
    <row r="2216">
      <c r="A2216" s="35">
        <f>IF(M2216="","",HYPERLINK("https://www.youtube.com/watch?v="&amp;M2216,"▶"))</f>
        <v/>
      </c>
      <c r="B2216" s="36">
        <f>IF(C2216&lt;&gt;"",C2216,IF(P2216&lt;=IFERROR(INDEX(tblChannels[Watched Through],MATCH(N2216,tblChannels[Channel ID],0)),0),"Watched","Unwatched"))</f>
        <v/>
      </c>
      <c r="C2216" s="37" t="n"/>
      <c r="D2216" s="38" t="n"/>
      <c r="E2216" s="39" t="n">
        <v>43172.55694444444</v>
      </c>
      <c r="F2216" s="49" t="inlineStr">
        <is>
          <t>Super Carlin Gaming</t>
        </is>
      </c>
      <c r="G2216" t="inlineStr">
        <is>
          <t>Tough as Cushions | Mario Kart Roulette #79</t>
        </is>
      </c>
      <c r="H2216" s="41" t="n">
        <v>0.01042824074074074</v>
      </c>
      <c r="I2216" s="42" t="n">
        <v>9238</v>
      </c>
      <c r="J2216" s="42" t="n">
        <v>428</v>
      </c>
      <c r="K2216" s="42" t="n">
        <v>117</v>
      </c>
      <c r="L2216" s="43" t="n"/>
      <c r="M2216" s="44" t="n"/>
      <c r="N2216" s="44" t="inlineStr">
        <is>
          <t>UCor_9jRnNNZVzTuQ92PKsaQ</t>
        </is>
      </c>
      <c r="O2216" s="45" t="n">
        <v>43172.72361111111</v>
      </c>
      <c r="P2216" s="46" t="n">
        <v>43172</v>
      </c>
      <c r="Q2216" s="44" t="n">
        <v>1056</v>
      </c>
      <c r="R2216" s="44" t="inlineStr">
        <is>
          <t>No Video ID yet</t>
        </is>
      </c>
      <c r="S2216" s="46" t="n"/>
      <c r="T2216" s="46" t="n"/>
      <c r="U2216" s="44" t="n"/>
      <c r="V2216" s="44">
        <f>IF(AND(P2216&gt;=Calendar!$K$2,P2216&lt;EDATE(Calendar!$K$2,1),OR(Calendar!$K$4="*",N2216=Calendar!$K$4)),P2216*100+COUNTIFS($P$6:$P$3271,P2216,$Q$6:$Q$3271,"&lt;="&amp;Q2216,$N$6:$N$3271,Calendar!$K$4),"")</f>
        <v/>
      </c>
      <c r="W2216" s="44">
        <f>IF(AND(B2216=Queue!$C$4,OR(Queue!$K$4="*",N2216=Queue!$K$4)),Q2216,"")</f>
        <v/>
      </c>
    </row>
    <row r="2217">
      <c r="A2217" s="35">
        <f>IF(M2217="","",HYPERLINK("https://www.youtube.com/watch?v="&amp;M2217,"▶"))</f>
        <v/>
      </c>
      <c r="B2217" s="36">
        <f>IF(C2217&lt;&gt;"",C2217,IF(P2217&lt;=IFERROR(INDEX(tblChannels[Watched Through],MATCH(N2217,tblChannels[Channel ID],0)),0),"Watched","Unwatched"))</f>
        <v/>
      </c>
      <c r="C2217" s="37" t="n"/>
      <c r="D2217" s="38" t="n"/>
      <c r="E2217" s="39" t="n">
        <v>43171.52708333333</v>
      </c>
      <c r="F2217" s="50" t="inlineStr">
        <is>
          <t>Jonathan Carlin</t>
        </is>
      </c>
      <c r="G2217" t="inlineStr">
        <is>
          <t>WORST HARRY POTTER TRIVIA NIGHT EVER</t>
        </is>
      </c>
      <c r="H2217" s="41" t="n">
        <v>0.004652777777777777</v>
      </c>
      <c r="I2217" s="42" t="n">
        <v>57389</v>
      </c>
      <c r="J2217" s="42" t="n">
        <v>2057</v>
      </c>
      <c r="K2217" s="42" t="n">
        <v>145</v>
      </c>
      <c r="L2217" s="43" t="n"/>
      <c r="M2217" s="44" t="n"/>
      <c r="N2217" s="44" t="inlineStr">
        <is>
          <t>UCYPKFe86e6nm4TVUYKLsFUQ</t>
        </is>
      </c>
      <c r="O2217" s="45" t="n">
        <v>43171.69375</v>
      </c>
      <c r="P2217" s="46" t="n">
        <v>43171</v>
      </c>
      <c r="Q2217" s="44" t="n">
        <v>1055</v>
      </c>
      <c r="R2217" s="44" t="inlineStr">
        <is>
          <t>No Video ID yet</t>
        </is>
      </c>
      <c r="S2217" s="46" t="n"/>
      <c r="T2217" s="46" t="n"/>
      <c r="U2217" s="44" t="n"/>
      <c r="V2217" s="44">
        <f>IF(AND(P2217&gt;=Calendar!$K$2,P2217&lt;EDATE(Calendar!$K$2,1),OR(Calendar!$K$4="*",N2217=Calendar!$K$4)),P2217*100+COUNTIFS($P$6:$P$3271,P2217,$Q$6:$Q$3271,"&lt;="&amp;Q2217,$N$6:$N$3271,Calendar!$K$4),"")</f>
        <v/>
      </c>
      <c r="W2217" s="44">
        <f>IF(AND(B2217=Queue!$C$4,OR(Queue!$K$4="*",N2217=Queue!$K$4)),Q2217,"")</f>
        <v/>
      </c>
    </row>
    <row r="2218">
      <c r="A2218" s="35">
        <f>IF(M2218="","",HYPERLINK("https://www.youtube.com/watch?v="&amp;M2218,"▶"))</f>
        <v/>
      </c>
      <c r="B2218" s="36">
        <f>IF(C2218&lt;&gt;"",C2218,IF(P2218&lt;=IFERROR(INDEX(tblChannels[Watched Through],MATCH(N2218,tblChannels[Channel ID],0)),0),"Watched","Unwatched"))</f>
        <v/>
      </c>
      <c r="C2218" s="37" t="n"/>
      <c r="D2218" s="38" t="n"/>
      <c r="E2218" s="39" t="n">
        <v>43168.74652777778</v>
      </c>
      <c r="F2218" s="49" t="inlineStr">
        <is>
          <t>Super Carlin Gaming</t>
        </is>
      </c>
      <c r="G2218" t="inlineStr">
        <is>
          <t>Friday Mario Kart Live Stream!</t>
        </is>
      </c>
      <c r="H2218" s="41" t="n">
        <v>0.06143518518518518</v>
      </c>
      <c r="I2218" s="42" t="n">
        <v>7237</v>
      </c>
      <c r="J2218" s="42" t="n">
        <v>262</v>
      </c>
      <c r="K2218" s="42" t="n">
        <v>48</v>
      </c>
      <c r="L2218" s="43" t="n"/>
      <c r="M2218" s="44" t="n"/>
      <c r="N2218" s="44" t="inlineStr">
        <is>
          <t>UCor_9jRnNNZVzTuQ92PKsaQ</t>
        </is>
      </c>
      <c r="O2218" s="45" t="n">
        <v>43168.95486111111</v>
      </c>
      <c r="P2218" s="46" t="n">
        <v>43168</v>
      </c>
      <c r="Q2218" s="44" t="n">
        <v>1054</v>
      </c>
      <c r="R2218" s="44" t="inlineStr">
        <is>
          <t>No Video ID yet</t>
        </is>
      </c>
      <c r="S2218" s="46" t="n"/>
      <c r="T2218" s="46" t="n"/>
      <c r="U2218" s="44" t="n"/>
      <c r="V2218" s="44">
        <f>IF(AND(P2218&gt;=Calendar!$K$2,P2218&lt;EDATE(Calendar!$K$2,1),OR(Calendar!$K$4="*",N2218=Calendar!$K$4)),P2218*100+COUNTIFS($P$6:$P$3271,P2218,$Q$6:$Q$3271,"&lt;="&amp;Q2218,$N$6:$N$3271,Calendar!$K$4),"")</f>
        <v/>
      </c>
      <c r="W2218" s="44">
        <f>IF(AND(B2218=Queue!$C$4,OR(Queue!$K$4="*",N2218=Queue!$K$4)),Q2218,"")</f>
        <v/>
      </c>
    </row>
    <row r="2219">
      <c r="A2219" s="35">
        <f>IF(M2219="","",HYPERLINK("https://www.youtube.com/watch?v="&amp;M2219,"▶"))</f>
        <v/>
      </c>
      <c r="B2219" s="36">
        <f>IF(C2219&lt;&gt;"",C2219,IF(P2219&lt;=IFERROR(INDEX(tblChannels[Watched Through],MATCH(N2219,tblChannels[Channel ID],0)),0),"Watched","Unwatched"))</f>
        <v/>
      </c>
      <c r="C2219" s="37" t="n"/>
      <c r="D2219" s="38" t="n"/>
      <c r="E2219" s="39" t="n">
        <v>43167.78819444445</v>
      </c>
      <c r="F2219" s="47" t="inlineStr">
        <is>
          <t>Super Carlin Brothers</t>
        </is>
      </c>
      <c r="G2219" t="inlineStr">
        <is>
          <t>Why Are They Called Death Eaters | Harry Potter Theory</t>
        </is>
      </c>
      <c r="H2219" s="41" t="n">
        <v>0.007905092592592592</v>
      </c>
      <c r="I2219" s="42" t="n">
        <v>1329575</v>
      </c>
      <c r="J2219" s="42" t="n">
        <v>34844</v>
      </c>
      <c r="K2219" s="42" t="n">
        <v>3576</v>
      </c>
      <c r="L2219" s="43" t="n"/>
      <c r="M2219" s="44" t="n"/>
      <c r="N2219" s="44" t="inlineStr">
        <is>
          <t>UCKZo4N0lVPccBkSiuyVh4yg</t>
        </is>
      </c>
      <c r="O2219" s="45" t="n">
        <v>43167.99652777778</v>
      </c>
      <c r="P2219" s="46" t="n">
        <v>43167</v>
      </c>
      <c r="Q2219" s="44" t="n">
        <v>1053</v>
      </c>
      <c r="R2219" s="44" t="inlineStr">
        <is>
          <t>No Video ID yet</t>
        </is>
      </c>
      <c r="S2219" s="46" t="n"/>
      <c r="T2219" s="46" t="n"/>
      <c r="U2219" s="44" t="n"/>
      <c r="V2219" s="44">
        <f>IF(AND(P2219&gt;=Calendar!$K$2,P2219&lt;EDATE(Calendar!$K$2,1),OR(Calendar!$K$4="*",N2219=Calendar!$K$4)),P2219*100+COUNTIFS($P$6:$P$3271,P2219,$Q$6:$Q$3271,"&lt;="&amp;Q2219,$N$6:$N$3271,Calendar!$K$4),"")</f>
        <v/>
      </c>
      <c r="W2219" s="44">
        <f>IF(AND(B2219=Queue!$C$4,OR(Queue!$K$4="*",N2219=Queue!$K$4)),Q2219,"")</f>
        <v/>
      </c>
    </row>
    <row r="2220">
      <c r="A2220" s="35">
        <f>IF(M2220="","",HYPERLINK("https://www.youtube.com/watch?v="&amp;M2220,"▶"))</f>
        <v/>
      </c>
      <c r="B2220" s="36">
        <f>IF(C2220&lt;&gt;"",C2220,IF(P2220&lt;=IFERROR(INDEX(tblChannels[Watched Through],MATCH(N2220,tblChannels[Channel ID],0)),0),"Watched","Unwatched"))</f>
        <v/>
      </c>
      <c r="C2220" s="37" t="n"/>
      <c r="D2220" s="38" t="n"/>
      <c r="E2220" s="39" t="n">
        <v>43167.5</v>
      </c>
      <c r="F2220" s="49" t="inlineStr">
        <is>
          <t>Super Carlin Gaming</t>
        </is>
      </c>
      <c r="G2220" t="inlineStr">
        <is>
          <t>Aggressive Cracker Language | Mario Kart Roulette #78</t>
        </is>
      </c>
      <c r="H2220" s="41" t="n">
        <v>0.01099537037037037</v>
      </c>
      <c r="I2220" s="42" t="n">
        <v>14840</v>
      </c>
      <c r="J2220" s="42" t="n">
        <v>561</v>
      </c>
      <c r="K2220" s="42" t="n">
        <v>185</v>
      </c>
      <c r="L2220" s="43" t="n"/>
      <c r="M2220" s="44" t="n"/>
      <c r="N2220" s="44" t="inlineStr">
        <is>
          <t>UCor_9jRnNNZVzTuQ92PKsaQ</t>
        </is>
      </c>
      <c r="O2220" s="45" t="n">
        <v>43167.70833333334</v>
      </c>
      <c r="P2220" s="46" t="n">
        <v>43167</v>
      </c>
      <c r="Q2220" s="44" t="n">
        <v>1052</v>
      </c>
      <c r="R2220" s="44" t="inlineStr">
        <is>
          <t>No Video ID yet</t>
        </is>
      </c>
      <c r="S2220" s="46" t="n"/>
      <c r="T2220" s="46" t="n"/>
      <c r="U2220" s="44" t="n"/>
      <c r="V2220" s="44">
        <f>IF(AND(P2220&gt;=Calendar!$K$2,P2220&lt;EDATE(Calendar!$K$2,1),OR(Calendar!$K$4="*",N2220=Calendar!$K$4)),P2220*100+COUNTIFS($P$6:$P$3271,P2220,$Q$6:$Q$3271,"&lt;="&amp;Q2220,$N$6:$N$3271,Calendar!$K$4),"")</f>
        <v/>
      </c>
      <c r="W2220" s="44">
        <f>IF(AND(B2220=Queue!$C$4,OR(Queue!$K$4="*",N2220=Queue!$K$4)),Q2220,"")</f>
        <v/>
      </c>
    </row>
    <row r="2221">
      <c r="A2221" s="35">
        <f>IF(M2221="","",HYPERLINK("https://www.youtube.com/watch?v="&amp;M2221,"▶"))</f>
        <v/>
      </c>
      <c r="B2221" s="36">
        <f>IF(C2221&lt;&gt;"",C2221,IF(P2221&lt;=IFERROR(INDEX(tblChannels[Watched Through],MATCH(N2221,tblChannels[Channel ID],0)),0),"Watched","Unwatched"))</f>
        <v/>
      </c>
      <c r="C2221" s="37" t="n"/>
      <c r="D2221" s="38" t="n"/>
      <c r="E2221" s="39" t="n">
        <v>43165.825</v>
      </c>
      <c r="F2221" s="47" t="inlineStr">
        <is>
          <t>Super Carlin Brothers</t>
        </is>
      </c>
      <c r="G2221" t="inlineStr">
        <is>
          <t>Hagrid's Patronus | Harry Potter Theory</t>
        </is>
      </c>
      <c r="H2221" s="41" t="n">
        <v>0.007060185185185185</v>
      </c>
      <c r="I2221" s="42" t="n">
        <v>1042916</v>
      </c>
      <c r="J2221" s="42" t="n">
        <v>29440</v>
      </c>
      <c r="K2221" s="42" t="n">
        <v>5571</v>
      </c>
      <c r="L2221" s="43" t="n"/>
      <c r="M2221" s="44" t="n"/>
      <c r="N2221" s="44" t="inlineStr">
        <is>
          <t>UCKZo4N0lVPccBkSiuyVh4yg</t>
        </is>
      </c>
      <c r="O2221" s="45" t="n">
        <v>43166.03333333333</v>
      </c>
      <c r="P2221" s="46" t="n">
        <v>43165</v>
      </c>
      <c r="Q2221" s="44" t="n">
        <v>1051</v>
      </c>
      <c r="R2221" s="44" t="inlineStr">
        <is>
          <t>No Video ID yet</t>
        </is>
      </c>
      <c r="S2221" s="46" t="n"/>
      <c r="T2221" s="46" t="n"/>
      <c r="U2221" s="44" t="n"/>
      <c r="V2221" s="44">
        <f>IF(AND(P2221&gt;=Calendar!$K$2,P2221&lt;EDATE(Calendar!$K$2,1),OR(Calendar!$K$4="*",N2221=Calendar!$K$4)),P2221*100+COUNTIFS($P$6:$P$3271,P2221,$Q$6:$Q$3271,"&lt;="&amp;Q2221,$N$6:$N$3271,Calendar!$K$4),"")</f>
        <v/>
      </c>
      <c r="W2221" s="44">
        <f>IF(AND(B2221=Queue!$C$4,OR(Queue!$K$4="*",N2221=Queue!$K$4)),Q2221,"")</f>
        <v/>
      </c>
    </row>
    <row r="2222">
      <c r="A2222" s="35">
        <f>IF(M2222="","",HYPERLINK("https://www.youtube.com/watch?v="&amp;M2222,"▶"))</f>
        <v/>
      </c>
      <c r="B2222" s="36">
        <f>IF(C2222&lt;&gt;"",C2222,IF(P2222&lt;=IFERROR(INDEX(tblChannels[Watched Through],MATCH(N2222,tblChannels[Channel ID],0)),0),"Watched","Unwatched"))</f>
        <v/>
      </c>
      <c r="C2222" s="37" t="n"/>
      <c r="D2222" s="38" t="n"/>
      <c r="E2222" s="39" t="n">
        <v>43165.49444444444</v>
      </c>
      <c r="F2222" s="49" t="inlineStr">
        <is>
          <t>Super Carlin Gaming</t>
        </is>
      </c>
      <c r="G2222" t="inlineStr">
        <is>
          <t>Definition of Flirting | Mario Kart Roulette #77</t>
        </is>
      </c>
      <c r="H2222" s="41" t="n">
        <v>0.01265046296296296</v>
      </c>
      <c r="I2222" s="42" t="n">
        <v>9447</v>
      </c>
      <c r="J2222" s="42" t="n">
        <v>400</v>
      </c>
      <c r="K2222" s="42" t="n">
        <v>136</v>
      </c>
      <c r="L2222" s="43" t="n"/>
      <c r="M2222" s="44" t="n"/>
      <c r="N2222" s="44" t="inlineStr">
        <is>
          <t>UCor_9jRnNNZVzTuQ92PKsaQ</t>
        </is>
      </c>
      <c r="O2222" s="45" t="n">
        <v>43165.70277777778</v>
      </c>
      <c r="P2222" s="46" t="n">
        <v>43165</v>
      </c>
      <c r="Q2222" s="44" t="n">
        <v>1050</v>
      </c>
      <c r="R2222" s="44" t="inlineStr">
        <is>
          <t>No Video ID yet</t>
        </is>
      </c>
      <c r="S2222" s="46" t="n"/>
      <c r="T2222" s="46" t="n"/>
      <c r="U2222" s="44" t="n"/>
      <c r="V2222" s="44">
        <f>IF(AND(P2222&gt;=Calendar!$K$2,P2222&lt;EDATE(Calendar!$K$2,1),OR(Calendar!$K$4="*",N2222=Calendar!$K$4)),P2222*100+COUNTIFS($P$6:$P$3271,P2222,$Q$6:$Q$3271,"&lt;="&amp;Q2222,$N$6:$N$3271,Calendar!$K$4),"")</f>
        <v/>
      </c>
      <c r="W2222" s="44">
        <f>IF(AND(B2222=Queue!$C$4,OR(Queue!$K$4="*",N2222=Queue!$K$4)),Q2222,"")</f>
        <v/>
      </c>
    </row>
    <row r="2223">
      <c r="A2223" s="35">
        <f>IF(M2223="","",HYPERLINK("https://www.youtube.com/watch?v="&amp;M2223,"▶"))</f>
        <v/>
      </c>
      <c r="B2223" s="36">
        <f>IF(C2223&lt;&gt;"",C2223,IF(P2223&lt;=IFERROR(INDEX(tblChannels[Watched Through],MATCH(N2223,tblChannels[Channel ID],0)),0),"Watched","Unwatched"))</f>
        <v/>
      </c>
      <c r="C2223" s="37" t="n"/>
      <c r="D2223" s="38" t="n"/>
      <c r="E2223" s="39" t="n">
        <v>43163.86180555556</v>
      </c>
      <c r="F2223" s="49" t="inlineStr">
        <is>
          <t>Super Carlin Gaming</t>
        </is>
      </c>
      <c r="G2223" t="inlineStr">
        <is>
          <t>Luke and J Play Pokemon Leaf Green | Mono Type FIRE Run #5</t>
        </is>
      </c>
      <c r="H2223" s="41" t="n">
        <v>0.06515046296296297</v>
      </c>
      <c r="I2223" s="42" t="n">
        <v>11529</v>
      </c>
      <c r="J2223" s="42" t="n">
        <v>323</v>
      </c>
      <c r="K2223" s="42" t="n">
        <v>31</v>
      </c>
      <c r="L2223" s="43" t="n"/>
      <c r="M2223" s="44" t="n"/>
      <c r="N2223" s="44" t="inlineStr">
        <is>
          <t>UCor_9jRnNNZVzTuQ92PKsaQ</t>
        </is>
      </c>
      <c r="O2223" s="45" t="n">
        <v>43164.07013888889</v>
      </c>
      <c r="P2223" s="46" t="n">
        <v>43163</v>
      </c>
      <c r="Q2223" s="44" t="n">
        <v>1049</v>
      </c>
      <c r="R2223" s="44" t="inlineStr">
        <is>
          <t>No Video ID yet</t>
        </is>
      </c>
      <c r="S2223" s="46" t="n"/>
      <c r="T2223" s="46" t="n"/>
      <c r="U2223" s="44" t="n"/>
      <c r="V2223" s="44">
        <f>IF(AND(P2223&gt;=Calendar!$K$2,P2223&lt;EDATE(Calendar!$K$2,1),OR(Calendar!$K$4="*",N2223=Calendar!$K$4)),P2223*100+COUNTIFS($P$6:$P$3271,P2223,$Q$6:$Q$3271,"&lt;="&amp;Q2223,$N$6:$N$3271,Calendar!$K$4),"")</f>
        <v/>
      </c>
      <c r="W2223" s="44">
        <f>IF(AND(B2223=Queue!$C$4,OR(Queue!$K$4="*",N2223=Queue!$K$4)),Q2223,"")</f>
        <v/>
      </c>
    </row>
    <row r="2224">
      <c r="A2224" s="35">
        <f>IF(M2224="","",HYPERLINK("https://www.youtube.com/watch?v="&amp;M2224,"▶"))</f>
        <v/>
      </c>
      <c r="B2224" s="36">
        <f>IF(C2224&lt;&gt;"",C2224,IF(P2224&lt;=IFERROR(INDEX(tblChannels[Watched Through],MATCH(N2224,tblChannels[Channel ID],0)),0),"Watched","Unwatched"))</f>
        <v/>
      </c>
      <c r="C2224" s="37" t="n"/>
      <c r="D2224" s="38" t="n"/>
      <c r="E2224" s="39" t="n">
        <v>43160.74236111111</v>
      </c>
      <c r="F2224" s="47" t="inlineStr">
        <is>
          <t>Super Carlin Brothers</t>
        </is>
      </c>
      <c r="G2224" t="inlineStr">
        <is>
          <t>Fawkes' Original Owner | Harry Potter Theory</t>
        </is>
      </c>
      <c r="H2224" s="41" t="n">
        <v>0.006481481481481481</v>
      </c>
      <c r="I2224" s="42" t="n">
        <v>906286</v>
      </c>
      <c r="J2224" s="42" t="n">
        <v>26687</v>
      </c>
      <c r="K2224" s="42" t="n">
        <v>2855</v>
      </c>
      <c r="L2224" s="43" t="n"/>
      <c r="M2224" s="44" t="n"/>
      <c r="N2224" s="44" t="inlineStr">
        <is>
          <t>UCKZo4N0lVPccBkSiuyVh4yg</t>
        </is>
      </c>
      <c r="O2224" s="45" t="n">
        <v>43160.95069444444</v>
      </c>
      <c r="P2224" s="46" t="n">
        <v>43160</v>
      </c>
      <c r="Q2224" s="44" t="n">
        <v>1048</v>
      </c>
      <c r="R2224" s="44" t="inlineStr">
        <is>
          <t>No Video ID yet</t>
        </is>
      </c>
      <c r="S2224" s="46" t="n"/>
      <c r="T2224" s="46" t="n"/>
      <c r="U2224" s="44" t="n"/>
      <c r="V2224" s="44">
        <f>IF(AND(P2224&gt;=Calendar!$K$2,P2224&lt;EDATE(Calendar!$K$2,1),OR(Calendar!$K$4="*",N2224=Calendar!$K$4)),P2224*100+COUNTIFS($P$6:$P$3271,P2224,$Q$6:$Q$3271,"&lt;="&amp;Q2224,$N$6:$N$3271,Calendar!$K$4),"")</f>
        <v/>
      </c>
      <c r="W2224" s="44">
        <f>IF(AND(B2224=Queue!$C$4,OR(Queue!$K$4="*",N2224=Queue!$K$4)),Q2224,"")</f>
        <v/>
      </c>
    </row>
    <row r="2225">
      <c r="A2225" s="35">
        <f>IF(M2225="","",HYPERLINK("https://www.youtube.com/watch?v="&amp;M2225,"▶"))</f>
        <v/>
      </c>
      <c r="B2225" s="36">
        <f>IF(C2225&lt;&gt;"",C2225,IF(P2225&lt;=IFERROR(INDEX(tblChannels[Watched Through],MATCH(N2225,tblChannels[Channel ID],0)),0),"Watched","Unwatched"))</f>
        <v/>
      </c>
      <c r="C2225" s="37" t="n"/>
      <c r="D2225" s="38" t="n"/>
      <c r="E2225" s="39" t="n">
        <v>43160.45347222222</v>
      </c>
      <c r="F2225" s="49" t="inlineStr">
        <is>
          <t>Super Carlin Gaming</t>
        </is>
      </c>
      <c r="G2225" t="inlineStr">
        <is>
          <t>Getting Closer to Mom | Mario Kart Roulette #76</t>
        </is>
      </c>
      <c r="H2225" s="41" t="n">
        <v>0.01141203703703704</v>
      </c>
      <c r="I2225" s="42" t="n">
        <v>8454</v>
      </c>
      <c r="J2225" s="42" t="n">
        <v>373</v>
      </c>
      <c r="K2225" s="42" t="n">
        <v>102</v>
      </c>
      <c r="L2225" s="43" t="n"/>
      <c r="M2225" s="44" t="n"/>
      <c r="N2225" s="44" t="inlineStr">
        <is>
          <t>UCor_9jRnNNZVzTuQ92PKsaQ</t>
        </is>
      </c>
      <c r="O2225" s="45" t="n">
        <v>43160.66180555556</v>
      </c>
      <c r="P2225" s="46" t="n">
        <v>43160</v>
      </c>
      <c r="Q2225" s="44" t="n">
        <v>1047</v>
      </c>
      <c r="R2225" s="44" t="inlineStr">
        <is>
          <t>No Video ID yet</t>
        </is>
      </c>
      <c r="S2225" s="46" t="n"/>
      <c r="T2225" s="46" t="n"/>
      <c r="U2225" s="44" t="n"/>
      <c r="V2225" s="44">
        <f>IF(AND(P2225&gt;=Calendar!$K$2,P2225&lt;EDATE(Calendar!$K$2,1),OR(Calendar!$K$4="*",N2225=Calendar!$K$4)),P2225*100+COUNTIFS($P$6:$P$3271,P2225,$Q$6:$Q$3271,"&lt;="&amp;Q2225,$N$6:$N$3271,Calendar!$K$4),"")</f>
        <v/>
      </c>
      <c r="W2225" s="44">
        <f>IF(AND(B2225=Queue!$C$4,OR(Queue!$K$4="*",N2225=Queue!$K$4)),Q2225,"")</f>
        <v/>
      </c>
    </row>
    <row r="2226">
      <c r="A2226" s="35">
        <f>IF(M2226="","",HYPERLINK("https://www.youtube.com/watch?v="&amp;M2226,"▶"))</f>
        <v/>
      </c>
      <c r="B2226" s="36">
        <f>IF(C2226&lt;&gt;"",C2226,IF(P2226&lt;=IFERROR(INDEX(tblChannels[Watched Through],MATCH(N2226,tblChannels[Channel ID],0)),0),"Watched","Unwatched"))</f>
        <v/>
      </c>
      <c r="C2226" s="37" t="n"/>
      <c r="D2226" s="38" t="n"/>
      <c r="E2226" s="39" t="n">
        <v>43159.89236111111</v>
      </c>
      <c r="F2226" s="50" t="inlineStr">
        <is>
          <t>Jonathan Carlin</t>
        </is>
      </c>
      <c r="G2226" t="inlineStr">
        <is>
          <t>Q&amp;A w/ Beth and J!</t>
        </is>
      </c>
      <c r="H2226" s="41" t="n">
        <v>0.05457175925925926</v>
      </c>
      <c r="I2226" s="42" t="n">
        <v>14330</v>
      </c>
      <c r="J2226" s="42" t="n">
        <v>630</v>
      </c>
      <c r="K2226" s="42" t="n">
        <v>0</v>
      </c>
      <c r="L2226" s="43" t="n"/>
      <c r="M2226" s="44" t="n"/>
      <c r="N2226" s="44" t="inlineStr">
        <is>
          <t>UCYPKFe86e6nm4TVUYKLsFUQ</t>
        </is>
      </c>
      <c r="O2226" s="45" t="n">
        <v>43160.10069444445</v>
      </c>
      <c r="P2226" s="46" t="n">
        <v>43159</v>
      </c>
      <c r="Q2226" s="44" t="n">
        <v>1046</v>
      </c>
      <c r="R2226" s="44" t="inlineStr">
        <is>
          <t>No Video ID yet</t>
        </is>
      </c>
      <c r="S2226" s="46" t="n"/>
      <c r="T2226" s="46" t="n"/>
      <c r="U2226" s="44" t="n"/>
      <c r="V2226" s="44">
        <f>IF(AND(P2226&gt;=Calendar!$K$2,P2226&lt;EDATE(Calendar!$K$2,1),OR(Calendar!$K$4="*",N2226=Calendar!$K$4)),P2226*100+COUNTIFS($P$6:$P$3271,P2226,$Q$6:$Q$3271,"&lt;="&amp;Q2226,$N$6:$N$3271,Calendar!$K$4),"")</f>
        <v/>
      </c>
      <c r="W2226" s="44">
        <f>IF(AND(B2226=Queue!$C$4,OR(Queue!$K$4="*",N2226=Queue!$K$4)),Q2226,"")</f>
        <v/>
      </c>
    </row>
    <row r="2227">
      <c r="A2227" s="35">
        <f>IF(M2227="","",HYPERLINK("https://www.youtube.com/watch?v="&amp;M2227,"▶"))</f>
        <v/>
      </c>
      <c r="B2227" s="36">
        <f>IF(C2227&lt;&gt;"",C2227,IF(P2227&lt;=IFERROR(INDEX(tblChannels[Watched Through],MATCH(N2227,tblChannels[Channel ID],0)),0),"Watched","Unwatched"))</f>
        <v/>
      </c>
      <c r="C2227" s="37" t="n"/>
      <c r="D2227" s="38" t="n"/>
      <c r="E2227" s="39" t="n">
        <v>43159.74722222222</v>
      </c>
      <c r="F2227" s="49" t="inlineStr">
        <is>
          <t>Super Carlin Gaming</t>
        </is>
      </c>
      <c r="G2227" t="inlineStr">
        <is>
          <t>Mario Kart Roulette LIVE!</t>
        </is>
      </c>
      <c r="H2227" s="41" t="n">
        <v>0.0609375</v>
      </c>
      <c r="I2227" s="42" t="n">
        <v>13049</v>
      </c>
      <c r="J2227" s="42" t="n">
        <v>367</v>
      </c>
      <c r="K2227" s="42" t="n">
        <v>39</v>
      </c>
      <c r="L2227" s="43" t="n"/>
      <c r="M2227" s="44" t="n"/>
      <c r="N2227" s="44" t="inlineStr">
        <is>
          <t>UCor_9jRnNNZVzTuQ92PKsaQ</t>
        </is>
      </c>
      <c r="O2227" s="45" t="n">
        <v>43159.95555555556</v>
      </c>
      <c r="P2227" s="46" t="n">
        <v>43159</v>
      </c>
      <c r="Q2227" s="44" t="n">
        <v>1045</v>
      </c>
      <c r="R2227" s="44" t="inlineStr">
        <is>
          <t>No Video ID yet</t>
        </is>
      </c>
      <c r="S2227" s="46" t="n"/>
      <c r="T2227" s="46" t="n"/>
      <c r="U2227" s="44" t="n"/>
      <c r="V2227" s="44">
        <f>IF(AND(P2227&gt;=Calendar!$K$2,P2227&lt;EDATE(Calendar!$K$2,1),OR(Calendar!$K$4="*",N2227=Calendar!$K$4)),P2227*100+COUNTIFS($P$6:$P$3271,P2227,$Q$6:$Q$3271,"&lt;="&amp;Q2227,$N$6:$N$3271,Calendar!$K$4),"")</f>
        <v/>
      </c>
      <c r="W2227" s="44">
        <f>IF(AND(B2227=Queue!$C$4,OR(Queue!$K$4="*",N2227=Queue!$K$4)),Q2227,"")</f>
        <v/>
      </c>
    </row>
    <row r="2228">
      <c r="A2228" s="35">
        <f>IF(M2228="","",HYPERLINK("https://www.youtube.com/watch?v="&amp;M2228,"▶"))</f>
        <v/>
      </c>
      <c r="B2228" s="36">
        <f>IF(C2228&lt;&gt;"",C2228,IF(P2228&lt;=IFERROR(INDEX(tblChannels[Watched Through],MATCH(N2228,tblChannels[Channel ID],0)),0),"Watched","Unwatched"))</f>
        <v/>
      </c>
      <c r="C2228" s="37" t="n"/>
      <c r="D2228" s="38" t="n"/>
      <c r="E2228" s="39" t="n">
        <v>43158.75069444445</v>
      </c>
      <c r="F2228" s="47" t="inlineStr">
        <is>
          <t>Super Carlin Brothers</t>
        </is>
      </c>
      <c r="G2228" t="inlineStr">
        <is>
          <t>J vs Ben: ULTIMATE Incredibles Trivia Quiz</t>
        </is>
      </c>
      <c r="H2228" s="41" t="n">
        <v>0.01523148148148148</v>
      </c>
      <c r="I2228" s="42" t="n">
        <v>754042</v>
      </c>
      <c r="J2228" s="42" t="n">
        <v>16204</v>
      </c>
      <c r="K2228" s="42" t="n">
        <v>1883</v>
      </c>
      <c r="L2228" s="43" t="n"/>
      <c r="M2228" s="44" t="n"/>
      <c r="N2228" s="44" t="inlineStr">
        <is>
          <t>UCKZo4N0lVPccBkSiuyVh4yg</t>
        </is>
      </c>
      <c r="O2228" s="45" t="n">
        <v>43158.95902777778</v>
      </c>
      <c r="P2228" s="46" t="n">
        <v>43158</v>
      </c>
      <c r="Q2228" s="44" t="n">
        <v>1044</v>
      </c>
      <c r="R2228" s="44" t="inlineStr">
        <is>
          <t>No Video ID yet</t>
        </is>
      </c>
      <c r="S2228" s="46" t="n"/>
      <c r="T2228" s="46" t="n"/>
      <c r="U2228" s="44" t="n"/>
      <c r="V2228" s="44">
        <f>IF(AND(P2228&gt;=Calendar!$K$2,P2228&lt;EDATE(Calendar!$K$2,1),OR(Calendar!$K$4="*",N2228=Calendar!$K$4)),P2228*100+COUNTIFS($P$6:$P$3271,P2228,$Q$6:$Q$3271,"&lt;="&amp;Q2228,$N$6:$N$3271,Calendar!$K$4),"")</f>
        <v/>
      </c>
      <c r="W2228" s="44">
        <f>IF(AND(B2228=Queue!$C$4,OR(Queue!$K$4="*",N2228=Queue!$K$4)),Q2228,"")</f>
        <v/>
      </c>
    </row>
    <row r="2229">
      <c r="A2229" s="35">
        <f>IF(M2229="","",HYPERLINK("https://www.youtube.com/watch?v="&amp;M2229,"▶"))</f>
        <v/>
      </c>
      <c r="B2229" s="36">
        <f>IF(C2229&lt;&gt;"",C2229,IF(P2229&lt;=IFERROR(INDEX(tblChannels[Watched Through],MATCH(N2229,tblChannels[Channel ID],0)),0),"Watched","Unwatched"))</f>
        <v/>
      </c>
      <c r="C2229" s="37" t="n"/>
      <c r="D2229" s="38" t="n"/>
      <c r="E2229" s="39" t="n">
        <v>43158.56041666667</v>
      </c>
      <c r="F2229" s="49" t="inlineStr">
        <is>
          <t>Super Carlin Gaming</t>
        </is>
      </c>
      <c r="G2229" t="inlineStr">
        <is>
          <t>Getting Social Confidence | Mario Kart Roulette #75</t>
        </is>
      </c>
      <c r="H2229" s="41" t="n">
        <v>0.009733796296296296</v>
      </c>
      <c r="I2229" s="42" t="n">
        <v>8591</v>
      </c>
      <c r="J2229" s="42" t="n">
        <v>389</v>
      </c>
      <c r="K2229" s="42" t="n">
        <v>102</v>
      </c>
      <c r="L2229" s="43" t="n"/>
      <c r="M2229" s="44" t="n"/>
      <c r="N2229" s="44" t="inlineStr">
        <is>
          <t>UCor_9jRnNNZVzTuQ92PKsaQ</t>
        </is>
      </c>
      <c r="O2229" s="45" t="n">
        <v>43158.76875</v>
      </c>
      <c r="P2229" s="46" t="n">
        <v>43158</v>
      </c>
      <c r="Q2229" s="44" t="n">
        <v>1043</v>
      </c>
      <c r="R2229" s="44" t="inlineStr">
        <is>
          <t>No Video ID yet</t>
        </is>
      </c>
      <c r="S2229" s="46" t="n"/>
      <c r="T2229" s="46" t="n"/>
      <c r="U2229" s="44" t="n"/>
      <c r="V2229" s="44">
        <f>IF(AND(P2229&gt;=Calendar!$K$2,P2229&lt;EDATE(Calendar!$K$2,1),OR(Calendar!$K$4="*",N2229=Calendar!$K$4)),P2229*100+COUNTIFS($P$6:$P$3271,P2229,$Q$6:$Q$3271,"&lt;="&amp;Q2229,$N$6:$N$3271,Calendar!$K$4),"")</f>
        <v/>
      </c>
      <c r="W2229" s="44">
        <f>IF(AND(B2229=Queue!$C$4,OR(Queue!$K$4="*",N2229=Queue!$K$4)),Q2229,"")</f>
        <v/>
      </c>
    </row>
    <row r="2230">
      <c r="A2230" s="35">
        <f>IF(M2230="","",HYPERLINK("https://www.youtube.com/watch?v="&amp;M2230,"▶"))</f>
        <v/>
      </c>
      <c r="B2230" s="36">
        <f>IF(C2230&lt;&gt;"",C2230,IF(P2230&lt;=IFERROR(INDEX(tblChannels[Watched Through],MATCH(N2230,tblChannels[Channel ID],0)),0),"Watched","Unwatched"))</f>
        <v/>
      </c>
      <c r="C2230" s="37" t="n"/>
      <c r="D2230" s="38" t="n"/>
      <c r="E2230" s="39" t="n">
        <v>43157.5</v>
      </c>
      <c r="F2230" s="50" t="inlineStr">
        <is>
          <t>Jonathan Carlin</t>
        </is>
      </c>
      <c r="G2230" t="inlineStr">
        <is>
          <t>WE CRASH A DRONE</t>
        </is>
      </c>
      <c r="H2230" s="41" t="n">
        <v>0.004791666666666666</v>
      </c>
      <c r="I2230" s="42" t="n">
        <v>29921</v>
      </c>
      <c r="J2230" s="42" t="n">
        <v>1540</v>
      </c>
      <c r="K2230" s="42" t="n">
        <v>172</v>
      </c>
      <c r="L2230" s="43" t="n"/>
      <c r="M2230" s="44" t="n"/>
      <c r="N2230" s="44" t="inlineStr">
        <is>
          <t>UCYPKFe86e6nm4TVUYKLsFUQ</t>
        </is>
      </c>
      <c r="O2230" s="45" t="n">
        <v>43157.70833333334</v>
      </c>
      <c r="P2230" s="46" t="n">
        <v>43157</v>
      </c>
      <c r="Q2230" s="44" t="n">
        <v>1042</v>
      </c>
      <c r="R2230" s="44" t="inlineStr">
        <is>
          <t>No Video ID yet</t>
        </is>
      </c>
      <c r="S2230" s="46" t="n"/>
      <c r="T2230" s="46" t="n"/>
      <c r="U2230" s="44" t="n"/>
      <c r="V2230" s="44">
        <f>IF(AND(P2230&gt;=Calendar!$K$2,P2230&lt;EDATE(Calendar!$K$2,1),OR(Calendar!$K$4="*",N2230=Calendar!$K$4)),P2230*100+COUNTIFS($P$6:$P$3271,P2230,$Q$6:$Q$3271,"&lt;="&amp;Q2230,$N$6:$N$3271,Calendar!$K$4),"")</f>
        <v/>
      </c>
      <c r="W2230" s="44">
        <f>IF(AND(B2230=Queue!$C$4,OR(Queue!$K$4="*",N2230=Queue!$K$4)),Q2230,"")</f>
        <v/>
      </c>
    </row>
    <row r="2231">
      <c r="A2231" s="35">
        <f>IF(M2231="","",HYPERLINK("https://www.youtube.com/watch?v="&amp;M2231,"▶"))</f>
        <v/>
      </c>
      <c r="B2231" s="36">
        <f>IF(C2231&lt;&gt;"",C2231,IF(P2231&lt;=IFERROR(INDEX(tblChannels[Watched Through],MATCH(N2231,tblChannels[Channel ID],0)),0),"Watched","Unwatched"))</f>
        <v/>
      </c>
      <c r="C2231" s="37" t="n"/>
      <c r="D2231" s="38" t="n"/>
      <c r="E2231" s="39" t="n">
        <v>43153.79513888889</v>
      </c>
      <c r="F2231" s="47" t="inlineStr">
        <is>
          <t>Super Carlin Brothers</t>
        </is>
      </c>
      <c r="G2231" t="inlineStr">
        <is>
          <t>Incredibles 2 Villain Predictions</t>
        </is>
      </c>
      <c r="H2231" s="41" t="n">
        <v>0.006273148148148148</v>
      </c>
      <c r="I2231" s="42" t="n">
        <v>596173</v>
      </c>
      <c r="J2231" s="42" t="n">
        <v>19612</v>
      </c>
      <c r="K2231" s="42" t="n">
        <v>2514</v>
      </c>
      <c r="L2231" s="43" t="n"/>
      <c r="M2231" s="44" t="n"/>
      <c r="N2231" s="44" t="inlineStr">
        <is>
          <t>UCKZo4N0lVPccBkSiuyVh4yg</t>
        </is>
      </c>
      <c r="O2231" s="45" t="n">
        <v>43154.00347222222</v>
      </c>
      <c r="P2231" s="46" t="n">
        <v>43153</v>
      </c>
      <c r="Q2231" s="44" t="n">
        <v>1041</v>
      </c>
      <c r="R2231" s="44" t="inlineStr">
        <is>
          <t>No Video ID yet</t>
        </is>
      </c>
      <c r="S2231" s="46" t="n"/>
      <c r="T2231" s="46" t="n"/>
      <c r="U2231" s="44" t="n"/>
      <c r="V2231" s="44">
        <f>IF(AND(P2231&gt;=Calendar!$K$2,P2231&lt;EDATE(Calendar!$K$2,1),OR(Calendar!$K$4="*",N2231=Calendar!$K$4)),P2231*100+COUNTIFS($P$6:$P$3271,P2231,$Q$6:$Q$3271,"&lt;="&amp;Q2231,$N$6:$N$3271,Calendar!$K$4),"")</f>
        <v/>
      </c>
      <c r="W2231" s="44">
        <f>IF(AND(B2231=Queue!$C$4,OR(Queue!$K$4="*",N2231=Queue!$K$4)),Q2231,"")</f>
        <v/>
      </c>
    </row>
    <row r="2232">
      <c r="A2232" s="35">
        <f>IF(M2232="","",HYPERLINK("https://www.youtube.com/watch?v="&amp;M2232,"▶"))</f>
        <v/>
      </c>
      <c r="B2232" s="36">
        <f>IF(C2232&lt;&gt;"",C2232,IF(P2232&lt;=IFERROR(INDEX(tblChannels[Watched Through],MATCH(N2232,tblChannels[Channel ID],0)),0),"Watched","Unwatched"))</f>
        <v/>
      </c>
      <c r="C2232" s="37" t="n"/>
      <c r="D2232" s="38" t="n"/>
      <c r="E2232" s="39" t="n">
        <v>43153.45694444444</v>
      </c>
      <c r="F2232" s="49" t="inlineStr">
        <is>
          <t>Super Carlin Gaming</t>
        </is>
      </c>
      <c r="G2232" t="inlineStr">
        <is>
          <t>When You're Underappreciated | Mario Kart Roulette #74</t>
        </is>
      </c>
      <c r="H2232" s="41" t="n">
        <v>0.01167824074074074</v>
      </c>
      <c r="I2232" s="42" t="n">
        <v>9254</v>
      </c>
      <c r="J2232" s="42" t="n">
        <v>434</v>
      </c>
      <c r="K2232" s="42" t="n">
        <v>177</v>
      </c>
      <c r="L2232" s="43" t="n"/>
      <c r="M2232" s="44" t="n"/>
      <c r="N2232" s="44" t="inlineStr">
        <is>
          <t>UCor_9jRnNNZVzTuQ92PKsaQ</t>
        </is>
      </c>
      <c r="O2232" s="45" t="n">
        <v>43153.66527777778</v>
      </c>
      <c r="P2232" s="46" t="n">
        <v>43153</v>
      </c>
      <c r="Q2232" s="44" t="n">
        <v>1040</v>
      </c>
      <c r="R2232" s="44" t="inlineStr">
        <is>
          <t>No Video ID yet</t>
        </is>
      </c>
      <c r="S2232" s="46" t="n"/>
      <c r="T2232" s="46" t="n"/>
      <c r="U2232" s="44" t="n"/>
      <c r="V2232" s="44">
        <f>IF(AND(P2232&gt;=Calendar!$K$2,P2232&lt;EDATE(Calendar!$K$2,1),OR(Calendar!$K$4="*",N2232=Calendar!$K$4)),P2232*100+COUNTIFS($P$6:$P$3271,P2232,$Q$6:$Q$3271,"&lt;="&amp;Q2232,$N$6:$N$3271,Calendar!$K$4),"")</f>
        <v/>
      </c>
      <c r="W2232" s="44">
        <f>IF(AND(B2232=Queue!$C$4,OR(Queue!$K$4="*",N2232=Queue!$K$4)),Q2232,"")</f>
        <v/>
      </c>
    </row>
    <row r="2233">
      <c r="A2233" s="35">
        <f>IF(M2233="","",HYPERLINK("https://www.youtube.com/watch?v="&amp;M2233,"▶"))</f>
        <v/>
      </c>
      <c r="B2233" s="36">
        <f>IF(C2233&lt;&gt;"",C2233,IF(P2233&lt;=IFERROR(INDEX(tblChannels[Watched Through],MATCH(N2233,tblChannels[Channel ID],0)),0),"Watched","Unwatched"))</f>
        <v/>
      </c>
      <c r="C2233" s="37" t="n"/>
      <c r="D2233" s="38" t="n"/>
      <c r="E2233" s="39" t="n">
        <v>43151.75347222222</v>
      </c>
      <c r="F2233" s="47" t="inlineStr">
        <is>
          <t>Super Carlin Brothers</t>
        </is>
      </c>
      <c r="G2233" t="inlineStr">
        <is>
          <t>Is Black Panther the BEST Super Hero Movie Ever? | SPOILER REVIEW</t>
        </is>
      </c>
      <c r="H2233" s="41" t="n">
        <v>0.02563657407407408</v>
      </c>
      <c r="I2233" s="42" t="n">
        <v>315191</v>
      </c>
      <c r="J2233" s="42" t="n">
        <v>10450</v>
      </c>
      <c r="K2233" s="42" t="n">
        <v>2769</v>
      </c>
      <c r="L2233" s="43" t="n"/>
      <c r="M2233" s="44" t="n"/>
      <c r="N2233" s="44" t="inlineStr">
        <is>
          <t>UCKZo4N0lVPccBkSiuyVh4yg</t>
        </is>
      </c>
      <c r="O2233" s="45" t="n">
        <v>43151.96180555555</v>
      </c>
      <c r="P2233" s="46" t="n">
        <v>43151</v>
      </c>
      <c r="Q2233" s="44" t="n">
        <v>1039</v>
      </c>
      <c r="R2233" s="44" t="inlineStr">
        <is>
          <t>No Video ID yet</t>
        </is>
      </c>
      <c r="S2233" s="46" t="n"/>
      <c r="T2233" s="46" t="n"/>
      <c r="U2233" s="44" t="n"/>
      <c r="V2233" s="44">
        <f>IF(AND(P2233&gt;=Calendar!$K$2,P2233&lt;EDATE(Calendar!$K$2,1),OR(Calendar!$K$4="*",N2233=Calendar!$K$4)),P2233*100+COUNTIFS($P$6:$P$3271,P2233,$Q$6:$Q$3271,"&lt;="&amp;Q2233,$N$6:$N$3271,Calendar!$K$4),"")</f>
        <v/>
      </c>
      <c r="W2233" s="44">
        <f>IF(AND(B2233=Queue!$C$4,OR(Queue!$K$4="*",N2233=Queue!$K$4)),Q2233,"")</f>
        <v/>
      </c>
    </row>
    <row r="2234">
      <c r="A2234" s="35">
        <f>IF(M2234="","",HYPERLINK("https://www.youtube.com/watch?v="&amp;M2234,"▶"))</f>
        <v/>
      </c>
      <c r="B2234" s="36">
        <f>IF(C2234&lt;&gt;"",C2234,IF(P2234&lt;=IFERROR(INDEX(tblChannels[Watched Through],MATCH(N2234,tblChannels[Channel ID],0)),0),"Watched","Unwatched"))</f>
        <v/>
      </c>
      <c r="C2234" s="37" t="n"/>
      <c r="D2234" s="38" t="n"/>
      <c r="E2234" s="39" t="n">
        <v>43151.47361111111</v>
      </c>
      <c r="F2234" s="49" t="inlineStr">
        <is>
          <t>Super Carlin Gaming</t>
        </is>
      </c>
      <c r="G2234" t="inlineStr">
        <is>
          <t>Slightly More Extreme | Mario Kart Roulette #73</t>
        </is>
      </c>
      <c r="H2234" s="41" t="n">
        <v>0.01210648148148148</v>
      </c>
      <c r="I2234" s="42" t="n">
        <v>9705</v>
      </c>
      <c r="J2234" s="42" t="n">
        <v>395</v>
      </c>
      <c r="K2234" s="42" t="n">
        <v>176</v>
      </c>
      <c r="L2234" s="43" t="n"/>
      <c r="M2234" s="44" t="n"/>
      <c r="N2234" s="44" t="inlineStr">
        <is>
          <t>UCor_9jRnNNZVzTuQ92PKsaQ</t>
        </is>
      </c>
      <c r="O2234" s="45" t="n">
        <v>43151.68194444444</v>
      </c>
      <c r="P2234" s="46" t="n">
        <v>43151</v>
      </c>
      <c r="Q2234" s="44" t="n">
        <v>1038</v>
      </c>
      <c r="R2234" s="44" t="inlineStr">
        <is>
          <t>No Video ID yet</t>
        </is>
      </c>
      <c r="S2234" s="46" t="n"/>
      <c r="T2234" s="46" t="n"/>
      <c r="U2234" s="44" t="n"/>
      <c r="V2234" s="44">
        <f>IF(AND(P2234&gt;=Calendar!$K$2,P2234&lt;EDATE(Calendar!$K$2,1),OR(Calendar!$K$4="*",N2234=Calendar!$K$4)),P2234*100+COUNTIFS($P$6:$P$3271,P2234,$Q$6:$Q$3271,"&lt;="&amp;Q2234,$N$6:$N$3271,Calendar!$K$4),"")</f>
        <v/>
      </c>
      <c r="W2234" s="44">
        <f>IF(AND(B2234=Queue!$C$4,OR(Queue!$K$4="*",N2234=Queue!$K$4)),Q2234,"")</f>
        <v/>
      </c>
    </row>
    <row r="2235">
      <c r="A2235" s="35">
        <f>IF(M2235="","",HYPERLINK("https://www.youtube.com/watch?v="&amp;M2235,"▶"))</f>
        <v/>
      </c>
      <c r="B2235" s="36">
        <f>IF(C2235&lt;&gt;"",C2235,IF(P2235&lt;=IFERROR(INDEX(tblChannels[Watched Through],MATCH(N2235,tblChannels[Channel ID],0)),0),"Watched","Unwatched"))</f>
        <v/>
      </c>
      <c r="C2235" s="37" t="n"/>
      <c r="D2235" s="38" t="n"/>
      <c r="E2235" s="39" t="n">
        <v>43150.85833333333</v>
      </c>
      <c r="F2235" s="49" t="inlineStr">
        <is>
          <t>Super Carlin Gaming</t>
        </is>
      </c>
      <c r="G2235" t="inlineStr">
        <is>
          <t>Luke and J Play Pokemon Leaf Green | Mono Type FIRE Run #4</t>
        </is>
      </c>
      <c r="H2235" s="41" t="n">
        <v>0.0419212962962963</v>
      </c>
      <c r="I2235" s="42" t="n">
        <v>11614</v>
      </c>
      <c r="J2235" s="42" t="n">
        <v>325</v>
      </c>
      <c r="K2235" s="42" t="n">
        <v>59</v>
      </c>
      <c r="L2235" s="43" t="n"/>
      <c r="M2235" s="44" t="n"/>
      <c r="N2235" s="44" t="inlineStr">
        <is>
          <t>UCor_9jRnNNZVzTuQ92PKsaQ</t>
        </is>
      </c>
      <c r="O2235" s="45" t="n">
        <v>43151.06666666667</v>
      </c>
      <c r="P2235" s="46" t="n">
        <v>43150</v>
      </c>
      <c r="Q2235" s="44" t="n">
        <v>1037</v>
      </c>
      <c r="R2235" s="44" t="inlineStr">
        <is>
          <t>No Video ID yet</t>
        </is>
      </c>
      <c r="S2235" s="46" t="n"/>
      <c r="T2235" s="46" t="n"/>
      <c r="U2235" s="44" t="n"/>
      <c r="V2235" s="44">
        <f>IF(AND(P2235&gt;=Calendar!$K$2,P2235&lt;EDATE(Calendar!$K$2,1),OR(Calendar!$K$4="*",N2235=Calendar!$K$4)),P2235*100+COUNTIFS($P$6:$P$3271,P2235,$Q$6:$Q$3271,"&lt;="&amp;Q2235,$N$6:$N$3271,Calendar!$K$4),"")</f>
        <v/>
      </c>
      <c r="W2235" s="44">
        <f>IF(AND(B2235=Queue!$C$4,OR(Queue!$K$4="*",N2235=Queue!$K$4)),Q2235,"")</f>
        <v/>
      </c>
    </row>
    <row r="2236">
      <c r="A2236" s="35">
        <f>IF(M2236="","",HYPERLINK("https://www.youtube.com/watch?v="&amp;M2236,"▶"))</f>
        <v/>
      </c>
      <c r="B2236" s="36">
        <f>IF(C2236&lt;&gt;"",C2236,IF(P2236&lt;=IFERROR(INDEX(tblChannels[Watched Through],MATCH(N2236,tblChannels[Channel ID],0)),0),"Watched","Unwatched"))</f>
        <v/>
      </c>
      <c r="C2236" s="37" t="n"/>
      <c r="D2236" s="38" t="n"/>
      <c r="E2236" s="39" t="n">
        <v>43150.67916666667</v>
      </c>
      <c r="F2236" s="50" t="inlineStr">
        <is>
          <t>Jonathan Carlin</t>
        </is>
      </c>
      <c r="G2236" t="inlineStr">
        <is>
          <t>ON TURNING 30</t>
        </is>
      </c>
      <c r="H2236" s="41" t="n">
        <v>0.005115740740740741</v>
      </c>
      <c r="I2236" s="42" t="n">
        <v>42354</v>
      </c>
      <c r="J2236" s="42" t="n">
        <v>2095</v>
      </c>
      <c r="K2236" s="42" t="n">
        <v>374</v>
      </c>
      <c r="L2236" s="43" t="n"/>
      <c r="M2236" s="44" t="n"/>
      <c r="N2236" s="44" t="inlineStr">
        <is>
          <t>UCYPKFe86e6nm4TVUYKLsFUQ</t>
        </is>
      </c>
      <c r="O2236" s="45" t="n">
        <v>43150.8875</v>
      </c>
      <c r="P2236" s="46" t="n">
        <v>43150</v>
      </c>
      <c r="Q2236" s="44" t="n">
        <v>1036</v>
      </c>
      <c r="R2236" s="44" t="inlineStr">
        <is>
          <t>No Video ID yet</t>
        </is>
      </c>
      <c r="S2236" s="46" t="n"/>
      <c r="T2236" s="46" t="n"/>
      <c r="U2236" s="44" t="n"/>
      <c r="V2236" s="44">
        <f>IF(AND(P2236&gt;=Calendar!$K$2,P2236&lt;EDATE(Calendar!$K$2,1),OR(Calendar!$K$4="*",N2236=Calendar!$K$4)),P2236*100+COUNTIFS($P$6:$P$3271,P2236,$Q$6:$Q$3271,"&lt;="&amp;Q2236,$N$6:$N$3271,Calendar!$K$4),"")</f>
        <v/>
      </c>
      <c r="W2236" s="44">
        <f>IF(AND(B2236=Queue!$C$4,OR(Queue!$K$4="*",N2236=Queue!$K$4)),Q2236,"")</f>
        <v/>
      </c>
    </row>
    <row r="2237">
      <c r="A2237" s="35">
        <f>IF(M2237="","",HYPERLINK("https://www.youtube.com/watch?v="&amp;M2237,"▶"))</f>
        <v/>
      </c>
      <c r="B2237" s="36">
        <f>IF(C2237&lt;&gt;"",C2237,IF(P2237&lt;=IFERROR(INDEX(tblChannels[Watched Through],MATCH(N2237,tblChannels[Channel ID],0)),0),"Watched","Unwatched"))</f>
        <v/>
      </c>
      <c r="C2237" s="37" t="n"/>
      <c r="D2237" s="38" t="n"/>
      <c r="E2237" s="39" t="n">
        <v>43146.70625</v>
      </c>
      <c r="F2237" s="47" t="inlineStr">
        <is>
          <t>Super Carlin Brothers</t>
        </is>
      </c>
      <c r="G2237" t="inlineStr">
        <is>
          <t>Top 10 Awfully Convenient Things In Harry Potter</t>
        </is>
      </c>
      <c r="H2237" s="41" t="n">
        <v>0.008460648148148148</v>
      </c>
      <c r="I2237" s="42" t="n">
        <v>1438969</v>
      </c>
      <c r="J2237" s="42" t="n">
        <v>32245</v>
      </c>
      <c r="K2237" s="42" t="n">
        <v>5005</v>
      </c>
      <c r="L2237" s="43" t="n"/>
      <c r="M2237" s="44" t="n"/>
      <c r="N2237" s="44" t="inlineStr">
        <is>
          <t>UCKZo4N0lVPccBkSiuyVh4yg</t>
        </is>
      </c>
      <c r="O2237" s="45" t="n">
        <v>43146.91458333333</v>
      </c>
      <c r="P2237" s="46" t="n">
        <v>43146</v>
      </c>
      <c r="Q2237" s="44" t="n">
        <v>1035</v>
      </c>
      <c r="R2237" s="44" t="inlineStr">
        <is>
          <t>No Video ID yet</t>
        </is>
      </c>
      <c r="S2237" s="46" t="n"/>
      <c r="T2237" s="46" t="n"/>
      <c r="U2237" s="44" t="n"/>
      <c r="V2237" s="44">
        <f>IF(AND(P2237&gt;=Calendar!$K$2,P2237&lt;EDATE(Calendar!$K$2,1),OR(Calendar!$K$4="*",N2237=Calendar!$K$4)),P2237*100+COUNTIFS($P$6:$P$3271,P2237,$Q$6:$Q$3271,"&lt;="&amp;Q2237,$N$6:$N$3271,Calendar!$K$4),"")</f>
        <v/>
      </c>
      <c r="W2237" s="44">
        <f>IF(AND(B2237=Queue!$C$4,OR(Queue!$K$4="*",N2237=Queue!$K$4)),Q2237,"")</f>
        <v/>
      </c>
    </row>
    <row r="2238">
      <c r="A2238" s="35">
        <f>IF(M2238="","",HYPERLINK("https://www.youtube.com/watch?v="&amp;M2238,"▶"))</f>
        <v/>
      </c>
      <c r="B2238" s="36">
        <f>IF(C2238&lt;&gt;"",C2238,IF(P2238&lt;=IFERROR(INDEX(tblChannels[Watched Through],MATCH(N2238,tblChannels[Channel ID],0)),0),"Watched","Unwatched"))</f>
        <v/>
      </c>
      <c r="C2238" s="37" t="n"/>
      <c r="D2238" s="38" t="n"/>
      <c r="E2238" s="39" t="n">
        <v>43146.49861111111</v>
      </c>
      <c r="F2238" s="49" t="inlineStr">
        <is>
          <t>Super Carlin Gaming</t>
        </is>
      </c>
      <c r="G2238" t="inlineStr">
        <is>
          <t>I Don't Want To Date Him | Mario Kart Roulette #72</t>
        </is>
      </c>
      <c r="H2238" s="41" t="n">
        <v>0.01241898148148148</v>
      </c>
      <c r="I2238" s="42" t="n">
        <v>10196</v>
      </c>
      <c r="J2238" s="42" t="n">
        <v>414</v>
      </c>
      <c r="K2238" s="42" t="n">
        <v>154</v>
      </c>
      <c r="L2238" s="43" t="n"/>
      <c r="M2238" s="44" t="n"/>
      <c r="N2238" s="44" t="inlineStr">
        <is>
          <t>UCor_9jRnNNZVzTuQ92PKsaQ</t>
        </is>
      </c>
      <c r="O2238" s="45" t="n">
        <v>43146.70694444444</v>
      </c>
      <c r="P2238" s="46" t="n">
        <v>43146</v>
      </c>
      <c r="Q2238" s="44" t="n">
        <v>1034</v>
      </c>
      <c r="R2238" s="44" t="inlineStr">
        <is>
          <t>No Video ID yet</t>
        </is>
      </c>
      <c r="S2238" s="46" t="n"/>
      <c r="T2238" s="46" t="n"/>
      <c r="U2238" s="44" t="n"/>
      <c r="V2238" s="44">
        <f>IF(AND(P2238&gt;=Calendar!$K$2,P2238&lt;EDATE(Calendar!$K$2,1),OR(Calendar!$K$4="*",N2238=Calendar!$K$4)),P2238*100+COUNTIFS($P$6:$P$3271,P2238,$Q$6:$Q$3271,"&lt;="&amp;Q2238,$N$6:$N$3271,Calendar!$K$4),"")</f>
        <v/>
      </c>
      <c r="W2238" s="44">
        <f>IF(AND(B2238=Queue!$C$4,OR(Queue!$K$4="*",N2238=Queue!$K$4)),Q2238,"")</f>
        <v/>
      </c>
    </row>
    <row r="2239">
      <c r="A2239" s="35">
        <f>IF(M2239="","",HYPERLINK("https://www.youtube.com/watch?v="&amp;M2239,"▶"))</f>
        <v/>
      </c>
      <c r="B2239" s="36">
        <f>IF(C2239&lt;&gt;"",C2239,IF(P2239&lt;=IFERROR(INDEX(tblChannels[Watched Through],MATCH(N2239,tblChannels[Channel ID],0)),0),"Watched","Unwatched"))</f>
        <v/>
      </c>
      <c r="C2239" s="37" t="n"/>
      <c r="D2239" s="38" t="n"/>
      <c r="E2239" s="39" t="n">
        <v>43144.79722222222</v>
      </c>
      <c r="F2239" s="47" t="inlineStr">
        <is>
          <t>Super Carlin Brothers</t>
        </is>
      </c>
      <c r="G2239" t="inlineStr">
        <is>
          <t>Voldemort's Failed Horcrux | Harry Potter Theory</t>
        </is>
      </c>
      <c r="H2239" s="41" t="n">
        <v>0.009814814814814814</v>
      </c>
      <c r="I2239" s="42" t="n">
        <v>2725726</v>
      </c>
      <c r="J2239" s="42" t="n">
        <v>52435</v>
      </c>
      <c r="K2239" s="42" t="n">
        <v>6640</v>
      </c>
      <c r="L2239" s="43" t="n"/>
      <c r="M2239" s="44" t="n"/>
      <c r="N2239" s="44" t="inlineStr">
        <is>
          <t>UCKZo4N0lVPccBkSiuyVh4yg</t>
        </is>
      </c>
      <c r="O2239" s="45" t="n">
        <v>43145.00555555556</v>
      </c>
      <c r="P2239" s="46" t="n">
        <v>43144</v>
      </c>
      <c r="Q2239" s="44" t="n">
        <v>1033</v>
      </c>
      <c r="R2239" s="44" t="inlineStr">
        <is>
          <t>No Video ID yet</t>
        </is>
      </c>
      <c r="S2239" s="46" t="n"/>
      <c r="T2239" s="46" t="n"/>
      <c r="U2239" s="44" t="n"/>
      <c r="V2239" s="44">
        <f>IF(AND(P2239&gt;=Calendar!$K$2,P2239&lt;EDATE(Calendar!$K$2,1),OR(Calendar!$K$4="*",N2239=Calendar!$K$4)),P2239*100+COUNTIFS($P$6:$P$3271,P2239,$Q$6:$Q$3271,"&lt;="&amp;Q2239,$N$6:$N$3271,Calendar!$K$4),"")</f>
        <v/>
      </c>
      <c r="W2239" s="44">
        <f>IF(AND(B2239=Queue!$C$4,OR(Queue!$K$4="*",N2239=Queue!$K$4)),Q2239,"")</f>
        <v/>
      </c>
    </row>
    <row r="2240">
      <c r="A2240" s="35">
        <f>IF(M2240="","",HYPERLINK("https://www.youtube.com/watch?v="&amp;M2240,"▶"))</f>
        <v/>
      </c>
      <c r="B2240" s="36">
        <f>IF(C2240&lt;&gt;"",C2240,IF(P2240&lt;=IFERROR(INDEX(tblChannels[Watched Through],MATCH(N2240,tblChannels[Channel ID],0)),0),"Watched","Unwatched"))</f>
        <v/>
      </c>
      <c r="C2240" s="37" t="n"/>
      <c r="D2240" s="38" t="n"/>
      <c r="E2240" s="39" t="n">
        <v>43144.42152777778</v>
      </c>
      <c r="F2240" s="49" t="inlineStr">
        <is>
          <t>Super Carlin Gaming</t>
        </is>
      </c>
      <c r="G2240" t="inlineStr">
        <is>
          <t>Valentine's Budget Ideas | Mario Kart Roulette #71</t>
        </is>
      </c>
      <c r="H2240" s="41" t="n">
        <v>0.0109837962962963</v>
      </c>
      <c r="I2240" s="42" t="n">
        <v>9754</v>
      </c>
      <c r="J2240" s="42" t="n">
        <v>409</v>
      </c>
      <c r="K2240" s="42" t="n">
        <v>82</v>
      </c>
      <c r="L2240" s="43" t="n"/>
      <c r="M2240" s="44" t="n"/>
      <c r="N2240" s="44" t="inlineStr">
        <is>
          <t>UCor_9jRnNNZVzTuQ92PKsaQ</t>
        </is>
      </c>
      <c r="O2240" s="45" t="n">
        <v>43144.62986111111</v>
      </c>
      <c r="P2240" s="46" t="n">
        <v>43144</v>
      </c>
      <c r="Q2240" s="44" t="n">
        <v>1032</v>
      </c>
      <c r="R2240" s="44" t="inlineStr">
        <is>
          <t>No Video ID yet</t>
        </is>
      </c>
      <c r="S2240" s="46" t="n"/>
      <c r="T2240" s="46" t="n"/>
      <c r="U2240" s="44" t="n"/>
      <c r="V2240" s="44">
        <f>IF(AND(P2240&gt;=Calendar!$K$2,P2240&lt;EDATE(Calendar!$K$2,1),OR(Calendar!$K$4="*",N2240=Calendar!$K$4)),P2240*100+COUNTIFS($P$6:$P$3271,P2240,$Q$6:$Q$3271,"&lt;="&amp;Q2240,$N$6:$N$3271,Calendar!$K$4),"")</f>
        <v/>
      </c>
      <c r="W2240" s="44">
        <f>IF(AND(B2240=Queue!$C$4,OR(Queue!$K$4="*",N2240=Queue!$K$4)),Q2240,"")</f>
        <v/>
      </c>
    </row>
    <row r="2241">
      <c r="A2241" s="35">
        <f>IF(M2241="","",HYPERLINK("https://www.youtube.com/watch?v="&amp;M2241,"▶"))</f>
        <v/>
      </c>
      <c r="B2241" s="36">
        <f>IF(C2241&lt;&gt;"",C2241,IF(P2241&lt;=IFERROR(INDEX(tblChannels[Watched Through],MATCH(N2241,tblChannels[Channel ID],0)),0),"Watched","Unwatched"))</f>
        <v/>
      </c>
      <c r="C2241" s="37" t="n"/>
      <c r="D2241" s="38" t="n"/>
      <c r="E2241" s="39" t="n">
        <v>43143.58472222222</v>
      </c>
      <c r="F2241" s="50" t="inlineStr">
        <is>
          <t>Jonathan Carlin</t>
        </is>
      </c>
      <c r="G2241" t="inlineStr">
        <is>
          <t>GETTING FIRED UP</t>
        </is>
      </c>
      <c r="H2241" s="41" t="n">
        <v>0.006030092592592593</v>
      </c>
      <c r="I2241" s="42" t="n">
        <v>38487</v>
      </c>
      <c r="J2241" s="42" t="n">
        <v>1980</v>
      </c>
      <c r="K2241" s="42" t="n">
        <v>231</v>
      </c>
      <c r="L2241" s="43" t="n"/>
      <c r="M2241" s="44" t="n"/>
      <c r="N2241" s="44" t="inlineStr">
        <is>
          <t>UCYPKFe86e6nm4TVUYKLsFUQ</t>
        </is>
      </c>
      <c r="O2241" s="45" t="n">
        <v>43143.79305555556</v>
      </c>
      <c r="P2241" s="46" t="n">
        <v>43143</v>
      </c>
      <c r="Q2241" s="44" t="n">
        <v>1031</v>
      </c>
      <c r="R2241" s="44" t="inlineStr">
        <is>
          <t>No Video ID yet</t>
        </is>
      </c>
      <c r="S2241" s="46" t="n"/>
      <c r="T2241" s="46" t="n"/>
      <c r="U2241" s="44" t="n"/>
      <c r="V2241" s="44">
        <f>IF(AND(P2241&gt;=Calendar!$K$2,P2241&lt;EDATE(Calendar!$K$2,1),OR(Calendar!$K$4="*",N2241=Calendar!$K$4)),P2241*100+COUNTIFS($P$6:$P$3271,P2241,$Q$6:$Q$3271,"&lt;="&amp;Q2241,$N$6:$N$3271,Calendar!$K$4),"")</f>
        <v/>
      </c>
      <c r="W2241" s="44">
        <f>IF(AND(B2241=Queue!$C$4,OR(Queue!$K$4="*",N2241=Queue!$K$4)),Q2241,"")</f>
        <v/>
      </c>
    </row>
    <row r="2242">
      <c r="A2242" s="35">
        <f>IF(M2242="","",HYPERLINK("https://www.youtube.com/watch?v="&amp;M2242,"▶"))</f>
        <v/>
      </c>
      <c r="B2242" s="36">
        <f>IF(C2242&lt;&gt;"",C2242,IF(P2242&lt;=IFERROR(INDEX(tblChannels[Watched Through],MATCH(N2242,tblChannels[Channel ID],0)),0),"Watched","Unwatched"))</f>
        <v/>
      </c>
      <c r="C2242" s="37" t="n"/>
      <c r="D2242" s="38" t="n"/>
      <c r="E2242" s="39" t="n">
        <v>43139.81597222222</v>
      </c>
      <c r="F2242" s="49" t="inlineStr">
        <is>
          <t>Super Carlin Gaming</t>
        </is>
      </c>
      <c r="G2242" t="inlineStr">
        <is>
          <t>Luke and J Play Pokemon Leaf Green | Mono Type FIRE Run #3</t>
        </is>
      </c>
      <c r="H2242" s="41" t="n">
        <v>0.02778935185185185</v>
      </c>
      <c r="I2242" s="42" t="n">
        <v>12537</v>
      </c>
      <c r="J2242" s="42" t="n">
        <v>497</v>
      </c>
      <c r="K2242" s="42" t="n">
        <v>59</v>
      </c>
      <c r="L2242" s="43" t="n"/>
      <c r="M2242" s="44" t="n"/>
      <c r="N2242" s="44" t="inlineStr">
        <is>
          <t>UCor_9jRnNNZVzTuQ92PKsaQ</t>
        </is>
      </c>
      <c r="O2242" s="45" t="n">
        <v>43140.02430555555</v>
      </c>
      <c r="P2242" s="46" t="n">
        <v>43139</v>
      </c>
      <c r="Q2242" s="44" t="n">
        <v>1030</v>
      </c>
      <c r="R2242" s="44" t="inlineStr">
        <is>
          <t>No Video ID yet</t>
        </is>
      </c>
      <c r="S2242" s="46" t="n"/>
      <c r="T2242" s="46" t="n"/>
      <c r="U2242" s="44" t="n"/>
      <c r="V2242" s="44">
        <f>IF(AND(P2242&gt;=Calendar!$K$2,P2242&lt;EDATE(Calendar!$K$2,1),OR(Calendar!$K$4="*",N2242=Calendar!$K$4)),P2242*100+COUNTIFS($P$6:$P$3271,P2242,$Q$6:$Q$3271,"&lt;="&amp;Q2242,$N$6:$N$3271,Calendar!$K$4),"")</f>
        <v/>
      </c>
      <c r="W2242" s="44">
        <f>IF(AND(B2242=Queue!$C$4,OR(Queue!$K$4="*",N2242=Queue!$K$4)),Q2242,"")</f>
        <v/>
      </c>
    </row>
    <row r="2243">
      <c r="A2243" s="35">
        <f>IF(M2243="","",HYPERLINK("https://www.youtube.com/watch?v="&amp;M2243,"▶"))</f>
        <v/>
      </c>
      <c r="B2243" s="36">
        <f>IF(C2243&lt;&gt;"",C2243,IF(P2243&lt;=IFERROR(INDEX(tblChannels[Watched Through],MATCH(N2243,tblChannels[Channel ID],0)),0),"Watched","Unwatched"))</f>
        <v/>
      </c>
      <c r="C2243" s="37" t="n"/>
      <c r="D2243" s="38" t="n"/>
      <c r="E2243" s="39" t="n">
        <v>43139.72291666667</v>
      </c>
      <c r="F2243" s="47" t="inlineStr">
        <is>
          <t>Super Carlin Brothers</t>
        </is>
      </c>
      <c r="G2243" t="inlineStr">
        <is>
          <t>Why's It Called The Knight Bus? | Harry Potter Explained</t>
        </is>
      </c>
      <c r="H2243" s="41" t="n">
        <v>0.006006944444444444</v>
      </c>
      <c r="I2243" s="42" t="n">
        <v>1260192</v>
      </c>
      <c r="J2243" s="42" t="n">
        <v>29534</v>
      </c>
      <c r="K2243" s="42" t="n">
        <v>3282</v>
      </c>
      <c r="L2243" s="43" t="n"/>
      <c r="M2243" s="44" t="n"/>
      <c r="N2243" s="44" t="inlineStr">
        <is>
          <t>UCKZo4N0lVPccBkSiuyVh4yg</t>
        </is>
      </c>
      <c r="O2243" s="45" t="n">
        <v>43139.93125</v>
      </c>
      <c r="P2243" s="46" t="n">
        <v>43139</v>
      </c>
      <c r="Q2243" s="44" t="n">
        <v>1029</v>
      </c>
      <c r="R2243" s="44" t="inlineStr">
        <is>
          <t>No Video ID yet</t>
        </is>
      </c>
      <c r="S2243" s="46" t="n"/>
      <c r="T2243" s="46" t="n"/>
      <c r="U2243" s="44" t="n"/>
      <c r="V2243" s="44">
        <f>IF(AND(P2243&gt;=Calendar!$K$2,P2243&lt;EDATE(Calendar!$K$2,1),OR(Calendar!$K$4="*",N2243=Calendar!$K$4)),P2243*100+COUNTIFS($P$6:$P$3271,P2243,$Q$6:$Q$3271,"&lt;="&amp;Q2243,$N$6:$N$3271,Calendar!$K$4),"")</f>
        <v/>
      </c>
      <c r="W2243" s="44">
        <f>IF(AND(B2243=Queue!$C$4,OR(Queue!$K$4="*",N2243=Queue!$K$4)),Q2243,"")</f>
        <v/>
      </c>
    </row>
    <row r="2244">
      <c r="A2244" s="35">
        <f>IF(M2244="","",HYPERLINK("https://www.youtube.com/watch?v="&amp;M2244,"▶"))</f>
        <v/>
      </c>
      <c r="B2244" s="36">
        <f>IF(C2244&lt;&gt;"",C2244,IF(P2244&lt;=IFERROR(INDEX(tblChannels[Watched Through],MATCH(N2244,tblChannels[Channel ID],0)),0),"Watched","Unwatched"))</f>
        <v/>
      </c>
      <c r="C2244" s="37" t="n"/>
      <c r="D2244" s="38" t="n"/>
      <c r="E2244" s="39" t="n">
        <v>43139.43472222222</v>
      </c>
      <c r="F2244" s="49" t="inlineStr">
        <is>
          <t>Super Carlin Gaming</t>
        </is>
      </c>
      <c r="G2244" t="inlineStr">
        <is>
          <t>Text me! | Mario Kart Roulette #70</t>
        </is>
      </c>
      <c r="H2244" s="41" t="n">
        <v>0.01168981481481481</v>
      </c>
      <c r="I2244" s="42" t="n">
        <v>10620</v>
      </c>
      <c r="J2244" s="42" t="n">
        <v>427</v>
      </c>
      <c r="K2244" s="42" t="n">
        <v>155</v>
      </c>
      <c r="L2244" s="43" t="n"/>
      <c r="M2244" s="44" t="n"/>
      <c r="N2244" s="44" t="inlineStr">
        <is>
          <t>UCor_9jRnNNZVzTuQ92PKsaQ</t>
        </is>
      </c>
      <c r="O2244" s="45" t="n">
        <v>43139.64305555556</v>
      </c>
      <c r="P2244" s="46" t="n">
        <v>43139</v>
      </c>
      <c r="Q2244" s="44" t="n">
        <v>1028</v>
      </c>
      <c r="R2244" s="44" t="inlineStr">
        <is>
          <t>No Video ID yet</t>
        </is>
      </c>
      <c r="S2244" s="46" t="n"/>
      <c r="T2244" s="46" t="n"/>
      <c r="U2244" s="44" t="n"/>
      <c r="V2244" s="44">
        <f>IF(AND(P2244&gt;=Calendar!$K$2,P2244&lt;EDATE(Calendar!$K$2,1),OR(Calendar!$K$4="*",N2244=Calendar!$K$4)),P2244*100+COUNTIFS($P$6:$P$3271,P2244,$Q$6:$Q$3271,"&lt;="&amp;Q2244,$N$6:$N$3271,Calendar!$K$4),"")</f>
        <v/>
      </c>
      <c r="W2244" s="44">
        <f>IF(AND(B2244=Queue!$C$4,OR(Queue!$K$4="*",N2244=Queue!$K$4)),Q2244,"")</f>
        <v/>
      </c>
    </row>
    <row r="2245">
      <c r="A2245" s="35">
        <f>IF(M2245="","",HYPERLINK("https://www.youtube.com/watch?v="&amp;M2245,"▶"))</f>
        <v/>
      </c>
      <c r="B2245" s="36">
        <f>IF(C2245&lt;&gt;"",C2245,IF(P2245&lt;=IFERROR(INDEX(tblChannels[Watched Through],MATCH(N2245,tblChannels[Channel ID],0)),0),"Watched","Unwatched"))</f>
        <v/>
      </c>
      <c r="C2245" s="37" t="n"/>
      <c r="D2245" s="38" t="n"/>
      <c r="E2245" s="39" t="n">
        <v>43138.76388888889</v>
      </c>
      <c r="F2245" s="49" t="inlineStr">
        <is>
          <t>Super Carlin Gaming</t>
        </is>
      </c>
      <c r="G2245" t="inlineStr">
        <is>
          <t>Rocket League!?</t>
        </is>
      </c>
      <c r="H2245" s="41" t="n">
        <v>0.0440162037037037</v>
      </c>
      <c r="I2245" s="42" t="n">
        <v>6080</v>
      </c>
      <c r="J2245" s="42" t="n">
        <v>243</v>
      </c>
      <c r="K2245" s="42" t="n">
        <v>29</v>
      </c>
      <c r="L2245" s="43" t="n"/>
      <c r="M2245" s="44" t="n"/>
      <c r="N2245" s="44" t="inlineStr">
        <is>
          <t>UCor_9jRnNNZVzTuQ92PKsaQ</t>
        </is>
      </c>
      <c r="O2245" s="45" t="n">
        <v>43138.97222222222</v>
      </c>
      <c r="P2245" s="46" t="n">
        <v>43138</v>
      </c>
      <c r="Q2245" s="44" t="n">
        <v>1027</v>
      </c>
      <c r="R2245" s="44" t="inlineStr">
        <is>
          <t>No Video ID yet</t>
        </is>
      </c>
      <c r="S2245" s="46" t="n"/>
      <c r="T2245" s="46" t="n"/>
      <c r="U2245" s="44" t="n"/>
      <c r="V2245" s="44">
        <f>IF(AND(P2245&gt;=Calendar!$K$2,P2245&lt;EDATE(Calendar!$K$2,1),OR(Calendar!$K$4="*",N2245=Calendar!$K$4)),P2245*100+COUNTIFS($P$6:$P$3271,P2245,$Q$6:$Q$3271,"&lt;="&amp;Q2245,$N$6:$N$3271,Calendar!$K$4),"")</f>
        <v/>
      </c>
      <c r="W2245" s="44">
        <f>IF(AND(B2245=Queue!$C$4,OR(Queue!$K$4="*",N2245=Queue!$K$4)),Q2245,"")</f>
        <v/>
      </c>
    </row>
    <row r="2246">
      <c r="A2246" s="35">
        <f>IF(M2246="","",HYPERLINK("https://www.youtube.com/watch?v="&amp;M2246,"▶"))</f>
        <v/>
      </c>
      <c r="B2246" s="36">
        <f>IF(C2246&lt;&gt;"",C2246,IF(P2246&lt;=IFERROR(INDEX(tblChannels[Watched Through],MATCH(N2246,tblChannels[Channel ID],0)),0),"Watched","Unwatched"))</f>
        <v/>
      </c>
      <c r="C2246" s="37" t="n"/>
      <c r="D2246" s="38" t="n"/>
      <c r="E2246" s="39" t="n">
        <v>43137.65208333333</v>
      </c>
      <c r="F2246" s="47" t="inlineStr">
        <is>
          <t>Super Carlin Brothers</t>
        </is>
      </c>
      <c r="G2246" t="inlineStr">
        <is>
          <t>What is Arithmancy? | Harry Potter Explained</t>
        </is>
      </c>
      <c r="H2246" s="41" t="n">
        <v>0.00818287037037037</v>
      </c>
      <c r="I2246" s="42" t="n">
        <v>1566201</v>
      </c>
      <c r="J2246" s="42" t="n">
        <v>39416</v>
      </c>
      <c r="K2246" s="42" t="n">
        <v>5988</v>
      </c>
      <c r="L2246" s="43" t="n"/>
      <c r="M2246" s="44" t="n"/>
      <c r="N2246" s="44" t="inlineStr">
        <is>
          <t>UCKZo4N0lVPccBkSiuyVh4yg</t>
        </is>
      </c>
      <c r="O2246" s="45" t="n">
        <v>43137.86041666667</v>
      </c>
      <c r="P2246" s="46" t="n">
        <v>43137</v>
      </c>
      <c r="Q2246" s="44" t="n">
        <v>1026</v>
      </c>
      <c r="R2246" s="44" t="inlineStr">
        <is>
          <t>No Video ID yet</t>
        </is>
      </c>
      <c r="S2246" s="46" t="n"/>
      <c r="T2246" s="46" t="n"/>
      <c r="U2246" s="44" t="n"/>
      <c r="V2246" s="44">
        <f>IF(AND(P2246&gt;=Calendar!$K$2,P2246&lt;EDATE(Calendar!$K$2,1),OR(Calendar!$K$4="*",N2246=Calendar!$K$4)),P2246*100+COUNTIFS($P$6:$P$3271,P2246,$Q$6:$Q$3271,"&lt;="&amp;Q2246,$N$6:$N$3271,Calendar!$K$4),"")</f>
        <v/>
      </c>
      <c r="W2246" s="44">
        <f>IF(AND(B2246=Queue!$C$4,OR(Queue!$K$4="*",N2246=Queue!$K$4)),Q2246,"")</f>
        <v/>
      </c>
    </row>
    <row r="2247">
      <c r="A2247" s="35">
        <f>IF(M2247="","",HYPERLINK("https://www.youtube.com/watch?v="&amp;M2247,"▶"))</f>
        <v/>
      </c>
      <c r="B2247" s="36">
        <f>IF(C2247&lt;&gt;"",C2247,IF(P2247&lt;=IFERROR(INDEX(tblChannels[Watched Through],MATCH(N2247,tblChannels[Channel ID],0)),0),"Watched","Unwatched"))</f>
        <v/>
      </c>
      <c r="C2247" s="37" t="n"/>
      <c r="D2247" s="38" t="n"/>
      <c r="E2247" s="39" t="n">
        <v>43137.42638888889</v>
      </c>
      <c r="F2247" s="49" t="inlineStr">
        <is>
          <t>Super Carlin Gaming</t>
        </is>
      </c>
      <c r="G2247" t="inlineStr">
        <is>
          <t>Kids Stuff!? | Mario Kart Roulette #69</t>
        </is>
      </c>
      <c r="H2247" s="41" t="n">
        <v>0.01263888888888889</v>
      </c>
      <c r="I2247" s="42" t="n">
        <v>10699</v>
      </c>
      <c r="J2247" s="42" t="n">
        <v>410</v>
      </c>
      <c r="K2247" s="42" t="n">
        <v>180</v>
      </c>
      <c r="L2247" s="43" t="n"/>
      <c r="M2247" s="44" t="n"/>
      <c r="N2247" s="44" t="inlineStr">
        <is>
          <t>UCor_9jRnNNZVzTuQ92PKsaQ</t>
        </is>
      </c>
      <c r="O2247" s="45" t="n">
        <v>43137.63472222222</v>
      </c>
      <c r="P2247" s="46" t="n">
        <v>43137</v>
      </c>
      <c r="Q2247" s="44" t="n">
        <v>1025</v>
      </c>
      <c r="R2247" s="44" t="inlineStr">
        <is>
          <t>No Video ID yet</t>
        </is>
      </c>
      <c r="S2247" s="46" t="n"/>
      <c r="T2247" s="46" t="n"/>
      <c r="U2247" s="44" t="n"/>
      <c r="V2247" s="44">
        <f>IF(AND(P2247&gt;=Calendar!$K$2,P2247&lt;EDATE(Calendar!$K$2,1),OR(Calendar!$K$4="*",N2247=Calendar!$K$4)),P2247*100+COUNTIFS($P$6:$P$3271,P2247,$Q$6:$Q$3271,"&lt;="&amp;Q2247,$N$6:$N$3271,Calendar!$K$4),"")</f>
        <v/>
      </c>
      <c r="W2247" s="44">
        <f>IF(AND(B2247=Queue!$C$4,OR(Queue!$K$4="*",N2247=Queue!$K$4)),Q2247,"")</f>
        <v/>
      </c>
    </row>
    <row r="2248">
      <c r="A2248" s="35">
        <f>IF(M2248="","",HYPERLINK("https://www.youtube.com/watch?v="&amp;M2248,"▶"))</f>
        <v/>
      </c>
      <c r="B2248" s="36">
        <f>IF(C2248&lt;&gt;"",C2248,IF(P2248&lt;=IFERROR(INDEX(tblChannels[Watched Through],MATCH(N2248,tblChannels[Channel ID],0)),0),"Watched","Unwatched"))</f>
        <v/>
      </c>
      <c r="C2248" s="37" t="n"/>
      <c r="D2248" s="38" t="n"/>
      <c r="E2248" s="39" t="n">
        <v>43136.49305555555</v>
      </c>
      <c r="F2248" s="50" t="inlineStr">
        <is>
          <t>Jonathan Carlin</t>
        </is>
      </c>
      <c r="G2248" t="inlineStr">
        <is>
          <t>BETH MADE BAGELS!</t>
        </is>
      </c>
      <c r="H2248" s="41" t="n">
        <v>0.005613425925925926</v>
      </c>
      <c r="I2248" s="42" t="n">
        <v>42878</v>
      </c>
      <c r="J2248" s="42" t="n">
        <v>1851</v>
      </c>
      <c r="K2248" s="42" t="n">
        <v>240</v>
      </c>
      <c r="L2248" s="43" t="n"/>
      <c r="M2248" s="44" t="n"/>
      <c r="N2248" s="44" t="inlineStr">
        <is>
          <t>UCYPKFe86e6nm4TVUYKLsFUQ</t>
        </is>
      </c>
      <c r="O2248" s="45" t="n">
        <v>43136.70138888889</v>
      </c>
      <c r="P2248" s="46" t="n">
        <v>43136</v>
      </c>
      <c r="Q2248" s="44" t="n">
        <v>1024</v>
      </c>
      <c r="R2248" s="44" t="inlineStr">
        <is>
          <t>No Video ID yet</t>
        </is>
      </c>
      <c r="S2248" s="46" t="n"/>
      <c r="T2248" s="46" t="n"/>
      <c r="U2248" s="44" t="n"/>
      <c r="V2248" s="44">
        <f>IF(AND(P2248&gt;=Calendar!$K$2,P2248&lt;EDATE(Calendar!$K$2,1),OR(Calendar!$K$4="*",N2248=Calendar!$K$4)),P2248*100+COUNTIFS($P$6:$P$3271,P2248,$Q$6:$Q$3271,"&lt;="&amp;Q2248,$N$6:$N$3271,Calendar!$K$4),"")</f>
        <v/>
      </c>
      <c r="W2248" s="44">
        <f>IF(AND(B2248=Queue!$C$4,OR(Queue!$K$4="*",N2248=Queue!$K$4)),Q2248,"")</f>
        <v/>
      </c>
    </row>
    <row r="2249">
      <c r="A2249" s="35">
        <f>IF(M2249="","",HYPERLINK("https://www.youtube.com/watch?v="&amp;M2249,"▶"))</f>
        <v/>
      </c>
      <c r="B2249" s="36">
        <f>IF(C2249&lt;&gt;"",C2249,IF(P2249&lt;=IFERROR(INDEX(tblChannels[Watched Through],MATCH(N2249,tblChannels[Channel ID],0)),0),"Watched","Unwatched"))</f>
        <v/>
      </c>
      <c r="C2249" s="37" t="n"/>
      <c r="D2249" s="38" t="n"/>
      <c r="E2249" s="39" t="n">
        <v>43132.62847222222</v>
      </c>
      <c r="F2249" s="47" t="inlineStr">
        <is>
          <t>Super Carlin Brothers</t>
        </is>
      </c>
      <c r="G2249" t="inlineStr">
        <is>
          <t>Sid's Creepy Toys Explained (Feat. NerdSync)</t>
        </is>
      </c>
      <c r="H2249" s="41" t="n">
        <v>0.005405092592592592</v>
      </c>
      <c r="I2249" s="42" t="n">
        <v>442990</v>
      </c>
      <c r="J2249" s="42" t="n">
        <v>15849</v>
      </c>
      <c r="K2249" s="42" t="n">
        <v>1091</v>
      </c>
      <c r="L2249" s="43" t="n"/>
      <c r="M2249" s="44" t="n"/>
      <c r="N2249" s="44" t="inlineStr">
        <is>
          <t>UCKZo4N0lVPccBkSiuyVh4yg</t>
        </is>
      </c>
      <c r="O2249" s="45" t="n">
        <v>43132.83680555555</v>
      </c>
      <c r="P2249" s="46" t="n">
        <v>43132</v>
      </c>
      <c r="Q2249" s="44" t="n">
        <v>1023</v>
      </c>
      <c r="R2249" s="44" t="inlineStr">
        <is>
          <t>No Video ID yet</t>
        </is>
      </c>
      <c r="S2249" s="46" t="n"/>
      <c r="T2249" s="46" t="n"/>
      <c r="U2249" s="44" t="n"/>
      <c r="V2249" s="44">
        <f>IF(AND(P2249&gt;=Calendar!$K$2,P2249&lt;EDATE(Calendar!$K$2,1),OR(Calendar!$K$4="*",N2249=Calendar!$K$4)),P2249*100+COUNTIFS($P$6:$P$3271,P2249,$Q$6:$Q$3271,"&lt;="&amp;Q2249,$N$6:$N$3271,Calendar!$K$4),"")</f>
        <v/>
      </c>
      <c r="W2249" s="44">
        <f>IF(AND(B2249=Queue!$C$4,OR(Queue!$K$4="*",N2249=Queue!$K$4)),Q2249,"")</f>
        <v/>
      </c>
    </row>
    <row r="2250">
      <c r="A2250" s="35">
        <f>IF(M2250="","",HYPERLINK("https://www.youtube.com/watch?v="&amp;M2250,"▶"))</f>
        <v/>
      </c>
      <c r="B2250" s="36">
        <f>IF(C2250&lt;&gt;"",C2250,IF(P2250&lt;=IFERROR(INDEX(tblChannels[Watched Through],MATCH(N2250,tblChannels[Channel ID],0)),0),"Watched","Unwatched"))</f>
        <v/>
      </c>
      <c r="C2250" s="37" t="n"/>
      <c r="D2250" s="38" t="n"/>
      <c r="E2250" s="39" t="n">
        <v>43132.42430555556</v>
      </c>
      <c r="F2250" s="49" t="inlineStr">
        <is>
          <t>Super Carlin Gaming</t>
        </is>
      </c>
      <c r="G2250" t="inlineStr">
        <is>
          <t>Firealarm | Mario Kart Roulette #68</t>
        </is>
      </c>
      <c r="H2250" s="41" t="n">
        <v>0.01126157407407407</v>
      </c>
      <c r="I2250" s="42" t="n">
        <v>11100</v>
      </c>
      <c r="J2250" s="42" t="n">
        <v>489</v>
      </c>
      <c r="K2250" s="42" t="n">
        <v>159</v>
      </c>
      <c r="L2250" s="43" t="n"/>
      <c r="M2250" s="44" t="n"/>
      <c r="N2250" s="44" t="inlineStr">
        <is>
          <t>UCor_9jRnNNZVzTuQ92PKsaQ</t>
        </is>
      </c>
      <c r="O2250" s="45" t="n">
        <v>43132.63263888889</v>
      </c>
      <c r="P2250" s="46" t="n">
        <v>43132</v>
      </c>
      <c r="Q2250" s="44" t="n">
        <v>1022</v>
      </c>
      <c r="R2250" s="44" t="inlineStr">
        <is>
          <t>No Video ID yet</t>
        </is>
      </c>
      <c r="S2250" s="46" t="n"/>
      <c r="T2250" s="46" t="n"/>
      <c r="U2250" s="44" t="n"/>
      <c r="V2250" s="44">
        <f>IF(AND(P2250&gt;=Calendar!$K$2,P2250&lt;EDATE(Calendar!$K$2,1),OR(Calendar!$K$4="*",N2250=Calendar!$K$4)),P2250*100+COUNTIFS($P$6:$P$3271,P2250,$Q$6:$Q$3271,"&lt;="&amp;Q2250,$N$6:$N$3271,Calendar!$K$4),"")</f>
        <v/>
      </c>
      <c r="W2250" s="44">
        <f>IF(AND(B2250=Queue!$C$4,OR(Queue!$K$4="*",N2250=Queue!$K$4)),Q2250,"")</f>
        <v/>
      </c>
    </row>
    <row r="2251">
      <c r="A2251" s="35">
        <f>IF(M2251="","",HYPERLINK("https://www.youtube.com/watch?v="&amp;M2251,"▶"))</f>
        <v/>
      </c>
      <c r="B2251" s="36">
        <f>IF(C2251&lt;&gt;"",C2251,IF(P2251&lt;=IFERROR(INDEX(tblChannels[Watched Through],MATCH(N2251,tblChannels[Channel ID],0)),0),"Watched","Unwatched"))</f>
        <v/>
      </c>
      <c r="C2251" s="37" t="n"/>
      <c r="D2251" s="38" t="n"/>
      <c r="E2251" s="39" t="n">
        <v>43130.72083333333</v>
      </c>
      <c r="F2251" s="47" t="inlineStr">
        <is>
          <t>Super Carlin Brothers</t>
        </is>
      </c>
      <c r="G2251" t="inlineStr">
        <is>
          <t>Pua and Hei Hei Explained</t>
        </is>
      </c>
      <c r="H2251" s="41" t="n">
        <v>0.005671296296296297</v>
      </c>
      <c r="I2251" s="42" t="n">
        <v>724806</v>
      </c>
      <c r="J2251" s="42" t="n">
        <v>21875</v>
      </c>
      <c r="K2251" s="42" t="n">
        <v>2764</v>
      </c>
      <c r="L2251" s="43" t="n"/>
      <c r="M2251" s="44" t="n"/>
      <c r="N2251" s="44" t="inlineStr">
        <is>
          <t>UCKZo4N0lVPccBkSiuyVh4yg</t>
        </is>
      </c>
      <c r="O2251" s="45" t="n">
        <v>43130.92916666667</v>
      </c>
      <c r="P2251" s="46" t="n">
        <v>43130</v>
      </c>
      <c r="Q2251" s="44" t="n">
        <v>1021</v>
      </c>
      <c r="R2251" s="44" t="inlineStr">
        <is>
          <t>No Video ID yet</t>
        </is>
      </c>
      <c r="S2251" s="46" t="n"/>
      <c r="T2251" s="46" t="n"/>
      <c r="U2251" s="44" t="n"/>
      <c r="V2251" s="44">
        <f>IF(AND(P2251&gt;=Calendar!$K$2,P2251&lt;EDATE(Calendar!$K$2,1),OR(Calendar!$K$4="*",N2251=Calendar!$K$4)),P2251*100+COUNTIFS($P$6:$P$3271,P2251,$Q$6:$Q$3271,"&lt;="&amp;Q2251,$N$6:$N$3271,Calendar!$K$4),"")</f>
        <v/>
      </c>
      <c r="W2251" s="44">
        <f>IF(AND(B2251=Queue!$C$4,OR(Queue!$K$4="*",N2251=Queue!$K$4)),Q2251,"")</f>
        <v/>
      </c>
    </row>
    <row r="2252">
      <c r="A2252" s="35">
        <f>IF(M2252="","",HYPERLINK("https://www.youtube.com/watch?v="&amp;M2252,"▶"))</f>
        <v/>
      </c>
      <c r="B2252" s="36">
        <f>IF(C2252&lt;&gt;"",C2252,IF(P2252&lt;=IFERROR(INDEX(tblChannels[Watched Through],MATCH(N2252,tblChannels[Channel ID],0)),0),"Watched","Unwatched"))</f>
        <v/>
      </c>
      <c r="C2252" s="37" t="n"/>
      <c r="D2252" s="38" t="n"/>
      <c r="E2252" s="39" t="n">
        <v>43130.42152777778</v>
      </c>
      <c r="F2252" s="49" t="inlineStr">
        <is>
          <t>Super Carlin Gaming</t>
        </is>
      </c>
      <c r="G2252" t="inlineStr">
        <is>
          <t>Accidental Friendzone | Mario Kart Roulette #67</t>
        </is>
      </c>
      <c r="H2252" s="41" t="n">
        <v>0.01122685185185185</v>
      </c>
      <c r="I2252" s="42" t="n">
        <v>11189</v>
      </c>
      <c r="J2252" s="42" t="n">
        <v>456</v>
      </c>
      <c r="K2252" s="42" t="n">
        <v>135</v>
      </c>
      <c r="L2252" s="43" t="n"/>
      <c r="M2252" s="44" t="n"/>
      <c r="N2252" s="44" t="inlineStr">
        <is>
          <t>UCor_9jRnNNZVzTuQ92PKsaQ</t>
        </is>
      </c>
      <c r="O2252" s="45" t="n">
        <v>43130.62986111111</v>
      </c>
      <c r="P2252" s="46" t="n">
        <v>43130</v>
      </c>
      <c r="Q2252" s="44" t="n">
        <v>1020</v>
      </c>
      <c r="R2252" s="44" t="inlineStr">
        <is>
          <t>No Video ID yet</t>
        </is>
      </c>
      <c r="S2252" s="46" t="n"/>
      <c r="T2252" s="46" t="n"/>
      <c r="U2252" s="44" t="n"/>
      <c r="V2252" s="44">
        <f>IF(AND(P2252&gt;=Calendar!$K$2,P2252&lt;EDATE(Calendar!$K$2,1),OR(Calendar!$K$4="*",N2252=Calendar!$K$4)),P2252*100+COUNTIFS($P$6:$P$3271,P2252,$Q$6:$Q$3271,"&lt;="&amp;Q2252,$N$6:$N$3271,Calendar!$K$4),"")</f>
        <v/>
      </c>
      <c r="W2252" s="44">
        <f>IF(AND(B2252=Queue!$C$4,OR(Queue!$K$4="*",N2252=Queue!$K$4)),Q2252,"")</f>
        <v/>
      </c>
    </row>
    <row r="2253">
      <c r="A2253" s="35">
        <f>IF(M2253="","",HYPERLINK("https://www.youtube.com/watch?v="&amp;M2253,"▶"))</f>
        <v/>
      </c>
      <c r="B2253" s="36">
        <f>IF(C2253&lt;&gt;"",C2253,IF(P2253&lt;=IFERROR(INDEX(tblChannels[Watched Through],MATCH(N2253,tblChannels[Channel ID],0)),0),"Watched","Unwatched"))</f>
        <v/>
      </c>
      <c r="C2253" s="37" t="n"/>
      <c r="D2253" s="38" t="n"/>
      <c r="E2253" s="39" t="n">
        <v>43129.49027777778</v>
      </c>
      <c r="F2253" s="50" t="inlineStr">
        <is>
          <t>Jonathan Carlin</t>
        </is>
      </c>
      <c r="G2253" t="inlineStr">
        <is>
          <t>HARRY POTTER LONDON ADVENTURE</t>
        </is>
      </c>
      <c r="H2253" s="41" t="n">
        <v>0.01016203703703704</v>
      </c>
      <c r="I2253" s="42" t="n">
        <v>183450</v>
      </c>
      <c r="J2253" s="42" t="n">
        <v>9403</v>
      </c>
      <c r="K2253" s="42" t="n">
        <v>1068</v>
      </c>
      <c r="L2253" s="43" t="n"/>
      <c r="M2253" s="44" t="n"/>
      <c r="N2253" s="44" t="inlineStr">
        <is>
          <t>UCYPKFe86e6nm4TVUYKLsFUQ</t>
        </is>
      </c>
      <c r="O2253" s="45" t="n">
        <v>43129.69861111111</v>
      </c>
      <c r="P2253" s="46" t="n">
        <v>43129</v>
      </c>
      <c r="Q2253" s="44" t="n">
        <v>1019</v>
      </c>
      <c r="R2253" s="44" t="inlineStr">
        <is>
          <t>No Video ID yet</t>
        </is>
      </c>
      <c r="S2253" s="46" t="n"/>
      <c r="T2253" s="46" t="n"/>
      <c r="U2253" s="44" t="n"/>
      <c r="V2253" s="44">
        <f>IF(AND(P2253&gt;=Calendar!$K$2,P2253&lt;EDATE(Calendar!$K$2,1),OR(Calendar!$K$4="*",N2253=Calendar!$K$4)),P2253*100+COUNTIFS($P$6:$P$3271,P2253,$Q$6:$Q$3271,"&lt;="&amp;Q2253,$N$6:$N$3271,Calendar!$K$4),"")</f>
        <v/>
      </c>
      <c r="W2253" s="44">
        <f>IF(AND(B2253=Queue!$C$4,OR(Queue!$K$4="*",N2253=Queue!$K$4)),Q2253,"")</f>
        <v/>
      </c>
    </row>
    <row r="2254">
      <c r="A2254" s="35">
        <f>IF(M2254="","",HYPERLINK("https://www.youtube.com/watch?v="&amp;M2254,"▶"))</f>
        <v/>
      </c>
      <c r="B2254" s="36">
        <f>IF(C2254&lt;&gt;"",C2254,IF(P2254&lt;=IFERROR(INDEX(tblChannels[Watched Through],MATCH(N2254,tblChannels[Channel ID],0)),0),"Watched","Unwatched"))</f>
        <v/>
      </c>
      <c r="C2254" s="37" t="n"/>
      <c r="D2254" s="38" t="n"/>
      <c r="E2254" s="39" t="n">
        <v>43127.68194444444</v>
      </c>
      <c r="F2254" s="49" t="inlineStr">
        <is>
          <t>Super Carlin Gaming</t>
        </is>
      </c>
      <c r="G2254" t="inlineStr">
        <is>
          <t>Luke and J Play Pokemon Leaf Green | Mono Type FIRE Run #2</t>
        </is>
      </c>
      <c r="H2254" s="41" t="n">
        <v>0.04592592592592593</v>
      </c>
      <c r="I2254" s="42" t="n">
        <v>15683</v>
      </c>
      <c r="J2254" s="42" t="n">
        <v>479</v>
      </c>
      <c r="K2254" s="42" t="n">
        <v>75</v>
      </c>
      <c r="L2254" s="43" t="n"/>
      <c r="M2254" s="44" t="n"/>
      <c r="N2254" s="44" t="inlineStr">
        <is>
          <t>UCor_9jRnNNZVzTuQ92PKsaQ</t>
        </is>
      </c>
      <c r="O2254" s="45" t="n">
        <v>43127.89027777778</v>
      </c>
      <c r="P2254" s="46" t="n">
        <v>43127</v>
      </c>
      <c r="Q2254" s="44" t="n">
        <v>1018</v>
      </c>
      <c r="R2254" s="44" t="inlineStr">
        <is>
          <t>No Video ID yet</t>
        </is>
      </c>
      <c r="S2254" s="46" t="n"/>
      <c r="T2254" s="46" t="n"/>
      <c r="U2254" s="44" t="n"/>
      <c r="V2254" s="44">
        <f>IF(AND(P2254&gt;=Calendar!$K$2,P2254&lt;EDATE(Calendar!$K$2,1),OR(Calendar!$K$4="*",N2254=Calendar!$K$4)),P2254*100+COUNTIFS($P$6:$P$3271,P2254,$Q$6:$Q$3271,"&lt;="&amp;Q2254,$N$6:$N$3271,Calendar!$K$4),"")</f>
        <v/>
      </c>
      <c r="W2254" s="44">
        <f>IF(AND(B2254=Queue!$C$4,OR(Queue!$K$4="*",N2254=Queue!$K$4)),Q2254,"")</f>
        <v/>
      </c>
    </row>
    <row r="2255">
      <c r="A2255" s="35">
        <f>IF(M2255="","",HYPERLINK("https://www.youtube.com/watch?v="&amp;M2255,"▶"))</f>
        <v/>
      </c>
      <c r="B2255" s="36">
        <f>IF(C2255&lt;&gt;"",C2255,IF(P2255&lt;=IFERROR(INDEX(tblChannels[Watched Through],MATCH(N2255,tblChannels[Channel ID],0)),0),"Watched","Unwatched"))</f>
        <v/>
      </c>
      <c r="C2255" s="37" t="n"/>
      <c r="D2255" s="38" t="n"/>
      <c r="E2255" s="39" t="n">
        <v>43125.69305555556</v>
      </c>
      <c r="F2255" s="47" t="inlineStr">
        <is>
          <t>Super Carlin Brothers</t>
        </is>
      </c>
      <c r="G2255" t="inlineStr">
        <is>
          <t>Harry IS The Philosopher’s Stone | Harry Potter Theory</t>
        </is>
      </c>
      <c r="H2255" s="41" t="n">
        <v>0.006574074074074074</v>
      </c>
      <c r="I2255" s="42" t="n">
        <v>987741</v>
      </c>
      <c r="J2255" s="42" t="n">
        <v>30152</v>
      </c>
      <c r="K2255" s="42" t="n">
        <v>2279</v>
      </c>
      <c r="L2255" s="43" t="n"/>
      <c r="M2255" s="44" t="n"/>
      <c r="N2255" s="44" t="inlineStr">
        <is>
          <t>UCKZo4N0lVPccBkSiuyVh4yg</t>
        </is>
      </c>
      <c r="O2255" s="45" t="n">
        <v>43125.90138888889</v>
      </c>
      <c r="P2255" s="46" t="n">
        <v>43125</v>
      </c>
      <c r="Q2255" s="44" t="n">
        <v>1017</v>
      </c>
      <c r="R2255" s="44" t="inlineStr">
        <is>
          <t>No Video ID yet</t>
        </is>
      </c>
      <c r="S2255" s="46" t="n"/>
      <c r="T2255" s="46" t="n"/>
      <c r="U2255" s="44" t="n"/>
      <c r="V2255" s="44">
        <f>IF(AND(P2255&gt;=Calendar!$K$2,P2255&lt;EDATE(Calendar!$K$2,1),OR(Calendar!$K$4="*",N2255=Calendar!$K$4)),P2255*100+COUNTIFS($P$6:$P$3271,P2255,$Q$6:$Q$3271,"&lt;="&amp;Q2255,$N$6:$N$3271,Calendar!$K$4),"")</f>
        <v/>
      </c>
      <c r="W2255" s="44">
        <f>IF(AND(B2255=Queue!$C$4,OR(Queue!$K$4="*",N2255=Queue!$K$4)),Q2255,"")</f>
        <v/>
      </c>
    </row>
    <row r="2256">
      <c r="A2256" s="35">
        <f>IF(M2256="","",HYPERLINK("https://www.youtube.com/watch?v="&amp;M2256,"▶"))</f>
        <v/>
      </c>
      <c r="B2256" s="36">
        <f>IF(C2256&lt;&gt;"",C2256,IF(P2256&lt;=IFERROR(INDEX(tblChannels[Watched Through],MATCH(N2256,tblChannels[Channel ID],0)),0),"Watched","Unwatched"))</f>
        <v/>
      </c>
      <c r="C2256" s="37" t="n"/>
      <c r="D2256" s="38" t="n"/>
      <c r="E2256" s="39" t="n">
        <v>43125.64583333334</v>
      </c>
      <c r="F2256" s="49" t="inlineStr">
        <is>
          <t>Super Carlin Gaming</t>
        </is>
      </c>
      <c r="G2256" t="inlineStr">
        <is>
          <t>Monkey in a Bucket | Mario Kart Roulette #66</t>
        </is>
      </c>
      <c r="H2256" s="41" t="n">
        <v>0.01304398148148148</v>
      </c>
      <c r="I2256" s="42" t="n">
        <v>11275</v>
      </c>
      <c r="J2256" s="42" t="n">
        <v>436</v>
      </c>
      <c r="K2256" s="42" t="n">
        <v>172</v>
      </c>
      <c r="L2256" s="43" t="n"/>
      <c r="M2256" s="44" t="n"/>
      <c r="N2256" s="44" t="inlineStr">
        <is>
          <t>UCor_9jRnNNZVzTuQ92PKsaQ</t>
        </is>
      </c>
      <c r="O2256" s="45" t="n">
        <v>43125.85416666666</v>
      </c>
      <c r="P2256" s="46" t="n">
        <v>43125</v>
      </c>
      <c r="Q2256" s="44" t="n">
        <v>1016</v>
      </c>
      <c r="R2256" s="44" t="inlineStr">
        <is>
          <t>No Video ID yet</t>
        </is>
      </c>
      <c r="S2256" s="46" t="n"/>
      <c r="T2256" s="46" t="n"/>
      <c r="U2256" s="44" t="n"/>
      <c r="V2256" s="44">
        <f>IF(AND(P2256&gt;=Calendar!$K$2,P2256&lt;EDATE(Calendar!$K$2,1),OR(Calendar!$K$4="*",N2256=Calendar!$K$4)),P2256*100+COUNTIFS($P$6:$P$3271,P2256,$Q$6:$Q$3271,"&lt;="&amp;Q2256,$N$6:$N$3271,Calendar!$K$4),"")</f>
        <v/>
      </c>
      <c r="W2256" s="44">
        <f>IF(AND(B2256=Queue!$C$4,OR(Queue!$K$4="*",N2256=Queue!$K$4)),Q2256,"")</f>
        <v/>
      </c>
    </row>
    <row r="2257">
      <c r="A2257" s="35">
        <f>IF(M2257="","",HYPERLINK("https://www.youtube.com/watch?v="&amp;M2257,"▶"))</f>
        <v/>
      </c>
      <c r="B2257" s="36">
        <f>IF(C2257&lt;&gt;"",C2257,IF(P2257&lt;=IFERROR(INDEX(tblChannels[Watched Through],MATCH(N2257,tblChannels[Channel ID],0)),0),"Watched","Unwatched"))</f>
        <v/>
      </c>
      <c r="C2257" s="37" t="n"/>
      <c r="D2257" s="38" t="n"/>
      <c r="E2257" s="39" t="n">
        <v>43124.89930555555</v>
      </c>
      <c r="F2257" s="50" t="inlineStr">
        <is>
          <t>Jonathan Carlin</t>
        </is>
      </c>
      <c r="G2257" t="inlineStr">
        <is>
          <t>Q&amp;A w/ Beth and J.. and Luke!</t>
        </is>
      </c>
      <c r="H2257" s="41" t="n">
        <v>0.06125</v>
      </c>
      <c r="I2257" s="42" t="n">
        <v>38043</v>
      </c>
      <c r="J2257" s="42" t="n">
        <v>1368</v>
      </c>
      <c r="K2257" s="42" t="n">
        <v>194</v>
      </c>
      <c r="L2257" s="43" t="n"/>
      <c r="M2257" s="44" t="n"/>
      <c r="N2257" s="44" t="inlineStr">
        <is>
          <t>UCYPKFe86e6nm4TVUYKLsFUQ</t>
        </is>
      </c>
      <c r="O2257" s="45" t="n">
        <v>43125.10763888889</v>
      </c>
      <c r="P2257" s="46" t="n">
        <v>43124</v>
      </c>
      <c r="Q2257" s="44" t="n">
        <v>1015</v>
      </c>
      <c r="R2257" s="44" t="inlineStr">
        <is>
          <t>No Video ID yet</t>
        </is>
      </c>
      <c r="S2257" s="46" t="n"/>
      <c r="T2257" s="46" t="n"/>
      <c r="U2257" s="44" t="n"/>
      <c r="V2257" s="44">
        <f>IF(AND(P2257&gt;=Calendar!$K$2,P2257&lt;EDATE(Calendar!$K$2,1),OR(Calendar!$K$4="*",N2257=Calendar!$K$4)),P2257*100+COUNTIFS($P$6:$P$3271,P2257,$Q$6:$Q$3271,"&lt;="&amp;Q2257,$N$6:$N$3271,Calendar!$K$4),"")</f>
        <v/>
      </c>
      <c r="W2257" s="44">
        <f>IF(AND(B2257=Queue!$C$4,OR(Queue!$K$4="*",N2257=Queue!$K$4)),Q2257,"")</f>
        <v/>
      </c>
    </row>
    <row r="2258">
      <c r="A2258" s="35">
        <f>IF(M2258="","",HYPERLINK("https://www.youtube.com/watch?v="&amp;M2258,"▶"))</f>
        <v/>
      </c>
      <c r="B2258" s="36">
        <f>IF(C2258&lt;&gt;"",C2258,IF(P2258&lt;=IFERROR(INDEX(tblChannels[Watched Through],MATCH(N2258,tblChannels[Channel ID],0)),0),"Watched","Unwatched"))</f>
        <v/>
      </c>
      <c r="C2258" s="37" t="n"/>
      <c r="D2258" s="38" t="n"/>
      <c r="E2258" s="39" t="n">
        <v>43124.81388888889</v>
      </c>
      <c r="F2258" s="49" t="inlineStr">
        <is>
          <t>Super Carlin Gaming</t>
        </is>
      </c>
      <c r="G2258" t="inlineStr">
        <is>
          <t>Pokemon Black Nuzlocke #28: THE FINAL BATTLE</t>
        </is>
      </c>
      <c r="H2258" s="41" t="n">
        <v>0.02778935185185185</v>
      </c>
      <c r="I2258" s="42" t="n">
        <v>37208</v>
      </c>
      <c r="J2258" s="42" t="n">
        <v>1396</v>
      </c>
      <c r="K2258" s="42" t="n">
        <v>594</v>
      </c>
      <c r="L2258" s="43" t="n"/>
      <c r="M2258" s="44" t="n"/>
      <c r="N2258" s="44" t="inlineStr">
        <is>
          <t>UCor_9jRnNNZVzTuQ92PKsaQ</t>
        </is>
      </c>
      <c r="O2258" s="45" t="n">
        <v>43125.02222222222</v>
      </c>
      <c r="P2258" s="46" t="n">
        <v>43124</v>
      </c>
      <c r="Q2258" s="44" t="n">
        <v>1014</v>
      </c>
      <c r="R2258" s="44" t="inlineStr">
        <is>
          <t>No Video ID yet</t>
        </is>
      </c>
      <c r="S2258" s="46" t="n"/>
      <c r="T2258" s="46" t="n"/>
      <c r="U2258" s="44" t="n"/>
      <c r="V2258" s="44">
        <f>IF(AND(P2258&gt;=Calendar!$K$2,P2258&lt;EDATE(Calendar!$K$2,1),OR(Calendar!$K$4="*",N2258=Calendar!$K$4)),P2258*100+COUNTIFS($P$6:$P$3271,P2258,$Q$6:$Q$3271,"&lt;="&amp;Q2258,$N$6:$N$3271,Calendar!$K$4),"")</f>
        <v/>
      </c>
      <c r="W2258" s="44">
        <f>IF(AND(B2258=Queue!$C$4,OR(Queue!$K$4="*",N2258=Queue!$K$4)),Q2258,"")</f>
        <v/>
      </c>
    </row>
    <row r="2259">
      <c r="A2259" s="35">
        <f>IF(M2259="","",HYPERLINK("https://www.youtube.com/watch?v="&amp;M2259,"▶"))</f>
        <v/>
      </c>
      <c r="B2259" s="36">
        <f>IF(C2259&lt;&gt;"",C2259,IF(P2259&lt;=IFERROR(INDEX(tblChannels[Watched Through],MATCH(N2259,tblChannels[Channel ID],0)),0),"Watched","Unwatched"))</f>
        <v/>
      </c>
      <c r="C2259" s="37" t="n"/>
      <c r="D2259" s="38" t="n"/>
      <c r="E2259" s="39" t="n">
        <v>43123.76041666666</v>
      </c>
      <c r="F2259" s="47" t="inlineStr">
        <is>
          <t>Super Carlin Brothers</t>
        </is>
      </c>
      <c r="G2259" t="inlineStr">
        <is>
          <t>J vs Ben: Sorting Pixar Characters into Hogwarts Houses</t>
        </is>
      </c>
      <c r="H2259" s="41" t="n">
        <v>0.01783564814814815</v>
      </c>
      <c r="I2259" s="42" t="n">
        <v>1404692</v>
      </c>
      <c r="J2259" s="42" t="n">
        <v>29831</v>
      </c>
      <c r="K2259" s="42" t="n">
        <v>5564</v>
      </c>
      <c r="L2259" s="43" t="n"/>
      <c r="M2259" s="44" t="n"/>
      <c r="N2259" s="44" t="inlineStr">
        <is>
          <t>UCKZo4N0lVPccBkSiuyVh4yg</t>
        </is>
      </c>
      <c r="O2259" s="45" t="n">
        <v>43123.96875</v>
      </c>
      <c r="P2259" s="46" t="n">
        <v>43123</v>
      </c>
      <c r="Q2259" s="44" t="n">
        <v>1013</v>
      </c>
      <c r="R2259" s="44" t="inlineStr">
        <is>
          <t>No Video ID yet</t>
        </is>
      </c>
      <c r="S2259" s="46" t="n"/>
      <c r="T2259" s="46" t="n"/>
      <c r="U2259" s="44" t="n"/>
      <c r="V2259" s="44">
        <f>IF(AND(P2259&gt;=Calendar!$K$2,P2259&lt;EDATE(Calendar!$K$2,1),OR(Calendar!$K$4="*",N2259=Calendar!$K$4)),P2259*100+COUNTIFS($P$6:$P$3271,P2259,$Q$6:$Q$3271,"&lt;="&amp;Q2259,$N$6:$N$3271,Calendar!$K$4),"")</f>
        <v/>
      </c>
      <c r="W2259" s="44">
        <f>IF(AND(B2259=Queue!$C$4,OR(Queue!$K$4="*",N2259=Queue!$K$4)),Q2259,"")</f>
        <v/>
      </c>
    </row>
    <row r="2260">
      <c r="A2260" s="35">
        <f>IF(M2260="","",HYPERLINK("https://www.youtube.com/watch?v="&amp;M2260,"▶"))</f>
        <v/>
      </c>
      <c r="B2260" s="36">
        <f>IF(C2260&lt;&gt;"",C2260,IF(P2260&lt;=IFERROR(INDEX(tblChannels[Watched Through],MATCH(N2260,tblChannels[Channel ID],0)),0),"Watched","Unwatched"))</f>
        <v/>
      </c>
      <c r="C2260" s="37" t="n"/>
      <c r="D2260" s="38" t="n"/>
      <c r="E2260" s="39" t="n">
        <v>43123.57777777778</v>
      </c>
      <c r="F2260" s="49" t="inlineStr">
        <is>
          <t>Super Carlin Gaming</t>
        </is>
      </c>
      <c r="G2260" t="inlineStr">
        <is>
          <t>Motivation is Success | Mario Kart Roulette #65</t>
        </is>
      </c>
      <c r="H2260" s="41" t="n">
        <v>0.01130787037037037</v>
      </c>
      <c r="I2260" s="42" t="n">
        <v>10348</v>
      </c>
      <c r="J2260" s="42" t="n">
        <v>419</v>
      </c>
      <c r="K2260" s="42" t="n">
        <v>76</v>
      </c>
      <c r="L2260" s="43" t="n"/>
      <c r="M2260" s="44" t="n"/>
      <c r="N2260" s="44" t="inlineStr">
        <is>
          <t>UCor_9jRnNNZVzTuQ92PKsaQ</t>
        </is>
      </c>
      <c r="O2260" s="45" t="n">
        <v>43123.78611111111</v>
      </c>
      <c r="P2260" s="46" t="n">
        <v>43123</v>
      </c>
      <c r="Q2260" s="44" t="n">
        <v>1012</v>
      </c>
      <c r="R2260" s="44" t="inlineStr">
        <is>
          <t>No Video ID yet</t>
        </is>
      </c>
      <c r="S2260" s="46" t="n"/>
      <c r="T2260" s="46" t="n"/>
      <c r="U2260" s="44" t="n"/>
      <c r="V2260" s="44">
        <f>IF(AND(P2260&gt;=Calendar!$K$2,P2260&lt;EDATE(Calendar!$K$2,1),OR(Calendar!$K$4="*",N2260=Calendar!$K$4)),P2260*100+COUNTIFS($P$6:$P$3271,P2260,$Q$6:$Q$3271,"&lt;="&amp;Q2260,$N$6:$N$3271,Calendar!$K$4),"")</f>
        <v/>
      </c>
      <c r="W2260" s="44">
        <f>IF(AND(B2260=Queue!$C$4,OR(Queue!$K$4="*",N2260=Queue!$K$4)),Q2260,"")</f>
        <v/>
      </c>
    </row>
    <row r="2261">
      <c r="A2261" s="35">
        <f>IF(M2261="","",HYPERLINK("https://www.youtube.com/watch?v="&amp;M2261,"▶"))</f>
        <v/>
      </c>
      <c r="B2261" s="36">
        <f>IF(C2261&lt;&gt;"",C2261,IF(P2261&lt;=IFERROR(INDEX(tblChannels[Watched Through],MATCH(N2261,tblChannels[Channel ID],0)),0),"Watched","Unwatched"))</f>
        <v/>
      </c>
      <c r="C2261" s="37" t="n"/>
      <c r="D2261" s="38" t="n"/>
      <c r="E2261" s="39" t="n">
        <v>43122.59583333333</v>
      </c>
      <c r="F2261" s="49" t="inlineStr">
        <is>
          <t>Super Carlin Gaming</t>
        </is>
      </c>
      <c r="G2261" t="inlineStr">
        <is>
          <t>Pokemon Black Nuzlocke #27: The Second Half...</t>
        </is>
      </c>
      <c r="H2261" s="41" t="n">
        <v>0.01650462962962963</v>
      </c>
      <c r="I2261" s="42" t="n">
        <v>22172</v>
      </c>
      <c r="J2261" s="42" t="n">
        <v>697</v>
      </c>
      <c r="K2261" s="42" t="n">
        <v>176</v>
      </c>
      <c r="L2261" s="43" t="n"/>
      <c r="M2261" s="44" t="n"/>
      <c r="N2261" s="44" t="inlineStr">
        <is>
          <t>UCor_9jRnNNZVzTuQ92PKsaQ</t>
        </is>
      </c>
      <c r="O2261" s="45" t="n">
        <v>43122.80416666667</v>
      </c>
      <c r="P2261" s="46" t="n">
        <v>43122</v>
      </c>
      <c r="Q2261" s="44" t="n">
        <v>1011</v>
      </c>
      <c r="R2261" s="44" t="inlineStr">
        <is>
          <t>No Video ID yet</t>
        </is>
      </c>
      <c r="S2261" s="46" t="n"/>
      <c r="T2261" s="46" t="n"/>
      <c r="U2261" s="44" t="n"/>
      <c r="V2261" s="44">
        <f>IF(AND(P2261&gt;=Calendar!$K$2,P2261&lt;EDATE(Calendar!$K$2,1),OR(Calendar!$K$4="*",N2261=Calendar!$K$4)),P2261*100+COUNTIFS($P$6:$P$3271,P2261,$Q$6:$Q$3271,"&lt;="&amp;Q2261,$N$6:$N$3271,Calendar!$K$4),"")</f>
        <v/>
      </c>
      <c r="W2261" s="44">
        <f>IF(AND(B2261=Queue!$C$4,OR(Queue!$K$4="*",N2261=Queue!$K$4)),Q2261,"")</f>
        <v/>
      </c>
    </row>
    <row r="2262">
      <c r="A2262" s="35">
        <f>IF(M2262="","",HYPERLINK("https://www.youtube.com/watch?v="&amp;M2262,"▶"))</f>
        <v/>
      </c>
      <c r="B2262" s="36">
        <f>IF(C2262&lt;&gt;"",C2262,IF(P2262&lt;=IFERROR(INDEX(tblChannels[Watched Through],MATCH(N2262,tblChannels[Channel ID],0)),0),"Watched","Unwatched"))</f>
        <v/>
      </c>
      <c r="C2262" s="37" t="n"/>
      <c r="D2262" s="38" t="n"/>
      <c r="E2262" s="39" t="n">
        <v>43122.52847222222</v>
      </c>
      <c r="F2262" s="50" t="inlineStr">
        <is>
          <t>Jonathan Carlin</t>
        </is>
      </c>
      <c r="G2262" t="inlineStr">
        <is>
          <t>QUEST FOR THE PERFECT BURGER</t>
        </is>
      </c>
      <c r="H2262" s="41" t="n">
        <v>0.005891203703703704</v>
      </c>
      <c r="I2262" s="42" t="n">
        <v>49830</v>
      </c>
      <c r="J2262" s="42" t="n">
        <v>2012</v>
      </c>
      <c r="K2262" s="42" t="n">
        <v>249</v>
      </c>
      <c r="L2262" s="43" t="n"/>
      <c r="M2262" s="44" t="n"/>
      <c r="N2262" s="44" t="inlineStr">
        <is>
          <t>UCYPKFe86e6nm4TVUYKLsFUQ</t>
        </is>
      </c>
      <c r="O2262" s="45" t="n">
        <v>43122.73680555556</v>
      </c>
      <c r="P2262" s="46" t="n">
        <v>43122</v>
      </c>
      <c r="Q2262" s="44" t="n">
        <v>1010</v>
      </c>
      <c r="R2262" s="44" t="inlineStr">
        <is>
          <t>No Video ID yet</t>
        </is>
      </c>
      <c r="S2262" s="46" t="n"/>
      <c r="T2262" s="46" t="n"/>
      <c r="U2262" s="44" t="n"/>
      <c r="V2262" s="44">
        <f>IF(AND(P2262&gt;=Calendar!$K$2,P2262&lt;EDATE(Calendar!$K$2,1),OR(Calendar!$K$4="*",N2262=Calendar!$K$4)),P2262*100+COUNTIFS($P$6:$P$3271,P2262,$Q$6:$Q$3271,"&lt;="&amp;Q2262,$N$6:$N$3271,Calendar!$K$4),"")</f>
        <v/>
      </c>
      <c r="W2262" s="44">
        <f>IF(AND(B2262=Queue!$C$4,OR(Queue!$K$4="*",N2262=Queue!$K$4)),Q2262,"")</f>
        <v/>
      </c>
    </row>
    <row r="2263">
      <c r="A2263" s="35">
        <f>IF(M2263="","",HYPERLINK("https://www.youtube.com/watch?v="&amp;M2263,"▶"))</f>
        <v/>
      </c>
      <c r="B2263" s="36">
        <f>IF(C2263&lt;&gt;"",C2263,IF(P2263&lt;=IFERROR(INDEX(tblChannels[Watched Through],MATCH(N2263,tblChannels[Channel ID],0)),0),"Watched","Unwatched"))</f>
        <v/>
      </c>
      <c r="C2263" s="37" t="n"/>
      <c r="D2263" s="38" t="n"/>
      <c r="E2263" s="39" t="n">
        <v>43119.72361111111</v>
      </c>
      <c r="F2263" s="49" t="inlineStr">
        <is>
          <t>Super Carlin Gaming</t>
        </is>
      </c>
      <c r="G2263" t="inlineStr">
        <is>
          <t>Pokemon Black Nuzlocke #26: The First Half...</t>
        </is>
      </c>
      <c r="H2263" s="41" t="n">
        <v>0.01847222222222222</v>
      </c>
      <c r="I2263" s="42" t="n">
        <v>23670</v>
      </c>
      <c r="J2263" s="42" t="n">
        <v>659</v>
      </c>
      <c r="K2263" s="42" t="n">
        <v>155</v>
      </c>
      <c r="L2263" s="43" t="n"/>
      <c r="M2263" s="44" t="n"/>
      <c r="N2263" s="44" t="inlineStr">
        <is>
          <t>UCor_9jRnNNZVzTuQ92PKsaQ</t>
        </is>
      </c>
      <c r="O2263" s="45" t="n">
        <v>43119.93194444444</v>
      </c>
      <c r="P2263" s="46" t="n">
        <v>43119</v>
      </c>
      <c r="Q2263" s="44" t="n">
        <v>1009</v>
      </c>
      <c r="R2263" s="44" t="inlineStr">
        <is>
          <t>No Video ID yet</t>
        </is>
      </c>
      <c r="S2263" s="46" t="n"/>
      <c r="T2263" s="46" t="n"/>
      <c r="U2263" s="44" t="n"/>
      <c r="V2263" s="44">
        <f>IF(AND(P2263&gt;=Calendar!$K$2,P2263&lt;EDATE(Calendar!$K$2,1),OR(Calendar!$K$4="*",N2263=Calendar!$K$4)),P2263*100+COUNTIFS($P$6:$P$3271,P2263,$Q$6:$Q$3271,"&lt;="&amp;Q2263,$N$6:$N$3271,Calendar!$K$4),"")</f>
        <v/>
      </c>
      <c r="W2263" s="44">
        <f>IF(AND(B2263=Queue!$C$4,OR(Queue!$K$4="*",N2263=Queue!$K$4)),Q2263,"")</f>
        <v/>
      </c>
    </row>
    <row r="2264">
      <c r="A2264" s="35">
        <f>IF(M2264="","",HYPERLINK("https://www.youtube.com/watch?v="&amp;M2264,"▶"))</f>
        <v/>
      </c>
      <c r="B2264" s="36">
        <f>IF(C2264&lt;&gt;"",C2264,IF(P2264&lt;=IFERROR(INDEX(tblChannels[Watched Through],MATCH(N2264,tblChannels[Channel ID],0)),0),"Watched","Unwatched"))</f>
        <v/>
      </c>
      <c r="C2264" s="37" t="n"/>
      <c r="D2264" s="38" t="n"/>
      <c r="E2264" s="39" t="n">
        <v>43119.68611111111</v>
      </c>
      <c r="F2264" s="49" t="inlineStr">
        <is>
          <t>Super Carlin Gaming</t>
        </is>
      </c>
      <c r="G2264" t="inlineStr">
        <is>
          <t>Luke and J Play Pokemon Leaf Green | Mono Type FIRE Run #1</t>
        </is>
      </c>
      <c r="H2264" s="41" t="n">
        <v>0.02163194444444444</v>
      </c>
      <c r="I2264" s="42" t="n">
        <v>26600</v>
      </c>
      <c r="J2264" s="42" t="n">
        <v>690</v>
      </c>
      <c r="K2264" s="42" t="n">
        <v>119</v>
      </c>
      <c r="L2264" s="43" t="n"/>
      <c r="M2264" s="44" t="n"/>
      <c r="N2264" s="44" t="inlineStr">
        <is>
          <t>UCor_9jRnNNZVzTuQ92PKsaQ</t>
        </is>
      </c>
      <c r="O2264" s="45" t="n">
        <v>43119.89444444444</v>
      </c>
      <c r="P2264" s="46" t="n">
        <v>43119</v>
      </c>
      <c r="Q2264" s="44" t="n">
        <v>1008</v>
      </c>
      <c r="R2264" s="44" t="inlineStr">
        <is>
          <t>No Video ID yet</t>
        </is>
      </c>
      <c r="S2264" s="46" t="n"/>
      <c r="T2264" s="46" t="n"/>
      <c r="U2264" s="44" t="n"/>
      <c r="V2264" s="44">
        <f>IF(AND(P2264&gt;=Calendar!$K$2,P2264&lt;EDATE(Calendar!$K$2,1),OR(Calendar!$K$4="*",N2264=Calendar!$K$4)),P2264*100+COUNTIFS($P$6:$P$3271,P2264,$Q$6:$Q$3271,"&lt;="&amp;Q2264,$N$6:$N$3271,Calendar!$K$4),"")</f>
        <v/>
      </c>
      <c r="W2264" s="44">
        <f>IF(AND(B2264=Queue!$C$4,OR(Queue!$K$4="*",N2264=Queue!$K$4)),Q2264,"")</f>
        <v/>
      </c>
    </row>
    <row r="2265">
      <c r="A2265" s="35">
        <f>IF(M2265="","",HYPERLINK("https://www.youtube.com/watch?v="&amp;M2265,"▶"))</f>
        <v/>
      </c>
      <c r="B2265" s="36">
        <f>IF(C2265&lt;&gt;"",C2265,IF(P2265&lt;=IFERROR(INDEX(tblChannels[Watched Through],MATCH(N2265,tblChannels[Channel ID],0)),0),"Watched","Unwatched"))</f>
        <v/>
      </c>
      <c r="C2265" s="37" t="n"/>
      <c r="D2265" s="38" t="n"/>
      <c r="E2265" s="39" t="n">
        <v>43118.69791666666</v>
      </c>
      <c r="F2265" s="47" t="inlineStr">
        <is>
          <t>Super Carlin Brothers</t>
        </is>
      </c>
      <c r="G2265" t="inlineStr">
        <is>
          <t>Why Harry's Scar Is A Lightning Bolt | Harry Potter Theory</t>
        </is>
      </c>
      <c r="H2265" s="41" t="n">
        <v>0.00636574074074074</v>
      </c>
      <c r="I2265" s="42" t="n">
        <v>1493835</v>
      </c>
      <c r="J2265" s="42" t="n">
        <v>35597</v>
      </c>
      <c r="K2265" s="42" t="n">
        <v>4684</v>
      </c>
      <c r="L2265" s="43" t="n"/>
      <c r="M2265" s="44" t="n"/>
      <c r="N2265" s="44" t="inlineStr">
        <is>
          <t>UCKZo4N0lVPccBkSiuyVh4yg</t>
        </is>
      </c>
      <c r="O2265" s="45" t="n">
        <v>43118.90625</v>
      </c>
      <c r="P2265" s="46" t="n">
        <v>43118</v>
      </c>
      <c r="Q2265" s="44" t="n">
        <v>1007</v>
      </c>
      <c r="R2265" s="44" t="inlineStr">
        <is>
          <t>No Video ID yet</t>
        </is>
      </c>
      <c r="S2265" s="46" t="n"/>
      <c r="T2265" s="46" t="n"/>
      <c r="U2265" s="44" t="n"/>
      <c r="V2265" s="44">
        <f>IF(AND(P2265&gt;=Calendar!$K$2,P2265&lt;EDATE(Calendar!$K$2,1),OR(Calendar!$K$4="*",N2265=Calendar!$K$4)),P2265*100+COUNTIFS($P$6:$P$3271,P2265,$Q$6:$Q$3271,"&lt;="&amp;Q2265,$N$6:$N$3271,Calendar!$K$4),"")</f>
        <v/>
      </c>
      <c r="W2265" s="44">
        <f>IF(AND(B2265=Queue!$C$4,OR(Queue!$K$4="*",N2265=Queue!$K$4)),Q2265,"")</f>
        <v/>
      </c>
    </row>
    <row r="2266">
      <c r="A2266" s="35">
        <f>IF(M2266="","",HYPERLINK("https://www.youtube.com/watch?v="&amp;M2266,"▶"))</f>
        <v/>
      </c>
      <c r="B2266" s="36">
        <f>IF(C2266&lt;&gt;"",C2266,IF(P2266&lt;=IFERROR(INDEX(tblChannels[Watched Through],MATCH(N2266,tblChannels[Channel ID],0)),0),"Watched","Unwatched"))</f>
        <v/>
      </c>
      <c r="C2266" s="37" t="n"/>
      <c r="D2266" s="38" t="n"/>
      <c r="E2266" s="39" t="n">
        <v>43118.55347222222</v>
      </c>
      <c r="F2266" s="49" t="inlineStr">
        <is>
          <t>Super Carlin Gaming</t>
        </is>
      </c>
      <c r="G2266" t="inlineStr">
        <is>
          <t>Mario Kart Roulette #64: Cross Country Solves Problems</t>
        </is>
      </c>
      <c r="H2266" s="41" t="n">
        <v>0.01244212962962963</v>
      </c>
      <c r="I2266" s="42" t="n">
        <v>11363</v>
      </c>
      <c r="J2266" s="42" t="n">
        <v>589</v>
      </c>
      <c r="K2266" s="42" t="n">
        <v>129</v>
      </c>
      <c r="L2266" s="43" t="n"/>
      <c r="M2266" s="44" t="n"/>
      <c r="N2266" s="44" t="inlineStr">
        <is>
          <t>UCor_9jRnNNZVzTuQ92PKsaQ</t>
        </is>
      </c>
      <c r="O2266" s="45" t="n">
        <v>43118.76180555556</v>
      </c>
      <c r="P2266" s="46" t="n">
        <v>43118</v>
      </c>
      <c r="Q2266" s="44" t="n">
        <v>1006</v>
      </c>
      <c r="R2266" s="44" t="inlineStr">
        <is>
          <t>No Video ID yet</t>
        </is>
      </c>
      <c r="S2266" s="46" t="n"/>
      <c r="T2266" s="46" t="n"/>
      <c r="U2266" s="44" t="n"/>
      <c r="V2266" s="44">
        <f>IF(AND(P2266&gt;=Calendar!$K$2,P2266&lt;EDATE(Calendar!$K$2,1),OR(Calendar!$K$4="*",N2266=Calendar!$K$4)),P2266*100+COUNTIFS($P$6:$P$3271,P2266,$Q$6:$Q$3271,"&lt;="&amp;Q2266,$N$6:$N$3271,Calendar!$K$4),"")</f>
        <v/>
      </c>
      <c r="W2266" s="44">
        <f>IF(AND(B2266=Queue!$C$4,OR(Queue!$K$4="*",N2266=Queue!$K$4)),Q2266,"")</f>
        <v/>
      </c>
    </row>
    <row r="2267">
      <c r="A2267" s="35">
        <f>IF(M2267="","",HYPERLINK("https://www.youtube.com/watch?v="&amp;M2267,"▶"))</f>
        <v/>
      </c>
      <c r="B2267" s="36">
        <f>IF(C2267&lt;&gt;"",C2267,IF(P2267&lt;=IFERROR(INDEX(tblChannels[Watched Through],MATCH(N2267,tblChannels[Channel ID],0)),0),"Watched","Unwatched"))</f>
        <v/>
      </c>
      <c r="C2267" s="37" t="n"/>
      <c r="D2267" s="38" t="n"/>
      <c r="E2267" s="39" t="n">
        <v>43117.91527777778</v>
      </c>
      <c r="F2267" s="50" t="inlineStr">
        <is>
          <t>Jonathan Carlin</t>
        </is>
      </c>
      <c r="G2267" t="inlineStr">
        <is>
          <t>LIVE STREAM: Q&amp;A w/ Beth and J!</t>
        </is>
      </c>
      <c r="H2267" s="41" t="n">
        <v>0.05501157407407407</v>
      </c>
      <c r="I2267" s="42" t="n">
        <v>29997</v>
      </c>
      <c r="J2267" s="42" t="n">
        <v>1498</v>
      </c>
      <c r="K2267" s="42" t="n">
        <v>175</v>
      </c>
      <c r="L2267" s="43" t="n"/>
      <c r="M2267" s="44" t="n"/>
      <c r="N2267" s="44" t="inlineStr">
        <is>
          <t>UCYPKFe86e6nm4TVUYKLsFUQ</t>
        </is>
      </c>
      <c r="O2267" s="45" t="n">
        <v>43118.12361111111</v>
      </c>
      <c r="P2267" s="46" t="n">
        <v>43117</v>
      </c>
      <c r="Q2267" s="44" t="n">
        <v>1005</v>
      </c>
      <c r="R2267" s="44" t="inlineStr">
        <is>
          <t>No Video ID yet</t>
        </is>
      </c>
      <c r="S2267" s="46" t="n"/>
      <c r="T2267" s="46" t="n"/>
      <c r="U2267" s="44" t="n"/>
      <c r="V2267" s="44">
        <f>IF(AND(P2267&gt;=Calendar!$K$2,P2267&lt;EDATE(Calendar!$K$2,1),OR(Calendar!$K$4="*",N2267=Calendar!$K$4)),P2267*100+COUNTIFS($P$6:$P$3271,P2267,$Q$6:$Q$3271,"&lt;="&amp;Q2267,$N$6:$N$3271,Calendar!$K$4),"")</f>
        <v/>
      </c>
      <c r="W2267" s="44">
        <f>IF(AND(B2267=Queue!$C$4,OR(Queue!$K$4="*",N2267=Queue!$K$4)),Q2267,"")</f>
        <v/>
      </c>
    </row>
    <row r="2268">
      <c r="A2268" s="35">
        <f>IF(M2268="","",HYPERLINK("https://www.youtube.com/watch?v="&amp;M2268,"▶"))</f>
        <v/>
      </c>
      <c r="B2268" s="36">
        <f>IF(C2268&lt;&gt;"",C2268,IF(P2268&lt;=IFERROR(INDEX(tblChannels[Watched Through],MATCH(N2268,tblChannels[Channel ID],0)),0),"Watched","Unwatched"))</f>
        <v/>
      </c>
      <c r="C2268" s="37" t="n"/>
      <c r="D2268" s="38" t="n"/>
      <c r="E2268" s="39" t="n">
        <v>43117.70277777778</v>
      </c>
      <c r="F2268" s="49" t="inlineStr">
        <is>
          <t>Super Carlin Gaming</t>
        </is>
      </c>
      <c r="G2268" t="inlineStr">
        <is>
          <t>Pokemon Black Nuzlocke #25: Que the Victory Road Music!</t>
        </is>
      </c>
      <c r="H2268" s="41" t="n">
        <v>0.01328703703703704</v>
      </c>
      <c r="I2268" s="42" t="n">
        <v>21546</v>
      </c>
      <c r="J2268" s="42" t="n">
        <v>611</v>
      </c>
      <c r="K2268" s="42" t="n">
        <v>159</v>
      </c>
      <c r="L2268" s="43" t="n"/>
      <c r="M2268" s="44" t="n"/>
      <c r="N2268" s="44" t="inlineStr">
        <is>
          <t>UCor_9jRnNNZVzTuQ92PKsaQ</t>
        </is>
      </c>
      <c r="O2268" s="45" t="n">
        <v>43117.91111111111</v>
      </c>
      <c r="P2268" s="46" t="n">
        <v>43117</v>
      </c>
      <c r="Q2268" s="44" t="n">
        <v>1004</v>
      </c>
      <c r="R2268" s="44" t="inlineStr">
        <is>
          <t>No Video ID yet</t>
        </is>
      </c>
      <c r="S2268" s="46" t="n"/>
      <c r="T2268" s="46" t="n"/>
      <c r="U2268" s="44" t="n"/>
      <c r="V2268" s="44">
        <f>IF(AND(P2268&gt;=Calendar!$K$2,P2268&lt;EDATE(Calendar!$K$2,1),OR(Calendar!$K$4="*",N2268=Calendar!$K$4)),P2268*100+COUNTIFS($P$6:$P$3271,P2268,$Q$6:$Q$3271,"&lt;="&amp;Q2268,$N$6:$N$3271,Calendar!$K$4),"")</f>
        <v/>
      </c>
      <c r="W2268" s="44">
        <f>IF(AND(B2268=Queue!$C$4,OR(Queue!$K$4="*",N2268=Queue!$K$4)),Q2268,"")</f>
        <v/>
      </c>
    </row>
    <row r="2269">
      <c r="A2269" s="35">
        <f>IF(M2269="","",HYPERLINK("https://www.youtube.com/watch?v="&amp;M2269,"▶"))</f>
        <v/>
      </c>
      <c r="B2269" s="36">
        <f>IF(C2269&lt;&gt;"",C2269,IF(P2269&lt;=IFERROR(INDEX(tblChannels[Watched Through],MATCH(N2269,tblChannels[Channel ID],0)),0),"Watched","Unwatched"))</f>
        <v/>
      </c>
      <c r="C2269" s="37" t="n"/>
      <c r="D2269" s="38" t="n"/>
      <c r="E2269" s="39" t="n">
        <v>43116.87708333333</v>
      </c>
      <c r="F2269" s="47" t="inlineStr">
        <is>
          <t>Super Carlin Brothers</t>
        </is>
      </c>
      <c r="G2269" t="inlineStr">
        <is>
          <t>J vs Ben: The HARDEST Snape Trivia Quiz EVER</t>
        </is>
      </c>
      <c r="H2269" s="41" t="n">
        <v>0.02918981481481481</v>
      </c>
      <c r="I2269" s="42" t="n">
        <v>1979854</v>
      </c>
      <c r="J2269" s="42" t="n">
        <v>26437</v>
      </c>
      <c r="K2269" s="42" t="n">
        <v>3712</v>
      </c>
      <c r="L2269" s="43" t="n"/>
      <c r="M2269" s="44" t="n"/>
      <c r="N2269" s="44" t="inlineStr">
        <is>
          <t>UCKZo4N0lVPccBkSiuyVh4yg</t>
        </is>
      </c>
      <c r="O2269" s="45" t="n">
        <v>43117.08541666667</v>
      </c>
      <c r="P2269" s="46" t="n">
        <v>43116</v>
      </c>
      <c r="Q2269" s="44" t="n">
        <v>1003</v>
      </c>
      <c r="R2269" s="44" t="inlineStr">
        <is>
          <t>No Video ID yet</t>
        </is>
      </c>
      <c r="S2269" s="46" t="n"/>
      <c r="T2269" s="46" t="n"/>
      <c r="U2269" s="44" t="n"/>
      <c r="V2269" s="44">
        <f>IF(AND(P2269&gt;=Calendar!$K$2,P2269&lt;EDATE(Calendar!$K$2,1),OR(Calendar!$K$4="*",N2269=Calendar!$K$4)),P2269*100+COUNTIFS($P$6:$P$3271,P2269,$Q$6:$Q$3271,"&lt;="&amp;Q2269,$N$6:$N$3271,Calendar!$K$4),"")</f>
        <v/>
      </c>
      <c r="W2269" s="44">
        <f>IF(AND(B2269=Queue!$C$4,OR(Queue!$K$4="*",N2269=Queue!$K$4)),Q2269,"")</f>
        <v/>
      </c>
    </row>
    <row r="2270">
      <c r="A2270" s="35">
        <f>IF(M2270="","",HYPERLINK("https://www.youtube.com/watch?v="&amp;M2270,"▶"))</f>
        <v/>
      </c>
      <c r="B2270" s="36">
        <f>IF(C2270&lt;&gt;"",C2270,IF(P2270&lt;=IFERROR(INDEX(tblChannels[Watched Through],MATCH(N2270,tblChannels[Channel ID],0)),0),"Watched","Unwatched"))</f>
        <v/>
      </c>
      <c r="C2270" s="37" t="n"/>
      <c r="D2270" s="38" t="n"/>
      <c r="E2270" s="39" t="n">
        <v>43116.63819444444</v>
      </c>
      <c r="F2270" s="49" t="inlineStr">
        <is>
          <t>Super Carlin Gaming</t>
        </is>
      </c>
      <c r="G2270" t="inlineStr">
        <is>
          <t>Mario Kart Roulette #63: Public Speaking</t>
        </is>
      </c>
      <c r="H2270" s="41" t="n">
        <v>0.01319444444444444</v>
      </c>
      <c r="I2270" s="42" t="n">
        <v>11323</v>
      </c>
      <c r="J2270" s="42" t="n">
        <v>514</v>
      </c>
      <c r="K2270" s="42" t="n">
        <v>91</v>
      </c>
      <c r="L2270" s="43" t="n"/>
      <c r="M2270" s="44" t="n"/>
      <c r="N2270" s="44" t="inlineStr">
        <is>
          <t>UCor_9jRnNNZVzTuQ92PKsaQ</t>
        </is>
      </c>
      <c r="O2270" s="45" t="n">
        <v>43116.84652777778</v>
      </c>
      <c r="P2270" s="46" t="n">
        <v>43116</v>
      </c>
      <c r="Q2270" s="44" t="n">
        <v>1002</v>
      </c>
      <c r="R2270" s="44" t="inlineStr">
        <is>
          <t>No Video ID yet</t>
        </is>
      </c>
      <c r="S2270" s="46" t="n"/>
      <c r="T2270" s="46" t="n"/>
      <c r="U2270" s="44" t="n"/>
      <c r="V2270" s="44">
        <f>IF(AND(P2270&gt;=Calendar!$K$2,P2270&lt;EDATE(Calendar!$K$2,1),OR(Calendar!$K$4="*",N2270=Calendar!$K$4)),P2270*100+COUNTIFS($P$6:$P$3271,P2270,$Q$6:$Q$3271,"&lt;="&amp;Q2270,$N$6:$N$3271,Calendar!$K$4),"")</f>
        <v/>
      </c>
      <c r="W2270" s="44">
        <f>IF(AND(B2270=Queue!$C$4,OR(Queue!$K$4="*",N2270=Queue!$K$4)),Q2270,"")</f>
        <v/>
      </c>
    </row>
    <row r="2271">
      <c r="A2271" s="35">
        <f>IF(M2271="","",HYPERLINK("https://www.youtube.com/watch?v="&amp;M2271,"▶"))</f>
        <v/>
      </c>
      <c r="B2271" s="36">
        <f>IF(C2271&lt;&gt;"",C2271,IF(P2271&lt;=IFERROR(INDEX(tblChannels[Watched Through],MATCH(N2271,tblChannels[Channel ID],0)),0),"Watched","Unwatched"))</f>
        <v/>
      </c>
      <c r="C2271" s="37" t="n"/>
      <c r="D2271" s="38" t="n"/>
      <c r="E2271" s="39" t="n">
        <v>43115.74583333333</v>
      </c>
      <c r="F2271" s="50" t="inlineStr">
        <is>
          <t>Jonathan Carlin</t>
        </is>
      </c>
      <c r="G2271" t="inlineStr">
        <is>
          <t>FINDING OUT BETH WAS PREGNANT | 2017 REWIND</t>
        </is>
      </c>
      <c r="H2271" s="41" t="n">
        <v>0.006030092592592593</v>
      </c>
      <c r="I2271" s="42" t="n">
        <v>74111</v>
      </c>
      <c r="J2271" s="42" t="n">
        <v>3044</v>
      </c>
      <c r="K2271" s="42" t="n">
        <v>246</v>
      </c>
      <c r="L2271" s="43" t="n"/>
      <c r="M2271" s="44" t="n"/>
      <c r="N2271" s="44" t="inlineStr">
        <is>
          <t>UCYPKFe86e6nm4TVUYKLsFUQ</t>
        </is>
      </c>
      <c r="O2271" s="45" t="n">
        <v>43115.95416666667</v>
      </c>
      <c r="P2271" s="46" t="n">
        <v>43115</v>
      </c>
      <c r="Q2271" s="44" t="n">
        <v>1001</v>
      </c>
      <c r="R2271" s="44" t="inlineStr">
        <is>
          <t>No Video ID yet</t>
        </is>
      </c>
      <c r="S2271" s="46" t="n"/>
      <c r="T2271" s="46" t="n"/>
      <c r="U2271" s="44" t="n"/>
      <c r="V2271" s="44">
        <f>IF(AND(P2271&gt;=Calendar!$K$2,P2271&lt;EDATE(Calendar!$K$2,1),OR(Calendar!$K$4="*",N2271=Calendar!$K$4)),P2271*100+COUNTIFS($P$6:$P$3271,P2271,$Q$6:$Q$3271,"&lt;="&amp;Q2271,$N$6:$N$3271,Calendar!$K$4),"")</f>
        <v/>
      </c>
      <c r="W2271" s="44">
        <f>IF(AND(B2271=Queue!$C$4,OR(Queue!$K$4="*",N2271=Queue!$K$4)),Q2271,"")</f>
        <v/>
      </c>
    </row>
    <row r="2272">
      <c r="A2272" s="35">
        <f>IF(M2272="","",HYPERLINK("https://www.youtube.com/watch?v="&amp;M2272,"▶"))</f>
        <v/>
      </c>
      <c r="B2272" s="36">
        <f>IF(C2272&lt;&gt;"",C2272,IF(P2272&lt;=IFERROR(INDEX(tblChannels[Watched Through],MATCH(N2272,tblChannels[Channel ID],0)),0),"Watched","Unwatched"))</f>
        <v/>
      </c>
      <c r="C2272" s="37" t="n"/>
      <c r="D2272" s="38" t="n"/>
      <c r="E2272" s="39" t="n">
        <v>43111.67430555556</v>
      </c>
      <c r="F2272" s="47" t="inlineStr">
        <is>
          <t>Super Carlin Brothers</t>
        </is>
      </c>
      <c r="G2272" t="inlineStr">
        <is>
          <t>Snow White is the Queen! (feat. NerdyAndQuirky)</t>
        </is>
      </c>
      <c r="H2272" s="41" t="n">
        <v>0.003819444444444444</v>
      </c>
      <c r="I2272" s="42" t="n">
        <v>208883</v>
      </c>
      <c r="J2272" s="42" t="n">
        <v>12432</v>
      </c>
      <c r="K2272" s="42" t="n">
        <v>757</v>
      </c>
      <c r="L2272" s="43" t="n"/>
      <c r="M2272" s="44" t="n"/>
      <c r="N2272" s="44" t="inlineStr">
        <is>
          <t>UCKZo4N0lVPccBkSiuyVh4yg</t>
        </is>
      </c>
      <c r="O2272" s="45" t="n">
        <v>43111.88263888889</v>
      </c>
      <c r="P2272" s="46" t="n">
        <v>43111</v>
      </c>
      <c r="Q2272" s="44" t="n">
        <v>1000</v>
      </c>
      <c r="R2272" s="44" t="inlineStr">
        <is>
          <t>No Video ID yet</t>
        </is>
      </c>
      <c r="S2272" s="46" t="n"/>
      <c r="T2272" s="46" t="n"/>
      <c r="U2272" s="44" t="n"/>
      <c r="V2272" s="44">
        <f>IF(AND(P2272&gt;=Calendar!$K$2,P2272&lt;EDATE(Calendar!$K$2,1),OR(Calendar!$K$4="*",N2272=Calendar!$K$4)),P2272*100+COUNTIFS($P$6:$P$3271,P2272,$Q$6:$Q$3271,"&lt;="&amp;Q2272,$N$6:$N$3271,Calendar!$K$4),"")</f>
        <v/>
      </c>
      <c r="W2272" s="44">
        <f>IF(AND(B2272=Queue!$C$4,OR(Queue!$K$4="*",N2272=Queue!$K$4)),Q2272,"")</f>
        <v/>
      </c>
    </row>
    <row r="2273">
      <c r="A2273" s="35">
        <f>IF(M2273="","",HYPERLINK("https://www.youtube.com/watch?v="&amp;M2273,"▶"))</f>
        <v/>
      </c>
      <c r="B2273" s="36">
        <f>IF(C2273&lt;&gt;"",C2273,IF(P2273&lt;=IFERROR(INDEX(tblChannels[Watched Through],MATCH(N2273,tblChannels[Channel ID],0)),0),"Watched","Unwatched"))</f>
        <v/>
      </c>
      <c r="C2273" s="37" t="n"/>
      <c r="D2273" s="38" t="n"/>
      <c r="E2273" s="39" t="n">
        <v>43111.41666666666</v>
      </c>
      <c r="F2273" s="49" t="inlineStr">
        <is>
          <t>Super Carlin Gaming</t>
        </is>
      </c>
      <c r="G2273" t="inlineStr">
        <is>
          <t>Mario Kart Roulette #62: I Exclusively Creatively Solve Problems</t>
        </is>
      </c>
      <c r="H2273" s="41" t="n">
        <v>0.01278935185185185</v>
      </c>
      <c r="I2273" s="42" t="n">
        <v>11396</v>
      </c>
      <c r="J2273" s="42" t="n">
        <v>462</v>
      </c>
      <c r="K2273" s="42" t="n">
        <v>303</v>
      </c>
      <c r="L2273" s="43" t="n"/>
      <c r="M2273" s="44" t="n"/>
      <c r="N2273" s="44" t="inlineStr">
        <is>
          <t>UCor_9jRnNNZVzTuQ92PKsaQ</t>
        </is>
      </c>
      <c r="O2273" s="45" t="n">
        <v>43111.625</v>
      </c>
      <c r="P2273" s="46" t="n">
        <v>43111</v>
      </c>
      <c r="Q2273" s="44" t="n">
        <v>999</v>
      </c>
      <c r="R2273" s="44" t="inlineStr">
        <is>
          <t>No Video ID yet</t>
        </is>
      </c>
      <c r="S2273" s="46" t="n"/>
      <c r="T2273" s="46" t="n"/>
      <c r="U2273" s="44" t="n"/>
      <c r="V2273" s="44">
        <f>IF(AND(P2273&gt;=Calendar!$K$2,P2273&lt;EDATE(Calendar!$K$2,1),OR(Calendar!$K$4="*",N2273=Calendar!$K$4)),P2273*100+COUNTIFS($P$6:$P$3271,P2273,$Q$6:$Q$3271,"&lt;="&amp;Q2273,$N$6:$N$3271,Calendar!$K$4),"")</f>
        <v/>
      </c>
      <c r="W2273" s="44">
        <f>IF(AND(B2273=Queue!$C$4,OR(Queue!$K$4="*",N2273=Queue!$K$4)),Q2273,"")</f>
        <v/>
      </c>
    </row>
    <row r="2274">
      <c r="A2274" s="35">
        <f>IF(M2274="","",HYPERLINK("https://www.youtube.com/watch?v="&amp;M2274,"▶"))</f>
        <v/>
      </c>
      <c r="B2274" s="36">
        <f>IF(C2274&lt;&gt;"",C2274,IF(P2274&lt;=IFERROR(INDEX(tblChannels[Watched Through],MATCH(N2274,tblChannels[Channel ID],0)),0),"Watched","Unwatched"))</f>
        <v/>
      </c>
      <c r="C2274" s="37" t="n"/>
      <c r="D2274" s="38" t="n"/>
      <c r="E2274" s="39" t="n">
        <v>43110.58125</v>
      </c>
      <c r="F2274" s="49" t="inlineStr">
        <is>
          <t>Super Carlin Gaming</t>
        </is>
      </c>
      <c r="G2274" t="inlineStr">
        <is>
          <t>Pokemon Black Nuzlocke #24: Sneaky Cave</t>
        </is>
      </c>
      <c r="H2274" s="41" t="n">
        <v>0.01467592592592593</v>
      </c>
      <c r="I2274" s="42" t="n">
        <v>21463</v>
      </c>
      <c r="J2274" s="42" t="n">
        <v>590</v>
      </c>
      <c r="K2274" s="42" t="n">
        <v>274</v>
      </c>
      <c r="L2274" s="43" t="n"/>
      <c r="M2274" s="44" t="n"/>
      <c r="N2274" s="44" t="inlineStr">
        <is>
          <t>UCor_9jRnNNZVzTuQ92PKsaQ</t>
        </is>
      </c>
      <c r="O2274" s="45" t="n">
        <v>43110.78958333333</v>
      </c>
      <c r="P2274" s="46" t="n">
        <v>43110</v>
      </c>
      <c r="Q2274" s="44" t="n">
        <v>998</v>
      </c>
      <c r="R2274" s="44" t="inlineStr">
        <is>
          <t>No Video ID yet</t>
        </is>
      </c>
      <c r="S2274" s="46" t="n"/>
      <c r="T2274" s="46" t="n"/>
      <c r="U2274" s="44" t="n"/>
      <c r="V2274" s="44">
        <f>IF(AND(P2274&gt;=Calendar!$K$2,P2274&lt;EDATE(Calendar!$K$2,1),OR(Calendar!$K$4="*",N2274=Calendar!$K$4)),P2274*100+COUNTIFS($P$6:$P$3271,P2274,$Q$6:$Q$3271,"&lt;="&amp;Q2274,$N$6:$N$3271,Calendar!$K$4),"")</f>
        <v/>
      </c>
      <c r="W2274" s="44">
        <f>IF(AND(B2274=Queue!$C$4,OR(Queue!$K$4="*",N2274=Queue!$K$4)),Q2274,"")</f>
        <v/>
      </c>
    </row>
    <row r="2275">
      <c r="A2275" s="35">
        <f>IF(M2275="","",HYPERLINK("https://www.youtube.com/watch?v="&amp;M2275,"▶"))</f>
        <v/>
      </c>
      <c r="B2275" s="36">
        <f>IF(C2275&lt;&gt;"",C2275,IF(P2275&lt;=IFERROR(INDEX(tblChannels[Watched Through],MATCH(N2275,tblChannels[Channel ID],0)),0),"Watched","Unwatched"))</f>
        <v/>
      </c>
      <c r="C2275" s="37" t="n"/>
      <c r="D2275" s="38" t="n"/>
      <c r="E2275" s="39" t="n">
        <v>43109.56319444445</v>
      </c>
      <c r="F2275" s="47" t="inlineStr">
        <is>
          <t>Super Carlin Brothers</t>
        </is>
      </c>
      <c r="G2275" t="inlineStr">
        <is>
          <t>Why Ron's So Bad At Magic | Harry Potter Theory</t>
        </is>
      </c>
      <c r="H2275" s="41" t="n">
        <v>0.005949074074074075</v>
      </c>
      <c r="I2275" s="42" t="n">
        <v>1847833</v>
      </c>
      <c r="J2275" s="42" t="n">
        <v>45105</v>
      </c>
      <c r="K2275" s="42" t="n">
        <v>8525</v>
      </c>
      <c r="L2275" s="43" t="n"/>
      <c r="M2275" s="44" t="n"/>
      <c r="N2275" s="44" t="inlineStr">
        <is>
          <t>UCKZo4N0lVPccBkSiuyVh4yg</t>
        </is>
      </c>
      <c r="O2275" s="45" t="n">
        <v>43109.77152777778</v>
      </c>
      <c r="P2275" s="46" t="n">
        <v>43109</v>
      </c>
      <c r="Q2275" s="44" t="n">
        <v>997</v>
      </c>
      <c r="R2275" s="44" t="inlineStr">
        <is>
          <t>No Video ID yet</t>
        </is>
      </c>
      <c r="S2275" s="46" t="n"/>
      <c r="T2275" s="46" t="n"/>
      <c r="U2275" s="44" t="n"/>
      <c r="V2275" s="44">
        <f>IF(AND(P2275&gt;=Calendar!$K$2,P2275&lt;EDATE(Calendar!$K$2,1),OR(Calendar!$K$4="*",N2275=Calendar!$K$4)),P2275*100+COUNTIFS($P$6:$P$3271,P2275,$Q$6:$Q$3271,"&lt;="&amp;Q2275,$N$6:$N$3271,Calendar!$K$4),"")</f>
        <v/>
      </c>
      <c r="W2275" s="44">
        <f>IF(AND(B2275=Queue!$C$4,OR(Queue!$K$4="*",N2275=Queue!$K$4)),Q2275,"")</f>
        <v/>
      </c>
    </row>
    <row r="2276">
      <c r="A2276" s="35">
        <f>IF(M2276="","",HYPERLINK("https://www.youtube.com/watch?v="&amp;M2276,"▶"))</f>
        <v/>
      </c>
      <c r="B2276" s="36">
        <f>IF(C2276&lt;&gt;"",C2276,IF(P2276&lt;=IFERROR(INDEX(tblChannels[Watched Through],MATCH(N2276,tblChannels[Channel ID],0)),0),"Watched","Unwatched"))</f>
        <v/>
      </c>
      <c r="C2276" s="37" t="n"/>
      <c r="D2276" s="38" t="n"/>
      <c r="E2276" s="39" t="n">
        <v>43109.49444444444</v>
      </c>
      <c r="F2276" s="49" t="inlineStr">
        <is>
          <t>Super Carlin Gaming</t>
        </is>
      </c>
      <c r="G2276" t="inlineStr">
        <is>
          <t>Mario Kart Roulette #61: There's Nothing Like Cheese on Sponge</t>
        </is>
      </c>
      <c r="H2276" s="41" t="n">
        <v>0.01064814814814815</v>
      </c>
      <c r="I2276" s="42" t="n">
        <v>10269</v>
      </c>
      <c r="J2276" s="42" t="n">
        <v>405</v>
      </c>
      <c r="K2276" s="42" t="n">
        <v>107</v>
      </c>
      <c r="L2276" s="43" t="n"/>
      <c r="M2276" s="44" t="n"/>
      <c r="N2276" s="44" t="inlineStr">
        <is>
          <t>UCor_9jRnNNZVzTuQ92PKsaQ</t>
        </is>
      </c>
      <c r="O2276" s="45" t="n">
        <v>43109.70277777778</v>
      </c>
      <c r="P2276" s="46" t="n">
        <v>43109</v>
      </c>
      <c r="Q2276" s="44" t="n">
        <v>996</v>
      </c>
      <c r="R2276" s="44" t="inlineStr">
        <is>
          <t>No Video ID yet</t>
        </is>
      </c>
      <c r="S2276" s="46" t="n"/>
      <c r="T2276" s="46" t="n"/>
      <c r="U2276" s="44" t="n"/>
      <c r="V2276" s="44">
        <f>IF(AND(P2276&gt;=Calendar!$K$2,P2276&lt;EDATE(Calendar!$K$2,1),OR(Calendar!$K$4="*",N2276=Calendar!$K$4)),P2276*100+COUNTIFS($P$6:$P$3271,P2276,$Q$6:$Q$3271,"&lt;="&amp;Q2276,$N$6:$N$3271,Calendar!$K$4),"")</f>
        <v/>
      </c>
      <c r="W2276" s="44">
        <f>IF(AND(B2276=Queue!$C$4,OR(Queue!$K$4="*",N2276=Queue!$K$4)),Q2276,"")</f>
        <v/>
      </c>
    </row>
    <row r="2277">
      <c r="A2277" s="35">
        <f>IF(M2277="","",HYPERLINK("https://www.youtube.com/watch?v="&amp;M2277,"▶"))</f>
        <v/>
      </c>
      <c r="B2277" s="36">
        <f>IF(C2277&lt;&gt;"",C2277,IF(P2277&lt;=IFERROR(INDEX(tblChannels[Watched Through],MATCH(N2277,tblChannels[Channel ID],0)),0),"Watched","Unwatched"))</f>
        <v/>
      </c>
      <c r="C2277" s="37" t="n"/>
      <c r="D2277" s="38" t="n"/>
      <c r="E2277" s="39" t="n">
        <v>43108.71388888889</v>
      </c>
      <c r="F2277" s="49" t="inlineStr">
        <is>
          <t>Super Carlin Gaming</t>
        </is>
      </c>
      <c r="G2277" t="inlineStr">
        <is>
          <t>Pokemon Black Nuzlocke #23: Enter Victory Road</t>
        </is>
      </c>
      <c r="H2277" s="41" t="n">
        <v>0.03019675925925926</v>
      </c>
      <c r="I2277" s="42" t="n">
        <v>26534</v>
      </c>
      <c r="J2277" s="42" t="n">
        <v>661</v>
      </c>
      <c r="K2277" s="42" t="n">
        <v>308</v>
      </c>
      <c r="L2277" s="43" t="n"/>
      <c r="M2277" s="44" t="n"/>
      <c r="N2277" s="44" t="inlineStr">
        <is>
          <t>UCor_9jRnNNZVzTuQ92PKsaQ</t>
        </is>
      </c>
      <c r="O2277" s="45" t="n">
        <v>43108.92222222222</v>
      </c>
      <c r="P2277" s="46" t="n">
        <v>43108</v>
      </c>
      <c r="Q2277" s="44" t="n">
        <v>995</v>
      </c>
      <c r="R2277" s="44" t="inlineStr">
        <is>
          <t>No Video ID yet</t>
        </is>
      </c>
      <c r="S2277" s="46" t="n"/>
      <c r="T2277" s="46" t="n"/>
      <c r="U2277" s="44" t="n"/>
      <c r="V2277" s="44">
        <f>IF(AND(P2277&gt;=Calendar!$K$2,P2277&lt;EDATE(Calendar!$K$2,1),OR(Calendar!$K$4="*",N2277=Calendar!$K$4)),P2277*100+COUNTIFS($P$6:$P$3271,P2277,$Q$6:$Q$3271,"&lt;="&amp;Q2277,$N$6:$N$3271,Calendar!$K$4),"")</f>
        <v/>
      </c>
      <c r="W2277" s="44">
        <f>IF(AND(B2277=Queue!$C$4,OR(Queue!$K$4="*",N2277=Queue!$K$4)),Q2277,"")</f>
        <v/>
      </c>
    </row>
    <row r="2278">
      <c r="A2278" s="35">
        <f>IF(M2278="","",HYPERLINK("https://www.youtube.com/watch?v="&amp;M2278,"▶"))</f>
        <v/>
      </c>
      <c r="B2278" s="36">
        <f>IF(C2278&lt;&gt;"",C2278,IF(P2278&lt;=IFERROR(INDEX(tblChannels[Watched Through],MATCH(N2278,tblChannels[Channel ID],0)),0),"Watched","Unwatched"))</f>
        <v/>
      </c>
      <c r="C2278" s="37" t="n"/>
      <c r="D2278" s="38" t="n"/>
      <c r="E2278" s="39" t="n">
        <v>43108.45069444444</v>
      </c>
      <c r="F2278" s="50" t="inlineStr">
        <is>
          <t>Jonathan Carlin</t>
        </is>
      </c>
      <c r="G2278" t="inlineStr">
        <is>
          <t>LUKE'S FIRST CHRISTMAS!</t>
        </is>
      </c>
      <c r="H2278" s="41" t="n">
        <v>0.008819444444444444</v>
      </c>
      <c r="I2278" s="42" t="n">
        <v>81013</v>
      </c>
      <c r="J2278" s="42" t="n">
        <v>3463</v>
      </c>
      <c r="K2278" s="42" t="n">
        <v>628</v>
      </c>
      <c r="L2278" s="43" t="n"/>
      <c r="M2278" s="44" t="n"/>
      <c r="N2278" s="44" t="inlineStr">
        <is>
          <t>UCYPKFe86e6nm4TVUYKLsFUQ</t>
        </is>
      </c>
      <c r="O2278" s="45" t="n">
        <v>43108.65902777778</v>
      </c>
      <c r="P2278" s="46" t="n">
        <v>43108</v>
      </c>
      <c r="Q2278" s="44" t="n">
        <v>994</v>
      </c>
      <c r="R2278" s="44" t="inlineStr">
        <is>
          <t>No Video ID yet</t>
        </is>
      </c>
      <c r="S2278" s="46" t="n"/>
      <c r="T2278" s="46" t="n"/>
      <c r="U2278" s="44" t="n"/>
      <c r="V2278" s="44">
        <f>IF(AND(P2278&gt;=Calendar!$K$2,P2278&lt;EDATE(Calendar!$K$2,1),OR(Calendar!$K$4="*",N2278=Calendar!$K$4)),P2278*100+COUNTIFS($P$6:$P$3271,P2278,$Q$6:$Q$3271,"&lt;="&amp;Q2278,$N$6:$N$3271,Calendar!$K$4),"")</f>
        <v/>
      </c>
      <c r="W2278" s="44">
        <f>IF(AND(B2278=Queue!$C$4,OR(Queue!$K$4="*",N2278=Queue!$K$4)),Q2278,"")</f>
        <v/>
      </c>
    </row>
    <row r="2279">
      <c r="A2279" s="35">
        <f>IF(M2279="","",HYPERLINK("https://www.youtube.com/watch?v="&amp;M2279,"▶"))</f>
        <v/>
      </c>
      <c r="B2279" s="36">
        <f>IF(C2279&lt;&gt;"",C2279,IF(P2279&lt;=IFERROR(INDEX(tblChannels[Watched Through],MATCH(N2279,tblChannels[Channel ID],0)),0),"Watched","Unwatched"))</f>
        <v/>
      </c>
      <c r="C2279" s="37" t="n"/>
      <c r="D2279" s="38" t="n"/>
      <c r="E2279" s="39" t="n">
        <v>43105.75069444445</v>
      </c>
      <c r="F2279" s="49" t="inlineStr">
        <is>
          <t>Super Carlin Gaming</t>
        </is>
      </c>
      <c r="G2279" t="inlineStr">
        <is>
          <t>Pokemon Black Nuzlocke #22: When It Rains...</t>
        </is>
      </c>
      <c r="H2279" s="41" t="n">
        <v>0.02454861111111111</v>
      </c>
      <c r="I2279" s="42" t="n">
        <v>25324</v>
      </c>
      <c r="J2279" s="42" t="n">
        <v>783</v>
      </c>
      <c r="K2279" s="42" t="n">
        <v>477</v>
      </c>
      <c r="L2279" s="43" t="n"/>
      <c r="M2279" s="44" t="n"/>
      <c r="N2279" s="44" t="inlineStr">
        <is>
          <t>UCor_9jRnNNZVzTuQ92PKsaQ</t>
        </is>
      </c>
      <c r="O2279" s="45" t="n">
        <v>43105.95902777778</v>
      </c>
      <c r="P2279" s="46" t="n">
        <v>43105</v>
      </c>
      <c r="Q2279" s="44" t="n">
        <v>993</v>
      </c>
      <c r="R2279" s="44" t="inlineStr">
        <is>
          <t>No Video ID yet</t>
        </is>
      </c>
      <c r="S2279" s="46" t="n"/>
      <c r="T2279" s="46" t="n"/>
      <c r="U2279" s="44" t="n"/>
      <c r="V2279" s="44">
        <f>IF(AND(P2279&gt;=Calendar!$K$2,P2279&lt;EDATE(Calendar!$K$2,1),OR(Calendar!$K$4="*",N2279=Calendar!$K$4)),P2279*100+COUNTIFS($P$6:$P$3271,P2279,$Q$6:$Q$3271,"&lt;="&amp;Q2279,$N$6:$N$3271,Calendar!$K$4),"")</f>
        <v/>
      </c>
      <c r="W2279" s="44">
        <f>IF(AND(B2279=Queue!$C$4,OR(Queue!$K$4="*",N2279=Queue!$K$4)),Q2279,"")</f>
        <v/>
      </c>
    </row>
    <row r="2280">
      <c r="A2280" s="35">
        <f>IF(M2280="","",HYPERLINK("https://www.youtube.com/watch?v="&amp;M2280,"▶"))</f>
        <v/>
      </c>
      <c r="B2280" s="36">
        <f>IF(C2280&lt;&gt;"",C2280,IF(P2280&lt;=IFERROR(INDEX(tblChannels[Watched Through],MATCH(N2280,tblChannels[Channel ID],0)),0),"Watched","Unwatched"))</f>
        <v/>
      </c>
      <c r="C2280" s="37" t="n"/>
      <c r="D2280" s="38" t="n"/>
      <c r="E2280" s="39" t="n">
        <v>43104.79166666666</v>
      </c>
      <c r="F2280" s="47" t="inlineStr">
        <is>
          <t>Super Carlin Brothers</t>
        </is>
      </c>
      <c r="G2280" t="inlineStr">
        <is>
          <t>Disney's Purchase of FOX Explained</t>
        </is>
      </c>
      <c r="H2280" s="41" t="n">
        <v>0.005046296296296296</v>
      </c>
      <c r="I2280" s="42" t="n">
        <v>855085</v>
      </c>
      <c r="J2280" s="42" t="n">
        <v>24040</v>
      </c>
      <c r="K2280" s="42" t="n">
        <v>7704</v>
      </c>
      <c r="L2280" s="43" t="n"/>
      <c r="M2280" s="44" t="n"/>
      <c r="N2280" s="44" t="inlineStr">
        <is>
          <t>UCKZo4N0lVPccBkSiuyVh4yg</t>
        </is>
      </c>
      <c r="O2280" s="45" t="n">
        <v>43105</v>
      </c>
      <c r="P2280" s="46" t="n">
        <v>43104</v>
      </c>
      <c r="Q2280" s="44" t="n">
        <v>992</v>
      </c>
      <c r="R2280" s="44" t="inlineStr">
        <is>
          <t>No Video ID yet</t>
        </is>
      </c>
      <c r="S2280" s="46" t="n"/>
      <c r="T2280" s="46" t="n"/>
      <c r="U2280" s="44" t="n"/>
      <c r="V2280" s="44">
        <f>IF(AND(P2280&gt;=Calendar!$K$2,P2280&lt;EDATE(Calendar!$K$2,1),OR(Calendar!$K$4="*",N2280=Calendar!$K$4)),P2280*100+COUNTIFS($P$6:$P$3271,P2280,$Q$6:$Q$3271,"&lt;="&amp;Q2280,$N$6:$N$3271,Calendar!$K$4),"")</f>
        <v/>
      </c>
      <c r="W2280" s="44">
        <f>IF(AND(B2280=Queue!$C$4,OR(Queue!$K$4="*",N2280=Queue!$K$4)),Q2280,"")</f>
        <v/>
      </c>
    </row>
    <row r="2281">
      <c r="A2281" s="35">
        <f>IF(M2281="","",HYPERLINK("https://www.youtube.com/watch?v="&amp;M2281,"▶"))</f>
        <v/>
      </c>
      <c r="B2281" s="36">
        <f>IF(C2281&lt;&gt;"",C2281,IF(P2281&lt;=IFERROR(INDEX(tblChannels[Watched Through],MATCH(N2281,tblChannels[Channel ID],0)),0),"Watched","Unwatched"))</f>
        <v/>
      </c>
      <c r="C2281" s="37" t="n"/>
      <c r="D2281" s="38" t="n"/>
      <c r="E2281" s="39" t="n">
        <v>43104.57430555556</v>
      </c>
      <c r="F2281" s="49" t="inlineStr">
        <is>
          <t>Super Carlin Gaming</t>
        </is>
      </c>
      <c r="G2281" t="inlineStr">
        <is>
          <t>Mario Kart Roulette #60: Word Vomit is How You Make Friends</t>
        </is>
      </c>
      <c r="H2281" s="41" t="n">
        <v>0.0115162037037037</v>
      </c>
      <c r="I2281" s="42" t="n">
        <v>10386</v>
      </c>
      <c r="J2281" s="42" t="n">
        <v>494</v>
      </c>
      <c r="K2281" s="42" t="n">
        <v>190</v>
      </c>
      <c r="L2281" s="43" t="n"/>
      <c r="M2281" s="44" t="n"/>
      <c r="N2281" s="44" t="inlineStr">
        <is>
          <t>UCor_9jRnNNZVzTuQ92PKsaQ</t>
        </is>
      </c>
      <c r="O2281" s="45" t="n">
        <v>43104.78263888889</v>
      </c>
      <c r="P2281" s="46" t="n">
        <v>43104</v>
      </c>
      <c r="Q2281" s="44" t="n">
        <v>991</v>
      </c>
      <c r="R2281" s="44" t="inlineStr">
        <is>
          <t>No Video ID yet</t>
        </is>
      </c>
      <c r="S2281" s="46" t="n"/>
      <c r="T2281" s="46" t="n"/>
      <c r="U2281" s="44" t="n"/>
      <c r="V2281" s="44">
        <f>IF(AND(P2281&gt;=Calendar!$K$2,P2281&lt;EDATE(Calendar!$K$2,1),OR(Calendar!$K$4="*",N2281=Calendar!$K$4)),P2281*100+COUNTIFS($P$6:$P$3271,P2281,$Q$6:$Q$3271,"&lt;="&amp;Q2281,$N$6:$N$3271,Calendar!$K$4),"")</f>
        <v/>
      </c>
      <c r="W2281" s="44">
        <f>IF(AND(B2281=Queue!$C$4,OR(Queue!$K$4="*",N2281=Queue!$K$4)),Q2281,"")</f>
        <v/>
      </c>
    </row>
    <row r="2282">
      <c r="A2282" s="35">
        <f>IF(M2282="","",HYPERLINK("https://www.youtube.com/watch?v="&amp;M2282,"▶"))</f>
        <v/>
      </c>
      <c r="B2282" s="36">
        <f>IF(C2282&lt;&gt;"",C2282,IF(P2282&lt;=IFERROR(INDEX(tblChannels[Watched Through],MATCH(N2282,tblChannels[Channel ID],0)),0),"Watched","Unwatched"))</f>
        <v/>
      </c>
      <c r="C2282" s="37" t="n"/>
      <c r="D2282" s="38" t="n"/>
      <c r="E2282" s="39" t="n">
        <v>43103.44513888889</v>
      </c>
      <c r="F2282" s="49" t="inlineStr">
        <is>
          <t>Super Carlin Gaming</t>
        </is>
      </c>
      <c r="G2282" t="inlineStr">
        <is>
          <t>Pokemon Black Nuzlocke #21: The Final Gym</t>
        </is>
      </c>
      <c r="H2282" s="41" t="n">
        <v>0.01412037037037037</v>
      </c>
      <c r="I2282" s="42" t="n">
        <v>22519</v>
      </c>
      <c r="J2282" s="42" t="n">
        <v>797</v>
      </c>
      <c r="K2282" s="42" t="n">
        <v>135</v>
      </c>
      <c r="L2282" s="43" t="n"/>
      <c r="M2282" s="44" t="n"/>
      <c r="N2282" s="44" t="inlineStr">
        <is>
          <t>UCor_9jRnNNZVzTuQ92PKsaQ</t>
        </is>
      </c>
      <c r="O2282" s="45" t="n">
        <v>43103.65347222222</v>
      </c>
      <c r="P2282" s="46" t="n">
        <v>43103</v>
      </c>
      <c r="Q2282" s="44" t="n">
        <v>990</v>
      </c>
      <c r="R2282" s="44" t="inlineStr">
        <is>
          <t>No Video ID yet</t>
        </is>
      </c>
      <c r="S2282" s="46" t="n"/>
      <c r="T2282" s="46" t="n"/>
      <c r="U2282" s="44" t="n"/>
      <c r="V2282" s="44">
        <f>IF(AND(P2282&gt;=Calendar!$K$2,P2282&lt;EDATE(Calendar!$K$2,1),OR(Calendar!$K$4="*",N2282=Calendar!$K$4)),P2282*100+COUNTIFS($P$6:$P$3271,P2282,$Q$6:$Q$3271,"&lt;="&amp;Q2282,$N$6:$N$3271,Calendar!$K$4),"")</f>
        <v/>
      </c>
      <c r="W2282" s="44">
        <f>IF(AND(B2282=Queue!$C$4,OR(Queue!$K$4="*",N2282=Queue!$K$4)),Q2282,"")</f>
        <v/>
      </c>
    </row>
    <row r="2283">
      <c r="A2283" s="35">
        <f>IF(M2283="","",HYPERLINK("https://www.youtube.com/watch?v="&amp;M2283,"▶"))</f>
        <v/>
      </c>
      <c r="B2283" s="36">
        <f>IF(C2283&lt;&gt;"",C2283,IF(P2283&lt;=IFERROR(INDEX(tblChannels[Watched Through],MATCH(N2283,tblChannels[Channel ID],0)),0),"Watched","Unwatched"))</f>
        <v/>
      </c>
      <c r="C2283" s="37" t="n"/>
      <c r="D2283" s="38" t="n"/>
      <c r="E2283" s="39" t="n">
        <v>43102.77986111111</v>
      </c>
      <c r="F2283" s="47" t="inlineStr">
        <is>
          <t>Super Carlin Brothers</t>
        </is>
      </c>
      <c r="G2283" t="inlineStr">
        <is>
          <t>How Dumbledore Created The Deluminator | Harry Potter Theory</t>
        </is>
      </c>
      <c r="H2283" s="41" t="n">
        <v>0.00625</v>
      </c>
      <c r="I2283" s="42" t="n">
        <v>1495776</v>
      </c>
      <c r="J2283" s="42" t="n">
        <v>33193</v>
      </c>
      <c r="K2283" s="42" t="n">
        <v>2226</v>
      </c>
      <c r="L2283" s="43" t="n"/>
      <c r="M2283" s="44" t="n"/>
      <c r="N2283" s="44" t="inlineStr">
        <is>
          <t>UCKZo4N0lVPccBkSiuyVh4yg</t>
        </is>
      </c>
      <c r="O2283" s="45" t="n">
        <v>43102.98819444444</v>
      </c>
      <c r="P2283" s="46" t="n">
        <v>43102</v>
      </c>
      <c r="Q2283" s="44" t="n">
        <v>989</v>
      </c>
      <c r="R2283" s="44" t="inlineStr">
        <is>
          <t>No Video ID yet</t>
        </is>
      </c>
      <c r="S2283" s="46" t="n"/>
      <c r="T2283" s="46" t="n"/>
      <c r="U2283" s="44" t="n"/>
      <c r="V2283" s="44">
        <f>IF(AND(P2283&gt;=Calendar!$K$2,P2283&lt;EDATE(Calendar!$K$2,1),OR(Calendar!$K$4="*",N2283=Calendar!$K$4)),P2283*100+COUNTIFS($P$6:$P$3271,P2283,$Q$6:$Q$3271,"&lt;="&amp;Q2283,$N$6:$N$3271,Calendar!$K$4),"")</f>
        <v/>
      </c>
      <c r="W2283" s="44">
        <f>IF(AND(B2283=Queue!$C$4,OR(Queue!$K$4="*",N2283=Queue!$K$4)),Q2283,"")</f>
        <v/>
      </c>
    </row>
    <row r="2284">
      <c r="A2284" s="35">
        <f>IF(M2284="","",HYPERLINK("https://www.youtube.com/watch?v="&amp;M2284,"▶"))</f>
        <v/>
      </c>
      <c r="B2284" s="36">
        <f>IF(C2284&lt;&gt;"",C2284,IF(P2284&lt;=IFERROR(INDEX(tblChannels[Watched Through],MATCH(N2284,tblChannels[Channel ID],0)),0),"Watched","Unwatched"))</f>
        <v/>
      </c>
      <c r="C2284" s="37" t="n"/>
      <c r="D2284" s="38" t="n"/>
      <c r="E2284" s="39" t="n">
        <v>43102.72152777778</v>
      </c>
      <c r="F2284" s="49" t="inlineStr">
        <is>
          <t>Super Carlin Gaming</t>
        </is>
      </c>
      <c r="G2284" t="inlineStr">
        <is>
          <t>Mario Kart Roulette #59: New Years Resolutions</t>
        </is>
      </c>
      <c r="H2284" s="41" t="n">
        <v>0.01203703703703704</v>
      </c>
      <c r="I2284" s="42" t="n">
        <v>10983</v>
      </c>
      <c r="J2284" s="42" t="n">
        <v>521</v>
      </c>
      <c r="K2284" s="42" t="n">
        <v>141</v>
      </c>
      <c r="L2284" s="43" t="n"/>
      <c r="M2284" s="44" t="n"/>
      <c r="N2284" s="44" t="inlineStr">
        <is>
          <t>UCor_9jRnNNZVzTuQ92PKsaQ</t>
        </is>
      </c>
      <c r="O2284" s="45" t="n">
        <v>43102.92986111111</v>
      </c>
      <c r="P2284" s="46" t="n">
        <v>43102</v>
      </c>
      <c r="Q2284" s="44" t="n">
        <v>988</v>
      </c>
      <c r="R2284" s="44" t="inlineStr">
        <is>
          <t>No Video ID yet</t>
        </is>
      </c>
      <c r="S2284" s="46" t="n"/>
      <c r="T2284" s="46" t="n"/>
      <c r="U2284" s="44" t="n"/>
      <c r="V2284" s="44">
        <f>IF(AND(P2284&gt;=Calendar!$K$2,P2284&lt;EDATE(Calendar!$K$2,1),OR(Calendar!$K$4="*",N2284=Calendar!$K$4)),P2284*100+COUNTIFS($P$6:$P$3271,P2284,$Q$6:$Q$3271,"&lt;="&amp;Q2284,$N$6:$N$3271,Calendar!$K$4),"")</f>
        <v/>
      </c>
      <c r="W2284" s="44">
        <f>IF(AND(B2284=Queue!$C$4,OR(Queue!$K$4="*",N2284=Queue!$K$4)),Q2284,"")</f>
        <v/>
      </c>
    </row>
    <row r="2285">
      <c r="A2285" s="35">
        <f>IF(M2285="","",HYPERLINK("https://www.youtube.com/watch?v="&amp;M2285,"▶"))</f>
        <v/>
      </c>
      <c r="B2285" s="36">
        <f>IF(C2285&lt;&gt;"",C2285,IF(P2285&lt;=IFERROR(INDEX(tblChannels[Watched Through],MATCH(N2285,tblChannels[Channel ID],0)),0),"Watched","Unwatched"))</f>
        <v/>
      </c>
      <c r="C2285" s="37" t="n"/>
      <c r="D2285" s="38" t="n"/>
      <c r="E2285" s="39" t="n">
        <v>43101.54583333333</v>
      </c>
      <c r="F2285" s="50" t="inlineStr">
        <is>
          <t>Jonathan Carlin</t>
        </is>
      </c>
      <c r="G2285" t="inlineStr">
        <is>
          <t>TYLER GETS MARRIED</t>
        </is>
      </c>
      <c r="H2285" s="41" t="n">
        <v>0.00738425925925926</v>
      </c>
      <c r="I2285" s="42" t="n">
        <v>76993</v>
      </c>
      <c r="J2285" s="42" t="n">
        <v>3268</v>
      </c>
      <c r="K2285" s="42" t="n">
        <v>383</v>
      </c>
      <c r="L2285" s="43" t="n"/>
      <c r="M2285" s="44" t="n"/>
      <c r="N2285" s="44" t="inlineStr">
        <is>
          <t>UCYPKFe86e6nm4TVUYKLsFUQ</t>
        </is>
      </c>
      <c r="O2285" s="45" t="n">
        <v>43101.75416666667</v>
      </c>
      <c r="P2285" s="46" t="n">
        <v>43101</v>
      </c>
      <c r="Q2285" s="44" t="n">
        <v>987</v>
      </c>
      <c r="R2285" s="44" t="inlineStr">
        <is>
          <t>No Video ID yet</t>
        </is>
      </c>
      <c r="S2285" s="46" t="n"/>
      <c r="T2285" s="46" t="n"/>
      <c r="U2285" s="44" t="n"/>
      <c r="V2285" s="44">
        <f>IF(AND(P2285&gt;=Calendar!$K$2,P2285&lt;EDATE(Calendar!$K$2,1),OR(Calendar!$K$4="*",N2285=Calendar!$K$4)),P2285*100+COUNTIFS($P$6:$P$3271,P2285,$Q$6:$Q$3271,"&lt;="&amp;Q2285,$N$6:$N$3271,Calendar!$K$4),"")</f>
        <v/>
      </c>
      <c r="W2285" s="44">
        <f>IF(AND(B2285=Queue!$C$4,OR(Queue!$K$4="*",N2285=Queue!$K$4)),Q2285,"")</f>
        <v/>
      </c>
    </row>
    <row r="2286">
      <c r="A2286" s="35">
        <f>IF(M2286="","",HYPERLINK("https://www.youtube.com/watch?v="&amp;M2286,"▶"))</f>
        <v/>
      </c>
      <c r="B2286" s="36">
        <f>IF(C2286&lt;&gt;"",C2286,IF(P2286&lt;=IFERROR(INDEX(tblChannels[Watched Through],MATCH(N2286,tblChannels[Channel ID],0)),0),"Watched","Unwatched"))</f>
        <v/>
      </c>
      <c r="C2286" s="37" t="n"/>
      <c r="D2286" s="38" t="n"/>
      <c r="E2286" s="39" t="n">
        <v>43097.7125</v>
      </c>
      <c r="F2286" s="47" t="inlineStr">
        <is>
          <t>Super Carlin Brothers</t>
        </is>
      </c>
      <c r="G2286" t="inlineStr">
        <is>
          <t>How The Last Jedi Explains The Power of the Dark Side of the Force</t>
        </is>
      </c>
      <c r="H2286" s="41" t="n">
        <v>0.007199074074074074</v>
      </c>
      <c r="I2286" s="42" t="n">
        <v>271258</v>
      </c>
      <c r="J2286" s="42" t="n">
        <v>12009</v>
      </c>
      <c r="K2286" s="42" t="n">
        <v>1518</v>
      </c>
      <c r="L2286" s="43" t="n"/>
      <c r="M2286" s="44" t="n"/>
      <c r="N2286" s="44" t="inlineStr">
        <is>
          <t>UCKZo4N0lVPccBkSiuyVh4yg</t>
        </is>
      </c>
      <c r="O2286" s="45" t="n">
        <v>43097.92083333333</v>
      </c>
      <c r="P2286" s="46" t="n">
        <v>43097</v>
      </c>
      <c r="Q2286" s="44" t="n">
        <v>986</v>
      </c>
      <c r="R2286" s="44" t="inlineStr">
        <is>
          <t>No Video ID yet</t>
        </is>
      </c>
      <c r="S2286" s="46" t="n"/>
      <c r="T2286" s="46" t="n"/>
      <c r="U2286" s="44" t="n"/>
      <c r="V2286" s="44">
        <f>IF(AND(P2286&gt;=Calendar!$K$2,P2286&lt;EDATE(Calendar!$K$2,1),OR(Calendar!$K$4="*",N2286=Calendar!$K$4)),P2286*100+COUNTIFS($P$6:$P$3271,P2286,$Q$6:$Q$3271,"&lt;="&amp;Q2286,$N$6:$N$3271,Calendar!$K$4),"")</f>
        <v/>
      </c>
      <c r="W2286" s="44">
        <f>IF(AND(B2286=Queue!$C$4,OR(Queue!$K$4="*",N2286=Queue!$K$4)),Q2286,"")</f>
        <v/>
      </c>
    </row>
    <row r="2287">
      <c r="A2287" s="35">
        <f>IF(M2287="","",HYPERLINK("https://www.youtube.com/watch?v="&amp;M2287,"▶"))</f>
        <v/>
      </c>
      <c r="B2287" s="36">
        <f>IF(C2287&lt;&gt;"",C2287,IF(P2287&lt;=IFERROR(INDEX(tblChannels[Watched Through],MATCH(N2287,tblChannels[Channel ID],0)),0),"Watched","Unwatched"))</f>
        <v/>
      </c>
      <c r="C2287" s="37" t="n"/>
      <c r="D2287" s="38" t="n"/>
      <c r="E2287" s="39" t="n">
        <v>43097.64583333334</v>
      </c>
      <c r="F2287" s="49" t="inlineStr">
        <is>
          <t>Super Carlin Gaming</t>
        </is>
      </c>
      <c r="G2287" t="inlineStr">
        <is>
          <t>Mario Kart Roulette #58: Failing a Class?</t>
        </is>
      </c>
      <c r="H2287" s="41" t="n">
        <v>0.0133912037037037</v>
      </c>
      <c r="I2287" s="42" t="n">
        <v>11914</v>
      </c>
      <c r="J2287" s="42" t="n">
        <v>470</v>
      </c>
      <c r="K2287" s="42" t="n">
        <v>168</v>
      </c>
      <c r="L2287" s="43" t="n"/>
      <c r="M2287" s="44" t="n"/>
      <c r="N2287" s="44" t="inlineStr">
        <is>
          <t>UCor_9jRnNNZVzTuQ92PKsaQ</t>
        </is>
      </c>
      <c r="O2287" s="45" t="n">
        <v>43097.85416666666</v>
      </c>
      <c r="P2287" s="46" t="n">
        <v>43097</v>
      </c>
      <c r="Q2287" s="44" t="n">
        <v>985</v>
      </c>
      <c r="R2287" s="44" t="inlineStr">
        <is>
          <t>No Video ID yet</t>
        </is>
      </c>
      <c r="S2287" s="46" t="n"/>
      <c r="T2287" s="46" t="n"/>
      <c r="U2287" s="44" t="n"/>
      <c r="V2287" s="44">
        <f>IF(AND(P2287&gt;=Calendar!$K$2,P2287&lt;EDATE(Calendar!$K$2,1),OR(Calendar!$K$4="*",N2287=Calendar!$K$4)),P2287*100+COUNTIFS($P$6:$P$3271,P2287,$Q$6:$Q$3271,"&lt;="&amp;Q2287,$N$6:$N$3271,Calendar!$K$4),"")</f>
        <v/>
      </c>
      <c r="W2287" s="44">
        <f>IF(AND(B2287=Queue!$C$4,OR(Queue!$K$4="*",N2287=Queue!$K$4)),Q2287,"")</f>
        <v/>
      </c>
    </row>
    <row r="2288">
      <c r="A2288" s="35">
        <f>IF(M2288="","",HYPERLINK("https://www.youtube.com/watch?v="&amp;M2288,"▶"))</f>
        <v/>
      </c>
      <c r="B2288" s="36">
        <f>IF(C2288&lt;&gt;"",C2288,IF(P2288&lt;=IFERROR(INDEX(tblChannels[Watched Through],MATCH(N2288,tblChannels[Channel ID],0)),0),"Watched","Unwatched"))</f>
        <v/>
      </c>
      <c r="C2288" s="37" t="n"/>
      <c r="D2288" s="38" t="n"/>
      <c r="E2288" s="39" t="n">
        <v>43095.64583333334</v>
      </c>
      <c r="F2288" s="49" t="inlineStr">
        <is>
          <t>Super Carlin Gaming</t>
        </is>
      </c>
      <c r="G2288" t="inlineStr">
        <is>
          <t>Mario Kart Roulette #57: Smallest Poops</t>
        </is>
      </c>
      <c r="H2288" s="41" t="n">
        <v>0.01141203703703704</v>
      </c>
      <c r="I2288" s="42" t="n">
        <v>8791</v>
      </c>
      <c r="J2288" s="42" t="n">
        <v>354</v>
      </c>
      <c r="K2288" s="42" t="n">
        <v>98</v>
      </c>
      <c r="L2288" s="43" t="n"/>
      <c r="M2288" s="44" t="n"/>
      <c r="N2288" s="44" t="inlineStr">
        <is>
          <t>UCor_9jRnNNZVzTuQ92PKsaQ</t>
        </is>
      </c>
      <c r="O2288" s="45" t="n">
        <v>43095.85416666666</v>
      </c>
      <c r="P2288" s="46" t="n">
        <v>43095</v>
      </c>
      <c r="Q2288" s="44" t="n">
        <v>984</v>
      </c>
      <c r="R2288" s="44" t="inlineStr">
        <is>
          <t>No Video ID yet</t>
        </is>
      </c>
      <c r="S2288" s="46" t="n"/>
      <c r="T2288" s="46" t="n"/>
      <c r="U2288" s="44" t="n"/>
      <c r="V2288" s="44">
        <f>IF(AND(P2288&gt;=Calendar!$K$2,P2288&lt;EDATE(Calendar!$K$2,1),OR(Calendar!$K$4="*",N2288=Calendar!$K$4)),P2288*100+COUNTIFS($P$6:$P$3271,P2288,$Q$6:$Q$3271,"&lt;="&amp;Q2288,$N$6:$N$3271,Calendar!$K$4),"")</f>
        <v/>
      </c>
      <c r="W2288" s="44">
        <f>IF(AND(B2288=Queue!$C$4,OR(Queue!$K$4="*",N2288=Queue!$K$4)),Q2288,"")</f>
        <v/>
      </c>
    </row>
    <row r="2289">
      <c r="A2289" s="35">
        <f>IF(M2289="","",HYPERLINK("https://www.youtube.com/watch?v="&amp;M2289,"▶"))</f>
        <v/>
      </c>
      <c r="B2289" s="36">
        <f>IF(C2289&lt;&gt;"",C2289,IF(P2289&lt;=IFERROR(INDEX(tblChannels[Watched Through],MATCH(N2289,tblChannels[Channel ID],0)),0),"Watched","Unwatched"))</f>
        <v/>
      </c>
      <c r="C2289" s="37" t="n"/>
      <c r="D2289" s="38" t="n"/>
      <c r="E2289" s="39" t="n">
        <v>43095.54652777778</v>
      </c>
      <c r="F2289" s="47" t="inlineStr">
        <is>
          <t>Super Carlin Brothers</t>
        </is>
      </c>
      <c r="G2289" t="inlineStr">
        <is>
          <t>J vs Ben: ULTIMATE Harry Potter Christmas Quiz</t>
        </is>
      </c>
      <c r="H2289" s="41" t="n">
        <v>0.02414351851851852</v>
      </c>
      <c r="I2289" s="42" t="n">
        <v>1253922</v>
      </c>
      <c r="J2289" s="42" t="n">
        <v>21154</v>
      </c>
      <c r="K2289" s="42" t="n">
        <v>2902</v>
      </c>
      <c r="L2289" s="43" t="n"/>
      <c r="M2289" s="44" t="n"/>
      <c r="N2289" s="44" t="inlineStr">
        <is>
          <t>UCKZo4N0lVPccBkSiuyVh4yg</t>
        </is>
      </c>
      <c r="O2289" s="45" t="n">
        <v>43095.75486111111</v>
      </c>
      <c r="P2289" s="46" t="n">
        <v>43095</v>
      </c>
      <c r="Q2289" s="44" t="n">
        <v>983</v>
      </c>
      <c r="R2289" s="44" t="inlineStr">
        <is>
          <t>No Video ID yet</t>
        </is>
      </c>
      <c r="S2289" s="46" t="n"/>
      <c r="T2289" s="46" t="n"/>
      <c r="U2289" s="44" t="n"/>
      <c r="V2289" s="44">
        <f>IF(AND(P2289&gt;=Calendar!$K$2,P2289&lt;EDATE(Calendar!$K$2,1),OR(Calendar!$K$4="*",N2289=Calendar!$K$4)),P2289*100+COUNTIFS($P$6:$P$3271,P2289,$Q$6:$Q$3271,"&lt;="&amp;Q2289,$N$6:$N$3271,Calendar!$K$4),"")</f>
        <v/>
      </c>
      <c r="W2289" s="44">
        <f>IF(AND(B2289=Queue!$C$4,OR(Queue!$K$4="*",N2289=Queue!$K$4)),Q2289,"")</f>
        <v/>
      </c>
    </row>
    <row r="2290">
      <c r="A2290" s="35">
        <f>IF(M2290="","",HYPERLINK("https://www.youtube.com/watch?v="&amp;M2290,"▶"))</f>
        <v/>
      </c>
      <c r="B2290" s="36">
        <f>IF(C2290&lt;&gt;"",C2290,IF(P2290&lt;=IFERROR(INDEX(tblChannels[Watched Through],MATCH(N2290,tblChannels[Channel ID],0)),0),"Watched","Unwatched"))</f>
        <v/>
      </c>
      <c r="C2290" s="37" t="n"/>
      <c r="D2290" s="38" t="n"/>
      <c r="E2290" s="39" t="n">
        <v>43094.41666666666</v>
      </c>
      <c r="F2290" s="50" t="inlineStr">
        <is>
          <t>Jonathan Carlin</t>
        </is>
      </c>
      <c r="G2290" t="inlineStr">
        <is>
          <t>MARE CHRISTMAS!</t>
        </is>
      </c>
      <c r="H2290" s="41" t="n">
        <v>0.008229166666666666</v>
      </c>
      <c r="I2290" s="42" t="n">
        <v>49945</v>
      </c>
      <c r="J2290" s="42" t="n">
        <v>2406</v>
      </c>
      <c r="K2290" s="42" t="n">
        <v>244</v>
      </c>
      <c r="L2290" s="43" t="n"/>
      <c r="M2290" s="44" t="n"/>
      <c r="N2290" s="44" t="inlineStr">
        <is>
          <t>UCYPKFe86e6nm4TVUYKLsFUQ</t>
        </is>
      </c>
      <c r="O2290" s="45" t="n">
        <v>43094.625</v>
      </c>
      <c r="P2290" s="46" t="n">
        <v>43094</v>
      </c>
      <c r="Q2290" s="44" t="n">
        <v>982</v>
      </c>
      <c r="R2290" s="44" t="inlineStr">
        <is>
          <t>No Video ID yet</t>
        </is>
      </c>
      <c r="S2290" s="46" t="n"/>
      <c r="T2290" s="46" t="n"/>
      <c r="U2290" s="44" t="n"/>
      <c r="V2290" s="44">
        <f>IF(AND(P2290&gt;=Calendar!$K$2,P2290&lt;EDATE(Calendar!$K$2,1),OR(Calendar!$K$4="*",N2290=Calendar!$K$4)),P2290*100+COUNTIFS($P$6:$P$3271,P2290,$Q$6:$Q$3271,"&lt;="&amp;Q2290,$N$6:$N$3271,Calendar!$K$4),"")</f>
        <v/>
      </c>
      <c r="W2290" s="44">
        <f>IF(AND(B2290=Queue!$C$4,OR(Queue!$K$4="*",N2290=Queue!$K$4)),Q2290,"")</f>
        <v/>
      </c>
    </row>
    <row r="2291">
      <c r="A2291" s="35">
        <f>IF(M2291="","",HYPERLINK("https://www.youtube.com/watch?v="&amp;M2291,"▶"))</f>
        <v/>
      </c>
      <c r="B2291" s="36">
        <f>IF(C2291&lt;&gt;"",C2291,IF(P2291&lt;=IFERROR(INDEX(tblChannels[Watched Through],MATCH(N2291,tblChannels[Channel ID],0)),0),"Watched","Unwatched"))</f>
        <v/>
      </c>
      <c r="C2291" s="37" t="n"/>
      <c r="D2291" s="38" t="n"/>
      <c r="E2291" s="39" t="n">
        <v>43091.61805555555</v>
      </c>
      <c r="F2291" s="49" t="inlineStr">
        <is>
          <t>Super Carlin Gaming</t>
        </is>
      </c>
      <c r="G2291" t="inlineStr">
        <is>
          <t>Pokemon Black Nuzlocke #20: Too Many Status Effects</t>
        </is>
      </c>
      <c r="H2291" s="41" t="n">
        <v>0.01966435185185185</v>
      </c>
      <c r="I2291" s="42" t="n">
        <v>25820</v>
      </c>
      <c r="J2291" s="42" t="n">
        <v>720</v>
      </c>
      <c r="K2291" s="42" t="n">
        <v>160</v>
      </c>
      <c r="L2291" s="43" t="n"/>
      <c r="M2291" s="44" t="n"/>
      <c r="N2291" s="44" t="inlineStr">
        <is>
          <t>UCor_9jRnNNZVzTuQ92PKsaQ</t>
        </is>
      </c>
      <c r="O2291" s="45" t="n">
        <v>43091.82638888889</v>
      </c>
      <c r="P2291" s="46" t="n">
        <v>43091</v>
      </c>
      <c r="Q2291" s="44" t="n">
        <v>981</v>
      </c>
      <c r="R2291" s="44" t="inlineStr">
        <is>
          <t>No Video ID yet</t>
        </is>
      </c>
      <c r="S2291" s="46" t="n"/>
      <c r="T2291" s="46" t="n"/>
      <c r="U2291" s="44" t="n"/>
      <c r="V2291" s="44">
        <f>IF(AND(P2291&gt;=Calendar!$K$2,P2291&lt;EDATE(Calendar!$K$2,1),OR(Calendar!$K$4="*",N2291=Calendar!$K$4)),P2291*100+COUNTIFS($P$6:$P$3271,P2291,$Q$6:$Q$3271,"&lt;="&amp;Q2291,$N$6:$N$3271,Calendar!$K$4),"")</f>
        <v/>
      </c>
      <c r="W2291" s="44">
        <f>IF(AND(B2291=Queue!$C$4,OR(Queue!$K$4="*",N2291=Queue!$K$4)),Q2291,"")</f>
        <v/>
      </c>
    </row>
    <row r="2292">
      <c r="A2292" s="35">
        <f>IF(M2292="","",HYPERLINK("https://www.youtube.com/watch?v="&amp;M2292,"▶"))</f>
        <v/>
      </c>
      <c r="B2292" s="36">
        <f>IF(C2292&lt;&gt;"",C2292,IF(P2292&lt;=IFERROR(INDEX(tblChannels[Watched Through],MATCH(N2292,tblChannels[Channel ID],0)),0),"Watched","Unwatched"))</f>
        <v/>
      </c>
      <c r="C2292" s="37" t="n"/>
      <c r="D2292" s="38" t="n"/>
      <c r="E2292" s="39" t="n">
        <v>43090.73611111111</v>
      </c>
      <c r="F2292" s="49" t="inlineStr">
        <is>
          <t>Super Carlin Gaming</t>
        </is>
      </c>
      <c r="G2292" t="inlineStr">
        <is>
          <t>Mario Kart Roulette #56: Successful First Date?</t>
        </is>
      </c>
      <c r="H2292" s="41" t="n">
        <v>0.01079861111111111</v>
      </c>
      <c r="I2292" s="42" t="n">
        <v>10772</v>
      </c>
      <c r="J2292" s="42" t="n">
        <v>456</v>
      </c>
      <c r="K2292" s="42" t="n">
        <v>100</v>
      </c>
      <c r="L2292" s="43" t="n"/>
      <c r="M2292" s="44" t="n"/>
      <c r="N2292" s="44" t="inlineStr">
        <is>
          <t>UCor_9jRnNNZVzTuQ92PKsaQ</t>
        </is>
      </c>
      <c r="O2292" s="45" t="n">
        <v>43090.94444444445</v>
      </c>
      <c r="P2292" s="46" t="n">
        <v>43090</v>
      </c>
      <c r="Q2292" s="44" t="n">
        <v>980</v>
      </c>
      <c r="R2292" s="44" t="inlineStr">
        <is>
          <t>No Video ID yet</t>
        </is>
      </c>
      <c r="S2292" s="46" t="n"/>
      <c r="T2292" s="46" t="n"/>
      <c r="U2292" s="44" t="n"/>
      <c r="V2292" s="44">
        <f>IF(AND(P2292&gt;=Calendar!$K$2,P2292&lt;EDATE(Calendar!$K$2,1),OR(Calendar!$K$4="*",N2292=Calendar!$K$4)),P2292*100+COUNTIFS($P$6:$P$3271,P2292,$Q$6:$Q$3271,"&lt;="&amp;Q2292,$N$6:$N$3271,Calendar!$K$4),"")</f>
        <v/>
      </c>
      <c r="W2292" s="44">
        <f>IF(AND(B2292=Queue!$C$4,OR(Queue!$K$4="*",N2292=Queue!$K$4)),Q2292,"")</f>
        <v/>
      </c>
    </row>
    <row r="2293">
      <c r="A2293" s="35">
        <f>IF(M2293="","",HYPERLINK("https://www.youtube.com/watch?v="&amp;M2293,"▶"))</f>
        <v/>
      </c>
      <c r="B2293" s="36">
        <f>IF(C2293&lt;&gt;"",C2293,IF(P2293&lt;=IFERROR(INDEX(tblChannels[Watched Through],MATCH(N2293,tblChannels[Channel ID],0)),0),"Watched","Unwatched"))</f>
        <v/>
      </c>
      <c r="C2293" s="37" t="n"/>
      <c r="D2293" s="38" t="n"/>
      <c r="E2293" s="39" t="n">
        <v>43090.625</v>
      </c>
      <c r="F2293" s="47" t="inlineStr">
        <is>
          <t>Super Carlin Brothers</t>
        </is>
      </c>
      <c r="G2293" t="inlineStr">
        <is>
          <t>Top 7 Unanswered Questions from Star Wars The Last Jedi</t>
        </is>
      </c>
      <c r="H2293" s="41" t="n">
        <v>0.008032407407407408</v>
      </c>
      <c r="I2293" s="42" t="n">
        <v>474060</v>
      </c>
      <c r="J2293" s="42" t="n">
        <v>14177</v>
      </c>
      <c r="K2293" s="42" t="n">
        <v>2280</v>
      </c>
      <c r="L2293" s="43" t="n"/>
      <c r="M2293" s="44" t="n"/>
      <c r="N2293" s="44" t="inlineStr">
        <is>
          <t>UCKZo4N0lVPccBkSiuyVh4yg</t>
        </is>
      </c>
      <c r="O2293" s="45" t="n">
        <v>43090.83333333334</v>
      </c>
      <c r="P2293" s="46" t="n">
        <v>43090</v>
      </c>
      <c r="Q2293" s="44" t="n">
        <v>979</v>
      </c>
      <c r="R2293" s="44" t="inlineStr">
        <is>
          <t>No Video ID yet</t>
        </is>
      </c>
      <c r="S2293" s="46" t="n"/>
      <c r="T2293" s="46" t="n"/>
      <c r="U2293" s="44" t="n"/>
      <c r="V2293" s="44">
        <f>IF(AND(P2293&gt;=Calendar!$K$2,P2293&lt;EDATE(Calendar!$K$2,1),OR(Calendar!$K$4="*",N2293=Calendar!$K$4)),P2293*100+COUNTIFS($P$6:$P$3271,P2293,$Q$6:$Q$3271,"&lt;="&amp;Q2293,$N$6:$N$3271,Calendar!$K$4),"")</f>
        <v/>
      </c>
      <c r="W2293" s="44">
        <f>IF(AND(B2293=Queue!$C$4,OR(Queue!$K$4="*",N2293=Queue!$K$4)),Q2293,"")</f>
        <v/>
      </c>
    </row>
    <row r="2294">
      <c r="A2294" s="35">
        <f>IF(M2294="","",HYPERLINK("https://www.youtube.com/watch?v="&amp;M2294,"▶"))</f>
        <v/>
      </c>
      <c r="B2294" s="36">
        <f>IF(C2294&lt;&gt;"",C2294,IF(P2294&lt;=IFERROR(INDEX(tblChannels[Watched Through],MATCH(N2294,tblChannels[Channel ID],0)),0),"Watched","Unwatched"))</f>
        <v/>
      </c>
      <c r="C2294" s="37" t="n"/>
      <c r="D2294" s="38" t="n"/>
      <c r="E2294" s="39" t="n">
        <v>43089.65069444444</v>
      </c>
      <c r="F2294" s="49" t="inlineStr">
        <is>
          <t>Super Carlin Gaming</t>
        </is>
      </c>
      <c r="G2294" t="inlineStr">
        <is>
          <t>Pokemon Black Nuzlocke #19: The Power of Evolution</t>
        </is>
      </c>
      <c r="H2294" s="41" t="n">
        <v>0.02560185185185185</v>
      </c>
      <c r="I2294" s="42" t="n">
        <v>27369</v>
      </c>
      <c r="J2294" s="42" t="n">
        <v>742</v>
      </c>
      <c r="K2294" s="42" t="n">
        <v>180</v>
      </c>
      <c r="L2294" s="43" t="n"/>
      <c r="M2294" s="44" t="n"/>
      <c r="N2294" s="44" t="inlineStr">
        <is>
          <t>UCor_9jRnNNZVzTuQ92PKsaQ</t>
        </is>
      </c>
      <c r="O2294" s="45" t="n">
        <v>43089.85902777778</v>
      </c>
      <c r="P2294" s="46" t="n">
        <v>43089</v>
      </c>
      <c r="Q2294" s="44" t="n">
        <v>978</v>
      </c>
      <c r="R2294" s="44" t="inlineStr">
        <is>
          <t>No Video ID yet</t>
        </is>
      </c>
      <c r="S2294" s="46" t="n"/>
      <c r="T2294" s="46" t="n"/>
      <c r="U2294" s="44" t="n"/>
      <c r="V2294" s="44">
        <f>IF(AND(P2294&gt;=Calendar!$K$2,P2294&lt;EDATE(Calendar!$K$2,1),OR(Calendar!$K$4="*",N2294=Calendar!$K$4)),P2294*100+COUNTIFS($P$6:$P$3271,P2294,$Q$6:$Q$3271,"&lt;="&amp;Q2294,$N$6:$N$3271,Calendar!$K$4),"")</f>
        <v/>
      </c>
      <c r="W2294" s="44">
        <f>IF(AND(B2294=Queue!$C$4,OR(Queue!$K$4="*",N2294=Queue!$K$4)),Q2294,"")</f>
        <v/>
      </c>
    </row>
    <row r="2295">
      <c r="A2295" s="35">
        <f>IF(M2295="","",HYPERLINK("https://www.youtube.com/watch?v="&amp;M2295,"▶"))</f>
        <v/>
      </c>
      <c r="B2295" s="36">
        <f>IF(C2295&lt;&gt;"",C2295,IF(P2295&lt;=IFERROR(INDEX(tblChannels[Watched Through],MATCH(N2295,tblChannels[Channel ID],0)),0),"Watched","Unwatched"))</f>
        <v/>
      </c>
      <c r="C2295" s="37" t="n"/>
      <c r="D2295" s="38" t="n"/>
      <c r="E2295" s="39" t="n">
        <v>43088.75902777778</v>
      </c>
      <c r="F2295" s="47" t="inlineStr">
        <is>
          <t>Super Carlin Brothers</t>
        </is>
      </c>
      <c r="G2295" t="inlineStr">
        <is>
          <t>Star Wars The Last Jedi SPOILER Review</t>
        </is>
      </c>
      <c r="H2295" s="41" t="n">
        <v>0.04396990740740741</v>
      </c>
      <c r="I2295" s="42" t="n">
        <v>397313</v>
      </c>
      <c r="J2295" s="42" t="n">
        <v>11560</v>
      </c>
      <c r="K2295" s="42" t="n">
        <v>4626</v>
      </c>
      <c r="L2295" s="43" t="n"/>
      <c r="M2295" s="44" t="n"/>
      <c r="N2295" s="44" t="inlineStr">
        <is>
          <t>UCKZo4N0lVPccBkSiuyVh4yg</t>
        </is>
      </c>
      <c r="O2295" s="45" t="n">
        <v>43088.96736111111</v>
      </c>
      <c r="P2295" s="46" t="n">
        <v>43088</v>
      </c>
      <c r="Q2295" s="44" t="n">
        <v>977</v>
      </c>
      <c r="R2295" s="44" t="inlineStr">
        <is>
          <t>No Video ID yet</t>
        </is>
      </c>
      <c r="S2295" s="46" t="n"/>
      <c r="T2295" s="46" t="n"/>
      <c r="U2295" s="44" t="n"/>
      <c r="V2295" s="44">
        <f>IF(AND(P2295&gt;=Calendar!$K$2,P2295&lt;EDATE(Calendar!$K$2,1),OR(Calendar!$K$4="*",N2295=Calendar!$K$4)),P2295*100+COUNTIFS($P$6:$P$3271,P2295,$Q$6:$Q$3271,"&lt;="&amp;Q2295,$N$6:$N$3271,Calendar!$K$4),"")</f>
        <v/>
      </c>
      <c r="W2295" s="44">
        <f>IF(AND(B2295=Queue!$C$4,OR(Queue!$K$4="*",N2295=Queue!$K$4)),Q2295,"")</f>
        <v/>
      </c>
    </row>
    <row r="2296">
      <c r="A2296" s="35">
        <f>IF(M2296="","",HYPERLINK("https://www.youtube.com/watch?v="&amp;M2296,"▶"))</f>
        <v/>
      </c>
      <c r="B2296" s="36">
        <f>IF(C2296&lt;&gt;"",C2296,IF(P2296&lt;=IFERROR(INDEX(tblChannels[Watched Through],MATCH(N2296,tblChannels[Channel ID],0)),0),"Watched","Unwatched"))</f>
        <v/>
      </c>
      <c r="C2296" s="37" t="n"/>
      <c r="D2296" s="38" t="n"/>
      <c r="E2296" s="39" t="n">
        <v>43088.44930555556</v>
      </c>
      <c r="F2296" s="49" t="inlineStr">
        <is>
          <t>Super Carlin Gaming</t>
        </is>
      </c>
      <c r="G2296" t="inlineStr">
        <is>
          <t>Mario Kart Roulette #55: Poorly Timed Lightning</t>
        </is>
      </c>
      <c r="H2296" s="41" t="n">
        <v>0.01241898148148148</v>
      </c>
      <c r="I2296" s="42" t="n">
        <v>12269</v>
      </c>
      <c r="J2296" s="42" t="n">
        <v>658</v>
      </c>
      <c r="K2296" s="42" t="n">
        <v>108</v>
      </c>
      <c r="L2296" s="43" t="n"/>
      <c r="M2296" s="44" t="n"/>
      <c r="N2296" s="44" t="inlineStr">
        <is>
          <t>UCor_9jRnNNZVzTuQ92PKsaQ</t>
        </is>
      </c>
      <c r="O2296" s="45" t="n">
        <v>43088.65763888889</v>
      </c>
      <c r="P2296" s="46" t="n">
        <v>43088</v>
      </c>
      <c r="Q2296" s="44" t="n">
        <v>976</v>
      </c>
      <c r="R2296" s="44" t="inlineStr">
        <is>
          <t>No Video ID yet</t>
        </is>
      </c>
      <c r="S2296" s="46" t="n"/>
      <c r="T2296" s="46" t="n"/>
      <c r="U2296" s="44" t="n"/>
      <c r="V2296" s="44">
        <f>IF(AND(P2296&gt;=Calendar!$K$2,P2296&lt;EDATE(Calendar!$K$2,1),OR(Calendar!$K$4="*",N2296=Calendar!$K$4)),P2296*100+COUNTIFS($P$6:$P$3271,P2296,$Q$6:$Q$3271,"&lt;="&amp;Q2296,$N$6:$N$3271,Calendar!$K$4),"")</f>
        <v/>
      </c>
      <c r="W2296" s="44">
        <f>IF(AND(B2296=Queue!$C$4,OR(Queue!$K$4="*",N2296=Queue!$K$4)),Q2296,"")</f>
        <v/>
      </c>
    </row>
    <row r="2297">
      <c r="A2297" s="35">
        <f>IF(M2297="","",HYPERLINK("https://www.youtube.com/watch?v="&amp;M2297,"▶"))</f>
        <v/>
      </c>
      <c r="B2297" s="36">
        <f>IF(C2297&lt;&gt;"",C2297,IF(P2297&lt;=IFERROR(INDEX(tblChannels[Watched Through],MATCH(N2297,tblChannels[Channel ID],0)),0),"Watched","Unwatched"))</f>
        <v/>
      </c>
      <c r="C2297" s="37" t="n"/>
      <c r="D2297" s="38" t="n"/>
      <c r="E2297" s="39" t="n">
        <v>43087.73402777778</v>
      </c>
      <c r="F2297" s="49" t="inlineStr">
        <is>
          <t>Super Carlin Gaming</t>
        </is>
      </c>
      <c r="G2297" t="inlineStr">
        <is>
          <t>Pokemon Black Nuzlocke #18: Icirrus</t>
        </is>
      </c>
      <c r="H2297" s="41" t="n">
        <v>0.02078703703703704</v>
      </c>
      <c r="I2297" s="42" t="n">
        <v>26312</v>
      </c>
      <c r="J2297" s="42" t="n">
        <v>726</v>
      </c>
      <c r="K2297" s="42" t="n">
        <v>177</v>
      </c>
      <c r="L2297" s="43" t="n"/>
      <c r="M2297" s="44" t="n"/>
      <c r="N2297" s="44" t="inlineStr">
        <is>
          <t>UCor_9jRnNNZVzTuQ92PKsaQ</t>
        </is>
      </c>
      <c r="O2297" s="45" t="n">
        <v>43087.94236111111</v>
      </c>
      <c r="P2297" s="46" t="n">
        <v>43087</v>
      </c>
      <c r="Q2297" s="44" t="n">
        <v>975</v>
      </c>
      <c r="R2297" s="44" t="inlineStr">
        <is>
          <t>No Video ID yet</t>
        </is>
      </c>
      <c r="S2297" s="46" t="n"/>
      <c r="T2297" s="46" t="n"/>
      <c r="U2297" s="44" t="n"/>
      <c r="V2297" s="44">
        <f>IF(AND(P2297&gt;=Calendar!$K$2,P2297&lt;EDATE(Calendar!$K$2,1),OR(Calendar!$K$4="*",N2297=Calendar!$K$4)),P2297*100+COUNTIFS($P$6:$P$3271,P2297,$Q$6:$Q$3271,"&lt;="&amp;Q2297,$N$6:$N$3271,Calendar!$K$4),"")</f>
        <v/>
      </c>
      <c r="W2297" s="44">
        <f>IF(AND(B2297=Queue!$C$4,OR(Queue!$K$4="*",N2297=Queue!$K$4)),Q2297,"")</f>
        <v/>
      </c>
    </row>
    <row r="2298">
      <c r="A2298" s="35">
        <f>IF(M2298="","",HYPERLINK("https://www.youtube.com/watch?v="&amp;M2298,"▶"))</f>
        <v/>
      </c>
      <c r="B2298" s="36">
        <f>IF(C2298&lt;&gt;"",C2298,IF(P2298&lt;=IFERROR(INDEX(tblChannels[Watched Through],MATCH(N2298,tblChannels[Channel ID],0)),0),"Watched","Unwatched"))</f>
        <v/>
      </c>
      <c r="C2298" s="37" t="n"/>
      <c r="D2298" s="38" t="n"/>
      <c r="E2298" s="39" t="n">
        <v>43087.47638888889</v>
      </c>
      <c r="F2298" s="50" t="inlineStr">
        <is>
          <t>Jonathan Carlin</t>
        </is>
      </c>
      <c r="G2298" t="inlineStr">
        <is>
          <t>MY SON IS BORN</t>
        </is>
      </c>
      <c r="H2298" s="41" t="n">
        <v>0.005289351851851852</v>
      </c>
      <c r="I2298" s="42" t="n">
        <v>154541</v>
      </c>
      <c r="J2298" s="42" t="n">
        <v>6657</v>
      </c>
      <c r="K2298" s="42" t="n">
        <v>886</v>
      </c>
      <c r="L2298" s="43" t="n"/>
      <c r="M2298" s="44" t="n"/>
      <c r="N2298" s="44" t="inlineStr">
        <is>
          <t>UCYPKFe86e6nm4TVUYKLsFUQ</t>
        </is>
      </c>
      <c r="O2298" s="45" t="n">
        <v>43087.68472222222</v>
      </c>
      <c r="P2298" s="46" t="n">
        <v>43087</v>
      </c>
      <c r="Q2298" s="44" t="n">
        <v>974</v>
      </c>
      <c r="R2298" s="44" t="inlineStr">
        <is>
          <t>No Video ID yet</t>
        </is>
      </c>
      <c r="S2298" s="46" t="n"/>
      <c r="T2298" s="46" t="n"/>
      <c r="U2298" s="44" t="n"/>
      <c r="V2298" s="44">
        <f>IF(AND(P2298&gt;=Calendar!$K$2,P2298&lt;EDATE(Calendar!$K$2,1),OR(Calendar!$K$4="*",N2298=Calendar!$K$4)),P2298*100+COUNTIFS($P$6:$P$3271,P2298,$Q$6:$Q$3271,"&lt;="&amp;Q2298,$N$6:$N$3271,Calendar!$K$4),"")</f>
        <v/>
      </c>
      <c r="W2298" s="44">
        <f>IF(AND(B2298=Queue!$C$4,OR(Queue!$K$4="*",N2298=Queue!$K$4)),Q2298,"")</f>
        <v/>
      </c>
    </row>
    <row r="2299">
      <c r="A2299" s="35">
        <f>IF(M2299="","",HYPERLINK("https://www.youtube.com/watch?v="&amp;M2299,"▶"))</f>
        <v/>
      </c>
      <c r="B2299" s="36">
        <f>IF(C2299&lt;&gt;"",C2299,IF(P2299&lt;=IFERROR(INDEX(tblChannels[Watched Through],MATCH(N2299,tblChannels[Channel ID],0)),0),"Watched","Unwatched"))</f>
        <v/>
      </c>
      <c r="C2299" s="37" t="n"/>
      <c r="D2299" s="38" t="n"/>
      <c r="E2299" s="39" t="n">
        <v>43084.64583333334</v>
      </c>
      <c r="F2299" s="47" t="inlineStr">
        <is>
          <t>Super Carlin Brothers</t>
        </is>
      </c>
      <c r="G2299" t="inlineStr">
        <is>
          <t>Luke, I am Your Father - J Becomes a Dad!</t>
        </is>
      </c>
      <c r="H2299" s="41" t="n">
        <v>0.008750000000000001</v>
      </c>
      <c r="I2299" s="42" t="n">
        <v>298375</v>
      </c>
      <c r="J2299" s="42" t="n">
        <v>14224</v>
      </c>
      <c r="K2299" s="42" t="n">
        <v>1402</v>
      </c>
      <c r="L2299" s="43" t="n"/>
      <c r="M2299" s="44" t="n"/>
      <c r="N2299" s="44" t="inlineStr">
        <is>
          <t>UCKZo4N0lVPccBkSiuyVh4yg</t>
        </is>
      </c>
      <c r="O2299" s="45" t="n">
        <v>43084.85416666666</v>
      </c>
      <c r="P2299" s="46" t="n">
        <v>43084</v>
      </c>
      <c r="Q2299" s="44" t="n">
        <v>973</v>
      </c>
      <c r="R2299" s="44" t="inlineStr">
        <is>
          <t>No Video ID yet</t>
        </is>
      </c>
      <c r="S2299" s="46" t="n"/>
      <c r="T2299" s="46" t="n"/>
      <c r="U2299" s="44" t="n"/>
      <c r="V2299" s="44">
        <f>IF(AND(P2299&gt;=Calendar!$K$2,P2299&lt;EDATE(Calendar!$K$2,1),OR(Calendar!$K$4="*",N2299=Calendar!$K$4)),P2299*100+COUNTIFS($P$6:$P$3271,P2299,$Q$6:$Q$3271,"&lt;="&amp;Q2299,$N$6:$N$3271,Calendar!$K$4),"")</f>
        <v/>
      </c>
      <c r="W2299" s="44">
        <f>IF(AND(B2299=Queue!$C$4,OR(Queue!$K$4="*",N2299=Queue!$K$4)),Q2299,"")</f>
        <v/>
      </c>
    </row>
    <row r="2300">
      <c r="A2300" s="35">
        <f>IF(M2300="","",HYPERLINK("https://www.youtube.com/watch?v="&amp;M2300,"▶"))</f>
        <v/>
      </c>
      <c r="B2300" s="36">
        <f>IF(C2300&lt;&gt;"",C2300,IF(P2300&lt;=IFERROR(INDEX(tblChannels[Watched Through],MATCH(N2300,tblChannels[Channel ID],0)),0),"Watched","Unwatched"))</f>
        <v/>
      </c>
      <c r="C2300" s="37" t="n"/>
      <c r="D2300" s="38" t="n"/>
      <c r="E2300" s="39" t="n">
        <v>43084.60069444445</v>
      </c>
      <c r="F2300" s="49" t="inlineStr">
        <is>
          <t>Super Carlin Gaming</t>
        </is>
      </c>
      <c r="G2300" t="inlineStr">
        <is>
          <t>Pokemon Black Nuzlocke #17: Taco's Last Ember</t>
        </is>
      </c>
      <c r="H2300" s="41" t="n">
        <v>0.02247685185185185</v>
      </c>
      <c r="I2300" s="42" t="n">
        <v>29348</v>
      </c>
      <c r="J2300" s="42" t="n">
        <v>770</v>
      </c>
      <c r="K2300" s="42" t="n">
        <v>350</v>
      </c>
      <c r="L2300" s="43" t="n"/>
      <c r="M2300" s="44" t="n"/>
      <c r="N2300" s="44" t="inlineStr">
        <is>
          <t>UCor_9jRnNNZVzTuQ92PKsaQ</t>
        </is>
      </c>
      <c r="O2300" s="45" t="n">
        <v>43084.80902777778</v>
      </c>
      <c r="P2300" s="46" t="n">
        <v>43084</v>
      </c>
      <c r="Q2300" s="44" t="n">
        <v>972</v>
      </c>
      <c r="R2300" s="44" t="inlineStr">
        <is>
          <t>No Video ID yet</t>
        </is>
      </c>
      <c r="S2300" s="46" t="n"/>
      <c r="T2300" s="46" t="n"/>
      <c r="U2300" s="44" t="n"/>
      <c r="V2300" s="44">
        <f>IF(AND(P2300&gt;=Calendar!$K$2,P2300&lt;EDATE(Calendar!$K$2,1),OR(Calendar!$K$4="*",N2300=Calendar!$K$4)),P2300*100+COUNTIFS($P$6:$P$3271,P2300,$Q$6:$Q$3271,"&lt;="&amp;Q2300,$N$6:$N$3271,Calendar!$K$4),"")</f>
        <v/>
      </c>
      <c r="W2300" s="44">
        <f>IF(AND(B2300=Queue!$C$4,OR(Queue!$K$4="*",N2300=Queue!$K$4)),Q2300,"")</f>
        <v/>
      </c>
    </row>
    <row r="2301">
      <c r="A2301" s="35">
        <f>IF(M2301="","",HYPERLINK("https://www.youtube.com/watch?v="&amp;M2301,"▶"))</f>
        <v/>
      </c>
      <c r="B2301" s="36">
        <f>IF(C2301&lt;&gt;"",C2301,IF(P2301&lt;=IFERROR(INDEX(tblChannels[Watched Through],MATCH(N2301,tblChannels[Channel ID],0)),0),"Watched","Unwatched"))</f>
        <v/>
      </c>
      <c r="C2301" s="37" t="n"/>
      <c r="D2301" s="38" t="n"/>
      <c r="E2301" s="39" t="n">
        <v>43083.44861111111</v>
      </c>
      <c r="F2301" s="49" t="inlineStr">
        <is>
          <t>Super Carlin Gaming</t>
        </is>
      </c>
      <c r="G2301" t="inlineStr">
        <is>
          <t>Mario Kart Roulette #54: Is Arguing Bad?</t>
        </is>
      </c>
      <c r="H2301" s="41" t="n">
        <v>0.01137731481481481</v>
      </c>
      <c r="I2301" s="42" t="n">
        <v>11198</v>
      </c>
      <c r="J2301" s="42" t="n">
        <v>554</v>
      </c>
      <c r="K2301" s="42" t="n">
        <v>82</v>
      </c>
      <c r="L2301" s="43" t="n"/>
      <c r="M2301" s="44" t="n"/>
      <c r="N2301" s="44" t="inlineStr">
        <is>
          <t>UCor_9jRnNNZVzTuQ92PKsaQ</t>
        </is>
      </c>
      <c r="O2301" s="45" t="n">
        <v>43083.65694444445</v>
      </c>
      <c r="P2301" s="46" t="n">
        <v>43083</v>
      </c>
      <c r="Q2301" s="44" t="n">
        <v>971</v>
      </c>
      <c r="R2301" s="44" t="inlineStr">
        <is>
          <t>No Video ID yet</t>
        </is>
      </c>
      <c r="S2301" s="46" t="n"/>
      <c r="T2301" s="46" t="n"/>
      <c r="U2301" s="44" t="n"/>
      <c r="V2301" s="44">
        <f>IF(AND(P2301&gt;=Calendar!$K$2,P2301&lt;EDATE(Calendar!$K$2,1),OR(Calendar!$K$4="*",N2301=Calendar!$K$4)),P2301*100+COUNTIFS($P$6:$P$3271,P2301,$Q$6:$Q$3271,"&lt;="&amp;Q2301,$N$6:$N$3271,Calendar!$K$4),"")</f>
        <v/>
      </c>
      <c r="W2301" s="44">
        <f>IF(AND(B2301=Queue!$C$4,OR(Queue!$K$4="*",N2301=Queue!$K$4)),Q2301,"")</f>
        <v/>
      </c>
    </row>
    <row r="2302">
      <c r="A2302" s="35">
        <f>IF(M2302="","",HYPERLINK("https://www.youtube.com/watch?v="&amp;M2302,"▶"))</f>
        <v/>
      </c>
      <c r="B2302" s="36">
        <f>IF(C2302&lt;&gt;"",C2302,IF(P2302&lt;=IFERROR(INDEX(tblChannels[Watched Through],MATCH(N2302,tblChannels[Channel ID],0)),0),"Watched","Unwatched"))</f>
        <v/>
      </c>
      <c r="C2302" s="37" t="n"/>
      <c r="D2302" s="38" t="n"/>
      <c r="E2302" s="39" t="n">
        <v>43082.60902777778</v>
      </c>
      <c r="F2302" s="49" t="inlineStr">
        <is>
          <t>Super Carlin Gaming</t>
        </is>
      </c>
      <c r="G2302" t="inlineStr">
        <is>
          <t>Pokemon Black Nuzlocke #16: Up To Skyla</t>
        </is>
      </c>
      <c r="H2302" s="41" t="n">
        <v>0.02548611111111111</v>
      </c>
      <c r="I2302" s="42" t="n">
        <v>29689</v>
      </c>
      <c r="J2302" s="42" t="n">
        <v>781</v>
      </c>
      <c r="K2302" s="42" t="n">
        <v>225</v>
      </c>
      <c r="L2302" s="43" t="n"/>
      <c r="M2302" s="44" t="n"/>
      <c r="N2302" s="44" t="inlineStr">
        <is>
          <t>UCor_9jRnNNZVzTuQ92PKsaQ</t>
        </is>
      </c>
      <c r="O2302" s="45" t="n">
        <v>43082.81736111111</v>
      </c>
      <c r="P2302" s="46" t="n">
        <v>43082</v>
      </c>
      <c r="Q2302" s="44" t="n">
        <v>970</v>
      </c>
      <c r="R2302" s="44" t="inlineStr">
        <is>
          <t>No Video ID yet</t>
        </is>
      </c>
      <c r="S2302" s="46" t="n"/>
      <c r="T2302" s="46" t="n"/>
      <c r="U2302" s="44" t="n"/>
      <c r="V2302" s="44">
        <f>IF(AND(P2302&gt;=Calendar!$K$2,P2302&lt;EDATE(Calendar!$K$2,1),OR(Calendar!$K$4="*",N2302=Calendar!$K$4)),P2302*100+COUNTIFS($P$6:$P$3271,P2302,$Q$6:$Q$3271,"&lt;="&amp;Q2302,$N$6:$N$3271,Calendar!$K$4),"")</f>
        <v/>
      </c>
      <c r="W2302" s="44">
        <f>IF(AND(B2302=Queue!$C$4,OR(Queue!$K$4="*",N2302=Queue!$K$4)),Q2302,"")</f>
        <v/>
      </c>
    </row>
    <row r="2303">
      <c r="A2303" s="35">
        <f>IF(M2303="","",HYPERLINK("https://www.youtube.com/watch?v="&amp;M2303,"▶"))</f>
        <v/>
      </c>
      <c r="B2303" s="36">
        <f>IF(C2303&lt;&gt;"",C2303,IF(P2303&lt;=IFERROR(INDEX(tblChannels[Watched Through],MATCH(N2303,tblChannels[Channel ID],0)),0),"Watched","Unwatched"))</f>
        <v/>
      </c>
      <c r="C2303" s="37" t="n"/>
      <c r="D2303" s="38" t="n"/>
      <c r="E2303" s="39" t="n">
        <v>43081.80277777778</v>
      </c>
      <c r="F2303" s="47" t="inlineStr">
        <is>
          <t>Super Carlin Brothers</t>
        </is>
      </c>
      <c r="G2303" t="inlineStr">
        <is>
          <t>How Coco Fits Into The Pixar Theory</t>
        </is>
      </c>
      <c r="H2303" s="41" t="n">
        <v>0.008333333333333333</v>
      </c>
      <c r="I2303" s="42" t="n">
        <v>2218728</v>
      </c>
      <c r="J2303" s="42" t="n">
        <v>50715</v>
      </c>
      <c r="K2303" s="42" t="n">
        <v>6035</v>
      </c>
      <c r="L2303" s="43" t="n"/>
      <c r="M2303" s="44" t="n"/>
      <c r="N2303" s="44" t="inlineStr">
        <is>
          <t>UCKZo4N0lVPccBkSiuyVh4yg</t>
        </is>
      </c>
      <c r="O2303" s="45" t="n">
        <v>43082.01111111111</v>
      </c>
      <c r="P2303" s="46" t="n">
        <v>43081</v>
      </c>
      <c r="Q2303" s="44" t="n">
        <v>969</v>
      </c>
      <c r="R2303" s="44" t="inlineStr">
        <is>
          <t>No Video ID yet</t>
        </is>
      </c>
      <c r="S2303" s="46" t="n"/>
      <c r="T2303" s="46" t="n"/>
      <c r="U2303" s="44" t="n"/>
      <c r="V2303" s="44">
        <f>IF(AND(P2303&gt;=Calendar!$K$2,P2303&lt;EDATE(Calendar!$K$2,1),OR(Calendar!$K$4="*",N2303=Calendar!$K$4)),P2303*100+COUNTIFS($P$6:$P$3271,P2303,$Q$6:$Q$3271,"&lt;="&amp;Q2303,$N$6:$N$3271,Calendar!$K$4),"")</f>
        <v/>
      </c>
      <c r="W2303" s="44">
        <f>IF(AND(B2303=Queue!$C$4,OR(Queue!$K$4="*",N2303=Queue!$K$4)),Q2303,"")</f>
        <v/>
      </c>
    </row>
    <row r="2304">
      <c r="A2304" s="35">
        <f>IF(M2304="","",HYPERLINK("https://www.youtube.com/watch?v="&amp;M2304,"▶"))</f>
        <v/>
      </c>
      <c r="B2304" s="36">
        <f>IF(C2304&lt;&gt;"",C2304,IF(P2304&lt;=IFERROR(INDEX(tblChannels[Watched Through],MATCH(N2304,tblChannels[Channel ID],0)),0),"Watched","Unwatched"))</f>
        <v/>
      </c>
      <c r="C2304" s="37" t="n"/>
      <c r="D2304" s="38" t="n"/>
      <c r="E2304" s="39" t="n">
        <v>43081.56736111111</v>
      </c>
      <c r="F2304" s="49" t="inlineStr">
        <is>
          <t>Super Carlin Gaming</t>
        </is>
      </c>
      <c r="G2304" t="inlineStr">
        <is>
          <t>Mario Kart Roulette #53: Being Awkward?</t>
        </is>
      </c>
      <c r="H2304" s="41" t="n">
        <v>0.01075231481481482</v>
      </c>
      <c r="I2304" s="42" t="n">
        <v>11370</v>
      </c>
      <c r="J2304" s="42" t="n">
        <v>428</v>
      </c>
      <c r="K2304" s="42" t="n">
        <v>159</v>
      </c>
      <c r="L2304" s="43" t="n"/>
      <c r="M2304" s="44" t="n"/>
      <c r="N2304" s="44" t="inlineStr">
        <is>
          <t>UCor_9jRnNNZVzTuQ92PKsaQ</t>
        </is>
      </c>
      <c r="O2304" s="45" t="n">
        <v>43081.77569444444</v>
      </c>
      <c r="P2304" s="46" t="n">
        <v>43081</v>
      </c>
      <c r="Q2304" s="44" t="n">
        <v>968</v>
      </c>
      <c r="R2304" s="44" t="inlineStr">
        <is>
          <t>No Video ID yet</t>
        </is>
      </c>
      <c r="S2304" s="46" t="n"/>
      <c r="T2304" s="46" t="n"/>
      <c r="U2304" s="44" t="n"/>
      <c r="V2304" s="44">
        <f>IF(AND(P2304&gt;=Calendar!$K$2,P2304&lt;EDATE(Calendar!$K$2,1),OR(Calendar!$K$4="*",N2304=Calendar!$K$4)),P2304*100+COUNTIFS($P$6:$P$3271,P2304,$Q$6:$Q$3271,"&lt;="&amp;Q2304,$N$6:$N$3271,Calendar!$K$4),"")</f>
        <v/>
      </c>
      <c r="W2304" s="44">
        <f>IF(AND(B2304=Queue!$C$4,OR(Queue!$K$4="*",N2304=Queue!$K$4)),Q2304,"")</f>
        <v/>
      </c>
    </row>
    <row r="2305">
      <c r="A2305" s="35">
        <f>IF(M2305="","",HYPERLINK("https://www.youtube.com/watch?v="&amp;M2305,"▶"))</f>
        <v/>
      </c>
      <c r="B2305" s="36">
        <f>IF(C2305&lt;&gt;"",C2305,IF(P2305&lt;=IFERROR(INDEX(tblChannels[Watched Through],MATCH(N2305,tblChannels[Channel ID],0)),0),"Watched","Unwatched"))</f>
        <v/>
      </c>
      <c r="C2305" s="37" t="n"/>
      <c r="D2305" s="38" t="n"/>
      <c r="E2305" s="39" t="n">
        <v>43080.66805555556</v>
      </c>
      <c r="F2305" s="49" t="inlineStr">
        <is>
          <t>Super Carlin Gaming</t>
        </is>
      </c>
      <c r="G2305" t="inlineStr">
        <is>
          <t>Pokemon Black Nuzlocke #15: A Grave Tower.</t>
        </is>
      </c>
      <c r="H2305" s="41" t="n">
        <v>0.01956018518518518</v>
      </c>
      <c r="I2305" s="42" t="n">
        <v>29134</v>
      </c>
      <c r="J2305" s="42" t="n">
        <v>810</v>
      </c>
      <c r="K2305" s="42" t="n">
        <v>357</v>
      </c>
      <c r="L2305" s="43" t="n"/>
      <c r="M2305" s="44" t="n"/>
      <c r="N2305" s="44" t="inlineStr">
        <is>
          <t>UCor_9jRnNNZVzTuQ92PKsaQ</t>
        </is>
      </c>
      <c r="O2305" s="45" t="n">
        <v>43080.87638888889</v>
      </c>
      <c r="P2305" s="46" t="n">
        <v>43080</v>
      </c>
      <c r="Q2305" s="44" t="n">
        <v>967</v>
      </c>
      <c r="R2305" s="44" t="inlineStr">
        <is>
          <t>No Video ID yet</t>
        </is>
      </c>
      <c r="S2305" s="46" t="n"/>
      <c r="T2305" s="46" t="n"/>
      <c r="U2305" s="44" t="n"/>
      <c r="V2305" s="44">
        <f>IF(AND(P2305&gt;=Calendar!$K$2,P2305&lt;EDATE(Calendar!$K$2,1),OR(Calendar!$K$4="*",N2305=Calendar!$K$4)),P2305*100+COUNTIFS($P$6:$P$3271,P2305,$Q$6:$Q$3271,"&lt;="&amp;Q2305,$N$6:$N$3271,Calendar!$K$4),"")</f>
        <v/>
      </c>
      <c r="W2305" s="44">
        <f>IF(AND(B2305=Queue!$C$4,OR(Queue!$K$4="*",N2305=Queue!$K$4)),Q2305,"")</f>
        <v/>
      </c>
    </row>
    <row r="2306">
      <c r="A2306" s="35">
        <f>IF(M2306="","",HYPERLINK("https://www.youtube.com/watch?v="&amp;M2306,"▶"))</f>
        <v/>
      </c>
      <c r="B2306" s="36">
        <f>IF(C2306&lt;&gt;"",C2306,IF(P2306&lt;=IFERROR(INDEX(tblChannels[Watched Through],MATCH(N2306,tblChannels[Channel ID],0)),0),"Watched","Unwatched"))</f>
        <v/>
      </c>
      <c r="C2306" s="37" t="n"/>
      <c r="D2306" s="38" t="n"/>
      <c r="E2306" s="39" t="n">
        <v>43080.41666666666</v>
      </c>
      <c r="F2306" s="50" t="inlineStr">
        <is>
          <t>Jonathan Carlin</t>
        </is>
      </c>
      <c r="G2306" t="inlineStr">
        <is>
          <t>BETH'S WATER BROKE!</t>
        </is>
      </c>
      <c r="H2306" s="41" t="n">
        <v>0.008078703703703704</v>
      </c>
      <c r="I2306" s="42" t="n">
        <v>85936</v>
      </c>
      <c r="J2306" s="42" t="n">
        <v>3752</v>
      </c>
      <c r="K2306" s="42" t="n">
        <v>389</v>
      </c>
      <c r="L2306" s="43" t="n"/>
      <c r="M2306" s="44" t="n"/>
      <c r="N2306" s="44" t="inlineStr">
        <is>
          <t>UCYPKFe86e6nm4TVUYKLsFUQ</t>
        </is>
      </c>
      <c r="O2306" s="45" t="n">
        <v>43080.625</v>
      </c>
      <c r="P2306" s="46" t="n">
        <v>43080</v>
      </c>
      <c r="Q2306" s="44" t="n">
        <v>966</v>
      </c>
      <c r="R2306" s="44" t="inlineStr">
        <is>
          <t>No Video ID yet</t>
        </is>
      </c>
      <c r="S2306" s="46" t="n"/>
      <c r="T2306" s="46" t="n"/>
      <c r="U2306" s="44" t="n"/>
      <c r="V2306" s="44">
        <f>IF(AND(P2306&gt;=Calendar!$K$2,P2306&lt;EDATE(Calendar!$K$2,1),OR(Calendar!$K$4="*",N2306=Calendar!$K$4)),P2306*100+COUNTIFS($P$6:$P$3271,P2306,$Q$6:$Q$3271,"&lt;="&amp;Q2306,$N$6:$N$3271,Calendar!$K$4),"")</f>
        <v/>
      </c>
      <c r="W2306" s="44">
        <f>IF(AND(B2306=Queue!$C$4,OR(Queue!$K$4="*",N2306=Queue!$K$4)),Q2306,"")</f>
        <v/>
      </c>
    </row>
    <row r="2307">
      <c r="A2307" s="35">
        <f>IF(M2307="","",HYPERLINK("https://www.youtube.com/watch?v="&amp;M2307,"▶"))</f>
        <v/>
      </c>
      <c r="B2307" s="36">
        <f>IF(C2307&lt;&gt;"",C2307,IF(P2307&lt;=IFERROR(INDEX(tblChannels[Watched Through],MATCH(N2307,tblChannels[Channel ID],0)),0),"Watched","Unwatched"))</f>
        <v/>
      </c>
      <c r="C2307" s="37" t="n"/>
      <c r="D2307" s="38" t="n"/>
      <c r="E2307" s="39" t="n">
        <v>43077.47430555556</v>
      </c>
      <c r="F2307" s="49" t="inlineStr">
        <is>
          <t>Super Carlin Gaming</t>
        </is>
      </c>
      <c r="G2307" t="inlineStr">
        <is>
          <t>Pokemon Black Nuzlocke #14: the Nth Degree!</t>
        </is>
      </c>
      <c r="H2307" s="41" t="n">
        <v>0.01959490740740741</v>
      </c>
      <c r="I2307" s="42" t="n">
        <v>29882</v>
      </c>
      <c r="J2307" s="42" t="n">
        <v>774</v>
      </c>
      <c r="K2307" s="42" t="n">
        <v>225</v>
      </c>
      <c r="L2307" s="43" t="n"/>
      <c r="M2307" s="44" t="n"/>
      <c r="N2307" s="44" t="inlineStr">
        <is>
          <t>UCor_9jRnNNZVzTuQ92PKsaQ</t>
        </is>
      </c>
      <c r="O2307" s="45" t="n">
        <v>43077.68263888889</v>
      </c>
      <c r="P2307" s="46" t="n">
        <v>43077</v>
      </c>
      <c r="Q2307" s="44" t="n">
        <v>965</v>
      </c>
      <c r="R2307" s="44" t="inlineStr">
        <is>
          <t>No Video ID yet</t>
        </is>
      </c>
      <c r="S2307" s="46" t="n"/>
      <c r="T2307" s="46" t="n"/>
      <c r="U2307" s="44" t="n"/>
      <c r="V2307" s="44">
        <f>IF(AND(P2307&gt;=Calendar!$K$2,P2307&lt;EDATE(Calendar!$K$2,1),OR(Calendar!$K$4="*",N2307=Calendar!$K$4)),P2307*100+COUNTIFS($P$6:$P$3271,P2307,$Q$6:$Q$3271,"&lt;="&amp;Q2307,$N$6:$N$3271,Calendar!$K$4),"")</f>
        <v/>
      </c>
      <c r="W2307" s="44">
        <f>IF(AND(B2307=Queue!$C$4,OR(Queue!$K$4="*",N2307=Queue!$K$4)),Q2307,"")</f>
        <v/>
      </c>
    </row>
    <row r="2308">
      <c r="A2308" s="35">
        <f>IF(M2308="","",HYPERLINK("https://www.youtube.com/watch?v="&amp;M2308,"▶"))</f>
        <v/>
      </c>
      <c r="B2308" s="36">
        <f>IF(C2308&lt;&gt;"",C2308,IF(P2308&lt;=IFERROR(INDEX(tblChannels[Watched Through],MATCH(N2308,tblChannels[Channel ID],0)),0),"Watched","Unwatched"))</f>
        <v/>
      </c>
      <c r="C2308" s="37" t="n"/>
      <c r="D2308" s="38" t="n"/>
      <c r="E2308" s="39" t="n">
        <v>43076.79166666666</v>
      </c>
      <c r="F2308" s="47" t="inlineStr">
        <is>
          <t>Super Carlin Brothers</t>
        </is>
      </c>
      <c r="G2308" t="inlineStr">
        <is>
          <t>J vs Ben: The Last Jedi Theory Predictions</t>
        </is>
      </c>
      <c r="H2308" s="41" t="n">
        <v>0.03006944444444444</v>
      </c>
      <c r="I2308" s="42" t="n">
        <v>302032</v>
      </c>
      <c r="J2308" s="42" t="n">
        <v>7447</v>
      </c>
      <c r="K2308" s="42" t="n">
        <v>2621</v>
      </c>
      <c r="L2308" s="43" t="n"/>
      <c r="M2308" s="44" t="n"/>
      <c r="N2308" s="44" t="inlineStr">
        <is>
          <t>UCKZo4N0lVPccBkSiuyVh4yg</t>
        </is>
      </c>
      <c r="O2308" s="45" t="n">
        <v>43077</v>
      </c>
      <c r="P2308" s="46" t="n">
        <v>43076</v>
      </c>
      <c r="Q2308" s="44" t="n">
        <v>964</v>
      </c>
      <c r="R2308" s="44" t="inlineStr">
        <is>
          <t>No Video ID yet</t>
        </is>
      </c>
      <c r="S2308" s="46" t="n"/>
      <c r="T2308" s="46" t="n"/>
      <c r="U2308" s="44" t="n"/>
      <c r="V2308" s="44">
        <f>IF(AND(P2308&gt;=Calendar!$K$2,P2308&lt;EDATE(Calendar!$K$2,1),OR(Calendar!$K$4="*",N2308=Calendar!$K$4)),P2308*100+COUNTIFS($P$6:$P$3271,P2308,$Q$6:$Q$3271,"&lt;="&amp;Q2308,$N$6:$N$3271,Calendar!$K$4),"")</f>
        <v/>
      </c>
      <c r="W2308" s="44">
        <f>IF(AND(B2308=Queue!$C$4,OR(Queue!$K$4="*",N2308=Queue!$K$4)),Q2308,"")</f>
        <v/>
      </c>
    </row>
    <row r="2309">
      <c r="A2309" s="35">
        <f>IF(M2309="","",HYPERLINK("https://www.youtube.com/watch?v="&amp;M2309,"▶"))</f>
        <v/>
      </c>
      <c r="B2309" s="36">
        <f>IF(C2309&lt;&gt;"",C2309,IF(P2309&lt;=IFERROR(INDEX(tblChannels[Watched Through],MATCH(N2309,tblChannels[Channel ID],0)),0),"Watched","Unwatched"))</f>
        <v/>
      </c>
      <c r="C2309" s="37" t="n"/>
      <c r="D2309" s="38" t="n"/>
      <c r="E2309" s="39" t="n">
        <v>43076.60069444445</v>
      </c>
      <c r="F2309" s="49" t="inlineStr">
        <is>
          <t>Super Carlin Gaming</t>
        </is>
      </c>
      <c r="G2309" t="inlineStr">
        <is>
          <t>Mario Kart Roulette #52: Actually Good Advice!</t>
        </is>
      </c>
      <c r="H2309" s="41" t="n">
        <v>0.01189814814814815</v>
      </c>
      <c r="I2309" s="42" t="n">
        <v>11219</v>
      </c>
      <c r="J2309" s="42" t="n">
        <v>436</v>
      </c>
      <c r="K2309" s="42" t="n">
        <v>197</v>
      </c>
      <c r="L2309" s="43" t="n"/>
      <c r="M2309" s="44" t="n"/>
      <c r="N2309" s="44" t="inlineStr">
        <is>
          <t>UCor_9jRnNNZVzTuQ92PKsaQ</t>
        </is>
      </c>
      <c r="O2309" s="45" t="n">
        <v>43076.80902777778</v>
      </c>
      <c r="P2309" s="46" t="n">
        <v>43076</v>
      </c>
      <c r="Q2309" s="44" t="n">
        <v>963</v>
      </c>
      <c r="R2309" s="44" t="inlineStr">
        <is>
          <t>No Video ID yet</t>
        </is>
      </c>
      <c r="S2309" s="46" t="n"/>
      <c r="T2309" s="46" t="n"/>
      <c r="U2309" s="44" t="n"/>
      <c r="V2309" s="44">
        <f>IF(AND(P2309&gt;=Calendar!$K$2,P2309&lt;EDATE(Calendar!$K$2,1),OR(Calendar!$K$4="*",N2309=Calendar!$K$4)),P2309*100+COUNTIFS($P$6:$P$3271,P2309,$Q$6:$Q$3271,"&lt;="&amp;Q2309,$N$6:$N$3271,Calendar!$K$4),"")</f>
        <v/>
      </c>
      <c r="W2309" s="44">
        <f>IF(AND(B2309=Queue!$C$4,OR(Queue!$K$4="*",N2309=Queue!$K$4)),Q2309,"")</f>
        <v/>
      </c>
    </row>
    <row r="2310">
      <c r="A2310" s="35">
        <f>IF(M2310="","",HYPERLINK("https://www.youtube.com/watch?v="&amp;M2310,"▶"))</f>
        <v/>
      </c>
      <c r="B2310" s="36">
        <f>IF(C2310&lt;&gt;"",C2310,IF(P2310&lt;=IFERROR(INDEX(tblChannels[Watched Through],MATCH(N2310,tblChannels[Channel ID],0)),0),"Watched","Unwatched"))</f>
        <v/>
      </c>
      <c r="C2310" s="37" t="n"/>
      <c r="D2310" s="38" t="n"/>
      <c r="E2310" s="39" t="n">
        <v>43075.70763888889</v>
      </c>
      <c r="F2310" s="49" t="inlineStr">
        <is>
          <t>Super Carlin Gaming</t>
        </is>
      </c>
      <c r="G2310" t="inlineStr">
        <is>
          <t>Pokemon Black Nuzlocke #13: Oh God, it's NINJAS!</t>
        </is>
      </c>
      <c r="H2310" s="41" t="n">
        <v>0.01864583333333333</v>
      </c>
      <c r="I2310" s="42" t="n">
        <v>34235</v>
      </c>
      <c r="J2310" s="42" t="n">
        <v>859</v>
      </c>
      <c r="K2310" s="42" t="n">
        <v>344</v>
      </c>
      <c r="L2310" s="43" t="n"/>
      <c r="M2310" s="44" t="n"/>
      <c r="N2310" s="44" t="inlineStr">
        <is>
          <t>UCor_9jRnNNZVzTuQ92PKsaQ</t>
        </is>
      </c>
      <c r="O2310" s="45" t="n">
        <v>43075.91597222222</v>
      </c>
      <c r="P2310" s="46" t="n">
        <v>43075</v>
      </c>
      <c r="Q2310" s="44" t="n">
        <v>962</v>
      </c>
      <c r="R2310" s="44" t="inlineStr">
        <is>
          <t>No Video ID yet</t>
        </is>
      </c>
      <c r="S2310" s="46" t="n"/>
      <c r="T2310" s="46" t="n"/>
      <c r="U2310" s="44" t="n"/>
      <c r="V2310" s="44">
        <f>IF(AND(P2310&gt;=Calendar!$K$2,P2310&lt;EDATE(Calendar!$K$2,1),OR(Calendar!$K$4="*",N2310=Calendar!$K$4)),P2310*100+COUNTIFS($P$6:$P$3271,P2310,$Q$6:$Q$3271,"&lt;="&amp;Q2310,$N$6:$N$3271,Calendar!$K$4),"")</f>
        <v/>
      </c>
      <c r="W2310" s="44">
        <f>IF(AND(B2310=Queue!$C$4,OR(Queue!$K$4="*",N2310=Queue!$K$4)),Q2310,"")</f>
        <v/>
      </c>
    </row>
    <row r="2311">
      <c r="A2311" s="35">
        <f>IF(M2311="","",HYPERLINK("https://www.youtube.com/watch?v="&amp;M2311,"▶"))</f>
        <v/>
      </c>
      <c r="B2311" s="36">
        <f>IF(C2311&lt;&gt;"",C2311,IF(P2311&lt;=IFERROR(INDEX(tblChannels[Watched Through],MATCH(N2311,tblChannels[Channel ID],0)),0),"Watched","Unwatched"))</f>
        <v/>
      </c>
      <c r="C2311" s="37" t="n"/>
      <c r="D2311" s="38" t="n"/>
      <c r="E2311" s="39" t="n">
        <v>43074.67847222222</v>
      </c>
      <c r="F2311" s="47" t="inlineStr">
        <is>
          <t>Super Carlin Brothers</t>
        </is>
      </c>
      <c r="G2311" t="inlineStr">
        <is>
          <t>The Hogwarts Express Explained</t>
        </is>
      </c>
      <c r="H2311" s="41" t="n">
        <v>0.006875</v>
      </c>
      <c r="I2311" s="42" t="n">
        <v>1827276</v>
      </c>
      <c r="J2311" s="42" t="n">
        <v>42155</v>
      </c>
      <c r="K2311" s="42" t="n">
        <v>4739</v>
      </c>
      <c r="L2311" s="43" t="n"/>
      <c r="M2311" s="44" t="n"/>
      <c r="N2311" s="44" t="inlineStr">
        <is>
          <t>UCKZo4N0lVPccBkSiuyVh4yg</t>
        </is>
      </c>
      <c r="O2311" s="45" t="n">
        <v>43074.88680555556</v>
      </c>
      <c r="P2311" s="46" t="n">
        <v>43074</v>
      </c>
      <c r="Q2311" s="44" t="n">
        <v>961</v>
      </c>
      <c r="R2311" s="44" t="inlineStr">
        <is>
          <t>No Video ID yet</t>
        </is>
      </c>
      <c r="S2311" s="46" t="n"/>
      <c r="T2311" s="46" t="n"/>
      <c r="U2311" s="44" t="n"/>
      <c r="V2311" s="44">
        <f>IF(AND(P2311&gt;=Calendar!$K$2,P2311&lt;EDATE(Calendar!$K$2,1),OR(Calendar!$K$4="*",N2311=Calendar!$K$4)),P2311*100+COUNTIFS($P$6:$P$3271,P2311,$Q$6:$Q$3271,"&lt;="&amp;Q2311,$N$6:$N$3271,Calendar!$K$4),"")</f>
        <v/>
      </c>
      <c r="W2311" s="44">
        <f>IF(AND(B2311=Queue!$C$4,OR(Queue!$K$4="*",N2311=Queue!$K$4)),Q2311,"")</f>
        <v/>
      </c>
    </row>
    <row r="2312">
      <c r="A2312" s="35">
        <f>IF(M2312="","",HYPERLINK("https://www.youtube.com/watch?v="&amp;M2312,"▶"))</f>
        <v/>
      </c>
      <c r="B2312" s="36">
        <f>IF(C2312&lt;&gt;"",C2312,IF(P2312&lt;=IFERROR(INDEX(tblChannels[Watched Through],MATCH(N2312,tblChannels[Channel ID],0)),0),"Watched","Unwatched"))</f>
        <v/>
      </c>
      <c r="C2312" s="37" t="n"/>
      <c r="D2312" s="38" t="n"/>
      <c r="E2312" s="39" t="n">
        <v>43074.51319444444</v>
      </c>
      <c r="F2312" s="49" t="inlineStr">
        <is>
          <t>Super Carlin Gaming</t>
        </is>
      </c>
      <c r="G2312" t="inlineStr">
        <is>
          <t>Mario Kart Roulette #51: Changing Careers?</t>
        </is>
      </c>
      <c r="H2312" s="41" t="n">
        <v>0.01006944444444445</v>
      </c>
      <c r="I2312" s="42" t="n">
        <v>10970</v>
      </c>
      <c r="J2312" s="42" t="n">
        <v>411</v>
      </c>
      <c r="K2312" s="42" t="n">
        <v>94</v>
      </c>
      <c r="L2312" s="43" t="n"/>
      <c r="M2312" s="44" t="n"/>
      <c r="N2312" s="44" t="inlineStr">
        <is>
          <t>UCor_9jRnNNZVzTuQ92PKsaQ</t>
        </is>
      </c>
      <c r="O2312" s="45" t="n">
        <v>43074.72152777778</v>
      </c>
      <c r="P2312" s="46" t="n">
        <v>43074</v>
      </c>
      <c r="Q2312" s="44" t="n">
        <v>960</v>
      </c>
      <c r="R2312" s="44" t="inlineStr">
        <is>
          <t>No Video ID yet</t>
        </is>
      </c>
      <c r="S2312" s="46" t="n"/>
      <c r="T2312" s="46" t="n"/>
      <c r="U2312" s="44" t="n"/>
      <c r="V2312" s="44">
        <f>IF(AND(P2312&gt;=Calendar!$K$2,P2312&lt;EDATE(Calendar!$K$2,1),OR(Calendar!$K$4="*",N2312=Calendar!$K$4)),P2312*100+COUNTIFS($P$6:$P$3271,P2312,$Q$6:$Q$3271,"&lt;="&amp;Q2312,$N$6:$N$3271,Calendar!$K$4),"")</f>
        <v/>
      </c>
      <c r="W2312" s="44">
        <f>IF(AND(B2312=Queue!$C$4,OR(Queue!$K$4="*",N2312=Queue!$K$4)),Q2312,"")</f>
        <v/>
      </c>
    </row>
    <row r="2313">
      <c r="A2313" s="35">
        <f>IF(M2313="","",HYPERLINK("https://www.youtube.com/watch?v="&amp;M2313,"▶"))</f>
        <v/>
      </c>
      <c r="B2313" s="36">
        <f>IF(C2313&lt;&gt;"",C2313,IF(P2313&lt;=IFERROR(INDEX(tblChannels[Watched Through],MATCH(N2313,tblChannels[Channel ID],0)),0),"Watched","Unwatched"))</f>
        <v/>
      </c>
      <c r="C2313" s="37" t="n"/>
      <c r="D2313" s="38" t="n"/>
      <c r="E2313" s="39" t="n">
        <v>43073.47777777778</v>
      </c>
      <c r="F2313" s="50" t="inlineStr">
        <is>
          <t>Jonathan Carlin</t>
        </is>
      </c>
      <c r="G2313" t="inlineStr">
        <is>
          <t>TATER TOT WAFFLES</t>
        </is>
      </c>
      <c r="H2313" s="41" t="n">
        <v>0.005057870370370371</v>
      </c>
      <c r="I2313" s="42" t="n">
        <v>35399</v>
      </c>
      <c r="J2313" s="42" t="n">
        <v>1534</v>
      </c>
      <c r="K2313" s="42" t="n">
        <v>510</v>
      </c>
      <c r="L2313" s="43" t="n"/>
      <c r="M2313" s="44" t="n"/>
      <c r="N2313" s="44" t="inlineStr">
        <is>
          <t>UCYPKFe86e6nm4TVUYKLsFUQ</t>
        </is>
      </c>
      <c r="O2313" s="45" t="n">
        <v>43073.68611111111</v>
      </c>
      <c r="P2313" s="46" t="n">
        <v>43073</v>
      </c>
      <c r="Q2313" s="44" t="n">
        <v>959</v>
      </c>
      <c r="R2313" s="44" t="inlineStr">
        <is>
          <t>No Video ID yet</t>
        </is>
      </c>
      <c r="S2313" s="46" t="n"/>
      <c r="T2313" s="46" t="n"/>
      <c r="U2313" s="44" t="n"/>
      <c r="V2313" s="44">
        <f>IF(AND(P2313&gt;=Calendar!$K$2,P2313&lt;EDATE(Calendar!$K$2,1),OR(Calendar!$K$4="*",N2313=Calendar!$K$4)),P2313*100+COUNTIFS($P$6:$P$3271,P2313,$Q$6:$Q$3271,"&lt;="&amp;Q2313,$N$6:$N$3271,Calendar!$K$4),"")</f>
        <v/>
      </c>
      <c r="W2313" s="44">
        <f>IF(AND(B2313=Queue!$C$4,OR(Queue!$K$4="*",N2313=Queue!$K$4)),Q2313,"")</f>
        <v/>
      </c>
    </row>
    <row r="2314">
      <c r="A2314" s="35">
        <f>IF(M2314="","",HYPERLINK("https://www.youtube.com/watch?v="&amp;M2314,"▶"))</f>
        <v/>
      </c>
      <c r="B2314" s="36">
        <f>IF(C2314&lt;&gt;"",C2314,IF(P2314&lt;=IFERROR(INDEX(tblChannels[Watched Through],MATCH(N2314,tblChannels[Channel ID],0)),0),"Watched","Unwatched"))</f>
        <v/>
      </c>
      <c r="C2314" s="37" t="n"/>
      <c r="D2314" s="38" t="n"/>
      <c r="E2314" s="39" t="n">
        <v>43069.75972222222</v>
      </c>
      <c r="F2314" s="47" t="inlineStr">
        <is>
          <t>Super Carlin Brothers</t>
        </is>
      </c>
      <c r="G2314" t="inlineStr">
        <is>
          <t>J vs Ben HARDEST Hogwarts Quiz Ever</t>
        </is>
      </c>
      <c r="H2314" s="41" t="n">
        <v>0.02309027777777778</v>
      </c>
      <c r="I2314" s="42" t="n">
        <v>1693465</v>
      </c>
      <c r="J2314" s="42" t="n">
        <v>27363</v>
      </c>
      <c r="K2314" s="42" t="n">
        <v>4191</v>
      </c>
      <c r="L2314" s="43" t="n"/>
      <c r="M2314" s="44" t="n"/>
      <c r="N2314" s="44" t="inlineStr">
        <is>
          <t>UCKZo4N0lVPccBkSiuyVh4yg</t>
        </is>
      </c>
      <c r="O2314" s="45" t="n">
        <v>43069.96805555555</v>
      </c>
      <c r="P2314" s="46" t="n">
        <v>43069</v>
      </c>
      <c r="Q2314" s="44" t="n">
        <v>958</v>
      </c>
      <c r="R2314" s="44" t="inlineStr">
        <is>
          <t>No Video ID yet</t>
        </is>
      </c>
      <c r="S2314" s="46" t="n"/>
      <c r="T2314" s="46" t="n"/>
      <c r="U2314" s="44" t="n"/>
      <c r="V2314" s="44">
        <f>IF(AND(P2314&gt;=Calendar!$K$2,P2314&lt;EDATE(Calendar!$K$2,1),OR(Calendar!$K$4="*",N2314=Calendar!$K$4)),P2314*100+COUNTIFS($P$6:$P$3271,P2314,$Q$6:$Q$3271,"&lt;="&amp;Q2314,$N$6:$N$3271,Calendar!$K$4),"")</f>
        <v/>
      </c>
      <c r="W2314" s="44">
        <f>IF(AND(B2314=Queue!$C$4,OR(Queue!$K$4="*",N2314=Queue!$K$4)),Q2314,"")</f>
        <v/>
      </c>
    </row>
    <row r="2315">
      <c r="A2315" s="35">
        <f>IF(M2315="","",HYPERLINK("https://www.youtube.com/watch?v="&amp;M2315,"▶"))</f>
        <v/>
      </c>
      <c r="B2315" s="36">
        <f>IF(C2315&lt;&gt;"",C2315,IF(P2315&lt;=IFERROR(INDEX(tblChannels[Watched Through],MATCH(N2315,tblChannels[Channel ID],0)),0),"Watched","Unwatched"))</f>
        <v/>
      </c>
      <c r="C2315" s="37" t="n"/>
      <c r="D2315" s="38" t="n"/>
      <c r="E2315" s="39" t="n">
        <v>43068.65347222222</v>
      </c>
      <c r="F2315" s="47" t="inlineStr">
        <is>
          <t>Super Carlin Brothers</t>
        </is>
      </c>
      <c r="G2315" t="inlineStr">
        <is>
          <t>Give-A-Thon 2017 Announcement!!</t>
        </is>
      </c>
      <c r="H2315" s="41" t="n">
        <v>0.001724537037037037</v>
      </c>
      <c r="I2315" s="42" t="n">
        <v>56400</v>
      </c>
      <c r="J2315" s="42" t="n">
        <v>4544</v>
      </c>
      <c r="K2315" s="42" t="n">
        <v>1035</v>
      </c>
      <c r="L2315" s="43" t="n"/>
      <c r="M2315" s="44" t="n"/>
      <c r="N2315" s="44" t="inlineStr">
        <is>
          <t>UCKZo4N0lVPccBkSiuyVh4yg</t>
        </is>
      </c>
      <c r="O2315" s="45" t="n">
        <v>43068.86180555556</v>
      </c>
      <c r="P2315" s="46" t="n">
        <v>43068</v>
      </c>
      <c r="Q2315" s="44" t="n">
        <v>957</v>
      </c>
      <c r="R2315" s="44" t="inlineStr">
        <is>
          <t>No Video ID yet</t>
        </is>
      </c>
      <c r="S2315" s="46" t="n"/>
      <c r="T2315" s="46" t="n"/>
      <c r="U2315" s="44" t="n"/>
      <c r="V2315" s="44">
        <f>IF(AND(P2315&gt;=Calendar!$K$2,P2315&lt;EDATE(Calendar!$K$2,1),OR(Calendar!$K$4="*",N2315=Calendar!$K$4)),P2315*100+COUNTIFS($P$6:$P$3271,P2315,$Q$6:$Q$3271,"&lt;="&amp;Q2315,$N$6:$N$3271,Calendar!$K$4),"")</f>
        <v/>
      </c>
      <c r="W2315" s="44">
        <f>IF(AND(B2315=Queue!$C$4,OR(Queue!$K$4="*",N2315=Queue!$K$4)),Q2315,"")</f>
        <v/>
      </c>
    </row>
    <row r="2316">
      <c r="A2316" s="35">
        <f>IF(M2316="","",HYPERLINK("https://www.youtube.com/watch?v="&amp;M2316,"▶"))</f>
        <v/>
      </c>
      <c r="B2316" s="36">
        <f>IF(C2316&lt;&gt;"",C2316,IF(P2316&lt;=IFERROR(INDEX(tblChannels[Watched Through],MATCH(N2316,tblChannels[Channel ID],0)),0),"Watched","Unwatched"))</f>
        <v/>
      </c>
      <c r="C2316" s="37" t="n"/>
      <c r="D2316" s="38" t="n"/>
      <c r="E2316" s="39" t="n">
        <v>43067.79583333333</v>
      </c>
      <c r="F2316" s="47" t="inlineStr">
        <is>
          <t>Super Carlin Brothers</t>
        </is>
      </c>
      <c r="G2316" t="inlineStr">
        <is>
          <t>Was Nagini A Woman? | Harry Potter Theory</t>
        </is>
      </c>
      <c r="H2316" s="41" t="n">
        <v>0.007962962962962963</v>
      </c>
      <c r="I2316" s="42" t="n">
        <v>2562884</v>
      </c>
      <c r="J2316" s="42" t="n">
        <v>51880</v>
      </c>
      <c r="K2316" s="42" t="n">
        <v>6199</v>
      </c>
      <c r="L2316" s="43" t="n"/>
      <c r="M2316" s="44" t="n"/>
      <c r="N2316" s="44" t="inlineStr">
        <is>
          <t>UCKZo4N0lVPccBkSiuyVh4yg</t>
        </is>
      </c>
      <c r="O2316" s="45" t="n">
        <v>43068.00416666667</v>
      </c>
      <c r="P2316" s="46" t="n">
        <v>43067</v>
      </c>
      <c r="Q2316" s="44" t="n">
        <v>956</v>
      </c>
      <c r="R2316" s="44" t="inlineStr">
        <is>
          <t>No Video ID yet</t>
        </is>
      </c>
      <c r="S2316" s="46" t="n"/>
      <c r="T2316" s="46" t="n"/>
      <c r="U2316" s="44" t="n"/>
      <c r="V2316" s="44">
        <f>IF(AND(P2316&gt;=Calendar!$K$2,P2316&lt;EDATE(Calendar!$K$2,1),OR(Calendar!$K$4="*",N2316=Calendar!$K$4)),P2316*100+COUNTIFS($P$6:$P$3271,P2316,$Q$6:$Q$3271,"&lt;="&amp;Q2316,$N$6:$N$3271,Calendar!$K$4),"")</f>
        <v/>
      </c>
      <c r="W2316" s="44">
        <f>IF(AND(B2316=Queue!$C$4,OR(Queue!$K$4="*",N2316=Queue!$K$4)),Q2316,"")</f>
        <v/>
      </c>
    </row>
    <row r="2317">
      <c r="A2317" s="35">
        <f>IF(M2317="","",HYPERLINK("https://www.youtube.com/watch?v="&amp;M2317,"▶"))</f>
        <v/>
      </c>
      <c r="B2317" s="36">
        <f>IF(C2317&lt;&gt;"",C2317,IF(P2317&lt;=IFERROR(INDEX(tblChannels[Watched Through],MATCH(N2317,tblChannels[Channel ID],0)),0),"Watched","Unwatched"))</f>
        <v/>
      </c>
      <c r="C2317" s="37" t="n"/>
      <c r="D2317" s="38" t="n"/>
      <c r="E2317" s="39" t="n">
        <v>43067.53194444445</v>
      </c>
      <c r="F2317" s="49" t="inlineStr">
        <is>
          <t>Super Carlin Gaming</t>
        </is>
      </c>
      <c r="G2317" t="inlineStr">
        <is>
          <t>Mario Kart Roulette #50: Is It Okay To Be Picky?</t>
        </is>
      </c>
      <c r="H2317" s="41" t="n">
        <v>0.01310185185185185</v>
      </c>
      <c r="I2317" s="42" t="n">
        <v>12443</v>
      </c>
      <c r="J2317" s="42" t="n">
        <v>455</v>
      </c>
      <c r="K2317" s="42" t="n">
        <v>151</v>
      </c>
      <c r="L2317" s="43" t="n"/>
      <c r="M2317" s="44" t="n"/>
      <c r="N2317" s="44" t="inlineStr">
        <is>
          <t>UCor_9jRnNNZVzTuQ92PKsaQ</t>
        </is>
      </c>
      <c r="O2317" s="45" t="n">
        <v>43067.74027777778</v>
      </c>
      <c r="P2317" s="46" t="n">
        <v>43067</v>
      </c>
      <c r="Q2317" s="44" t="n">
        <v>955</v>
      </c>
      <c r="R2317" s="44" t="inlineStr">
        <is>
          <t>No Video ID yet</t>
        </is>
      </c>
      <c r="S2317" s="46" t="n"/>
      <c r="T2317" s="46" t="n"/>
      <c r="U2317" s="44" t="n"/>
      <c r="V2317" s="44">
        <f>IF(AND(P2317&gt;=Calendar!$K$2,P2317&lt;EDATE(Calendar!$K$2,1),OR(Calendar!$K$4="*",N2317=Calendar!$K$4)),P2317*100+COUNTIFS($P$6:$P$3271,P2317,$Q$6:$Q$3271,"&lt;="&amp;Q2317,$N$6:$N$3271,Calendar!$K$4),"")</f>
        <v/>
      </c>
      <c r="W2317" s="44">
        <f>IF(AND(B2317=Queue!$C$4,OR(Queue!$K$4="*",N2317=Queue!$K$4)),Q2317,"")</f>
        <v/>
      </c>
    </row>
    <row r="2318">
      <c r="A2318" s="35">
        <f>IF(M2318="","",HYPERLINK("https://www.youtube.com/watch?v="&amp;M2318,"▶"))</f>
        <v/>
      </c>
      <c r="B2318" s="36">
        <f>IF(C2318&lt;&gt;"",C2318,IF(P2318&lt;=IFERROR(INDEX(tblChannels[Watched Through],MATCH(N2318,tblChannels[Channel ID],0)),0),"Watched","Unwatched"))</f>
        <v/>
      </c>
      <c r="C2318" s="37" t="n"/>
      <c r="D2318" s="38" t="n"/>
      <c r="E2318" s="39" t="n">
        <v>43066.81388888889</v>
      </c>
      <c r="F2318" s="49" t="inlineStr">
        <is>
          <t>Super Carlin Gaming</t>
        </is>
      </c>
      <c r="G2318" t="inlineStr">
        <is>
          <t>Pokemon Black Nuzlocke #12: The Bell Tolls</t>
        </is>
      </c>
      <c r="H2318" s="41" t="n">
        <v>0.02246527777777778</v>
      </c>
      <c r="I2318" s="42" t="n">
        <v>39561</v>
      </c>
      <c r="J2318" s="42" t="n">
        <v>892</v>
      </c>
      <c r="K2318" s="42" t="n">
        <v>580</v>
      </c>
      <c r="L2318" s="43" t="n"/>
      <c r="M2318" s="44" t="n"/>
      <c r="N2318" s="44" t="inlineStr">
        <is>
          <t>UCor_9jRnNNZVzTuQ92PKsaQ</t>
        </is>
      </c>
      <c r="O2318" s="45" t="n">
        <v>43067.02222222222</v>
      </c>
      <c r="P2318" s="46" t="n">
        <v>43066</v>
      </c>
      <c r="Q2318" s="44" t="n">
        <v>954</v>
      </c>
      <c r="R2318" s="44" t="inlineStr">
        <is>
          <t>No Video ID yet</t>
        </is>
      </c>
      <c r="S2318" s="46" t="n"/>
      <c r="T2318" s="46" t="n"/>
      <c r="U2318" s="44" t="n"/>
      <c r="V2318" s="44">
        <f>IF(AND(P2318&gt;=Calendar!$K$2,P2318&lt;EDATE(Calendar!$K$2,1),OR(Calendar!$K$4="*",N2318=Calendar!$K$4)),P2318*100+COUNTIFS($P$6:$P$3271,P2318,$Q$6:$Q$3271,"&lt;="&amp;Q2318,$N$6:$N$3271,Calendar!$K$4),"")</f>
        <v/>
      </c>
      <c r="W2318" s="44">
        <f>IF(AND(B2318=Queue!$C$4,OR(Queue!$K$4="*",N2318=Queue!$K$4)),Q2318,"")</f>
        <v/>
      </c>
    </row>
    <row r="2319">
      <c r="A2319" s="35">
        <f>IF(M2319="","",HYPERLINK("https://www.youtube.com/watch?v="&amp;M2319,"▶"))</f>
        <v/>
      </c>
      <c r="B2319" s="36">
        <f>IF(C2319&lt;&gt;"",C2319,IF(P2319&lt;=IFERROR(INDEX(tblChannels[Watched Through],MATCH(N2319,tblChannels[Channel ID],0)),0),"Watched","Unwatched"))</f>
        <v/>
      </c>
      <c r="C2319" s="37" t="n"/>
      <c r="D2319" s="38" t="n"/>
      <c r="E2319" s="39" t="n">
        <v>43066.66388888889</v>
      </c>
      <c r="F2319" s="47" t="inlineStr">
        <is>
          <t>Super Carlin Brothers</t>
        </is>
      </c>
      <c r="G2319" t="inlineStr">
        <is>
          <t>Every Easter Egg In Star Wars Battlefront II</t>
        </is>
      </c>
      <c r="H2319" s="41" t="n">
        <v>0.004409722222222222</v>
      </c>
      <c r="I2319" s="42" t="n">
        <v>83675</v>
      </c>
      <c r="J2319" s="42" t="n">
        <v>2847</v>
      </c>
      <c r="K2319" s="42" t="n">
        <v>585</v>
      </c>
      <c r="L2319" s="43" t="n"/>
      <c r="M2319" s="44" t="n"/>
      <c r="N2319" s="44" t="inlineStr">
        <is>
          <t>UCKZo4N0lVPccBkSiuyVh4yg</t>
        </is>
      </c>
      <c r="O2319" s="45" t="n">
        <v>43066.87222222222</v>
      </c>
      <c r="P2319" s="46" t="n">
        <v>43066</v>
      </c>
      <c r="Q2319" s="44" t="n">
        <v>953</v>
      </c>
      <c r="R2319" s="44" t="inlineStr">
        <is>
          <t>No Video ID yet</t>
        </is>
      </c>
      <c r="S2319" s="46" t="n"/>
      <c r="T2319" s="46" t="n"/>
      <c r="U2319" s="44" t="n"/>
      <c r="V2319" s="44">
        <f>IF(AND(P2319&gt;=Calendar!$K$2,P2319&lt;EDATE(Calendar!$K$2,1),OR(Calendar!$K$4="*",N2319=Calendar!$K$4)),P2319*100+COUNTIFS($P$6:$P$3271,P2319,$Q$6:$Q$3271,"&lt;="&amp;Q2319,$N$6:$N$3271,Calendar!$K$4),"")</f>
        <v/>
      </c>
      <c r="W2319" s="44">
        <f>IF(AND(B2319=Queue!$C$4,OR(Queue!$K$4="*",N2319=Queue!$K$4)),Q2319,"")</f>
        <v/>
      </c>
    </row>
    <row r="2320">
      <c r="A2320" s="35">
        <f>IF(M2320="","",HYPERLINK("https://www.youtube.com/watch?v="&amp;M2320,"▶"))</f>
        <v/>
      </c>
      <c r="B2320" s="36">
        <f>IF(C2320&lt;&gt;"",C2320,IF(P2320&lt;=IFERROR(INDEX(tblChannels[Watched Through],MATCH(N2320,tblChannels[Channel ID],0)),0),"Watched","Unwatched"))</f>
        <v/>
      </c>
      <c r="C2320" s="37" t="n"/>
      <c r="D2320" s="38" t="n"/>
      <c r="E2320" s="39" t="n">
        <v>43066.47291666667</v>
      </c>
      <c r="F2320" s="50" t="inlineStr">
        <is>
          <t>Jonathan Carlin</t>
        </is>
      </c>
      <c r="G2320" t="inlineStr">
        <is>
          <t>THIS IS THE DROID YOU'RE LOOKING FOR</t>
        </is>
      </c>
      <c r="H2320" s="41" t="n">
        <v>0.005925925925925926</v>
      </c>
      <c r="I2320" s="42" t="n">
        <v>32131</v>
      </c>
      <c r="J2320" s="42" t="n">
        <v>1434</v>
      </c>
      <c r="K2320" s="42" t="n">
        <v>227</v>
      </c>
      <c r="L2320" s="43" t="n"/>
      <c r="M2320" s="44" t="n"/>
      <c r="N2320" s="44" t="inlineStr">
        <is>
          <t>UCYPKFe86e6nm4TVUYKLsFUQ</t>
        </is>
      </c>
      <c r="O2320" s="45" t="n">
        <v>43066.68125</v>
      </c>
      <c r="P2320" s="46" t="n">
        <v>43066</v>
      </c>
      <c r="Q2320" s="44" t="n">
        <v>952</v>
      </c>
      <c r="R2320" s="44" t="inlineStr">
        <is>
          <t>No Video ID yet</t>
        </is>
      </c>
      <c r="S2320" s="46" t="n"/>
      <c r="T2320" s="46" t="n"/>
      <c r="U2320" s="44" t="n"/>
      <c r="V2320" s="44">
        <f>IF(AND(P2320&gt;=Calendar!$K$2,P2320&lt;EDATE(Calendar!$K$2,1),OR(Calendar!$K$4="*",N2320=Calendar!$K$4)),P2320*100+COUNTIFS($P$6:$P$3271,P2320,$Q$6:$Q$3271,"&lt;="&amp;Q2320,$N$6:$N$3271,Calendar!$K$4),"")</f>
        <v/>
      </c>
      <c r="W2320" s="44">
        <f>IF(AND(B2320=Queue!$C$4,OR(Queue!$K$4="*",N2320=Queue!$K$4)),Q2320,"")</f>
        <v/>
      </c>
    </row>
    <row r="2321">
      <c r="A2321" s="35">
        <f>IF(M2321="","",HYPERLINK("https://www.youtube.com/watch?v="&amp;M2321,"▶"))</f>
        <v/>
      </c>
      <c r="B2321" s="36">
        <f>IF(C2321&lt;&gt;"",C2321,IF(P2321&lt;=IFERROR(INDEX(tblChannels[Watched Through],MATCH(N2321,tblChannels[Channel ID],0)),0),"Watched","Unwatched"))</f>
        <v/>
      </c>
      <c r="C2321" s="37" t="n"/>
      <c r="D2321" s="38" t="n"/>
      <c r="E2321" s="39" t="n">
        <v>43062.54861111111</v>
      </c>
      <c r="F2321" s="47" t="inlineStr">
        <is>
          <t>Super Carlin Brothers</t>
        </is>
      </c>
      <c r="G2321" t="inlineStr">
        <is>
          <t>Is Coco Pixar's Best New Movie? | REVIEW</t>
        </is>
      </c>
      <c r="H2321" s="41" t="n">
        <v>0.0246875</v>
      </c>
      <c r="I2321" s="42" t="n">
        <v>947771</v>
      </c>
      <c r="J2321" s="42" t="n">
        <v>13575</v>
      </c>
      <c r="K2321" s="42" t="n">
        <v>3781</v>
      </c>
      <c r="L2321" s="43" t="n"/>
      <c r="M2321" s="44" t="n"/>
      <c r="N2321" s="44" t="inlineStr">
        <is>
          <t>UCKZo4N0lVPccBkSiuyVh4yg</t>
        </is>
      </c>
      <c r="O2321" s="45" t="n">
        <v>43062.75694444445</v>
      </c>
      <c r="P2321" s="46" t="n">
        <v>43062</v>
      </c>
      <c r="Q2321" s="44" t="n">
        <v>951</v>
      </c>
      <c r="R2321" s="44" t="inlineStr">
        <is>
          <t>No Video ID yet</t>
        </is>
      </c>
      <c r="S2321" s="46" t="n"/>
      <c r="T2321" s="46" t="n"/>
      <c r="U2321" s="44" t="n"/>
      <c r="V2321" s="44">
        <f>IF(AND(P2321&gt;=Calendar!$K$2,P2321&lt;EDATE(Calendar!$K$2,1),OR(Calendar!$K$4="*",N2321=Calendar!$K$4)),P2321*100+COUNTIFS($P$6:$P$3271,P2321,$Q$6:$Q$3271,"&lt;="&amp;Q2321,$N$6:$N$3271,Calendar!$K$4),"")</f>
        <v/>
      </c>
      <c r="W2321" s="44">
        <f>IF(AND(B2321=Queue!$C$4,OR(Queue!$K$4="*",N2321=Queue!$K$4)),Q2321,"")</f>
        <v/>
      </c>
    </row>
    <row r="2322">
      <c r="A2322" s="35">
        <f>IF(M2322="","",HYPERLINK("https://www.youtube.com/watch?v="&amp;M2322,"▶"))</f>
        <v/>
      </c>
      <c r="B2322" s="36">
        <f>IF(C2322&lt;&gt;"",C2322,IF(P2322&lt;=IFERROR(INDEX(tblChannels[Watched Through],MATCH(N2322,tblChannels[Channel ID],0)),0),"Watched","Unwatched"))</f>
        <v/>
      </c>
      <c r="C2322" s="37" t="n"/>
      <c r="D2322" s="38" t="n"/>
      <c r="E2322" s="39" t="n">
        <v>43061.74097222222</v>
      </c>
      <c r="F2322" s="49" t="inlineStr">
        <is>
          <t>Super Carlin Gaming</t>
        </is>
      </c>
      <c r="G2322" t="inlineStr">
        <is>
          <t>Pokemon Black Nuzlocke #11: Volt Switch!</t>
        </is>
      </c>
      <c r="H2322" s="41" t="n">
        <v>0.01179398148148148</v>
      </c>
      <c r="I2322" s="42" t="n">
        <v>31182</v>
      </c>
      <c r="J2322" s="42" t="n">
        <v>812</v>
      </c>
      <c r="K2322" s="42" t="n">
        <v>267</v>
      </c>
      <c r="L2322" s="43" t="n"/>
      <c r="M2322" s="44" t="n"/>
      <c r="N2322" s="44" t="inlineStr">
        <is>
          <t>UCor_9jRnNNZVzTuQ92PKsaQ</t>
        </is>
      </c>
      <c r="O2322" s="45" t="n">
        <v>43061.94930555556</v>
      </c>
      <c r="P2322" s="46" t="n">
        <v>43061</v>
      </c>
      <c r="Q2322" s="44" t="n">
        <v>950</v>
      </c>
      <c r="R2322" s="44" t="inlineStr">
        <is>
          <t>No Video ID yet</t>
        </is>
      </c>
      <c r="S2322" s="46" t="n"/>
      <c r="T2322" s="46" t="n"/>
      <c r="U2322" s="44" t="n"/>
      <c r="V2322" s="44">
        <f>IF(AND(P2322&gt;=Calendar!$K$2,P2322&lt;EDATE(Calendar!$K$2,1),OR(Calendar!$K$4="*",N2322=Calendar!$K$4)),P2322*100+COUNTIFS($P$6:$P$3271,P2322,$Q$6:$Q$3271,"&lt;="&amp;Q2322,$N$6:$N$3271,Calendar!$K$4),"")</f>
        <v/>
      </c>
      <c r="W2322" s="44">
        <f>IF(AND(B2322=Queue!$C$4,OR(Queue!$K$4="*",N2322=Queue!$K$4)),Q2322,"")</f>
        <v/>
      </c>
    </row>
    <row r="2323">
      <c r="A2323" s="35">
        <f>IF(M2323="","",HYPERLINK("https://www.youtube.com/watch?v="&amp;M2323,"▶"))</f>
        <v/>
      </c>
      <c r="B2323" s="36">
        <f>IF(C2323&lt;&gt;"",C2323,IF(P2323&lt;=IFERROR(INDEX(tblChannels[Watched Through],MATCH(N2323,tblChannels[Channel ID],0)),0),"Watched","Unwatched"))</f>
        <v/>
      </c>
      <c r="C2323" s="37" t="n"/>
      <c r="D2323" s="38" t="n"/>
      <c r="E2323" s="39" t="n">
        <v>43060.86527777778</v>
      </c>
      <c r="F2323" s="47" t="inlineStr">
        <is>
          <t>Super Carlin Brothers</t>
        </is>
      </c>
      <c r="G2323" t="inlineStr">
        <is>
          <t>TOP 10 Hardest to Animate Things in Pixar</t>
        </is>
      </c>
      <c r="H2323" s="41" t="n">
        <v>0.007361111111111111</v>
      </c>
      <c r="I2323" s="42" t="n">
        <v>1801112</v>
      </c>
      <c r="J2323" s="42" t="n">
        <v>40996</v>
      </c>
      <c r="K2323" s="42" t="n">
        <v>2544</v>
      </c>
      <c r="L2323" s="43" t="n"/>
      <c r="M2323" s="44" t="n"/>
      <c r="N2323" s="44" t="inlineStr">
        <is>
          <t>UCKZo4N0lVPccBkSiuyVh4yg</t>
        </is>
      </c>
      <c r="O2323" s="45" t="n">
        <v>43061.07361111111</v>
      </c>
      <c r="P2323" s="46" t="n">
        <v>43060</v>
      </c>
      <c r="Q2323" s="44" t="n">
        <v>949</v>
      </c>
      <c r="R2323" s="44" t="inlineStr">
        <is>
          <t>No Video ID yet</t>
        </is>
      </c>
      <c r="S2323" s="46" t="n"/>
      <c r="T2323" s="46" t="n"/>
      <c r="U2323" s="44" t="n"/>
      <c r="V2323" s="44">
        <f>IF(AND(P2323&gt;=Calendar!$K$2,P2323&lt;EDATE(Calendar!$K$2,1),OR(Calendar!$K$4="*",N2323=Calendar!$K$4)),P2323*100+COUNTIFS($P$6:$P$3271,P2323,$Q$6:$Q$3271,"&lt;="&amp;Q2323,$N$6:$N$3271,Calendar!$K$4),"")</f>
        <v/>
      </c>
      <c r="W2323" s="44">
        <f>IF(AND(B2323=Queue!$C$4,OR(Queue!$K$4="*",N2323=Queue!$K$4)),Q2323,"")</f>
        <v/>
      </c>
    </row>
    <row r="2324">
      <c r="A2324" s="35">
        <f>IF(M2324="","",HYPERLINK("https://www.youtube.com/watch?v="&amp;M2324,"▶"))</f>
        <v/>
      </c>
      <c r="B2324" s="36">
        <f>IF(C2324&lt;&gt;"",C2324,IF(P2324&lt;=IFERROR(INDEX(tblChannels[Watched Through],MATCH(N2324,tblChannels[Channel ID],0)),0),"Watched","Unwatched"))</f>
        <v/>
      </c>
      <c r="C2324" s="37" t="n"/>
      <c r="D2324" s="38" t="n"/>
      <c r="E2324" s="39" t="n">
        <v>43060.70138888889</v>
      </c>
      <c r="F2324" s="49" t="inlineStr">
        <is>
          <t>Super Carlin Gaming</t>
        </is>
      </c>
      <c r="G2324" t="inlineStr">
        <is>
          <t>Mario Kart Roulette #49: How to Work on Group Projects</t>
        </is>
      </c>
      <c r="H2324" s="41" t="n">
        <v>0.01119212962962963</v>
      </c>
      <c r="I2324" s="42" t="n">
        <v>11125</v>
      </c>
      <c r="J2324" s="42" t="n">
        <v>398</v>
      </c>
      <c r="K2324" s="42" t="n">
        <v>115</v>
      </c>
      <c r="L2324" s="43" t="n"/>
      <c r="M2324" s="44" t="n"/>
      <c r="N2324" s="44" t="inlineStr">
        <is>
          <t>UCor_9jRnNNZVzTuQ92PKsaQ</t>
        </is>
      </c>
      <c r="O2324" s="45" t="n">
        <v>43060.90972222222</v>
      </c>
      <c r="P2324" s="46" t="n">
        <v>43060</v>
      </c>
      <c r="Q2324" s="44" t="n">
        <v>948</v>
      </c>
      <c r="R2324" s="44" t="inlineStr">
        <is>
          <t>No Video ID yet</t>
        </is>
      </c>
      <c r="S2324" s="46" t="n"/>
      <c r="T2324" s="46" t="n"/>
      <c r="U2324" s="44" t="n"/>
      <c r="V2324" s="44">
        <f>IF(AND(P2324&gt;=Calendar!$K$2,P2324&lt;EDATE(Calendar!$K$2,1),OR(Calendar!$K$4="*",N2324=Calendar!$K$4)),P2324*100+COUNTIFS($P$6:$P$3271,P2324,$Q$6:$Q$3271,"&lt;="&amp;Q2324,$N$6:$N$3271,Calendar!$K$4),"")</f>
        <v/>
      </c>
      <c r="W2324" s="44">
        <f>IF(AND(B2324=Queue!$C$4,OR(Queue!$K$4="*",N2324=Queue!$K$4)),Q2324,"")</f>
        <v/>
      </c>
    </row>
    <row r="2325">
      <c r="A2325" s="35">
        <f>IF(M2325="","",HYPERLINK("https://www.youtube.com/watch?v="&amp;M2325,"▶"))</f>
        <v/>
      </c>
      <c r="B2325" s="36">
        <f>IF(C2325&lt;&gt;"",C2325,IF(P2325&lt;=IFERROR(INDEX(tblChannels[Watched Through],MATCH(N2325,tblChannels[Channel ID],0)),0),"Watched","Unwatched"))</f>
        <v/>
      </c>
      <c r="C2325" s="37" t="n"/>
      <c r="D2325" s="38" t="n"/>
      <c r="E2325" s="39" t="n">
        <v>43059.59652777778</v>
      </c>
      <c r="F2325" s="50" t="inlineStr">
        <is>
          <t>Jonathan Carlin</t>
        </is>
      </c>
      <c r="G2325" t="inlineStr">
        <is>
          <t>$1500 SKATEBOARD</t>
        </is>
      </c>
      <c r="H2325" s="41" t="n">
        <v>0.007407407407407408</v>
      </c>
      <c r="I2325" s="42" t="n">
        <v>36483</v>
      </c>
      <c r="J2325" s="42" t="n">
        <v>1707</v>
      </c>
      <c r="K2325" s="42" t="n">
        <v>544</v>
      </c>
      <c r="L2325" s="43" t="n"/>
      <c r="M2325" s="44" t="n"/>
      <c r="N2325" s="44" t="inlineStr">
        <is>
          <t>UCYPKFe86e6nm4TVUYKLsFUQ</t>
        </is>
      </c>
      <c r="O2325" s="45" t="n">
        <v>43059.80486111111</v>
      </c>
      <c r="P2325" s="46" t="n">
        <v>43059</v>
      </c>
      <c r="Q2325" s="44" t="n">
        <v>947</v>
      </c>
      <c r="R2325" s="44" t="inlineStr">
        <is>
          <t>No Video ID yet</t>
        </is>
      </c>
      <c r="S2325" s="46" t="n"/>
      <c r="T2325" s="46" t="n"/>
      <c r="U2325" s="44" t="n"/>
      <c r="V2325" s="44">
        <f>IF(AND(P2325&gt;=Calendar!$K$2,P2325&lt;EDATE(Calendar!$K$2,1),OR(Calendar!$K$4="*",N2325=Calendar!$K$4)),P2325*100+COUNTIFS($P$6:$P$3271,P2325,$Q$6:$Q$3271,"&lt;="&amp;Q2325,$N$6:$N$3271,Calendar!$K$4),"")</f>
        <v/>
      </c>
      <c r="W2325" s="44">
        <f>IF(AND(B2325=Queue!$C$4,OR(Queue!$K$4="*",N2325=Queue!$K$4)),Q2325,"")</f>
        <v/>
      </c>
    </row>
    <row r="2326">
      <c r="A2326" s="35">
        <f>IF(M2326="","",HYPERLINK("https://www.youtube.com/watch?v="&amp;M2326,"▶"))</f>
        <v/>
      </c>
      <c r="B2326" s="36">
        <f>IF(C2326&lt;&gt;"",C2326,IF(P2326&lt;=IFERROR(INDEX(tblChannels[Watched Through],MATCH(N2326,tblChannels[Channel ID],0)),0),"Watched","Unwatched"))</f>
        <v/>
      </c>
      <c r="C2326" s="37" t="n"/>
      <c r="D2326" s="38" t="n"/>
      <c r="E2326" s="39" t="n">
        <v>43059.45694444444</v>
      </c>
      <c r="F2326" s="49" t="inlineStr">
        <is>
          <t>Super Carlin Gaming</t>
        </is>
      </c>
      <c r="G2326" t="inlineStr">
        <is>
          <t>Pokemon Black Nuzlocke #10: A Weird Ferris Wheel Ride</t>
        </is>
      </c>
      <c r="H2326" s="41" t="n">
        <v>0.01778935185185185</v>
      </c>
      <c r="I2326" s="42" t="n">
        <v>33743</v>
      </c>
      <c r="J2326" s="42" t="n">
        <v>917</v>
      </c>
      <c r="K2326" s="42" t="n">
        <v>329</v>
      </c>
      <c r="L2326" s="43" t="n"/>
      <c r="M2326" s="44" t="n"/>
      <c r="N2326" s="44" t="inlineStr">
        <is>
          <t>UCor_9jRnNNZVzTuQ92PKsaQ</t>
        </is>
      </c>
      <c r="O2326" s="45" t="n">
        <v>43059.66527777778</v>
      </c>
      <c r="P2326" s="46" t="n">
        <v>43059</v>
      </c>
      <c r="Q2326" s="44" t="n">
        <v>946</v>
      </c>
      <c r="R2326" s="44" t="inlineStr">
        <is>
          <t>No Video ID yet</t>
        </is>
      </c>
      <c r="S2326" s="46" t="n"/>
      <c r="T2326" s="46" t="n"/>
      <c r="U2326" s="44" t="n"/>
      <c r="V2326" s="44">
        <f>IF(AND(P2326&gt;=Calendar!$K$2,P2326&lt;EDATE(Calendar!$K$2,1),OR(Calendar!$K$4="*",N2326=Calendar!$K$4)),P2326*100+COUNTIFS($P$6:$P$3271,P2326,$Q$6:$Q$3271,"&lt;="&amp;Q2326,$N$6:$N$3271,Calendar!$K$4),"")</f>
        <v/>
      </c>
      <c r="W2326" s="44">
        <f>IF(AND(B2326=Queue!$C$4,OR(Queue!$K$4="*",N2326=Queue!$K$4)),Q2326,"")</f>
        <v/>
      </c>
    </row>
    <row r="2327">
      <c r="A2327" s="35">
        <f>IF(M2327="","",HYPERLINK("https://www.youtube.com/watch?v="&amp;M2327,"▶"))</f>
        <v/>
      </c>
      <c r="B2327" s="36">
        <f>IF(C2327&lt;&gt;"",C2327,IF(P2327&lt;=IFERROR(INDEX(tblChannels[Watched Through],MATCH(N2327,tblChannels[Channel ID],0)),0),"Watched","Unwatched"))</f>
        <v/>
      </c>
      <c r="C2327" s="37" t="n"/>
      <c r="D2327" s="38" t="n"/>
      <c r="E2327" s="39" t="n">
        <v>43056.49166666667</v>
      </c>
      <c r="F2327" s="49" t="inlineStr">
        <is>
          <t>Super Carlin Gaming</t>
        </is>
      </c>
      <c r="G2327" t="inlineStr">
        <is>
          <t>Pokemon Black Nuzlocke #9: THE FIRST</t>
        </is>
      </c>
      <c r="H2327" s="41" t="n">
        <v>0.01914351851851852</v>
      </c>
      <c r="I2327" s="42" t="n">
        <v>35272</v>
      </c>
      <c r="J2327" s="42" t="n">
        <v>949</v>
      </c>
      <c r="K2327" s="42" t="n">
        <v>511</v>
      </c>
      <c r="L2327" s="43" t="n"/>
      <c r="M2327" s="44" t="n"/>
      <c r="N2327" s="44" t="inlineStr">
        <is>
          <t>UCor_9jRnNNZVzTuQ92PKsaQ</t>
        </is>
      </c>
      <c r="O2327" s="45" t="n">
        <v>43056.7</v>
      </c>
      <c r="P2327" s="46" t="n">
        <v>43056</v>
      </c>
      <c r="Q2327" s="44" t="n">
        <v>945</v>
      </c>
      <c r="R2327" s="44" t="inlineStr">
        <is>
          <t>No Video ID yet</t>
        </is>
      </c>
      <c r="S2327" s="46" t="n"/>
      <c r="T2327" s="46" t="n"/>
      <c r="U2327" s="44" t="n"/>
      <c r="V2327" s="44">
        <f>IF(AND(P2327&gt;=Calendar!$K$2,P2327&lt;EDATE(Calendar!$K$2,1),OR(Calendar!$K$4="*",N2327=Calendar!$K$4)),P2327*100+COUNTIFS($P$6:$P$3271,P2327,$Q$6:$Q$3271,"&lt;="&amp;Q2327,$N$6:$N$3271,Calendar!$K$4),"")</f>
        <v/>
      </c>
      <c r="W2327" s="44">
        <f>IF(AND(B2327=Queue!$C$4,OR(Queue!$K$4="*",N2327=Queue!$K$4)),Q2327,"")</f>
        <v/>
      </c>
    </row>
    <row r="2328">
      <c r="A2328" s="35">
        <f>IF(M2328="","",HYPERLINK("https://www.youtube.com/watch?v="&amp;M2328,"▶"))</f>
        <v/>
      </c>
      <c r="B2328" s="36">
        <f>IF(C2328&lt;&gt;"",C2328,IF(P2328&lt;=IFERROR(INDEX(tblChannels[Watched Through],MATCH(N2328,tblChannels[Channel ID],0)),0),"Watched","Unwatched"))</f>
        <v/>
      </c>
      <c r="C2328" s="37" t="n"/>
      <c r="D2328" s="38" t="n"/>
      <c r="E2328" s="39" t="n">
        <v>43055.77847222222</v>
      </c>
      <c r="F2328" s="47" t="inlineStr">
        <is>
          <t>Super Carlin Brothers</t>
        </is>
      </c>
      <c r="G2328" t="inlineStr">
        <is>
          <t>The Sorting Hat's BIG Secret | Harry Potter Theory</t>
        </is>
      </c>
      <c r="H2328" s="41" t="n">
        <v>0.007881944444444445</v>
      </c>
      <c r="I2328" s="42" t="n">
        <v>3036199</v>
      </c>
      <c r="J2328" s="42" t="n">
        <v>59213</v>
      </c>
      <c r="K2328" s="42" t="n">
        <v>6674</v>
      </c>
      <c r="L2328" s="43" t="n"/>
      <c r="M2328" s="44" t="n"/>
      <c r="N2328" s="44" t="inlineStr">
        <is>
          <t>UCKZo4N0lVPccBkSiuyVh4yg</t>
        </is>
      </c>
      <c r="O2328" s="45" t="n">
        <v>43055.98680555556</v>
      </c>
      <c r="P2328" s="46" t="n">
        <v>43055</v>
      </c>
      <c r="Q2328" s="44" t="n">
        <v>944</v>
      </c>
      <c r="R2328" s="44" t="inlineStr">
        <is>
          <t>No Video ID yet</t>
        </is>
      </c>
      <c r="S2328" s="46" t="n"/>
      <c r="T2328" s="46" t="n"/>
      <c r="U2328" s="44" t="n"/>
      <c r="V2328" s="44">
        <f>IF(AND(P2328&gt;=Calendar!$K$2,P2328&lt;EDATE(Calendar!$K$2,1),OR(Calendar!$K$4="*",N2328=Calendar!$K$4)),P2328*100+COUNTIFS($P$6:$P$3271,P2328,$Q$6:$Q$3271,"&lt;="&amp;Q2328,$N$6:$N$3271,Calendar!$K$4),"")</f>
        <v/>
      </c>
      <c r="W2328" s="44">
        <f>IF(AND(B2328=Queue!$C$4,OR(Queue!$K$4="*",N2328=Queue!$K$4)),Q2328,"")</f>
        <v/>
      </c>
    </row>
    <row r="2329">
      <c r="A2329" s="35">
        <f>IF(M2329="","",HYPERLINK("https://www.youtube.com/watch?v="&amp;M2329,"▶"))</f>
        <v/>
      </c>
      <c r="B2329" s="36">
        <f>IF(C2329&lt;&gt;"",C2329,IF(P2329&lt;=IFERROR(INDEX(tblChannels[Watched Through],MATCH(N2329,tblChannels[Channel ID],0)),0),"Watched","Unwatched"))</f>
        <v/>
      </c>
      <c r="C2329" s="37" t="n"/>
      <c r="D2329" s="38" t="n"/>
      <c r="E2329" s="39" t="n">
        <v>43055.45833333334</v>
      </c>
      <c r="F2329" s="49" t="inlineStr">
        <is>
          <t>Super Carlin Gaming</t>
        </is>
      </c>
      <c r="G2329" t="inlineStr">
        <is>
          <t>Mario Kart Roulette #48: In-Laws Don't Like Me?</t>
        </is>
      </c>
      <c r="H2329" s="41" t="n">
        <v>0.01118055555555555</v>
      </c>
      <c r="I2329" s="42" t="n">
        <v>11988</v>
      </c>
      <c r="J2329" s="42" t="n">
        <v>469</v>
      </c>
      <c r="K2329" s="42" t="n">
        <v>107</v>
      </c>
      <c r="L2329" s="43" t="n"/>
      <c r="M2329" s="44" t="n"/>
      <c r="N2329" s="44" t="inlineStr">
        <is>
          <t>UCor_9jRnNNZVzTuQ92PKsaQ</t>
        </is>
      </c>
      <c r="O2329" s="45" t="n">
        <v>43055.66666666666</v>
      </c>
      <c r="P2329" s="46" t="n">
        <v>43055</v>
      </c>
      <c r="Q2329" s="44" t="n">
        <v>943</v>
      </c>
      <c r="R2329" s="44" t="inlineStr">
        <is>
          <t>No Video ID yet</t>
        </is>
      </c>
      <c r="S2329" s="46" t="n"/>
      <c r="T2329" s="46" t="n"/>
      <c r="U2329" s="44" t="n"/>
      <c r="V2329" s="44">
        <f>IF(AND(P2329&gt;=Calendar!$K$2,P2329&lt;EDATE(Calendar!$K$2,1),OR(Calendar!$K$4="*",N2329=Calendar!$K$4)),P2329*100+COUNTIFS($P$6:$P$3271,P2329,$Q$6:$Q$3271,"&lt;="&amp;Q2329,$N$6:$N$3271,Calendar!$K$4),"")</f>
        <v/>
      </c>
      <c r="W2329" s="44">
        <f>IF(AND(B2329=Queue!$C$4,OR(Queue!$K$4="*",N2329=Queue!$K$4)),Q2329,"")</f>
        <v/>
      </c>
    </row>
    <row r="2330">
      <c r="A2330" s="35">
        <f>IF(M2330="","",HYPERLINK("https://www.youtube.com/watch?v="&amp;M2330,"▶"))</f>
        <v/>
      </c>
      <c r="B2330" s="36">
        <f>IF(C2330&lt;&gt;"",C2330,IF(P2330&lt;=IFERROR(INDEX(tblChannels[Watched Through],MATCH(N2330,tblChannels[Channel ID],0)),0),"Watched","Unwatched"))</f>
        <v/>
      </c>
      <c r="C2330" s="37" t="n"/>
      <c r="D2330" s="38" t="n"/>
      <c r="E2330" s="39" t="n">
        <v>43054.4625</v>
      </c>
      <c r="F2330" s="49" t="inlineStr">
        <is>
          <t>Super Carlin Gaming</t>
        </is>
      </c>
      <c r="G2330" t="inlineStr">
        <is>
          <t>Pokemon Black Nuzlocke #8: More Brats and Nuggets Please!</t>
        </is>
      </c>
      <c r="H2330" s="41" t="n">
        <v>0.01844907407407407</v>
      </c>
      <c r="I2330" s="42" t="n">
        <v>34937</v>
      </c>
      <c r="J2330" s="42" t="n">
        <v>877</v>
      </c>
      <c r="K2330" s="42" t="n">
        <v>296</v>
      </c>
      <c r="L2330" s="43" t="n"/>
      <c r="M2330" s="44" t="n"/>
      <c r="N2330" s="44" t="inlineStr">
        <is>
          <t>UCor_9jRnNNZVzTuQ92PKsaQ</t>
        </is>
      </c>
      <c r="O2330" s="45" t="n">
        <v>43054.67083333333</v>
      </c>
      <c r="P2330" s="46" t="n">
        <v>43054</v>
      </c>
      <c r="Q2330" s="44" t="n">
        <v>942</v>
      </c>
      <c r="R2330" s="44" t="inlineStr">
        <is>
          <t>No Video ID yet</t>
        </is>
      </c>
      <c r="S2330" s="46" t="n"/>
      <c r="T2330" s="46" t="n"/>
      <c r="U2330" s="44" t="n"/>
      <c r="V2330" s="44">
        <f>IF(AND(P2330&gt;=Calendar!$K$2,P2330&lt;EDATE(Calendar!$K$2,1),OR(Calendar!$K$4="*",N2330=Calendar!$K$4)),P2330*100+COUNTIFS($P$6:$P$3271,P2330,$Q$6:$Q$3271,"&lt;="&amp;Q2330,$N$6:$N$3271,Calendar!$K$4),"")</f>
        <v/>
      </c>
      <c r="W2330" s="44">
        <f>IF(AND(B2330=Queue!$C$4,OR(Queue!$K$4="*",N2330=Queue!$K$4)),Q2330,"")</f>
        <v/>
      </c>
    </row>
    <row r="2331">
      <c r="A2331" s="35">
        <f>IF(M2331="","",HYPERLINK("https://www.youtube.com/watch?v="&amp;M2331,"▶"))</f>
        <v/>
      </c>
      <c r="B2331" s="36">
        <f>IF(C2331&lt;&gt;"",C2331,IF(P2331&lt;=IFERROR(INDEX(tblChannels[Watched Through],MATCH(N2331,tblChannels[Channel ID],0)),0),"Watched","Unwatched"))</f>
        <v/>
      </c>
      <c r="C2331" s="37" t="n"/>
      <c r="D2331" s="38" t="n"/>
      <c r="E2331" s="39" t="n">
        <v>43053.75138888889</v>
      </c>
      <c r="F2331" s="47" t="inlineStr">
        <is>
          <t>Super Carlin Brothers</t>
        </is>
      </c>
      <c r="G2331" t="inlineStr">
        <is>
          <t>Star Wars Theory: Rey’s Parents Confirmed in Battlefront 2?</t>
        </is>
      </c>
      <c r="H2331" s="41" t="n">
        <v>0.008935185185185185</v>
      </c>
      <c r="I2331" s="42" t="n">
        <v>910307</v>
      </c>
      <c r="J2331" s="42" t="n">
        <v>18510</v>
      </c>
      <c r="K2331" s="42" t="n">
        <v>5417</v>
      </c>
      <c r="L2331" s="43" t="n"/>
      <c r="M2331" s="44" t="n"/>
      <c r="N2331" s="44" t="inlineStr">
        <is>
          <t>UCKZo4N0lVPccBkSiuyVh4yg</t>
        </is>
      </c>
      <c r="O2331" s="45" t="n">
        <v>43053.95972222222</v>
      </c>
      <c r="P2331" s="46" t="n">
        <v>43053</v>
      </c>
      <c r="Q2331" s="44" t="n">
        <v>941</v>
      </c>
      <c r="R2331" s="44" t="inlineStr">
        <is>
          <t>No Video ID yet</t>
        </is>
      </c>
      <c r="S2331" s="46" t="n"/>
      <c r="T2331" s="46" t="n"/>
      <c r="U2331" s="44" t="n"/>
      <c r="V2331" s="44">
        <f>IF(AND(P2331&gt;=Calendar!$K$2,P2331&lt;EDATE(Calendar!$K$2,1),OR(Calendar!$K$4="*",N2331=Calendar!$K$4)),P2331*100+COUNTIFS($P$6:$P$3271,P2331,$Q$6:$Q$3271,"&lt;="&amp;Q2331,$N$6:$N$3271,Calendar!$K$4),"")</f>
        <v/>
      </c>
      <c r="W2331" s="44">
        <f>IF(AND(B2331=Queue!$C$4,OR(Queue!$K$4="*",N2331=Queue!$K$4)),Q2331,"")</f>
        <v/>
      </c>
    </row>
    <row r="2332">
      <c r="A2332" s="35">
        <f>IF(M2332="","",HYPERLINK("https://www.youtube.com/watch?v="&amp;M2332,"▶"))</f>
        <v/>
      </c>
      <c r="B2332" s="36">
        <f>IF(C2332&lt;&gt;"",C2332,IF(P2332&lt;=IFERROR(INDEX(tblChannels[Watched Through],MATCH(N2332,tblChannels[Channel ID],0)),0),"Watched","Unwatched"))</f>
        <v/>
      </c>
      <c r="C2332" s="37" t="n"/>
      <c r="D2332" s="38" t="n"/>
      <c r="E2332" s="39" t="n">
        <v>43053.60277777778</v>
      </c>
      <c r="F2332" s="49" t="inlineStr">
        <is>
          <t>Super Carlin Gaming</t>
        </is>
      </c>
      <c r="G2332" t="inlineStr">
        <is>
          <t>Mario Kart Roulette #47: New Friends in New Places</t>
        </is>
      </c>
      <c r="H2332" s="41" t="n">
        <v>0.01056712962962963</v>
      </c>
      <c r="I2332" s="42" t="n">
        <v>10789</v>
      </c>
      <c r="J2332" s="42" t="n">
        <v>418</v>
      </c>
      <c r="K2332" s="42" t="n">
        <v>137</v>
      </c>
      <c r="L2332" s="43" t="n"/>
      <c r="M2332" s="44" t="n"/>
      <c r="N2332" s="44" t="inlineStr">
        <is>
          <t>UCor_9jRnNNZVzTuQ92PKsaQ</t>
        </is>
      </c>
      <c r="O2332" s="45" t="n">
        <v>43053.81111111111</v>
      </c>
      <c r="P2332" s="46" t="n">
        <v>43053</v>
      </c>
      <c r="Q2332" s="44" t="n">
        <v>940</v>
      </c>
      <c r="R2332" s="44" t="inlineStr">
        <is>
          <t>No Video ID yet</t>
        </is>
      </c>
      <c r="S2332" s="46" t="n"/>
      <c r="T2332" s="46" t="n"/>
      <c r="U2332" s="44" t="n"/>
      <c r="V2332" s="44">
        <f>IF(AND(P2332&gt;=Calendar!$K$2,P2332&lt;EDATE(Calendar!$K$2,1),OR(Calendar!$K$4="*",N2332=Calendar!$K$4)),P2332*100+COUNTIFS($P$6:$P$3271,P2332,$Q$6:$Q$3271,"&lt;="&amp;Q2332,$N$6:$N$3271,Calendar!$K$4),"")</f>
        <v/>
      </c>
      <c r="W2332" s="44">
        <f>IF(AND(B2332=Queue!$C$4,OR(Queue!$K$4="*",N2332=Queue!$K$4)),Q2332,"")</f>
        <v/>
      </c>
    </row>
    <row r="2333">
      <c r="A2333" s="35">
        <f>IF(M2333="","",HYPERLINK("https://www.youtube.com/watch?v="&amp;M2333,"▶"))</f>
        <v/>
      </c>
      <c r="B2333" s="36">
        <f>IF(C2333&lt;&gt;"",C2333,IF(P2333&lt;=IFERROR(INDEX(tblChannels[Watched Through],MATCH(N2333,tblChannels[Channel ID],0)),0),"Watched","Unwatched"))</f>
        <v/>
      </c>
      <c r="C2333" s="37" t="n"/>
      <c r="D2333" s="38" t="n"/>
      <c r="E2333" s="39" t="n">
        <v>43052.62916666667</v>
      </c>
      <c r="F2333" s="49" t="inlineStr">
        <is>
          <t>Super Carlin Gaming</t>
        </is>
      </c>
      <c r="G2333" t="inlineStr">
        <is>
          <t>Pokemon Black Nuzlocke #7: BURGH!</t>
        </is>
      </c>
      <c r="H2333" s="41" t="n">
        <v>0.02465277777777778</v>
      </c>
      <c r="I2333" s="42" t="n">
        <v>40526</v>
      </c>
      <c r="J2333" s="42" t="n">
        <v>955</v>
      </c>
      <c r="K2333" s="42" t="n">
        <v>342</v>
      </c>
      <c r="L2333" s="43" t="n"/>
      <c r="M2333" s="44" t="n"/>
      <c r="N2333" s="44" t="inlineStr">
        <is>
          <t>UCor_9jRnNNZVzTuQ92PKsaQ</t>
        </is>
      </c>
      <c r="O2333" s="45" t="n">
        <v>43052.8375</v>
      </c>
      <c r="P2333" s="46" t="n">
        <v>43052</v>
      </c>
      <c r="Q2333" s="44" t="n">
        <v>939</v>
      </c>
      <c r="R2333" s="44" t="inlineStr">
        <is>
          <t>No Video ID yet</t>
        </is>
      </c>
      <c r="S2333" s="46" t="n"/>
      <c r="T2333" s="46" t="n"/>
      <c r="U2333" s="44" t="n"/>
      <c r="V2333" s="44">
        <f>IF(AND(P2333&gt;=Calendar!$K$2,P2333&lt;EDATE(Calendar!$K$2,1),OR(Calendar!$K$4="*",N2333=Calendar!$K$4)),P2333*100+COUNTIFS($P$6:$P$3271,P2333,$Q$6:$Q$3271,"&lt;="&amp;Q2333,$N$6:$N$3271,Calendar!$K$4),"")</f>
        <v/>
      </c>
      <c r="W2333" s="44">
        <f>IF(AND(B2333=Queue!$C$4,OR(Queue!$K$4="*",N2333=Queue!$K$4)),Q2333,"")</f>
        <v/>
      </c>
    </row>
    <row r="2334">
      <c r="A2334" s="35">
        <f>IF(M2334="","",HYPERLINK("https://www.youtube.com/watch?v="&amp;M2334,"▶"))</f>
        <v/>
      </c>
      <c r="B2334" s="36">
        <f>IF(C2334&lt;&gt;"",C2334,IF(P2334&lt;=IFERROR(INDEX(tblChannels[Watched Through],MATCH(N2334,tblChannels[Channel ID],0)),0),"Watched","Unwatched"))</f>
        <v/>
      </c>
      <c r="C2334" s="37" t="n"/>
      <c r="D2334" s="38" t="n"/>
      <c r="E2334" s="39" t="n">
        <v>43052.48680555556</v>
      </c>
      <c r="F2334" s="50" t="inlineStr">
        <is>
          <t>Jonathan Carlin</t>
        </is>
      </c>
      <c r="G2334" t="inlineStr">
        <is>
          <t>PARTY LIKE DARTH VADER</t>
        </is>
      </c>
      <c r="H2334" s="41" t="n">
        <v>0.006226851851851851</v>
      </c>
      <c r="I2334" s="42" t="n">
        <v>33920</v>
      </c>
      <c r="J2334" s="42" t="n">
        <v>1627</v>
      </c>
      <c r="K2334" s="42" t="n">
        <v>237</v>
      </c>
      <c r="L2334" s="43" t="n"/>
      <c r="M2334" s="44" t="n"/>
      <c r="N2334" s="44" t="inlineStr">
        <is>
          <t>UCYPKFe86e6nm4TVUYKLsFUQ</t>
        </is>
      </c>
      <c r="O2334" s="45" t="n">
        <v>43052.69513888889</v>
      </c>
      <c r="P2334" s="46" t="n">
        <v>43052</v>
      </c>
      <c r="Q2334" s="44" t="n">
        <v>938</v>
      </c>
      <c r="R2334" s="44" t="inlineStr">
        <is>
          <t>No Video ID yet</t>
        </is>
      </c>
      <c r="S2334" s="46" t="n"/>
      <c r="T2334" s="46" t="n"/>
      <c r="U2334" s="44" t="n"/>
      <c r="V2334" s="44">
        <f>IF(AND(P2334&gt;=Calendar!$K$2,P2334&lt;EDATE(Calendar!$K$2,1),OR(Calendar!$K$4="*",N2334=Calendar!$K$4)),P2334*100+COUNTIFS($P$6:$P$3271,P2334,$Q$6:$Q$3271,"&lt;="&amp;Q2334,$N$6:$N$3271,Calendar!$K$4),"")</f>
        <v/>
      </c>
      <c r="W2334" s="44">
        <f>IF(AND(B2334=Queue!$C$4,OR(Queue!$K$4="*",N2334=Queue!$K$4)),Q2334,"")</f>
        <v/>
      </c>
    </row>
    <row r="2335">
      <c r="A2335" s="35">
        <f>IF(M2335="","",HYPERLINK("https://www.youtube.com/watch?v="&amp;M2335,"▶"))</f>
        <v/>
      </c>
      <c r="B2335" s="36">
        <f>IF(C2335&lt;&gt;"",C2335,IF(P2335&lt;=IFERROR(INDEX(tblChannels[Watched Through],MATCH(N2335,tblChannels[Channel ID],0)),0),"Watched","Unwatched"))</f>
        <v/>
      </c>
      <c r="C2335" s="37" t="n"/>
      <c r="D2335" s="38" t="n"/>
      <c r="E2335" s="39" t="n">
        <v>43049.56388888889</v>
      </c>
      <c r="F2335" s="49" t="inlineStr">
        <is>
          <t>Super Carlin Gaming</t>
        </is>
      </c>
      <c r="G2335" t="inlineStr">
        <is>
          <t>Pokemon Black Nuzlocke #6: Pinwheels and Plasma</t>
        </is>
      </c>
      <c r="H2335" s="41" t="n">
        <v>0.01731481481481481</v>
      </c>
      <c r="I2335" s="42" t="n">
        <v>40309</v>
      </c>
      <c r="J2335" s="42" t="n">
        <v>1024</v>
      </c>
      <c r="K2335" s="42" t="n">
        <v>499</v>
      </c>
      <c r="L2335" s="43" t="n"/>
      <c r="M2335" s="44" t="n"/>
      <c r="N2335" s="44" t="inlineStr">
        <is>
          <t>UCor_9jRnNNZVzTuQ92PKsaQ</t>
        </is>
      </c>
      <c r="O2335" s="45" t="n">
        <v>43049.77222222222</v>
      </c>
      <c r="P2335" s="46" t="n">
        <v>43049</v>
      </c>
      <c r="Q2335" s="44" t="n">
        <v>937</v>
      </c>
      <c r="R2335" s="44" t="inlineStr">
        <is>
          <t>No Video ID yet</t>
        </is>
      </c>
      <c r="S2335" s="46" t="n"/>
      <c r="T2335" s="46" t="n"/>
      <c r="U2335" s="44" t="n"/>
      <c r="V2335" s="44">
        <f>IF(AND(P2335&gt;=Calendar!$K$2,P2335&lt;EDATE(Calendar!$K$2,1),OR(Calendar!$K$4="*",N2335=Calendar!$K$4)),P2335*100+COUNTIFS($P$6:$P$3271,P2335,$Q$6:$Q$3271,"&lt;="&amp;Q2335,$N$6:$N$3271,Calendar!$K$4),"")</f>
        <v/>
      </c>
      <c r="W2335" s="44">
        <f>IF(AND(B2335=Queue!$C$4,OR(Queue!$K$4="*",N2335=Queue!$K$4)),Q2335,"")</f>
        <v/>
      </c>
    </row>
    <row r="2336">
      <c r="A2336" s="35">
        <f>IF(M2336="","",HYPERLINK("https://www.youtube.com/watch?v="&amp;M2336,"▶"))</f>
        <v/>
      </c>
      <c r="B2336" s="36">
        <f>IF(C2336&lt;&gt;"",C2336,IF(P2336&lt;=IFERROR(INDEX(tblChannels[Watched Through],MATCH(N2336,tblChannels[Channel ID],0)),0),"Watched","Unwatched"))</f>
        <v/>
      </c>
      <c r="C2336" s="37" t="n"/>
      <c r="D2336" s="38" t="n"/>
      <c r="E2336" s="39" t="n">
        <v>43048.76875</v>
      </c>
      <c r="F2336" s="47" t="inlineStr">
        <is>
          <t>Super Carlin Brothers</t>
        </is>
      </c>
      <c r="G2336" t="inlineStr">
        <is>
          <t>Could Anastasia Become A Disney Princess?</t>
        </is>
      </c>
      <c r="H2336" s="41" t="n">
        <v>0.005925925925925926</v>
      </c>
      <c r="I2336" s="42" t="n">
        <v>470774</v>
      </c>
      <c r="J2336" s="42" t="n">
        <v>14354</v>
      </c>
      <c r="K2336" s="42" t="n">
        <v>3714</v>
      </c>
      <c r="L2336" s="43" t="n"/>
      <c r="M2336" s="44" t="n"/>
      <c r="N2336" s="44" t="inlineStr">
        <is>
          <t>UCKZo4N0lVPccBkSiuyVh4yg</t>
        </is>
      </c>
      <c r="O2336" s="45" t="n">
        <v>43048.97708333333</v>
      </c>
      <c r="P2336" s="46" t="n">
        <v>43048</v>
      </c>
      <c r="Q2336" s="44" t="n">
        <v>936</v>
      </c>
      <c r="R2336" s="44" t="inlineStr">
        <is>
          <t>No Video ID yet</t>
        </is>
      </c>
      <c r="S2336" s="46" t="n"/>
      <c r="T2336" s="46" t="n"/>
      <c r="U2336" s="44" t="n"/>
      <c r="V2336" s="44">
        <f>IF(AND(P2336&gt;=Calendar!$K$2,P2336&lt;EDATE(Calendar!$K$2,1),OR(Calendar!$K$4="*",N2336=Calendar!$K$4)),P2336*100+COUNTIFS($P$6:$P$3271,P2336,$Q$6:$Q$3271,"&lt;="&amp;Q2336,$N$6:$N$3271,Calendar!$K$4),"")</f>
        <v/>
      </c>
      <c r="W2336" s="44">
        <f>IF(AND(B2336=Queue!$C$4,OR(Queue!$K$4="*",N2336=Queue!$K$4)),Q2336,"")</f>
        <v/>
      </c>
    </row>
    <row r="2337">
      <c r="A2337" s="35">
        <f>IF(M2337="","",HYPERLINK("https://www.youtube.com/watch?v="&amp;M2337,"▶"))</f>
        <v/>
      </c>
      <c r="B2337" s="36">
        <f>IF(C2337&lt;&gt;"",C2337,IF(P2337&lt;=IFERROR(INDEX(tblChannels[Watched Through],MATCH(N2337,tblChannels[Channel ID],0)),0),"Watched","Unwatched"))</f>
        <v/>
      </c>
      <c r="C2337" s="37" t="n"/>
      <c r="D2337" s="38" t="n"/>
      <c r="E2337" s="39" t="n">
        <v>43048.49930555555</v>
      </c>
      <c r="F2337" s="49" t="inlineStr">
        <is>
          <t>Super Carlin Gaming</t>
        </is>
      </c>
      <c r="G2337" t="inlineStr">
        <is>
          <t>Mario Kart Roulette #46: A Quality 8th Place.</t>
        </is>
      </c>
      <c r="H2337" s="41" t="n">
        <v>0.0102662037037037</v>
      </c>
      <c r="I2337" s="42" t="n">
        <v>11738</v>
      </c>
      <c r="J2337" s="42" t="n">
        <v>439</v>
      </c>
      <c r="K2337" s="42" t="n">
        <v>201</v>
      </c>
      <c r="L2337" s="43" t="n"/>
      <c r="M2337" s="44" t="n"/>
      <c r="N2337" s="44" t="inlineStr">
        <is>
          <t>UCor_9jRnNNZVzTuQ92PKsaQ</t>
        </is>
      </c>
      <c r="O2337" s="45" t="n">
        <v>43048.70763888889</v>
      </c>
      <c r="P2337" s="46" t="n">
        <v>43048</v>
      </c>
      <c r="Q2337" s="44" t="n">
        <v>935</v>
      </c>
      <c r="R2337" s="44" t="inlineStr">
        <is>
          <t>No Video ID yet</t>
        </is>
      </c>
      <c r="S2337" s="46" t="n"/>
      <c r="T2337" s="46" t="n"/>
      <c r="U2337" s="44" t="n"/>
      <c r="V2337" s="44">
        <f>IF(AND(P2337&gt;=Calendar!$K$2,P2337&lt;EDATE(Calendar!$K$2,1),OR(Calendar!$K$4="*",N2337=Calendar!$K$4)),P2337*100+COUNTIFS($P$6:$P$3271,P2337,$Q$6:$Q$3271,"&lt;="&amp;Q2337,$N$6:$N$3271,Calendar!$K$4),"")</f>
        <v/>
      </c>
      <c r="W2337" s="44">
        <f>IF(AND(B2337=Queue!$C$4,OR(Queue!$K$4="*",N2337=Queue!$K$4)),Q2337,"")</f>
        <v/>
      </c>
    </row>
    <row r="2338">
      <c r="A2338" s="35">
        <f>IF(M2338="","",HYPERLINK("https://www.youtube.com/watch?v="&amp;M2338,"▶"))</f>
        <v/>
      </c>
      <c r="B2338" s="36">
        <f>IF(C2338&lt;&gt;"",C2338,IF(P2338&lt;=IFERROR(INDEX(tblChannels[Watched Through],MATCH(N2338,tblChannels[Channel ID],0)),0),"Watched","Unwatched"))</f>
        <v/>
      </c>
      <c r="C2338" s="37" t="n"/>
      <c r="D2338" s="38" t="n"/>
      <c r="E2338" s="39" t="n">
        <v>43047.55555555555</v>
      </c>
      <c r="F2338" s="49" t="inlineStr">
        <is>
          <t>Super Carlin Gaming</t>
        </is>
      </c>
      <c r="G2338" t="inlineStr">
        <is>
          <t>Pokemon Black Nuzlocke #5: Taco VS Lenora</t>
        </is>
      </c>
      <c r="H2338" s="41" t="n">
        <v>0.02421296296296296</v>
      </c>
      <c r="I2338" s="42" t="n">
        <v>49080</v>
      </c>
      <c r="J2338" s="42" t="n">
        <v>1144</v>
      </c>
      <c r="K2338" s="42" t="n">
        <v>417</v>
      </c>
      <c r="L2338" s="43" t="n"/>
      <c r="M2338" s="44" t="n"/>
      <c r="N2338" s="44" t="inlineStr">
        <is>
          <t>UCor_9jRnNNZVzTuQ92PKsaQ</t>
        </is>
      </c>
      <c r="O2338" s="45" t="n">
        <v>43047.76388888889</v>
      </c>
      <c r="P2338" s="46" t="n">
        <v>43047</v>
      </c>
      <c r="Q2338" s="44" t="n">
        <v>934</v>
      </c>
      <c r="R2338" s="44" t="inlineStr">
        <is>
          <t>No Video ID yet</t>
        </is>
      </c>
      <c r="S2338" s="46" t="n"/>
      <c r="T2338" s="46" t="n"/>
      <c r="U2338" s="44" t="n"/>
      <c r="V2338" s="44">
        <f>IF(AND(P2338&gt;=Calendar!$K$2,P2338&lt;EDATE(Calendar!$K$2,1),OR(Calendar!$K$4="*",N2338=Calendar!$K$4)),P2338*100+COUNTIFS($P$6:$P$3271,P2338,$Q$6:$Q$3271,"&lt;="&amp;Q2338,$N$6:$N$3271,Calendar!$K$4),"")</f>
        <v/>
      </c>
      <c r="W2338" s="44">
        <f>IF(AND(B2338=Queue!$C$4,OR(Queue!$K$4="*",N2338=Queue!$K$4)),Q2338,"")</f>
        <v/>
      </c>
    </row>
    <row r="2339">
      <c r="A2339" s="35">
        <f>IF(M2339="","",HYPERLINK("https://www.youtube.com/watch?v="&amp;M2339,"▶"))</f>
        <v/>
      </c>
      <c r="B2339" s="36">
        <f>IF(C2339&lt;&gt;"",C2339,IF(P2339&lt;=IFERROR(INDEX(tblChannels[Watched Through],MATCH(N2339,tblChannels[Channel ID],0)),0),"Watched","Unwatched"))</f>
        <v/>
      </c>
      <c r="C2339" s="37" t="n"/>
      <c r="D2339" s="38" t="n"/>
      <c r="E2339" s="39" t="n">
        <v>43046.72222222222</v>
      </c>
      <c r="F2339" s="47" t="inlineStr">
        <is>
          <t>Super Carlin Brothers</t>
        </is>
      </c>
      <c r="G2339" t="inlineStr">
        <is>
          <t>Top 10 Things To Look For In Coco</t>
        </is>
      </c>
      <c r="H2339" s="41" t="n">
        <v>0.007731481481481482</v>
      </c>
      <c r="I2339" s="42" t="n">
        <v>204580</v>
      </c>
      <c r="J2339" s="42" t="n">
        <v>8414</v>
      </c>
      <c r="K2339" s="42" t="n">
        <v>2308</v>
      </c>
      <c r="L2339" s="43" t="n"/>
      <c r="M2339" s="44" t="n"/>
      <c r="N2339" s="44" t="inlineStr">
        <is>
          <t>UCKZo4N0lVPccBkSiuyVh4yg</t>
        </is>
      </c>
      <c r="O2339" s="45" t="n">
        <v>43046.93055555555</v>
      </c>
      <c r="P2339" s="46" t="n">
        <v>43046</v>
      </c>
      <c r="Q2339" s="44" t="n">
        <v>933</v>
      </c>
      <c r="R2339" s="44" t="inlineStr">
        <is>
          <t>No Video ID yet</t>
        </is>
      </c>
      <c r="S2339" s="46" t="n"/>
      <c r="T2339" s="46" t="n"/>
      <c r="U2339" s="44" t="n"/>
      <c r="V2339" s="44">
        <f>IF(AND(P2339&gt;=Calendar!$K$2,P2339&lt;EDATE(Calendar!$K$2,1),OR(Calendar!$K$4="*",N2339=Calendar!$K$4)),P2339*100+COUNTIFS($P$6:$P$3271,P2339,$Q$6:$Q$3271,"&lt;="&amp;Q2339,$N$6:$N$3271,Calendar!$K$4),"")</f>
        <v/>
      </c>
      <c r="W2339" s="44">
        <f>IF(AND(B2339=Queue!$C$4,OR(Queue!$K$4="*",N2339=Queue!$K$4)),Q2339,"")</f>
        <v/>
      </c>
    </row>
    <row r="2340">
      <c r="A2340" s="35">
        <f>IF(M2340="","",HYPERLINK("https://www.youtube.com/watch?v="&amp;M2340,"▶"))</f>
        <v/>
      </c>
      <c r="B2340" s="36">
        <f>IF(C2340&lt;&gt;"",C2340,IF(P2340&lt;=IFERROR(INDEX(tblChannels[Watched Through],MATCH(N2340,tblChannels[Channel ID],0)),0),"Watched","Unwatched"))</f>
        <v/>
      </c>
      <c r="C2340" s="37" t="n"/>
      <c r="D2340" s="38" t="n"/>
      <c r="E2340" s="39" t="n">
        <v>43046.44652777778</v>
      </c>
      <c r="F2340" s="49" t="inlineStr">
        <is>
          <t>Super Carlin Gaming</t>
        </is>
      </c>
      <c r="G2340" t="inlineStr">
        <is>
          <t>Mario Kart Roulette #45: How to take life less seriously</t>
        </is>
      </c>
      <c r="H2340" s="41" t="n">
        <v>0.01065972222222222</v>
      </c>
      <c r="I2340" s="42" t="n">
        <v>11831</v>
      </c>
      <c r="J2340" s="42" t="n">
        <v>414</v>
      </c>
      <c r="K2340" s="42" t="n">
        <v>98</v>
      </c>
      <c r="L2340" s="43" t="n"/>
      <c r="M2340" s="44" t="n"/>
      <c r="N2340" s="44" t="inlineStr">
        <is>
          <t>UCor_9jRnNNZVzTuQ92PKsaQ</t>
        </is>
      </c>
      <c r="O2340" s="45" t="n">
        <v>43046.65486111111</v>
      </c>
      <c r="P2340" s="46" t="n">
        <v>43046</v>
      </c>
      <c r="Q2340" s="44" t="n">
        <v>932</v>
      </c>
      <c r="R2340" s="44" t="inlineStr">
        <is>
          <t>No Video ID yet</t>
        </is>
      </c>
      <c r="S2340" s="46" t="n"/>
      <c r="T2340" s="46" t="n"/>
      <c r="U2340" s="44" t="n"/>
      <c r="V2340" s="44">
        <f>IF(AND(P2340&gt;=Calendar!$K$2,P2340&lt;EDATE(Calendar!$K$2,1),OR(Calendar!$K$4="*",N2340=Calendar!$K$4)),P2340*100+COUNTIFS($P$6:$P$3271,P2340,$Q$6:$Q$3271,"&lt;="&amp;Q2340,$N$6:$N$3271,Calendar!$K$4),"")</f>
        <v/>
      </c>
      <c r="W2340" s="44">
        <f>IF(AND(B2340=Queue!$C$4,OR(Queue!$K$4="*",N2340=Queue!$K$4)),Q2340,"")</f>
        <v/>
      </c>
    </row>
    <row r="2341">
      <c r="A2341" s="35">
        <f>IF(M2341="","",HYPERLINK("https://www.youtube.com/watch?v="&amp;M2341,"▶"))</f>
        <v/>
      </c>
      <c r="B2341" s="36">
        <f>IF(C2341&lt;&gt;"",C2341,IF(P2341&lt;=IFERROR(INDEX(tblChannels[Watched Through],MATCH(N2341,tblChannels[Channel ID],0)),0),"Watched","Unwatched"))</f>
        <v/>
      </c>
      <c r="C2341" s="37" t="n"/>
      <c r="D2341" s="38" t="n"/>
      <c r="E2341" s="39" t="n">
        <v>43045.56944444445</v>
      </c>
      <c r="F2341" s="50" t="inlineStr">
        <is>
          <t>Jonathan Carlin</t>
        </is>
      </c>
      <c r="G2341" t="inlineStr">
        <is>
          <t>WEEK OF SEAMUS</t>
        </is>
      </c>
      <c r="H2341" s="41" t="n">
        <v>0.006921296296296296</v>
      </c>
      <c r="I2341" s="42" t="n">
        <v>121218</v>
      </c>
      <c r="J2341" s="42" t="n">
        <v>4887</v>
      </c>
      <c r="K2341" s="42" t="n">
        <v>634</v>
      </c>
      <c r="L2341" s="43" t="n"/>
      <c r="M2341" s="44" t="n"/>
      <c r="N2341" s="44" t="inlineStr">
        <is>
          <t>UCYPKFe86e6nm4TVUYKLsFUQ</t>
        </is>
      </c>
      <c r="O2341" s="45" t="n">
        <v>43045.77777777778</v>
      </c>
      <c r="P2341" s="46" t="n">
        <v>43045</v>
      </c>
      <c r="Q2341" s="44" t="n">
        <v>931</v>
      </c>
      <c r="R2341" s="44" t="inlineStr">
        <is>
          <t>No Video ID yet</t>
        </is>
      </c>
      <c r="S2341" s="46" t="n"/>
      <c r="T2341" s="46" t="n"/>
      <c r="U2341" s="44" t="n"/>
      <c r="V2341" s="44">
        <f>IF(AND(P2341&gt;=Calendar!$K$2,P2341&lt;EDATE(Calendar!$K$2,1),OR(Calendar!$K$4="*",N2341=Calendar!$K$4)),P2341*100+COUNTIFS($P$6:$P$3271,P2341,$Q$6:$Q$3271,"&lt;="&amp;Q2341,$N$6:$N$3271,Calendar!$K$4),"")</f>
        <v/>
      </c>
      <c r="W2341" s="44">
        <f>IF(AND(B2341=Queue!$C$4,OR(Queue!$K$4="*",N2341=Queue!$K$4)),Q2341,"")</f>
        <v/>
      </c>
    </row>
    <row r="2342">
      <c r="A2342" s="35">
        <f>IF(M2342="","",HYPERLINK("https://www.youtube.com/watch?v="&amp;M2342,"▶"))</f>
        <v/>
      </c>
      <c r="B2342" s="36">
        <f>IF(C2342&lt;&gt;"",C2342,IF(P2342&lt;=IFERROR(INDEX(tblChannels[Watched Through],MATCH(N2342,tblChannels[Channel ID],0)),0),"Watched","Unwatched"))</f>
        <v/>
      </c>
      <c r="C2342" s="37" t="n"/>
      <c r="D2342" s="38" t="n"/>
      <c r="E2342" s="39" t="n">
        <v>43045.46666666667</v>
      </c>
      <c r="F2342" s="49" t="inlineStr">
        <is>
          <t>Super Carlin Gaming</t>
        </is>
      </c>
      <c r="G2342" t="inlineStr">
        <is>
          <t>Pokemon Black Nuzlocke #4: N Means Business!</t>
        </is>
      </c>
      <c r="H2342" s="41" t="n">
        <v>0.02376157407407407</v>
      </c>
      <c r="I2342" s="42" t="n">
        <v>52957</v>
      </c>
      <c r="J2342" s="42" t="n">
        <v>1297</v>
      </c>
      <c r="K2342" s="42" t="n">
        <v>496</v>
      </c>
      <c r="L2342" s="43" t="n"/>
      <c r="M2342" s="44" t="n"/>
      <c r="N2342" s="44" t="inlineStr">
        <is>
          <t>UCor_9jRnNNZVzTuQ92PKsaQ</t>
        </is>
      </c>
      <c r="O2342" s="45" t="n">
        <v>43045.675</v>
      </c>
      <c r="P2342" s="46" t="n">
        <v>43045</v>
      </c>
      <c r="Q2342" s="44" t="n">
        <v>930</v>
      </c>
      <c r="R2342" s="44" t="inlineStr">
        <is>
          <t>No Video ID yet</t>
        </is>
      </c>
      <c r="S2342" s="46" t="n"/>
      <c r="T2342" s="46" t="n"/>
      <c r="U2342" s="44" t="n"/>
      <c r="V2342" s="44">
        <f>IF(AND(P2342&gt;=Calendar!$K$2,P2342&lt;EDATE(Calendar!$K$2,1),OR(Calendar!$K$4="*",N2342=Calendar!$K$4)),P2342*100+COUNTIFS($P$6:$P$3271,P2342,$Q$6:$Q$3271,"&lt;="&amp;Q2342,$N$6:$N$3271,Calendar!$K$4),"")</f>
        <v/>
      </c>
      <c r="W2342" s="44">
        <f>IF(AND(B2342=Queue!$C$4,OR(Queue!$K$4="*",N2342=Queue!$K$4)),Q2342,"")</f>
        <v/>
      </c>
    </row>
    <row r="2343">
      <c r="A2343" s="35">
        <f>IF(M2343="","",HYPERLINK("https://www.youtube.com/watch?v="&amp;M2343,"▶"))</f>
        <v/>
      </c>
      <c r="B2343" s="36">
        <f>IF(C2343&lt;&gt;"",C2343,IF(P2343&lt;=IFERROR(INDEX(tblChannels[Watched Through],MATCH(N2343,tblChannels[Channel ID],0)),0),"Watched","Unwatched"))</f>
        <v/>
      </c>
      <c r="C2343" s="37" t="n"/>
      <c r="D2343" s="38" t="n"/>
      <c r="E2343" s="39" t="n">
        <v>43042.54583333333</v>
      </c>
      <c r="F2343" s="49" t="inlineStr">
        <is>
          <t>Super Carlin Gaming</t>
        </is>
      </c>
      <c r="G2343" t="inlineStr">
        <is>
          <t>Pokemon Black Nuzlocke #3: The First Gym!</t>
        </is>
      </c>
      <c r="H2343" s="41" t="n">
        <v>0.0177662037037037</v>
      </c>
      <c r="I2343" s="42" t="n">
        <v>53556</v>
      </c>
      <c r="J2343" s="42" t="n">
        <v>1315</v>
      </c>
      <c r="K2343" s="42" t="n">
        <v>483</v>
      </c>
      <c r="L2343" s="43" t="n"/>
      <c r="M2343" s="44" t="n"/>
      <c r="N2343" s="44" t="inlineStr">
        <is>
          <t>UCor_9jRnNNZVzTuQ92PKsaQ</t>
        </is>
      </c>
      <c r="O2343" s="45" t="n">
        <v>43042.7125</v>
      </c>
      <c r="P2343" s="46" t="n">
        <v>43042</v>
      </c>
      <c r="Q2343" s="44" t="n">
        <v>929</v>
      </c>
      <c r="R2343" s="44" t="inlineStr">
        <is>
          <t>No Video ID yet</t>
        </is>
      </c>
      <c r="S2343" s="46" t="n"/>
      <c r="T2343" s="46" t="n"/>
      <c r="U2343" s="44" t="n"/>
      <c r="V2343" s="44">
        <f>IF(AND(P2343&gt;=Calendar!$K$2,P2343&lt;EDATE(Calendar!$K$2,1),OR(Calendar!$K$4="*",N2343=Calendar!$K$4)),P2343*100+COUNTIFS($P$6:$P$3271,P2343,$Q$6:$Q$3271,"&lt;="&amp;Q2343,$N$6:$N$3271,Calendar!$K$4),"")</f>
        <v/>
      </c>
      <c r="W2343" s="44">
        <f>IF(AND(B2343=Queue!$C$4,OR(Queue!$K$4="*",N2343=Queue!$K$4)),Q2343,"")</f>
        <v/>
      </c>
    </row>
    <row r="2344">
      <c r="A2344" s="35">
        <f>IF(M2344="","",HYPERLINK("https://www.youtube.com/watch?v="&amp;M2344,"▶"))</f>
        <v/>
      </c>
      <c r="B2344" s="36">
        <f>IF(C2344&lt;&gt;"",C2344,IF(P2344&lt;=IFERROR(INDEX(tblChannels[Watched Through],MATCH(N2344,tblChannels[Channel ID],0)),0),"Watched","Unwatched"))</f>
        <v/>
      </c>
      <c r="C2344" s="37" t="n"/>
      <c r="D2344" s="38" t="n"/>
      <c r="E2344" s="39" t="n">
        <v>43041.625</v>
      </c>
      <c r="F2344" s="47" t="inlineStr">
        <is>
          <t>Super Carlin Brothers</t>
        </is>
      </c>
      <c r="G2344" t="inlineStr">
        <is>
          <t>Star Wars: Vader Wasn't Always Luke's Father?</t>
        </is>
      </c>
      <c r="H2344" s="41" t="n">
        <v>0.007638888888888889</v>
      </c>
      <c r="I2344" s="42" t="n">
        <v>789347</v>
      </c>
      <c r="J2344" s="42" t="n">
        <v>15579</v>
      </c>
      <c r="K2344" s="42" t="n">
        <v>3659</v>
      </c>
      <c r="L2344" s="43" t="n"/>
      <c r="M2344" s="44" t="n"/>
      <c r="N2344" s="44" t="inlineStr">
        <is>
          <t>UCKZo4N0lVPccBkSiuyVh4yg</t>
        </is>
      </c>
      <c r="O2344" s="45" t="n">
        <v>43041.79166666666</v>
      </c>
      <c r="P2344" s="46" t="n">
        <v>43041</v>
      </c>
      <c r="Q2344" s="44" t="n">
        <v>928</v>
      </c>
      <c r="R2344" s="44" t="inlineStr">
        <is>
          <t>No Video ID yet</t>
        </is>
      </c>
      <c r="S2344" s="46" t="n"/>
      <c r="T2344" s="46" t="n"/>
      <c r="U2344" s="44" t="n"/>
      <c r="V2344" s="44">
        <f>IF(AND(P2344&gt;=Calendar!$K$2,P2344&lt;EDATE(Calendar!$K$2,1),OR(Calendar!$K$4="*",N2344=Calendar!$K$4)),P2344*100+COUNTIFS($P$6:$P$3271,P2344,$Q$6:$Q$3271,"&lt;="&amp;Q2344,$N$6:$N$3271,Calendar!$K$4),"")</f>
        <v/>
      </c>
      <c r="W2344" s="44">
        <f>IF(AND(B2344=Queue!$C$4,OR(Queue!$K$4="*",N2344=Queue!$K$4)),Q2344,"")</f>
        <v/>
      </c>
    </row>
    <row r="2345">
      <c r="A2345" s="35">
        <f>IF(M2345="","",HYPERLINK("https://www.youtube.com/watch?v="&amp;M2345,"▶"))</f>
        <v/>
      </c>
      <c r="B2345" s="36">
        <f>IF(C2345&lt;&gt;"",C2345,IF(P2345&lt;=IFERROR(INDEX(tblChannels[Watched Through],MATCH(N2345,tblChannels[Channel ID],0)),0),"Watched","Unwatched"))</f>
        <v/>
      </c>
      <c r="C2345" s="37" t="n"/>
      <c r="D2345" s="38" t="n"/>
      <c r="E2345" s="39" t="n">
        <v>43041.41666666666</v>
      </c>
      <c r="F2345" s="49" t="inlineStr">
        <is>
          <t>Super Carlin Gaming</t>
        </is>
      </c>
      <c r="G2345" t="inlineStr">
        <is>
          <t>Mario Kart Roulette #44: Dealing With Bullies?</t>
        </is>
      </c>
      <c r="H2345" s="41" t="n">
        <v>0.0109837962962963</v>
      </c>
      <c r="I2345" s="42" t="n">
        <v>12907</v>
      </c>
      <c r="J2345" s="42" t="n">
        <v>424</v>
      </c>
      <c r="K2345" s="42" t="n">
        <v>97</v>
      </c>
      <c r="L2345" s="43" t="n"/>
      <c r="M2345" s="44" t="n"/>
      <c r="N2345" s="44" t="inlineStr">
        <is>
          <t>UCor_9jRnNNZVzTuQ92PKsaQ</t>
        </is>
      </c>
      <c r="O2345" s="45" t="n">
        <v>43041.58333333334</v>
      </c>
      <c r="P2345" s="46" t="n">
        <v>43041</v>
      </c>
      <c r="Q2345" s="44" t="n">
        <v>927</v>
      </c>
      <c r="R2345" s="44" t="inlineStr">
        <is>
          <t>No Video ID yet</t>
        </is>
      </c>
      <c r="S2345" s="46" t="n"/>
      <c r="T2345" s="46" t="n"/>
      <c r="U2345" s="44" t="n"/>
      <c r="V2345" s="44">
        <f>IF(AND(P2345&gt;=Calendar!$K$2,P2345&lt;EDATE(Calendar!$K$2,1),OR(Calendar!$K$4="*",N2345=Calendar!$K$4)),P2345*100+COUNTIFS($P$6:$P$3271,P2345,$Q$6:$Q$3271,"&lt;="&amp;Q2345,$N$6:$N$3271,Calendar!$K$4),"")</f>
        <v/>
      </c>
      <c r="W2345" s="44">
        <f>IF(AND(B2345=Queue!$C$4,OR(Queue!$K$4="*",N2345=Queue!$K$4)),Q2345,"")</f>
        <v/>
      </c>
    </row>
    <row r="2346">
      <c r="A2346" s="35">
        <f>IF(M2346="","",HYPERLINK("https://www.youtube.com/watch?v="&amp;M2346,"▶"))</f>
        <v/>
      </c>
      <c r="B2346" s="36">
        <f>IF(C2346&lt;&gt;"",C2346,IF(P2346&lt;=IFERROR(INDEX(tblChannels[Watched Through],MATCH(N2346,tblChannels[Channel ID],0)),0),"Watched","Unwatched"))</f>
        <v/>
      </c>
      <c r="C2346" s="37" t="n"/>
      <c r="D2346" s="38" t="n"/>
      <c r="E2346" s="39" t="n">
        <v>43040.46180555555</v>
      </c>
      <c r="F2346" s="49" t="inlineStr">
        <is>
          <t>Super Carlin Gaming</t>
        </is>
      </c>
      <c r="G2346" t="inlineStr">
        <is>
          <t>Pokemon Black Nuzlocke #2: New Teammates!</t>
        </is>
      </c>
      <c r="H2346" s="41" t="n">
        <v>0.01553240740740741</v>
      </c>
      <c r="I2346" s="42" t="n">
        <v>62416</v>
      </c>
      <c r="J2346" s="42" t="n">
        <v>1429</v>
      </c>
      <c r="K2346" s="42" t="n">
        <v>945</v>
      </c>
      <c r="L2346" s="43" t="n"/>
      <c r="M2346" s="44" t="n"/>
      <c r="N2346" s="44" t="inlineStr">
        <is>
          <t>UCor_9jRnNNZVzTuQ92PKsaQ</t>
        </is>
      </c>
      <c r="O2346" s="45" t="n">
        <v>43040.62847222222</v>
      </c>
      <c r="P2346" s="46" t="n">
        <v>43040</v>
      </c>
      <c r="Q2346" s="44" t="n">
        <v>926</v>
      </c>
      <c r="R2346" s="44" t="inlineStr">
        <is>
          <t>No Video ID yet</t>
        </is>
      </c>
      <c r="S2346" s="46" t="n"/>
      <c r="T2346" s="46" t="n"/>
      <c r="U2346" s="44" t="n"/>
      <c r="V2346" s="44">
        <f>IF(AND(P2346&gt;=Calendar!$K$2,P2346&lt;EDATE(Calendar!$K$2,1),OR(Calendar!$K$4="*",N2346=Calendar!$K$4)),P2346*100+COUNTIFS($P$6:$P$3271,P2346,$Q$6:$Q$3271,"&lt;="&amp;Q2346,$N$6:$N$3271,Calendar!$K$4),"")</f>
        <v/>
      </c>
      <c r="W2346" s="44">
        <f>IF(AND(B2346=Queue!$C$4,OR(Queue!$K$4="*",N2346=Queue!$K$4)),Q2346,"")</f>
        <v/>
      </c>
    </row>
    <row r="2347">
      <c r="A2347" s="35">
        <f>IF(M2347="","",HYPERLINK("https://www.youtube.com/watch?v="&amp;M2347,"▶"))</f>
        <v/>
      </c>
      <c r="B2347" s="36">
        <f>IF(C2347&lt;&gt;"",C2347,IF(P2347&lt;=IFERROR(INDEX(tblChannels[Watched Through],MATCH(N2347,tblChannels[Channel ID],0)),0),"Watched","Unwatched"))</f>
        <v/>
      </c>
      <c r="C2347" s="37" t="n"/>
      <c r="D2347" s="38" t="n"/>
      <c r="E2347" s="39" t="n">
        <v>43039.64583333334</v>
      </c>
      <c r="F2347" s="47" t="inlineStr">
        <is>
          <t>Super Carlin Brothers</t>
        </is>
      </c>
      <c r="G2347" t="inlineStr">
        <is>
          <t>J vs Ben: Hardest MONSTERS INC Trivia Quiz Ever (ft. Seamus Gorman)</t>
        </is>
      </c>
      <c r="H2347" s="41" t="n">
        <v>0.01664351851851852</v>
      </c>
      <c r="I2347" s="42" t="n">
        <v>841634</v>
      </c>
      <c r="J2347" s="42" t="n">
        <v>16701</v>
      </c>
      <c r="K2347" s="42" t="n">
        <v>2001</v>
      </c>
      <c r="L2347" s="43" t="n"/>
      <c r="M2347" s="44" t="n"/>
      <c r="N2347" s="44" t="inlineStr">
        <is>
          <t>UCKZo4N0lVPccBkSiuyVh4yg</t>
        </is>
      </c>
      <c r="O2347" s="45" t="n">
        <v>43039.8125</v>
      </c>
      <c r="P2347" s="46" t="n">
        <v>43039</v>
      </c>
      <c r="Q2347" s="44" t="n">
        <v>925</v>
      </c>
      <c r="R2347" s="44" t="inlineStr">
        <is>
          <t>No Video ID yet</t>
        </is>
      </c>
      <c r="S2347" s="46" t="n"/>
      <c r="T2347" s="46" t="n"/>
      <c r="U2347" s="44" t="n"/>
      <c r="V2347" s="44">
        <f>IF(AND(P2347&gt;=Calendar!$K$2,P2347&lt;EDATE(Calendar!$K$2,1),OR(Calendar!$K$4="*",N2347=Calendar!$K$4)),P2347*100+COUNTIFS($P$6:$P$3271,P2347,$Q$6:$Q$3271,"&lt;="&amp;Q2347,$N$6:$N$3271,Calendar!$K$4),"")</f>
        <v/>
      </c>
      <c r="W2347" s="44">
        <f>IF(AND(B2347=Queue!$C$4,OR(Queue!$K$4="*",N2347=Queue!$K$4)),Q2347,"")</f>
        <v/>
      </c>
    </row>
    <row r="2348">
      <c r="A2348" s="35">
        <f>IF(M2348="","",HYPERLINK("https://www.youtube.com/watch?v="&amp;M2348,"▶"))</f>
        <v/>
      </c>
      <c r="B2348" s="36">
        <f>IF(C2348&lt;&gt;"",C2348,IF(P2348&lt;=IFERROR(INDEX(tblChannels[Watched Through],MATCH(N2348,tblChannels[Channel ID],0)),0),"Watched","Unwatched"))</f>
        <v/>
      </c>
      <c r="C2348" s="37" t="n"/>
      <c r="D2348" s="38" t="n"/>
      <c r="E2348" s="39" t="n">
        <v>43039.5625</v>
      </c>
      <c r="F2348" s="50" t="inlineStr">
        <is>
          <t>Jonathan Carlin</t>
        </is>
      </c>
      <c r="G2348" t="inlineStr">
        <is>
          <t>BEER MILE</t>
        </is>
      </c>
      <c r="H2348" s="41" t="n">
        <v>0.008402777777777778</v>
      </c>
      <c r="I2348" s="42" t="n">
        <v>55644</v>
      </c>
      <c r="J2348" s="42" t="n">
        <v>2575</v>
      </c>
      <c r="K2348" s="42" t="n">
        <v>365</v>
      </c>
      <c r="L2348" s="43" t="n"/>
      <c r="M2348" s="44" t="n"/>
      <c r="N2348" s="44" t="inlineStr">
        <is>
          <t>UCYPKFe86e6nm4TVUYKLsFUQ</t>
        </is>
      </c>
      <c r="O2348" s="45" t="n">
        <v>43039.72916666666</v>
      </c>
      <c r="P2348" s="46" t="n">
        <v>43039</v>
      </c>
      <c r="Q2348" s="44" t="n">
        <v>924</v>
      </c>
      <c r="R2348" s="44" t="inlineStr">
        <is>
          <t>No Video ID yet</t>
        </is>
      </c>
      <c r="S2348" s="46" t="n"/>
      <c r="T2348" s="46" t="n"/>
      <c r="U2348" s="44" t="n"/>
      <c r="V2348" s="44">
        <f>IF(AND(P2348&gt;=Calendar!$K$2,P2348&lt;EDATE(Calendar!$K$2,1),OR(Calendar!$K$4="*",N2348=Calendar!$K$4)),P2348*100+COUNTIFS($P$6:$P$3271,P2348,$Q$6:$Q$3271,"&lt;="&amp;Q2348,$N$6:$N$3271,Calendar!$K$4),"")</f>
        <v/>
      </c>
      <c r="W2348" s="44">
        <f>IF(AND(B2348=Queue!$C$4,OR(Queue!$K$4="*",N2348=Queue!$K$4)),Q2348,"")</f>
        <v/>
      </c>
    </row>
    <row r="2349">
      <c r="A2349" s="35">
        <f>IF(M2349="","",HYPERLINK("https://www.youtube.com/watch?v="&amp;M2349,"▶"))</f>
        <v/>
      </c>
      <c r="B2349" s="36">
        <f>IF(C2349&lt;&gt;"",C2349,IF(P2349&lt;=IFERROR(INDEX(tblChannels[Watched Through],MATCH(N2349,tblChannels[Channel ID],0)),0),"Watched","Unwatched"))</f>
        <v/>
      </c>
      <c r="C2349" s="37" t="n"/>
      <c r="D2349" s="38" t="n"/>
      <c r="E2349" s="39" t="n">
        <v>43039.41666666666</v>
      </c>
      <c r="F2349" s="49" t="inlineStr">
        <is>
          <t>Super Carlin Gaming</t>
        </is>
      </c>
      <c r="G2349" t="inlineStr">
        <is>
          <t>Mario Kart Roulette #43: Dating After a Break Up?</t>
        </is>
      </c>
      <c r="H2349" s="41" t="n">
        <v>0.01207175925925926</v>
      </c>
      <c r="I2349" s="42" t="n">
        <v>14938</v>
      </c>
      <c r="J2349" s="42" t="n">
        <v>417</v>
      </c>
      <c r="K2349" s="42" t="n">
        <v>120</v>
      </c>
      <c r="L2349" s="43" t="n"/>
      <c r="M2349" s="44" t="n"/>
      <c r="N2349" s="44" t="inlineStr">
        <is>
          <t>UCor_9jRnNNZVzTuQ92PKsaQ</t>
        </is>
      </c>
      <c r="O2349" s="45" t="n">
        <v>43039.58333333334</v>
      </c>
      <c r="P2349" s="46" t="n">
        <v>43039</v>
      </c>
      <c r="Q2349" s="44" t="n">
        <v>923</v>
      </c>
      <c r="R2349" s="44" t="inlineStr">
        <is>
          <t>No Video ID yet</t>
        </is>
      </c>
      <c r="S2349" s="46" t="n"/>
      <c r="T2349" s="46" t="n"/>
      <c r="U2349" s="44" t="n"/>
      <c r="V2349" s="44">
        <f>IF(AND(P2349&gt;=Calendar!$K$2,P2349&lt;EDATE(Calendar!$K$2,1),OR(Calendar!$K$4="*",N2349=Calendar!$K$4)),P2349*100+COUNTIFS($P$6:$P$3271,P2349,$Q$6:$Q$3271,"&lt;="&amp;Q2349,$N$6:$N$3271,Calendar!$K$4),"")</f>
        <v/>
      </c>
      <c r="W2349" s="44">
        <f>IF(AND(B2349=Queue!$C$4,OR(Queue!$K$4="*",N2349=Queue!$K$4)),Q2349,"")</f>
        <v/>
      </c>
    </row>
    <row r="2350">
      <c r="A2350" s="35">
        <f>IF(M2350="","",HYPERLINK("https://www.youtube.com/watch?v="&amp;M2350,"▶"))</f>
        <v/>
      </c>
      <c r="B2350" s="36">
        <f>IF(C2350&lt;&gt;"",C2350,IF(P2350&lt;=IFERROR(INDEX(tblChannels[Watched Through],MATCH(N2350,tblChannels[Channel ID],0)),0),"Watched","Unwatched"))</f>
        <v/>
      </c>
      <c r="C2350" s="37" t="n"/>
      <c r="D2350" s="38" t="n"/>
      <c r="E2350" s="39" t="n">
        <v>43038.43819444445</v>
      </c>
      <c r="F2350" s="49" t="inlineStr">
        <is>
          <t>Super Carlin Gaming</t>
        </is>
      </c>
      <c r="G2350" t="inlineStr">
        <is>
          <t>Pokemon Black Nuzlocke #1: Tepig, Oshawott, or Snivy?</t>
        </is>
      </c>
      <c r="H2350" s="41" t="n">
        <v>0.01232638888888889</v>
      </c>
      <c r="I2350" s="42" t="n">
        <v>119978</v>
      </c>
      <c r="J2350" s="42" t="n">
        <v>2415</v>
      </c>
      <c r="K2350" s="42" t="n">
        <v>1391</v>
      </c>
      <c r="L2350" s="43" t="n"/>
      <c r="M2350" s="44" t="n"/>
      <c r="N2350" s="44" t="inlineStr">
        <is>
          <t>UCor_9jRnNNZVzTuQ92PKsaQ</t>
        </is>
      </c>
      <c r="O2350" s="45" t="n">
        <v>43038.60486111111</v>
      </c>
      <c r="P2350" s="46" t="n">
        <v>43038</v>
      </c>
      <c r="Q2350" s="44" t="n">
        <v>922</v>
      </c>
      <c r="R2350" s="44" t="inlineStr">
        <is>
          <t>No Video ID yet</t>
        </is>
      </c>
      <c r="S2350" s="46" t="n"/>
      <c r="T2350" s="46" t="n"/>
      <c r="U2350" s="44" t="n"/>
      <c r="V2350" s="44">
        <f>IF(AND(P2350&gt;=Calendar!$K$2,P2350&lt;EDATE(Calendar!$K$2,1),OR(Calendar!$K$4="*",N2350=Calendar!$K$4)),P2350*100+COUNTIFS($P$6:$P$3271,P2350,$Q$6:$Q$3271,"&lt;="&amp;Q2350,$N$6:$N$3271,Calendar!$K$4),"")</f>
        <v/>
      </c>
      <c r="W2350" s="44">
        <f>IF(AND(B2350=Queue!$C$4,OR(Queue!$K$4="*",N2350=Queue!$K$4)),Q2350,"")</f>
        <v/>
      </c>
    </row>
    <row r="2351">
      <c r="A2351" s="35">
        <f>IF(M2351="","",HYPERLINK("https://www.youtube.com/watch?v="&amp;M2351,"▶"))</f>
        <v/>
      </c>
      <c r="B2351" s="36">
        <f>IF(C2351&lt;&gt;"",C2351,IF(P2351&lt;=IFERROR(INDEX(tblChannels[Watched Through],MATCH(N2351,tblChannels[Channel ID],0)),0),"Watched","Unwatched"))</f>
        <v/>
      </c>
      <c r="C2351" s="37" t="n"/>
      <c r="D2351" s="38" t="n"/>
      <c r="E2351" s="39" t="n">
        <v>43034.58333333334</v>
      </c>
      <c r="F2351" s="47" t="inlineStr">
        <is>
          <t>Super Carlin Brothers</t>
        </is>
      </c>
      <c r="G2351" t="inlineStr">
        <is>
          <t>J and Ben vs. DARTH VADER - Star Wars: Jedi Challenges Hands-On!!</t>
        </is>
      </c>
      <c r="H2351" s="41" t="n">
        <v>0.004502314814814815</v>
      </c>
      <c r="I2351" s="42" t="n">
        <v>184688</v>
      </c>
      <c r="J2351" s="42" t="n">
        <v>6346</v>
      </c>
      <c r="K2351" s="42" t="n">
        <v>435</v>
      </c>
      <c r="L2351" s="43" t="n"/>
      <c r="M2351" s="44" t="n"/>
      <c r="N2351" s="44" t="inlineStr">
        <is>
          <t>UCKZo4N0lVPccBkSiuyVh4yg</t>
        </is>
      </c>
      <c r="O2351" s="45" t="n">
        <v>43034.75</v>
      </c>
      <c r="P2351" s="46" t="n">
        <v>43034</v>
      </c>
      <c r="Q2351" s="44" t="n">
        <v>921</v>
      </c>
      <c r="R2351" s="44" t="inlineStr">
        <is>
          <t>No Video ID yet</t>
        </is>
      </c>
      <c r="S2351" s="46" t="n"/>
      <c r="T2351" s="46" t="n"/>
      <c r="U2351" s="44" t="n"/>
      <c r="V2351" s="44">
        <f>IF(AND(P2351&gt;=Calendar!$K$2,P2351&lt;EDATE(Calendar!$K$2,1),OR(Calendar!$K$4="*",N2351=Calendar!$K$4)),P2351*100+COUNTIFS($P$6:$P$3271,P2351,$Q$6:$Q$3271,"&lt;="&amp;Q2351,$N$6:$N$3271,Calendar!$K$4),"")</f>
        <v/>
      </c>
      <c r="W2351" s="44">
        <f>IF(AND(B2351=Queue!$C$4,OR(Queue!$K$4="*",N2351=Queue!$K$4)),Q2351,"")</f>
        <v/>
      </c>
    </row>
    <row r="2352">
      <c r="A2352" s="35">
        <f>IF(M2352="","",HYPERLINK("https://www.youtube.com/watch?v="&amp;M2352,"▶"))</f>
        <v/>
      </c>
      <c r="B2352" s="36">
        <f>IF(C2352&lt;&gt;"",C2352,IF(P2352&lt;=IFERROR(INDEX(tblChannels[Watched Through],MATCH(N2352,tblChannels[Channel ID],0)),0),"Watched","Unwatched"))</f>
        <v/>
      </c>
      <c r="C2352" s="37" t="n"/>
      <c r="D2352" s="38" t="n"/>
      <c r="E2352" s="39" t="n">
        <v>43034.57222222222</v>
      </c>
      <c r="F2352" s="49" t="inlineStr">
        <is>
          <t>Super Carlin Gaming</t>
        </is>
      </c>
      <c r="G2352" t="inlineStr">
        <is>
          <t>Mario Kart Roulette #42: Would You Rather #2! (Featuring Seamus Gorman)</t>
        </is>
      </c>
      <c r="H2352" s="41" t="n">
        <v>0.01190972222222222</v>
      </c>
      <c r="I2352" s="42" t="n">
        <v>16994</v>
      </c>
      <c r="J2352" s="42" t="n">
        <v>495</v>
      </c>
      <c r="K2352" s="42" t="n">
        <v>65</v>
      </c>
      <c r="L2352" s="43" t="n"/>
      <c r="M2352" s="44" t="n"/>
      <c r="N2352" s="44" t="inlineStr">
        <is>
          <t>UCor_9jRnNNZVzTuQ92PKsaQ</t>
        </is>
      </c>
      <c r="O2352" s="45" t="n">
        <v>43034.73888888889</v>
      </c>
      <c r="P2352" s="46" t="n">
        <v>43034</v>
      </c>
      <c r="Q2352" s="44" t="n">
        <v>920</v>
      </c>
      <c r="R2352" s="44" t="inlineStr">
        <is>
          <t>No Video ID yet</t>
        </is>
      </c>
      <c r="S2352" s="46" t="n"/>
      <c r="T2352" s="46" t="n"/>
      <c r="U2352" s="44" t="n"/>
      <c r="V2352" s="44">
        <f>IF(AND(P2352&gt;=Calendar!$K$2,P2352&lt;EDATE(Calendar!$K$2,1),OR(Calendar!$K$4="*",N2352=Calendar!$K$4)),P2352*100+COUNTIFS($P$6:$P$3271,P2352,$Q$6:$Q$3271,"&lt;="&amp;Q2352,$N$6:$N$3271,Calendar!$K$4),"")</f>
        <v/>
      </c>
      <c r="W2352" s="44">
        <f>IF(AND(B2352=Queue!$C$4,OR(Queue!$K$4="*",N2352=Queue!$K$4)),Q2352,"")</f>
        <v/>
      </c>
    </row>
    <row r="2353">
      <c r="A2353" s="35">
        <f>IF(M2353="","",HYPERLINK("https://www.youtube.com/watch?v="&amp;M2353,"▶"))</f>
        <v/>
      </c>
      <c r="B2353" s="36">
        <f>IF(C2353&lt;&gt;"",C2353,IF(P2353&lt;=IFERROR(INDEX(tblChannels[Watched Through],MATCH(N2353,tblChannels[Channel ID],0)),0),"Watched","Unwatched"))</f>
        <v/>
      </c>
      <c r="C2353" s="37" t="n"/>
      <c r="D2353" s="38" t="n"/>
      <c r="E2353" s="39" t="n">
        <v>43032.71319444444</v>
      </c>
      <c r="F2353" s="47" t="inlineStr">
        <is>
          <t>Super Carlin Brothers</t>
        </is>
      </c>
      <c r="G2353" t="inlineStr">
        <is>
          <t>Stranger Things Theory: Eleven Is Jean Grey</t>
        </is>
      </c>
      <c r="H2353" s="41" t="n">
        <v>0.006689814814814815</v>
      </c>
      <c r="I2353" s="42" t="n">
        <v>345463</v>
      </c>
      <c r="J2353" s="42" t="n">
        <v>11245</v>
      </c>
      <c r="K2353" s="42" t="n">
        <v>1713</v>
      </c>
      <c r="L2353" s="43" t="n"/>
      <c r="M2353" s="44" t="n"/>
      <c r="N2353" s="44" t="inlineStr">
        <is>
          <t>UCKZo4N0lVPccBkSiuyVh4yg</t>
        </is>
      </c>
      <c r="O2353" s="45" t="n">
        <v>43032.87986111111</v>
      </c>
      <c r="P2353" s="46" t="n">
        <v>43032</v>
      </c>
      <c r="Q2353" s="44" t="n">
        <v>919</v>
      </c>
      <c r="R2353" s="44" t="inlineStr">
        <is>
          <t>No Video ID yet</t>
        </is>
      </c>
      <c r="S2353" s="46" t="n"/>
      <c r="T2353" s="46" t="n"/>
      <c r="U2353" s="44" t="n"/>
      <c r="V2353" s="44">
        <f>IF(AND(P2353&gt;=Calendar!$K$2,P2353&lt;EDATE(Calendar!$K$2,1),OR(Calendar!$K$4="*",N2353=Calendar!$K$4)),P2353*100+COUNTIFS($P$6:$P$3271,P2353,$Q$6:$Q$3271,"&lt;="&amp;Q2353,$N$6:$N$3271,Calendar!$K$4),"")</f>
        <v/>
      </c>
      <c r="W2353" s="44">
        <f>IF(AND(B2353=Queue!$C$4,OR(Queue!$K$4="*",N2353=Queue!$K$4)),Q2353,"")</f>
        <v/>
      </c>
    </row>
    <row r="2354">
      <c r="A2354" s="35">
        <f>IF(M2354="","",HYPERLINK("https://www.youtube.com/watch?v="&amp;M2354,"▶"))</f>
        <v/>
      </c>
      <c r="B2354" s="36">
        <f>IF(C2354&lt;&gt;"",C2354,IF(P2354&lt;=IFERROR(INDEX(tblChannels[Watched Through],MATCH(N2354,tblChannels[Channel ID],0)),0),"Watched","Unwatched"))</f>
        <v/>
      </c>
      <c r="C2354" s="37" t="n"/>
      <c r="D2354" s="38" t="n"/>
      <c r="E2354" s="39" t="n">
        <v>43032.63472222222</v>
      </c>
      <c r="F2354" s="49" t="inlineStr">
        <is>
          <t>Super Carlin Gaming</t>
        </is>
      </c>
      <c r="G2354" t="inlineStr">
        <is>
          <t>Mario Kart Roulette #41: Would You Rather #1! (Featuring Seamus Gorman)</t>
        </is>
      </c>
      <c r="H2354" s="41" t="n">
        <v>0.01408564814814815</v>
      </c>
      <c r="I2354" s="42" t="n">
        <v>23521</v>
      </c>
      <c r="J2354" s="42" t="n">
        <v>622</v>
      </c>
      <c r="K2354" s="42" t="n">
        <v>88</v>
      </c>
      <c r="L2354" s="43" t="n"/>
      <c r="M2354" s="44" t="n"/>
      <c r="N2354" s="44" t="inlineStr">
        <is>
          <t>UCor_9jRnNNZVzTuQ92PKsaQ</t>
        </is>
      </c>
      <c r="O2354" s="45" t="n">
        <v>43032.80138888889</v>
      </c>
      <c r="P2354" s="46" t="n">
        <v>43032</v>
      </c>
      <c r="Q2354" s="44" t="n">
        <v>918</v>
      </c>
      <c r="R2354" s="44" t="inlineStr">
        <is>
          <t>No Video ID yet</t>
        </is>
      </c>
      <c r="S2354" s="46" t="n"/>
      <c r="T2354" s="46" t="n"/>
      <c r="U2354" s="44" t="n"/>
      <c r="V2354" s="44">
        <f>IF(AND(P2354&gt;=Calendar!$K$2,P2354&lt;EDATE(Calendar!$K$2,1),OR(Calendar!$K$4="*",N2354=Calendar!$K$4)),P2354*100+COUNTIFS($P$6:$P$3271,P2354,$Q$6:$Q$3271,"&lt;="&amp;Q2354,$N$6:$N$3271,Calendar!$K$4),"")</f>
        <v/>
      </c>
      <c r="W2354" s="44">
        <f>IF(AND(B2354=Queue!$C$4,OR(Queue!$K$4="*",N2354=Queue!$K$4)),Q2354,"")</f>
        <v/>
      </c>
    </row>
    <row r="2355">
      <c r="A2355" s="35">
        <f>IF(M2355="","",HYPERLINK("https://www.youtube.com/watch?v="&amp;M2355,"▶"))</f>
        <v/>
      </c>
      <c r="B2355" s="36">
        <f>IF(C2355&lt;&gt;"",C2355,IF(P2355&lt;=IFERROR(INDEX(tblChannels[Watched Through],MATCH(N2355,tblChannels[Channel ID],0)),0),"Watched","Unwatched"))</f>
        <v/>
      </c>
      <c r="C2355" s="37" t="n"/>
      <c r="D2355" s="38" t="n"/>
      <c r="E2355" s="39" t="n">
        <v>43027.78958333333</v>
      </c>
      <c r="F2355" s="47" t="inlineStr">
        <is>
          <t>Super Carlin Brothers</t>
        </is>
      </c>
      <c r="G2355" t="inlineStr">
        <is>
          <t>Harry Potter Theory: How The Sorcerer's Stone Was Made (ft. Seamus Gorman)</t>
        </is>
      </c>
      <c r="H2355" s="41" t="n">
        <v>0.006180555555555555</v>
      </c>
      <c r="I2355" s="42" t="n">
        <v>994725</v>
      </c>
      <c r="J2355" s="42" t="n">
        <v>27423</v>
      </c>
      <c r="K2355" s="42" t="n">
        <v>4519</v>
      </c>
      <c r="L2355" s="43" t="n"/>
      <c r="M2355" s="44" t="n"/>
      <c r="N2355" s="44" t="inlineStr">
        <is>
          <t>UCKZo4N0lVPccBkSiuyVh4yg</t>
        </is>
      </c>
      <c r="O2355" s="45" t="n">
        <v>43027.95625</v>
      </c>
      <c r="P2355" s="46" t="n">
        <v>43027</v>
      </c>
      <c r="Q2355" s="44" t="n">
        <v>917</v>
      </c>
      <c r="R2355" s="44" t="inlineStr">
        <is>
          <t>No Video ID yet</t>
        </is>
      </c>
      <c r="S2355" s="46" t="n"/>
      <c r="T2355" s="46" t="n"/>
      <c r="U2355" s="44" t="n"/>
      <c r="V2355" s="44">
        <f>IF(AND(P2355&gt;=Calendar!$K$2,P2355&lt;EDATE(Calendar!$K$2,1),OR(Calendar!$K$4="*",N2355=Calendar!$K$4)),P2355*100+COUNTIFS($P$6:$P$3271,P2355,$Q$6:$Q$3271,"&lt;="&amp;Q2355,$N$6:$N$3271,Calendar!$K$4),"")</f>
        <v/>
      </c>
      <c r="W2355" s="44">
        <f>IF(AND(B2355=Queue!$C$4,OR(Queue!$K$4="*",N2355=Queue!$K$4)),Q2355,"")</f>
        <v/>
      </c>
    </row>
    <row r="2356">
      <c r="A2356" s="35">
        <f>IF(M2356="","",HYPERLINK("https://www.youtube.com/watch?v="&amp;M2356,"▶"))</f>
        <v/>
      </c>
      <c r="B2356" s="36">
        <f>IF(C2356&lt;&gt;"",C2356,IF(P2356&lt;=IFERROR(INDEX(tblChannels[Watched Through],MATCH(N2356,tblChannels[Channel ID],0)),0),"Watched","Unwatched"))</f>
        <v/>
      </c>
      <c r="C2356" s="37" t="n"/>
      <c r="D2356" s="38" t="n"/>
      <c r="E2356" s="39" t="n">
        <v>43027.42708333334</v>
      </c>
      <c r="F2356" s="49" t="inlineStr">
        <is>
          <t>Super Carlin Gaming</t>
        </is>
      </c>
      <c r="G2356" t="inlineStr">
        <is>
          <t>Mario Kart Roulette #40: BATTLE EDITION #2! (Featuring Seamus Gorman)</t>
        </is>
      </c>
      <c r="H2356" s="41" t="n">
        <v>0.01097222222222222</v>
      </c>
      <c r="I2356" s="42" t="n">
        <v>19626</v>
      </c>
      <c r="J2356" s="42" t="n">
        <v>620</v>
      </c>
      <c r="K2356" s="42" t="n">
        <v>114</v>
      </c>
      <c r="L2356" s="43" t="n"/>
      <c r="M2356" s="44" t="n"/>
      <c r="N2356" s="44" t="inlineStr">
        <is>
          <t>UCor_9jRnNNZVzTuQ92PKsaQ</t>
        </is>
      </c>
      <c r="O2356" s="45" t="n">
        <v>43027.59375</v>
      </c>
      <c r="P2356" s="46" t="n">
        <v>43027</v>
      </c>
      <c r="Q2356" s="44" t="n">
        <v>916</v>
      </c>
      <c r="R2356" s="44" t="inlineStr">
        <is>
          <t>No Video ID yet</t>
        </is>
      </c>
      <c r="S2356" s="46" t="n"/>
      <c r="T2356" s="46" t="n"/>
      <c r="U2356" s="44" t="n"/>
      <c r="V2356" s="44">
        <f>IF(AND(P2356&gt;=Calendar!$K$2,P2356&lt;EDATE(Calendar!$K$2,1),OR(Calendar!$K$4="*",N2356=Calendar!$K$4)),P2356*100+COUNTIFS($P$6:$P$3271,P2356,$Q$6:$Q$3271,"&lt;="&amp;Q2356,$N$6:$N$3271,Calendar!$K$4),"")</f>
        <v/>
      </c>
      <c r="W2356" s="44">
        <f>IF(AND(B2356=Queue!$C$4,OR(Queue!$K$4="*",N2356=Queue!$K$4)),Q2356,"")</f>
        <v/>
      </c>
    </row>
    <row r="2357">
      <c r="A2357" s="35">
        <f>IF(M2357="","",HYPERLINK("https://www.youtube.com/watch?v="&amp;M2357,"▶"))</f>
        <v/>
      </c>
      <c r="B2357" s="36">
        <f>IF(C2357&lt;&gt;"",C2357,IF(P2357&lt;=IFERROR(INDEX(tblChannels[Watched Through],MATCH(N2357,tblChannels[Channel ID],0)),0),"Watched","Unwatched"))</f>
        <v/>
      </c>
      <c r="C2357" s="37" t="n"/>
      <c r="D2357" s="38" t="n"/>
      <c r="E2357" s="39" t="n">
        <v>43025.83611111111</v>
      </c>
      <c r="F2357" s="47" t="inlineStr">
        <is>
          <t>Super Carlin Brothers</t>
        </is>
      </c>
      <c r="G2357" t="inlineStr">
        <is>
          <t>Harry Potter Theory: Hufflepuff's Cup And Slytherin's Locket (ft. Seamus Gorman)</t>
        </is>
      </c>
      <c r="H2357" s="41" t="n">
        <v>0.006851851851851852</v>
      </c>
      <c r="I2357" s="42" t="n">
        <v>1234440</v>
      </c>
      <c r="J2357" s="42" t="n">
        <v>33713</v>
      </c>
      <c r="K2357" s="42" t="n">
        <v>4697</v>
      </c>
      <c r="L2357" s="43" t="n"/>
      <c r="M2357" s="44" t="n"/>
      <c r="N2357" s="44" t="inlineStr">
        <is>
          <t>UCKZo4N0lVPccBkSiuyVh4yg</t>
        </is>
      </c>
      <c r="O2357" s="45" t="n">
        <v>43026.00277777778</v>
      </c>
      <c r="P2357" s="46" t="n">
        <v>43025</v>
      </c>
      <c r="Q2357" s="44" t="n">
        <v>915</v>
      </c>
      <c r="R2357" s="44" t="inlineStr">
        <is>
          <t>No Video ID yet</t>
        </is>
      </c>
      <c r="S2357" s="46" t="n"/>
      <c r="T2357" s="46" t="n"/>
      <c r="U2357" s="44" t="n"/>
      <c r="V2357" s="44">
        <f>IF(AND(P2357&gt;=Calendar!$K$2,P2357&lt;EDATE(Calendar!$K$2,1),OR(Calendar!$K$4="*",N2357=Calendar!$K$4)),P2357*100+COUNTIFS($P$6:$P$3271,P2357,$Q$6:$Q$3271,"&lt;="&amp;Q2357,$N$6:$N$3271,Calendar!$K$4),"")</f>
        <v/>
      </c>
      <c r="W2357" s="44">
        <f>IF(AND(B2357=Queue!$C$4,OR(Queue!$K$4="*",N2357=Queue!$K$4)),Q2357,"")</f>
        <v/>
      </c>
    </row>
    <row r="2358">
      <c r="A2358" s="35">
        <f>IF(M2358="","",HYPERLINK("https://www.youtube.com/watch?v="&amp;M2358,"▶"))</f>
        <v/>
      </c>
      <c r="B2358" s="36">
        <f>IF(C2358&lt;&gt;"",C2358,IF(P2358&lt;=IFERROR(INDEX(tblChannels[Watched Through],MATCH(N2358,tblChannels[Channel ID],0)),0),"Watched","Unwatched"))</f>
        <v/>
      </c>
      <c r="C2358" s="37" t="n"/>
      <c r="D2358" s="38" t="n"/>
      <c r="E2358" s="39" t="n">
        <v>43025.59652777778</v>
      </c>
      <c r="F2358" s="49" t="inlineStr">
        <is>
          <t>Super Carlin Gaming</t>
        </is>
      </c>
      <c r="G2358" t="inlineStr">
        <is>
          <t>Mario Kart Roulette #39: BATTLE EDITION Featuring Seamus Gorman!</t>
        </is>
      </c>
      <c r="H2358" s="41" t="n">
        <v>0.01265046296296296</v>
      </c>
      <c r="I2358" s="42" t="n">
        <v>32778</v>
      </c>
      <c r="J2358" s="42" t="n">
        <v>1012</v>
      </c>
      <c r="K2358" s="42" t="n">
        <v>163</v>
      </c>
      <c r="L2358" s="43" t="n"/>
      <c r="M2358" s="44" t="n"/>
      <c r="N2358" s="44" t="inlineStr">
        <is>
          <t>UCor_9jRnNNZVzTuQ92PKsaQ</t>
        </is>
      </c>
      <c r="O2358" s="45" t="n">
        <v>43025.76319444444</v>
      </c>
      <c r="P2358" s="46" t="n">
        <v>43025</v>
      </c>
      <c r="Q2358" s="44" t="n">
        <v>914</v>
      </c>
      <c r="R2358" s="44" t="inlineStr">
        <is>
          <t>No Video ID yet</t>
        </is>
      </c>
      <c r="S2358" s="46" t="n"/>
      <c r="T2358" s="46" t="n"/>
      <c r="U2358" s="44" t="n"/>
      <c r="V2358" s="44">
        <f>IF(AND(P2358&gt;=Calendar!$K$2,P2358&lt;EDATE(Calendar!$K$2,1),OR(Calendar!$K$4="*",N2358=Calendar!$K$4)),P2358*100+COUNTIFS($P$6:$P$3271,P2358,$Q$6:$Q$3271,"&lt;="&amp;Q2358,$N$6:$N$3271,Calendar!$K$4),"")</f>
        <v/>
      </c>
      <c r="W2358" s="44">
        <f>IF(AND(B2358=Queue!$C$4,OR(Queue!$K$4="*",N2358=Queue!$K$4)),Q2358,"")</f>
        <v/>
      </c>
    </row>
    <row r="2359">
      <c r="A2359" s="35">
        <f>IF(M2359="","",HYPERLINK("https://www.youtube.com/watch?v="&amp;M2359,"▶"))</f>
        <v/>
      </c>
      <c r="B2359" s="36">
        <f>IF(C2359&lt;&gt;"",C2359,IF(P2359&lt;=IFERROR(INDEX(tblChannels[Watched Through],MATCH(N2359,tblChannels[Channel ID],0)),0),"Watched","Unwatched"))</f>
        <v/>
      </c>
      <c r="C2359" s="37" t="n"/>
      <c r="D2359" s="38" t="n"/>
      <c r="E2359" s="39" t="n">
        <v>43020.8625</v>
      </c>
      <c r="F2359" s="47" t="inlineStr">
        <is>
          <t>Super Carlin Brothers</t>
        </is>
      </c>
      <c r="G2359" t="inlineStr">
        <is>
          <t>Star Wars: Will Rey Join Kylo Ren?</t>
        </is>
      </c>
      <c r="H2359" s="41" t="n">
        <v>0.007939814814814814</v>
      </c>
      <c r="I2359" s="42" t="n">
        <v>255007</v>
      </c>
      <c r="J2359" s="42" t="n">
        <v>9814</v>
      </c>
      <c r="K2359" s="42" t="n">
        <v>1306</v>
      </c>
      <c r="L2359" s="43" t="n"/>
      <c r="M2359" s="44" t="n"/>
      <c r="N2359" s="44" t="inlineStr">
        <is>
          <t>UCKZo4N0lVPccBkSiuyVh4yg</t>
        </is>
      </c>
      <c r="O2359" s="45" t="n">
        <v>43021.02916666667</v>
      </c>
      <c r="P2359" s="46" t="n">
        <v>43020</v>
      </c>
      <c r="Q2359" s="44" t="n">
        <v>913</v>
      </c>
      <c r="R2359" s="44" t="inlineStr">
        <is>
          <t>No Video ID yet</t>
        </is>
      </c>
      <c r="S2359" s="46" t="n"/>
      <c r="T2359" s="46" t="n"/>
      <c r="U2359" s="44" t="n"/>
      <c r="V2359" s="44">
        <f>IF(AND(P2359&gt;=Calendar!$K$2,P2359&lt;EDATE(Calendar!$K$2,1),OR(Calendar!$K$4="*",N2359=Calendar!$K$4)),P2359*100+COUNTIFS($P$6:$P$3271,P2359,$Q$6:$Q$3271,"&lt;="&amp;Q2359,$N$6:$N$3271,Calendar!$K$4),"")</f>
        <v/>
      </c>
      <c r="W2359" s="44">
        <f>IF(AND(B2359=Queue!$C$4,OR(Queue!$K$4="*",N2359=Queue!$K$4)),Q2359,"")</f>
        <v/>
      </c>
    </row>
    <row r="2360">
      <c r="A2360" s="35">
        <f>IF(M2360="","",HYPERLINK("https://www.youtube.com/watch?v="&amp;M2360,"▶"))</f>
        <v/>
      </c>
      <c r="B2360" s="36">
        <f>IF(C2360&lt;&gt;"",C2360,IF(P2360&lt;=IFERROR(INDEX(tblChannels[Watched Through],MATCH(N2360,tblChannels[Channel ID],0)),0),"Watched","Unwatched"))</f>
        <v/>
      </c>
      <c r="C2360" s="37" t="n"/>
      <c r="D2360" s="38" t="n"/>
      <c r="E2360" s="39" t="n">
        <v>43020.43333333333</v>
      </c>
      <c r="F2360" s="49" t="inlineStr">
        <is>
          <t>Super Carlin Gaming</t>
        </is>
      </c>
      <c r="G2360" t="inlineStr">
        <is>
          <t>Mario Kart Roulette #38: How to Start on Youtube!</t>
        </is>
      </c>
      <c r="H2360" s="41" t="n">
        <v>0.01016203703703704</v>
      </c>
      <c r="I2360" s="42" t="n">
        <v>11547</v>
      </c>
      <c r="J2360" s="42" t="n">
        <v>433</v>
      </c>
      <c r="K2360" s="42" t="n">
        <v>113</v>
      </c>
      <c r="L2360" s="43" t="n"/>
      <c r="M2360" s="44" t="n"/>
      <c r="N2360" s="44" t="inlineStr">
        <is>
          <t>UCor_9jRnNNZVzTuQ92PKsaQ</t>
        </is>
      </c>
      <c r="O2360" s="45" t="n">
        <v>43020.6</v>
      </c>
      <c r="P2360" s="46" t="n">
        <v>43020</v>
      </c>
      <c r="Q2360" s="44" t="n">
        <v>912</v>
      </c>
      <c r="R2360" s="44" t="inlineStr">
        <is>
          <t>No Video ID yet</t>
        </is>
      </c>
      <c r="S2360" s="46" t="n"/>
      <c r="T2360" s="46" t="n"/>
      <c r="U2360" s="44" t="n"/>
      <c r="V2360" s="44">
        <f>IF(AND(P2360&gt;=Calendar!$K$2,P2360&lt;EDATE(Calendar!$K$2,1),OR(Calendar!$K$4="*",N2360=Calendar!$K$4)),P2360*100+COUNTIFS($P$6:$P$3271,P2360,$Q$6:$Q$3271,"&lt;="&amp;Q2360,$N$6:$N$3271,Calendar!$K$4),"")</f>
        <v/>
      </c>
      <c r="W2360" s="44">
        <f>IF(AND(B2360=Queue!$C$4,OR(Queue!$K$4="*",N2360=Queue!$K$4)),Q2360,"")</f>
        <v/>
      </c>
    </row>
    <row r="2361">
      <c r="A2361" s="35">
        <f>IF(M2361="","",HYPERLINK("https://www.youtube.com/watch?v="&amp;M2361,"▶"))</f>
        <v/>
      </c>
      <c r="B2361" s="36">
        <f>IF(C2361&lt;&gt;"",C2361,IF(P2361&lt;=IFERROR(INDEX(tblChannels[Watched Through],MATCH(N2361,tblChannels[Channel ID],0)),0),"Watched","Unwatched"))</f>
        <v/>
      </c>
      <c r="C2361" s="37" t="n"/>
      <c r="D2361" s="38" t="n"/>
      <c r="E2361" s="39" t="n">
        <v>43018.76319444444</v>
      </c>
      <c r="F2361" s="47" t="inlineStr">
        <is>
          <t>Super Carlin Brothers</t>
        </is>
      </c>
      <c r="G2361" t="inlineStr">
        <is>
          <t>Top 10 Reasons LAVA Is The Best Pixar Short</t>
        </is>
      </c>
      <c r="H2361" s="41" t="n">
        <v>0.00775462962962963</v>
      </c>
      <c r="I2361" s="42" t="n">
        <v>796673</v>
      </c>
      <c r="J2361" s="42" t="n">
        <v>16619</v>
      </c>
      <c r="K2361" s="42" t="n">
        <v>2258</v>
      </c>
      <c r="L2361" s="43" t="n"/>
      <c r="M2361" s="44" t="n"/>
      <c r="N2361" s="44" t="inlineStr">
        <is>
          <t>UCKZo4N0lVPccBkSiuyVh4yg</t>
        </is>
      </c>
      <c r="O2361" s="45" t="n">
        <v>43018.92986111111</v>
      </c>
      <c r="P2361" s="46" t="n">
        <v>43018</v>
      </c>
      <c r="Q2361" s="44" t="n">
        <v>911</v>
      </c>
      <c r="R2361" s="44" t="inlineStr">
        <is>
          <t>No Video ID yet</t>
        </is>
      </c>
      <c r="S2361" s="46" t="n"/>
      <c r="T2361" s="46" t="n"/>
      <c r="U2361" s="44" t="n"/>
      <c r="V2361" s="44">
        <f>IF(AND(P2361&gt;=Calendar!$K$2,P2361&lt;EDATE(Calendar!$K$2,1),OR(Calendar!$K$4="*",N2361=Calendar!$K$4)),P2361*100+COUNTIFS($P$6:$P$3271,P2361,$Q$6:$Q$3271,"&lt;="&amp;Q2361,$N$6:$N$3271,Calendar!$K$4),"")</f>
        <v/>
      </c>
      <c r="W2361" s="44">
        <f>IF(AND(B2361=Queue!$C$4,OR(Queue!$K$4="*",N2361=Queue!$K$4)),Q2361,"")</f>
        <v/>
      </c>
    </row>
    <row r="2362">
      <c r="A2362" s="35">
        <f>IF(M2362="","",HYPERLINK("https://www.youtube.com/watch?v="&amp;M2362,"▶"))</f>
        <v/>
      </c>
      <c r="B2362" s="36">
        <f>IF(C2362&lt;&gt;"",C2362,IF(P2362&lt;=IFERROR(INDEX(tblChannels[Watched Through],MATCH(N2362,tblChannels[Channel ID],0)),0),"Watched","Unwatched"))</f>
        <v/>
      </c>
      <c r="C2362" s="37" t="n"/>
      <c r="D2362" s="38" t="n"/>
      <c r="E2362" s="39" t="n">
        <v>43018.46111111111</v>
      </c>
      <c r="F2362" s="49" t="inlineStr">
        <is>
          <t>Super Carlin Gaming</t>
        </is>
      </c>
      <c r="G2362" t="inlineStr">
        <is>
          <t>Mario Kart Roulette #37: Advice for Procrastinators!</t>
        </is>
      </c>
      <c r="H2362" s="41" t="n">
        <v>0.01150462962962963</v>
      </c>
      <c r="I2362" s="42" t="n">
        <v>12423</v>
      </c>
      <c r="J2362" s="42" t="n">
        <v>407</v>
      </c>
      <c r="K2362" s="42" t="n">
        <v>144</v>
      </c>
      <c r="L2362" s="43" t="n"/>
      <c r="M2362" s="44" t="n"/>
      <c r="N2362" s="44" t="inlineStr">
        <is>
          <t>UCor_9jRnNNZVzTuQ92PKsaQ</t>
        </is>
      </c>
      <c r="O2362" s="45" t="n">
        <v>43018.62777777778</v>
      </c>
      <c r="P2362" s="46" t="n">
        <v>43018</v>
      </c>
      <c r="Q2362" s="44" t="n">
        <v>910</v>
      </c>
      <c r="R2362" s="44" t="inlineStr">
        <is>
          <t>No Video ID yet</t>
        </is>
      </c>
      <c r="S2362" s="46" t="n"/>
      <c r="T2362" s="46" t="n"/>
      <c r="U2362" s="44" t="n"/>
      <c r="V2362" s="44">
        <f>IF(AND(P2362&gt;=Calendar!$K$2,P2362&lt;EDATE(Calendar!$K$2,1),OR(Calendar!$K$4="*",N2362=Calendar!$K$4)),P2362*100+COUNTIFS($P$6:$P$3271,P2362,$Q$6:$Q$3271,"&lt;="&amp;Q2362,$N$6:$N$3271,Calendar!$K$4),"")</f>
        <v/>
      </c>
      <c r="W2362" s="44">
        <f>IF(AND(B2362=Queue!$C$4,OR(Queue!$K$4="*",N2362=Queue!$K$4)),Q2362,"")</f>
        <v/>
      </c>
    </row>
    <row r="2363">
      <c r="A2363" s="35">
        <f>IF(M2363="","",HYPERLINK("https://www.youtube.com/watch?v="&amp;M2363,"▶"))</f>
        <v/>
      </c>
      <c r="B2363" s="36">
        <f>IF(C2363&lt;&gt;"",C2363,IF(P2363&lt;=IFERROR(INDEX(tblChannels[Watched Through],MATCH(N2363,tblChannels[Channel ID],0)),0),"Watched","Unwatched"))</f>
        <v/>
      </c>
      <c r="C2363" s="37" t="n"/>
      <c r="D2363" s="38" t="n"/>
      <c r="E2363" s="39" t="n">
        <v>43013.75833333333</v>
      </c>
      <c r="F2363" s="47" t="inlineStr">
        <is>
          <t>Super Carlin Brothers</t>
        </is>
      </c>
      <c r="G2363" t="inlineStr">
        <is>
          <t>Frozen Theory: Rapunzel Is Anna &amp; Elsa's Cousin</t>
        </is>
      </c>
      <c r="H2363" s="41" t="n">
        <v>0.005821759259259259</v>
      </c>
      <c r="I2363" s="42" t="n">
        <v>625376</v>
      </c>
      <c r="J2363" s="42" t="n">
        <v>15914</v>
      </c>
      <c r="K2363" s="42" t="n">
        <v>3180</v>
      </c>
      <c r="L2363" s="43" t="n"/>
      <c r="M2363" s="44" t="n"/>
      <c r="N2363" s="44" t="inlineStr">
        <is>
          <t>UCKZo4N0lVPccBkSiuyVh4yg</t>
        </is>
      </c>
      <c r="O2363" s="45" t="n">
        <v>43013.925</v>
      </c>
      <c r="P2363" s="46" t="n">
        <v>43013</v>
      </c>
      <c r="Q2363" s="44" t="n">
        <v>909</v>
      </c>
      <c r="R2363" s="44" t="inlineStr">
        <is>
          <t>No Video ID yet</t>
        </is>
      </c>
      <c r="S2363" s="46" t="n"/>
      <c r="T2363" s="46" t="n"/>
      <c r="U2363" s="44" t="n"/>
      <c r="V2363" s="44">
        <f>IF(AND(P2363&gt;=Calendar!$K$2,P2363&lt;EDATE(Calendar!$K$2,1),OR(Calendar!$K$4="*",N2363=Calendar!$K$4)),P2363*100+COUNTIFS($P$6:$P$3271,P2363,$Q$6:$Q$3271,"&lt;="&amp;Q2363,$N$6:$N$3271,Calendar!$K$4),"")</f>
        <v/>
      </c>
      <c r="W2363" s="44">
        <f>IF(AND(B2363=Queue!$C$4,OR(Queue!$K$4="*",N2363=Queue!$K$4)),Q2363,"")</f>
        <v/>
      </c>
    </row>
    <row r="2364">
      <c r="A2364" s="35">
        <f>IF(M2364="","",HYPERLINK("https://www.youtube.com/watch?v="&amp;M2364,"▶"))</f>
        <v/>
      </c>
      <c r="B2364" s="36">
        <f>IF(C2364&lt;&gt;"",C2364,IF(P2364&lt;=IFERROR(INDEX(tblChannels[Watched Through],MATCH(N2364,tblChannels[Channel ID],0)),0),"Watched","Unwatched"))</f>
        <v/>
      </c>
      <c r="C2364" s="37" t="n"/>
      <c r="D2364" s="38" t="n"/>
      <c r="E2364" s="39" t="n">
        <v>43013.45</v>
      </c>
      <c r="F2364" s="49" t="inlineStr">
        <is>
          <t>Super Carlin Gaming</t>
        </is>
      </c>
      <c r="G2364" t="inlineStr">
        <is>
          <t>Mario Kart Roulette #36: Describe Your Brother</t>
        </is>
      </c>
      <c r="H2364" s="41" t="n">
        <v>0.01083333333333333</v>
      </c>
      <c r="I2364" s="42" t="n">
        <v>11732</v>
      </c>
      <c r="J2364" s="42" t="n">
        <v>406</v>
      </c>
      <c r="K2364" s="42" t="n">
        <v>118</v>
      </c>
      <c r="L2364" s="43" t="n"/>
      <c r="M2364" s="44" t="n"/>
      <c r="N2364" s="44" t="inlineStr">
        <is>
          <t>UCor_9jRnNNZVzTuQ92PKsaQ</t>
        </is>
      </c>
      <c r="O2364" s="45" t="n">
        <v>43013.61666666667</v>
      </c>
      <c r="P2364" s="46" t="n">
        <v>43013</v>
      </c>
      <c r="Q2364" s="44" t="n">
        <v>908</v>
      </c>
      <c r="R2364" s="44" t="inlineStr">
        <is>
          <t>No Video ID yet</t>
        </is>
      </c>
      <c r="S2364" s="46" t="n"/>
      <c r="T2364" s="46" t="n"/>
      <c r="U2364" s="44" t="n"/>
      <c r="V2364" s="44">
        <f>IF(AND(P2364&gt;=Calendar!$K$2,P2364&lt;EDATE(Calendar!$K$2,1),OR(Calendar!$K$4="*",N2364=Calendar!$K$4)),P2364*100+COUNTIFS($P$6:$P$3271,P2364,$Q$6:$Q$3271,"&lt;="&amp;Q2364,$N$6:$N$3271,Calendar!$K$4),"")</f>
        <v/>
      </c>
      <c r="W2364" s="44">
        <f>IF(AND(B2364=Queue!$C$4,OR(Queue!$K$4="*",N2364=Queue!$K$4)),Q2364,"")</f>
        <v/>
      </c>
    </row>
    <row r="2365">
      <c r="A2365" s="35">
        <f>IF(M2365="","",HYPERLINK("https://www.youtube.com/watch?v="&amp;M2365,"▶"))</f>
        <v/>
      </c>
      <c r="B2365" s="36">
        <f>IF(C2365&lt;&gt;"",C2365,IF(P2365&lt;=IFERROR(INDEX(tblChannels[Watched Through],MATCH(N2365,tblChannels[Channel ID],0)),0),"Watched","Unwatched"))</f>
        <v/>
      </c>
      <c r="C2365" s="37" t="n"/>
      <c r="D2365" s="38" t="n"/>
      <c r="E2365" s="39" t="n">
        <v>43011.73263888889</v>
      </c>
      <c r="F2365" s="47" t="inlineStr">
        <is>
          <t>Super Carlin Brothers</t>
        </is>
      </c>
      <c r="G2365" t="inlineStr">
        <is>
          <t>Robin Williams Was Almost Not Genie?!</t>
        </is>
      </c>
      <c r="H2365" s="41" t="n">
        <v>0.006030092592592593</v>
      </c>
      <c r="I2365" s="42" t="n">
        <v>513534</v>
      </c>
      <c r="J2365" s="42" t="n">
        <v>16158</v>
      </c>
      <c r="K2365" s="42" t="n">
        <v>1362</v>
      </c>
      <c r="L2365" s="43" t="n"/>
      <c r="M2365" s="44" t="n"/>
      <c r="N2365" s="44" t="inlineStr">
        <is>
          <t>UCKZo4N0lVPccBkSiuyVh4yg</t>
        </is>
      </c>
      <c r="O2365" s="45" t="n">
        <v>43011.89930555555</v>
      </c>
      <c r="P2365" s="46" t="n">
        <v>43011</v>
      </c>
      <c r="Q2365" s="44" t="n">
        <v>907</v>
      </c>
      <c r="R2365" s="44" t="inlineStr">
        <is>
          <t>No Video ID yet</t>
        </is>
      </c>
      <c r="S2365" s="46" t="n"/>
      <c r="T2365" s="46" t="n"/>
      <c r="U2365" s="44" t="n"/>
      <c r="V2365" s="44">
        <f>IF(AND(P2365&gt;=Calendar!$K$2,P2365&lt;EDATE(Calendar!$K$2,1),OR(Calendar!$K$4="*",N2365=Calendar!$K$4)),P2365*100+COUNTIFS($P$6:$P$3271,P2365,$Q$6:$Q$3271,"&lt;="&amp;Q2365,$N$6:$N$3271,Calendar!$K$4),"")</f>
        <v/>
      </c>
      <c r="W2365" s="44">
        <f>IF(AND(B2365=Queue!$C$4,OR(Queue!$K$4="*",N2365=Queue!$K$4)),Q2365,"")</f>
        <v/>
      </c>
    </row>
    <row r="2366">
      <c r="A2366" s="35">
        <f>IF(M2366="","",HYPERLINK("https://www.youtube.com/watch?v="&amp;M2366,"▶"))</f>
        <v/>
      </c>
      <c r="B2366" s="36">
        <f>IF(C2366&lt;&gt;"",C2366,IF(P2366&lt;=IFERROR(INDEX(tblChannels[Watched Through],MATCH(N2366,tblChannels[Channel ID],0)),0),"Watched","Unwatched"))</f>
        <v/>
      </c>
      <c r="C2366" s="37" t="n"/>
      <c r="D2366" s="38" t="n"/>
      <c r="E2366" s="39" t="n">
        <v>43011.43541666667</v>
      </c>
      <c r="F2366" s="49" t="inlineStr">
        <is>
          <t>Super Carlin Gaming</t>
        </is>
      </c>
      <c r="G2366" t="inlineStr">
        <is>
          <t>Mario Kart Roulette #35: Living with Sneks</t>
        </is>
      </c>
      <c r="H2366" s="41" t="n">
        <v>0.01065972222222222</v>
      </c>
      <c r="I2366" s="42" t="n">
        <v>11802</v>
      </c>
      <c r="J2366" s="42" t="n">
        <v>422</v>
      </c>
      <c r="K2366" s="42" t="n">
        <v>118</v>
      </c>
      <c r="L2366" s="43" t="n"/>
      <c r="M2366" s="44" t="n"/>
      <c r="N2366" s="44" t="inlineStr">
        <is>
          <t>UCor_9jRnNNZVzTuQ92PKsaQ</t>
        </is>
      </c>
      <c r="O2366" s="45" t="n">
        <v>43011.60208333333</v>
      </c>
      <c r="P2366" s="46" t="n">
        <v>43011</v>
      </c>
      <c r="Q2366" s="44" t="n">
        <v>906</v>
      </c>
      <c r="R2366" s="44" t="inlineStr">
        <is>
          <t>No Video ID yet</t>
        </is>
      </c>
      <c r="S2366" s="46" t="n"/>
      <c r="T2366" s="46" t="n"/>
      <c r="U2366" s="44" t="n"/>
      <c r="V2366" s="44">
        <f>IF(AND(P2366&gt;=Calendar!$K$2,P2366&lt;EDATE(Calendar!$K$2,1),OR(Calendar!$K$4="*",N2366=Calendar!$K$4)),P2366*100+COUNTIFS($P$6:$P$3271,P2366,$Q$6:$Q$3271,"&lt;="&amp;Q2366,$N$6:$N$3271,Calendar!$K$4),"")</f>
        <v/>
      </c>
      <c r="W2366" s="44">
        <f>IF(AND(B2366=Queue!$C$4,OR(Queue!$K$4="*",N2366=Queue!$K$4)),Q2366,"")</f>
        <v/>
      </c>
    </row>
    <row r="2367">
      <c r="A2367" s="35">
        <f>IF(M2367="","",HYPERLINK("https://www.youtube.com/watch?v="&amp;M2367,"▶"))</f>
        <v/>
      </c>
      <c r="B2367" s="36">
        <f>IF(C2367&lt;&gt;"",C2367,IF(P2367&lt;=IFERROR(INDEX(tblChannels[Watched Through],MATCH(N2367,tblChannels[Channel ID],0)),0),"Watched","Unwatched"))</f>
        <v/>
      </c>
      <c r="C2367" s="37" t="n"/>
      <c r="D2367" s="38" t="n"/>
      <c r="E2367" s="39" t="n">
        <v>43006.63055555556</v>
      </c>
      <c r="F2367" s="47" t="inlineStr">
        <is>
          <t>Super Carlin Brothers</t>
        </is>
      </c>
      <c r="G2367" t="inlineStr">
        <is>
          <t>Aladdin Makes No Sense</t>
        </is>
      </c>
      <c r="H2367" s="41" t="n">
        <v>0.008333333333333333</v>
      </c>
      <c r="I2367" s="42" t="n">
        <v>2730649</v>
      </c>
      <c r="J2367" s="42" t="n">
        <v>44214</v>
      </c>
      <c r="K2367" s="42" t="n">
        <v>6259</v>
      </c>
      <c r="L2367" s="43" t="n"/>
      <c r="M2367" s="44" t="n"/>
      <c r="N2367" s="44" t="inlineStr">
        <is>
          <t>UCKZo4N0lVPccBkSiuyVh4yg</t>
        </is>
      </c>
      <c r="O2367" s="45" t="n">
        <v>43006.79722222222</v>
      </c>
      <c r="P2367" s="46" t="n">
        <v>43006</v>
      </c>
      <c r="Q2367" s="44" t="n">
        <v>905</v>
      </c>
      <c r="R2367" s="44" t="inlineStr">
        <is>
          <t>No Video ID yet</t>
        </is>
      </c>
      <c r="S2367" s="46" t="n"/>
      <c r="T2367" s="46" t="n"/>
      <c r="U2367" s="44" t="n"/>
      <c r="V2367" s="44">
        <f>IF(AND(P2367&gt;=Calendar!$K$2,P2367&lt;EDATE(Calendar!$K$2,1),OR(Calendar!$K$4="*",N2367=Calendar!$K$4)),P2367*100+COUNTIFS($P$6:$P$3271,P2367,$Q$6:$Q$3271,"&lt;="&amp;Q2367,$N$6:$N$3271,Calendar!$K$4),"")</f>
        <v/>
      </c>
      <c r="W2367" s="44">
        <f>IF(AND(B2367=Queue!$C$4,OR(Queue!$K$4="*",N2367=Queue!$K$4)),Q2367,"")</f>
        <v/>
      </c>
    </row>
    <row r="2368">
      <c r="A2368" s="35">
        <f>IF(M2368="","",HYPERLINK("https://www.youtube.com/watch?v="&amp;M2368,"▶"))</f>
        <v/>
      </c>
      <c r="B2368" s="36">
        <f>IF(C2368&lt;&gt;"",C2368,IF(P2368&lt;=IFERROR(INDEX(tblChannels[Watched Through],MATCH(N2368,tblChannels[Channel ID],0)),0),"Watched","Unwatched"))</f>
        <v/>
      </c>
      <c r="C2368" s="37" t="n"/>
      <c r="D2368" s="38" t="n"/>
      <c r="E2368" s="39" t="n">
        <v>43006.42361111111</v>
      </c>
      <c r="F2368" s="49" t="inlineStr">
        <is>
          <t>Super Carlin Gaming</t>
        </is>
      </c>
      <c r="G2368" t="inlineStr">
        <is>
          <t>Mario Kart Roulette #34: College Parties!</t>
        </is>
      </c>
      <c r="H2368" s="41" t="n">
        <v>0.01069444444444444</v>
      </c>
      <c r="I2368" s="42" t="n">
        <v>12689</v>
      </c>
      <c r="J2368" s="42" t="n">
        <v>418</v>
      </c>
      <c r="K2368" s="42" t="n">
        <v>88</v>
      </c>
      <c r="L2368" s="43" t="n"/>
      <c r="M2368" s="44" t="n"/>
      <c r="N2368" s="44" t="inlineStr">
        <is>
          <t>UCor_9jRnNNZVzTuQ92PKsaQ</t>
        </is>
      </c>
      <c r="O2368" s="45" t="n">
        <v>43006.59027777778</v>
      </c>
      <c r="P2368" s="46" t="n">
        <v>43006</v>
      </c>
      <c r="Q2368" s="44" t="n">
        <v>904</v>
      </c>
      <c r="R2368" s="44" t="inlineStr">
        <is>
          <t>No Video ID yet</t>
        </is>
      </c>
      <c r="S2368" s="46" t="n"/>
      <c r="T2368" s="46" t="n"/>
      <c r="U2368" s="44" t="n"/>
      <c r="V2368" s="44">
        <f>IF(AND(P2368&gt;=Calendar!$K$2,P2368&lt;EDATE(Calendar!$K$2,1),OR(Calendar!$K$4="*",N2368=Calendar!$K$4)),P2368*100+COUNTIFS($P$6:$P$3271,P2368,$Q$6:$Q$3271,"&lt;="&amp;Q2368,$N$6:$N$3271,Calendar!$K$4),"")</f>
        <v/>
      </c>
      <c r="W2368" s="44">
        <f>IF(AND(B2368=Queue!$C$4,OR(Queue!$K$4="*",N2368=Queue!$K$4)),Q2368,"")</f>
        <v/>
      </c>
    </row>
    <row r="2369">
      <c r="A2369" s="35">
        <f>IF(M2369="","",HYPERLINK("https://www.youtube.com/watch?v="&amp;M2369,"▶"))</f>
        <v/>
      </c>
      <c r="B2369" s="36">
        <f>IF(C2369&lt;&gt;"",C2369,IF(P2369&lt;=IFERROR(INDEX(tblChannels[Watched Through],MATCH(N2369,tblChannels[Channel ID],0)),0),"Watched","Unwatched"))</f>
        <v/>
      </c>
      <c r="C2369" s="37" t="n"/>
      <c r="D2369" s="38" t="n"/>
      <c r="E2369" s="39" t="n">
        <v>43004.69444444445</v>
      </c>
      <c r="F2369" s="49" t="inlineStr">
        <is>
          <t>Super Carlin Gaming</t>
        </is>
      </c>
      <c r="G2369" t="inlineStr">
        <is>
          <t>Mario Kart Roulette #33: The BEST Vacations!</t>
        </is>
      </c>
      <c r="H2369" s="41" t="n">
        <v>0.01010416666666667</v>
      </c>
      <c r="I2369" s="42" t="n">
        <v>12770</v>
      </c>
      <c r="J2369" s="42" t="n">
        <v>363</v>
      </c>
      <c r="K2369" s="42" t="n">
        <v>82</v>
      </c>
      <c r="L2369" s="43" t="n"/>
      <c r="M2369" s="44" t="n"/>
      <c r="N2369" s="44" t="inlineStr">
        <is>
          <t>UCor_9jRnNNZVzTuQ92PKsaQ</t>
        </is>
      </c>
      <c r="O2369" s="45" t="n">
        <v>43004.86111111111</v>
      </c>
      <c r="P2369" s="46" t="n">
        <v>43004</v>
      </c>
      <c r="Q2369" s="44" t="n">
        <v>903</v>
      </c>
      <c r="R2369" s="44" t="inlineStr">
        <is>
          <t>No Video ID yet</t>
        </is>
      </c>
      <c r="S2369" s="46" t="n"/>
      <c r="T2369" s="46" t="n"/>
      <c r="U2369" s="44" t="n"/>
      <c r="V2369" s="44">
        <f>IF(AND(P2369&gt;=Calendar!$K$2,P2369&lt;EDATE(Calendar!$K$2,1),OR(Calendar!$K$4="*",N2369=Calendar!$K$4)),P2369*100+COUNTIFS($P$6:$P$3271,P2369,$Q$6:$Q$3271,"&lt;="&amp;Q2369,$N$6:$N$3271,Calendar!$K$4),"")</f>
        <v/>
      </c>
      <c r="W2369" s="44">
        <f>IF(AND(B2369=Queue!$C$4,OR(Queue!$K$4="*",N2369=Queue!$K$4)),Q2369,"")</f>
        <v/>
      </c>
    </row>
    <row r="2370">
      <c r="A2370" s="35">
        <f>IF(M2370="","",HYPERLINK("https://www.youtube.com/watch?v="&amp;M2370,"▶"))</f>
        <v/>
      </c>
      <c r="B2370" s="36">
        <f>IF(C2370&lt;&gt;"",C2370,IF(P2370&lt;=IFERROR(INDEX(tblChannels[Watched Through],MATCH(N2370,tblChannels[Channel ID],0)),0),"Watched","Unwatched"))</f>
        <v/>
      </c>
      <c r="C2370" s="37" t="n"/>
      <c r="D2370" s="38" t="n"/>
      <c r="E2370" s="39" t="n">
        <v>43004.68125</v>
      </c>
      <c r="F2370" s="47" t="inlineStr">
        <is>
          <t>Super Carlin Brothers</t>
        </is>
      </c>
      <c r="G2370" t="inlineStr">
        <is>
          <t>J vs Ben: Hardest TOY STORY Trivia Quiz Ever</t>
        </is>
      </c>
      <c r="H2370" s="41" t="n">
        <v>0.01553240740740741</v>
      </c>
      <c r="I2370" s="42" t="n">
        <v>885949</v>
      </c>
      <c r="J2370" s="42" t="n">
        <v>17781</v>
      </c>
      <c r="K2370" s="42" t="n">
        <v>2686</v>
      </c>
      <c r="L2370" s="43" t="n"/>
      <c r="M2370" s="44" t="n"/>
      <c r="N2370" s="44" t="inlineStr">
        <is>
          <t>UCKZo4N0lVPccBkSiuyVh4yg</t>
        </is>
      </c>
      <c r="O2370" s="45" t="n">
        <v>43004.84791666667</v>
      </c>
      <c r="P2370" s="46" t="n">
        <v>43004</v>
      </c>
      <c r="Q2370" s="44" t="n">
        <v>902</v>
      </c>
      <c r="R2370" s="44" t="inlineStr">
        <is>
          <t>No Video ID yet</t>
        </is>
      </c>
      <c r="S2370" s="46" t="n"/>
      <c r="T2370" s="46" t="n"/>
      <c r="U2370" s="44" t="n"/>
      <c r="V2370" s="44">
        <f>IF(AND(P2370&gt;=Calendar!$K$2,P2370&lt;EDATE(Calendar!$K$2,1),OR(Calendar!$K$4="*",N2370=Calendar!$K$4)),P2370*100+COUNTIFS($P$6:$P$3271,P2370,$Q$6:$Q$3271,"&lt;="&amp;Q2370,$N$6:$N$3271,Calendar!$K$4),"")</f>
        <v/>
      </c>
      <c r="W2370" s="44">
        <f>IF(AND(B2370=Queue!$C$4,OR(Queue!$K$4="*",N2370=Queue!$K$4)),Q2370,"")</f>
        <v/>
      </c>
    </row>
    <row r="2371">
      <c r="A2371" s="35">
        <f>IF(M2371="","",HYPERLINK("https://www.youtube.com/watch?v="&amp;M2371,"▶"))</f>
        <v/>
      </c>
      <c r="B2371" s="36">
        <f>IF(C2371&lt;&gt;"",C2371,IF(P2371&lt;=IFERROR(INDEX(tblChannels[Watched Through],MATCH(N2371,tblChannels[Channel ID],0)),0),"Watched","Unwatched"))</f>
        <v/>
      </c>
      <c r="C2371" s="37" t="n"/>
      <c r="D2371" s="38" t="n"/>
      <c r="E2371" s="39" t="n">
        <v>42999.71875</v>
      </c>
      <c r="F2371" s="47" t="inlineStr">
        <is>
          <t>Super Carlin Brothers</t>
        </is>
      </c>
      <c r="G2371" t="inlineStr">
        <is>
          <t>How Snape Saved Baby Harry</t>
        </is>
      </c>
      <c r="H2371" s="41" t="n">
        <v>0.005671296296296297</v>
      </c>
      <c r="I2371" s="42" t="n">
        <v>1118773</v>
      </c>
      <c r="J2371" s="42" t="n">
        <v>28520</v>
      </c>
      <c r="K2371" s="42" t="n">
        <v>4394</v>
      </c>
      <c r="L2371" s="43" t="n"/>
      <c r="M2371" s="44" t="n"/>
      <c r="N2371" s="44" t="inlineStr">
        <is>
          <t>UCKZo4N0lVPccBkSiuyVh4yg</t>
        </is>
      </c>
      <c r="O2371" s="45" t="n">
        <v>42999.88541666666</v>
      </c>
      <c r="P2371" s="46" t="n">
        <v>42999</v>
      </c>
      <c r="Q2371" s="44" t="n">
        <v>901</v>
      </c>
      <c r="R2371" s="44" t="inlineStr">
        <is>
          <t>No Video ID yet</t>
        </is>
      </c>
      <c r="S2371" s="46" t="n"/>
      <c r="T2371" s="46" t="n"/>
      <c r="U2371" s="44" t="n"/>
      <c r="V2371" s="44">
        <f>IF(AND(P2371&gt;=Calendar!$K$2,P2371&lt;EDATE(Calendar!$K$2,1),OR(Calendar!$K$4="*",N2371=Calendar!$K$4)),P2371*100+COUNTIFS($P$6:$P$3271,P2371,$Q$6:$Q$3271,"&lt;="&amp;Q2371,$N$6:$N$3271,Calendar!$K$4),"")</f>
        <v/>
      </c>
      <c r="W2371" s="44">
        <f>IF(AND(B2371=Queue!$C$4,OR(Queue!$K$4="*",N2371=Queue!$K$4)),Q2371,"")</f>
        <v/>
      </c>
    </row>
    <row r="2372">
      <c r="A2372" s="35">
        <f>IF(M2372="","",HYPERLINK("https://www.youtube.com/watch?v="&amp;M2372,"▶"))</f>
        <v/>
      </c>
      <c r="B2372" s="36">
        <f>IF(C2372&lt;&gt;"",C2372,IF(P2372&lt;=IFERROR(INDEX(tblChannels[Watched Through],MATCH(N2372,tblChannels[Channel ID],0)),0),"Watched","Unwatched"))</f>
        <v/>
      </c>
      <c r="C2372" s="37" t="n"/>
      <c r="D2372" s="38" t="n"/>
      <c r="E2372" s="39" t="n">
        <v>42999.41319444445</v>
      </c>
      <c r="F2372" s="49" t="inlineStr">
        <is>
          <t>Super Carlin Gaming</t>
        </is>
      </c>
      <c r="G2372" t="inlineStr">
        <is>
          <t>Mario Kart Roulette #32: Books that aren't Harry Potter!</t>
        </is>
      </c>
      <c r="H2372" s="41" t="n">
        <v>0.01039351851851852</v>
      </c>
      <c r="I2372" s="42" t="n">
        <v>13775</v>
      </c>
      <c r="J2372" s="42" t="n">
        <v>425</v>
      </c>
      <c r="K2372" s="42" t="n">
        <v>141</v>
      </c>
      <c r="L2372" s="43" t="n"/>
      <c r="M2372" s="44" t="n"/>
      <c r="N2372" s="44" t="inlineStr">
        <is>
          <t>UCor_9jRnNNZVzTuQ92PKsaQ</t>
        </is>
      </c>
      <c r="O2372" s="45" t="n">
        <v>42999.57986111111</v>
      </c>
      <c r="P2372" s="46" t="n">
        <v>42999</v>
      </c>
      <c r="Q2372" s="44" t="n">
        <v>900</v>
      </c>
      <c r="R2372" s="44" t="inlineStr">
        <is>
          <t>No Video ID yet</t>
        </is>
      </c>
      <c r="S2372" s="46" t="n"/>
      <c r="T2372" s="46" t="n"/>
      <c r="U2372" s="44" t="n"/>
      <c r="V2372" s="44">
        <f>IF(AND(P2372&gt;=Calendar!$K$2,P2372&lt;EDATE(Calendar!$K$2,1),OR(Calendar!$K$4="*",N2372=Calendar!$K$4)),P2372*100+COUNTIFS($P$6:$P$3271,P2372,$Q$6:$Q$3271,"&lt;="&amp;Q2372,$N$6:$N$3271,Calendar!$K$4),"")</f>
        <v/>
      </c>
      <c r="W2372" s="44">
        <f>IF(AND(B2372=Queue!$C$4,OR(Queue!$K$4="*",N2372=Queue!$K$4)),Q2372,"")</f>
        <v/>
      </c>
    </row>
    <row r="2373">
      <c r="A2373" s="35">
        <f>IF(M2373="","",HYPERLINK("https://www.youtube.com/watch?v="&amp;M2373,"▶"))</f>
        <v/>
      </c>
      <c r="B2373" s="36">
        <f>IF(C2373&lt;&gt;"",C2373,IF(P2373&lt;=IFERROR(INDEX(tblChannels[Watched Through],MATCH(N2373,tblChannels[Channel ID],0)),0),"Watched","Unwatched"))</f>
        <v/>
      </c>
      <c r="C2373" s="37" t="n"/>
      <c r="D2373" s="38" t="n"/>
      <c r="E2373" s="39" t="n">
        <v>42997.82013888889</v>
      </c>
      <c r="F2373" s="47" t="inlineStr">
        <is>
          <t>Super Carlin Brothers</t>
        </is>
      </c>
      <c r="G2373" t="inlineStr">
        <is>
          <t>Coco's New  Monster Explained</t>
        </is>
      </c>
      <c r="H2373" s="41" t="n">
        <v>0.006168981481481482</v>
      </c>
      <c r="I2373" s="42" t="n">
        <v>1004885</v>
      </c>
      <c r="J2373" s="42" t="n">
        <v>17930</v>
      </c>
      <c r="K2373" s="42" t="n">
        <v>2820</v>
      </c>
      <c r="L2373" s="43" t="n"/>
      <c r="M2373" s="44" t="n"/>
      <c r="N2373" s="44" t="inlineStr">
        <is>
          <t>UCKZo4N0lVPccBkSiuyVh4yg</t>
        </is>
      </c>
      <c r="O2373" s="45" t="n">
        <v>42997.98680555556</v>
      </c>
      <c r="P2373" s="46" t="n">
        <v>42997</v>
      </c>
      <c r="Q2373" s="44" t="n">
        <v>899</v>
      </c>
      <c r="R2373" s="44" t="inlineStr">
        <is>
          <t>No Video ID yet</t>
        </is>
      </c>
      <c r="S2373" s="46" t="n"/>
      <c r="T2373" s="46" t="n"/>
      <c r="U2373" s="44" t="n"/>
      <c r="V2373" s="44">
        <f>IF(AND(P2373&gt;=Calendar!$K$2,P2373&lt;EDATE(Calendar!$K$2,1),OR(Calendar!$K$4="*",N2373=Calendar!$K$4)),P2373*100+COUNTIFS($P$6:$P$3271,P2373,$Q$6:$Q$3271,"&lt;="&amp;Q2373,$N$6:$N$3271,Calendar!$K$4),"")</f>
        <v/>
      </c>
      <c r="W2373" s="44">
        <f>IF(AND(B2373=Queue!$C$4,OR(Queue!$K$4="*",N2373=Queue!$K$4)),Q2373,"")</f>
        <v/>
      </c>
    </row>
    <row r="2374">
      <c r="A2374" s="35">
        <f>IF(M2374="","",HYPERLINK("https://www.youtube.com/watch?v="&amp;M2374,"▶"))</f>
        <v/>
      </c>
      <c r="B2374" s="36">
        <f>IF(C2374&lt;&gt;"",C2374,IF(P2374&lt;=IFERROR(INDEX(tblChannels[Watched Through],MATCH(N2374,tblChannels[Channel ID],0)),0),"Watched","Unwatched"))</f>
        <v/>
      </c>
      <c r="C2374" s="37" t="n"/>
      <c r="D2374" s="38" t="n"/>
      <c r="E2374" s="39" t="n">
        <v>42997.42291666667</v>
      </c>
      <c r="F2374" s="49" t="inlineStr">
        <is>
          <t>Super Carlin Gaming</t>
        </is>
      </c>
      <c r="G2374" t="inlineStr">
        <is>
          <t>Mario Kart Roulette #31: Why So Much Harry Potter?</t>
        </is>
      </c>
      <c r="H2374" s="41" t="n">
        <v>0.01116898148148148</v>
      </c>
      <c r="I2374" s="42" t="n">
        <v>14916</v>
      </c>
      <c r="J2374" s="42" t="n">
        <v>502</v>
      </c>
      <c r="K2374" s="42" t="n">
        <v>113</v>
      </c>
      <c r="L2374" s="43" t="n"/>
      <c r="M2374" s="44" t="n"/>
      <c r="N2374" s="44" t="inlineStr">
        <is>
          <t>UCor_9jRnNNZVzTuQ92PKsaQ</t>
        </is>
      </c>
      <c r="O2374" s="45" t="n">
        <v>42997.58958333333</v>
      </c>
      <c r="P2374" s="46" t="n">
        <v>42997</v>
      </c>
      <c r="Q2374" s="44" t="n">
        <v>898</v>
      </c>
      <c r="R2374" s="44" t="inlineStr">
        <is>
          <t>No Video ID yet</t>
        </is>
      </c>
      <c r="S2374" s="46" t="n"/>
      <c r="T2374" s="46" t="n"/>
      <c r="U2374" s="44" t="n"/>
      <c r="V2374" s="44">
        <f>IF(AND(P2374&gt;=Calendar!$K$2,P2374&lt;EDATE(Calendar!$K$2,1),OR(Calendar!$K$4="*",N2374=Calendar!$K$4)),P2374*100+COUNTIFS($P$6:$P$3271,P2374,$Q$6:$Q$3271,"&lt;="&amp;Q2374,$N$6:$N$3271,Calendar!$K$4),"")</f>
        <v/>
      </c>
      <c r="W2374" s="44">
        <f>IF(AND(B2374=Queue!$C$4,OR(Queue!$K$4="*",N2374=Queue!$K$4)),Q2374,"")</f>
        <v/>
      </c>
    </row>
    <row r="2375">
      <c r="A2375" s="35">
        <f>IF(M2375="","",HYPERLINK("https://www.youtube.com/watch?v="&amp;M2375,"▶"))</f>
        <v/>
      </c>
      <c r="B2375" s="36">
        <f>IF(C2375&lt;&gt;"",C2375,IF(P2375&lt;=IFERROR(INDEX(tblChannels[Watched Through],MATCH(N2375,tblChannels[Channel ID],0)),0),"Watched","Unwatched"))</f>
        <v/>
      </c>
      <c r="C2375" s="37" t="n"/>
      <c r="D2375" s="38" t="n"/>
      <c r="E2375" s="39" t="n">
        <v>42992.73402777778</v>
      </c>
      <c r="F2375" s="47" t="inlineStr">
        <is>
          <t>Super Carlin Brothers</t>
        </is>
      </c>
      <c r="G2375" t="inlineStr">
        <is>
          <t>Harry Potter Theory: Voldemort’s FULL Tri-Wizard Cup Plan!</t>
        </is>
      </c>
      <c r="H2375" s="41" t="n">
        <v>0.005914351851851852</v>
      </c>
      <c r="I2375" s="42" t="n">
        <v>1396048</v>
      </c>
      <c r="J2375" s="42" t="n">
        <v>34417</v>
      </c>
      <c r="K2375" s="42" t="n">
        <v>3038</v>
      </c>
      <c r="L2375" s="43" t="n"/>
      <c r="M2375" s="44" t="n"/>
      <c r="N2375" s="44" t="inlineStr">
        <is>
          <t>UCKZo4N0lVPccBkSiuyVh4yg</t>
        </is>
      </c>
      <c r="O2375" s="45" t="n">
        <v>42992.90069444444</v>
      </c>
      <c r="P2375" s="46" t="n">
        <v>42992</v>
      </c>
      <c r="Q2375" s="44" t="n">
        <v>897</v>
      </c>
      <c r="R2375" s="44" t="inlineStr">
        <is>
          <t>No Video ID yet</t>
        </is>
      </c>
      <c r="S2375" s="46" t="n"/>
      <c r="T2375" s="46" t="n"/>
      <c r="U2375" s="44" t="n"/>
      <c r="V2375" s="44">
        <f>IF(AND(P2375&gt;=Calendar!$K$2,P2375&lt;EDATE(Calendar!$K$2,1),OR(Calendar!$K$4="*",N2375=Calendar!$K$4)),P2375*100+COUNTIFS($P$6:$P$3271,P2375,$Q$6:$Q$3271,"&lt;="&amp;Q2375,$N$6:$N$3271,Calendar!$K$4),"")</f>
        <v/>
      </c>
      <c r="W2375" s="44">
        <f>IF(AND(B2375=Queue!$C$4,OR(Queue!$K$4="*",N2375=Queue!$K$4)),Q2375,"")</f>
        <v/>
      </c>
    </row>
    <row r="2376">
      <c r="A2376" s="35">
        <f>IF(M2376="","",HYPERLINK("https://www.youtube.com/watch?v="&amp;M2376,"▶"))</f>
        <v/>
      </c>
      <c r="B2376" s="36">
        <f>IF(C2376&lt;&gt;"",C2376,IF(P2376&lt;=IFERROR(INDEX(tblChannels[Watched Through],MATCH(N2376,tblChannels[Channel ID],0)),0),"Watched","Unwatched"))</f>
        <v/>
      </c>
      <c r="C2376" s="37" t="n"/>
      <c r="D2376" s="38" t="n"/>
      <c r="E2376" s="39" t="n">
        <v>42992.58888888889</v>
      </c>
      <c r="F2376" s="49" t="inlineStr">
        <is>
          <t>Super Carlin Gaming</t>
        </is>
      </c>
      <c r="G2376" t="inlineStr">
        <is>
          <t>Mario Kart Roulette #30: A Few of our Favorite Things!</t>
        </is>
      </c>
      <c r="H2376" s="41" t="n">
        <v>0.0112962962962963</v>
      </c>
      <c r="I2376" s="42" t="n">
        <v>14449</v>
      </c>
      <c r="J2376" s="42" t="n">
        <v>430</v>
      </c>
      <c r="K2376" s="42" t="n">
        <v>84</v>
      </c>
      <c r="L2376" s="43" t="n"/>
      <c r="M2376" s="44" t="n"/>
      <c r="N2376" s="44" t="inlineStr">
        <is>
          <t>UCor_9jRnNNZVzTuQ92PKsaQ</t>
        </is>
      </c>
      <c r="O2376" s="45" t="n">
        <v>42992.75555555556</v>
      </c>
      <c r="P2376" s="46" t="n">
        <v>42992</v>
      </c>
      <c r="Q2376" s="44" t="n">
        <v>896</v>
      </c>
      <c r="R2376" s="44" t="inlineStr">
        <is>
          <t>No Video ID yet</t>
        </is>
      </c>
      <c r="S2376" s="46" t="n"/>
      <c r="T2376" s="46" t="n"/>
      <c r="U2376" s="44" t="n"/>
      <c r="V2376" s="44">
        <f>IF(AND(P2376&gt;=Calendar!$K$2,P2376&lt;EDATE(Calendar!$K$2,1),OR(Calendar!$K$4="*",N2376=Calendar!$K$4)),P2376*100+COUNTIFS($P$6:$P$3271,P2376,$Q$6:$Q$3271,"&lt;="&amp;Q2376,$N$6:$N$3271,Calendar!$K$4),"")</f>
        <v/>
      </c>
      <c r="W2376" s="44">
        <f>IF(AND(B2376=Queue!$C$4,OR(Queue!$K$4="*",N2376=Queue!$K$4)),Q2376,"")</f>
        <v/>
      </c>
    </row>
    <row r="2377">
      <c r="A2377" s="35">
        <f>IF(M2377="","",HYPERLINK("https://www.youtube.com/watch?v="&amp;M2377,"▶"))</f>
        <v/>
      </c>
      <c r="B2377" s="36">
        <f>IF(C2377&lt;&gt;"",C2377,IF(P2377&lt;=IFERROR(INDEX(tblChannels[Watched Through],MATCH(N2377,tblChannels[Channel ID],0)),0),"Watched","Unwatched"))</f>
        <v/>
      </c>
      <c r="C2377" s="37" t="n"/>
      <c r="D2377" s="38" t="n"/>
      <c r="E2377" s="39" t="n">
        <v>42990.73472222222</v>
      </c>
      <c r="F2377" s="49" t="inlineStr">
        <is>
          <t>Super Carlin Gaming</t>
        </is>
      </c>
      <c r="G2377" t="inlineStr">
        <is>
          <t>Mario Kart Roulette #29: Advice for Starting Something New</t>
        </is>
      </c>
      <c r="H2377" s="41" t="n">
        <v>0.00982638888888889</v>
      </c>
      <c r="I2377" s="42" t="n">
        <v>13166</v>
      </c>
      <c r="J2377" s="42" t="n">
        <v>462</v>
      </c>
      <c r="K2377" s="42" t="n">
        <v>78</v>
      </c>
      <c r="L2377" s="43" t="n"/>
      <c r="M2377" s="44" t="n"/>
      <c r="N2377" s="44" t="inlineStr">
        <is>
          <t>UCor_9jRnNNZVzTuQ92PKsaQ</t>
        </is>
      </c>
      <c r="O2377" s="45" t="n">
        <v>42990.90138888889</v>
      </c>
      <c r="P2377" s="46" t="n">
        <v>42990</v>
      </c>
      <c r="Q2377" s="44" t="n">
        <v>895</v>
      </c>
      <c r="R2377" s="44" t="inlineStr">
        <is>
          <t>No Video ID yet</t>
        </is>
      </c>
      <c r="S2377" s="46" t="n"/>
      <c r="T2377" s="46" t="n"/>
      <c r="U2377" s="44" t="n"/>
      <c r="V2377" s="44">
        <f>IF(AND(P2377&gt;=Calendar!$K$2,P2377&lt;EDATE(Calendar!$K$2,1),OR(Calendar!$K$4="*",N2377=Calendar!$K$4)),P2377*100+COUNTIFS($P$6:$P$3271,P2377,$Q$6:$Q$3271,"&lt;="&amp;Q2377,$N$6:$N$3271,Calendar!$K$4),"")</f>
        <v/>
      </c>
      <c r="W2377" s="44">
        <f>IF(AND(B2377=Queue!$C$4,OR(Queue!$K$4="*",N2377=Queue!$K$4)),Q2377,"")</f>
        <v/>
      </c>
    </row>
    <row r="2378">
      <c r="A2378" s="35">
        <f>IF(M2378="","",HYPERLINK("https://www.youtube.com/watch?v="&amp;M2378,"▶"))</f>
        <v/>
      </c>
      <c r="B2378" s="36">
        <f>IF(C2378&lt;&gt;"",C2378,IF(P2378&lt;=IFERROR(INDEX(tblChannels[Watched Through],MATCH(N2378,tblChannels[Channel ID],0)),0),"Watched","Unwatched"))</f>
        <v/>
      </c>
      <c r="C2378" s="37" t="n"/>
      <c r="D2378" s="38" t="n"/>
      <c r="E2378" s="39" t="n">
        <v>42990.73194444444</v>
      </c>
      <c r="F2378" s="47" t="inlineStr">
        <is>
          <t>Super Carlin Brothers</t>
        </is>
      </c>
      <c r="G2378" t="inlineStr">
        <is>
          <t>EVERY PIXAR SHORT RANKED!</t>
        </is>
      </c>
      <c r="H2378" s="41" t="n">
        <v>0.02857638888888889</v>
      </c>
      <c r="I2378" s="42" t="n">
        <v>394454</v>
      </c>
      <c r="J2378" s="42" t="n">
        <v>11422</v>
      </c>
      <c r="K2378" s="42" t="n">
        <v>2404</v>
      </c>
      <c r="L2378" s="43" t="n"/>
      <c r="M2378" s="44" t="n"/>
      <c r="N2378" s="44" t="inlineStr">
        <is>
          <t>UCKZo4N0lVPccBkSiuyVh4yg</t>
        </is>
      </c>
      <c r="O2378" s="45" t="n">
        <v>42990.89861111111</v>
      </c>
      <c r="P2378" s="46" t="n">
        <v>42990</v>
      </c>
      <c r="Q2378" s="44" t="n">
        <v>894</v>
      </c>
      <c r="R2378" s="44" t="inlineStr">
        <is>
          <t>No Video ID yet</t>
        </is>
      </c>
      <c r="S2378" s="46" t="n"/>
      <c r="T2378" s="46" t="n"/>
      <c r="U2378" s="44" t="n"/>
      <c r="V2378" s="44">
        <f>IF(AND(P2378&gt;=Calendar!$K$2,P2378&lt;EDATE(Calendar!$K$2,1),OR(Calendar!$K$4="*",N2378=Calendar!$K$4)),P2378*100+COUNTIFS($P$6:$P$3271,P2378,$Q$6:$Q$3271,"&lt;="&amp;Q2378,$N$6:$N$3271,Calendar!$K$4),"")</f>
        <v/>
      </c>
      <c r="W2378" s="44">
        <f>IF(AND(B2378=Queue!$C$4,OR(Queue!$K$4="*",N2378=Queue!$K$4)),Q2378,"")</f>
        <v/>
      </c>
    </row>
    <row r="2379">
      <c r="A2379" s="35">
        <f>IF(M2379="","",HYPERLINK("https://www.youtube.com/watch?v="&amp;M2379,"▶"))</f>
        <v/>
      </c>
      <c r="B2379" s="36">
        <f>IF(C2379&lt;&gt;"",C2379,IF(P2379&lt;=IFERROR(INDEX(tblChannels[Watched Through],MATCH(N2379,tblChannels[Channel ID],0)),0),"Watched","Unwatched"))</f>
        <v/>
      </c>
      <c r="C2379" s="37" t="n"/>
      <c r="D2379" s="38" t="n"/>
      <c r="E2379" s="39" t="n">
        <v>42985.74236111111</v>
      </c>
      <c r="F2379" s="47" t="inlineStr">
        <is>
          <t>Super Carlin Brothers</t>
        </is>
      </c>
      <c r="G2379" t="inlineStr">
        <is>
          <t>Harry Potter Theory: The History Of Hagrid’s Wand</t>
        </is>
      </c>
      <c r="H2379" s="41" t="n">
        <v>0.005497685185185185</v>
      </c>
      <c r="I2379" s="42" t="n">
        <v>1758875</v>
      </c>
      <c r="J2379" s="42" t="n">
        <v>45245</v>
      </c>
      <c r="K2379" s="42" t="n">
        <v>3750</v>
      </c>
      <c r="L2379" s="43" t="n"/>
      <c r="M2379" s="44" t="n"/>
      <c r="N2379" s="44" t="inlineStr">
        <is>
          <t>UCKZo4N0lVPccBkSiuyVh4yg</t>
        </is>
      </c>
      <c r="O2379" s="45" t="n">
        <v>42985.90902777778</v>
      </c>
      <c r="P2379" s="46" t="n">
        <v>42985</v>
      </c>
      <c r="Q2379" s="44" t="n">
        <v>893</v>
      </c>
      <c r="R2379" s="44" t="inlineStr">
        <is>
          <t>No Video ID yet</t>
        </is>
      </c>
      <c r="S2379" s="46" t="n"/>
      <c r="T2379" s="46" t="n"/>
      <c r="U2379" s="44" t="n"/>
      <c r="V2379" s="44">
        <f>IF(AND(P2379&gt;=Calendar!$K$2,P2379&lt;EDATE(Calendar!$K$2,1),OR(Calendar!$K$4="*",N2379=Calendar!$K$4)),P2379*100+COUNTIFS($P$6:$P$3271,P2379,$Q$6:$Q$3271,"&lt;="&amp;Q2379,$N$6:$N$3271,Calendar!$K$4),"")</f>
        <v/>
      </c>
      <c r="W2379" s="44">
        <f>IF(AND(B2379=Queue!$C$4,OR(Queue!$K$4="*",N2379=Queue!$K$4)),Q2379,"")</f>
        <v/>
      </c>
    </row>
    <row r="2380">
      <c r="A2380" s="35">
        <f>IF(M2380="","",HYPERLINK("https://www.youtube.com/watch?v="&amp;M2380,"▶"))</f>
        <v/>
      </c>
      <c r="B2380" s="36">
        <f>IF(C2380&lt;&gt;"",C2380,IF(P2380&lt;=IFERROR(INDEX(tblChannels[Watched Through],MATCH(N2380,tblChannels[Channel ID],0)),0),"Watched","Unwatched"))</f>
        <v/>
      </c>
      <c r="C2380" s="37" t="n"/>
      <c r="D2380" s="38" t="n"/>
      <c r="E2380" s="39" t="n">
        <v>42985.44166666667</v>
      </c>
      <c r="F2380" s="49" t="inlineStr">
        <is>
          <t>Super Carlin Gaming</t>
        </is>
      </c>
      <c r="G2380" t="inlineStr">
        <is>
          <t>Mario Kart Roulette #28: Nutrition and Favorite meal!</t>
        </is>
      </c>
      <c r="H2380" s="41" t="n">
        <v>0.009907407407407408</v>
      </c>
      <c r="I2380" s="42" t="n">
        <v>14220</v>
      </c>
      <c r="J2380" s="42" t="n">
        <v>449</v>
      </c>
      <c r="K2380" s="42" t="n">
        <v>114</v>
      </c>
      <c r="L2380" s="43" t="n"/>
      <c r="M2380" s="44" t="n"/>
      <c r="N2380" s="44" t="inlineStr">
        <is>
          <t>UCor_9jRnNNZVzTuQ92PKsaQ</t>
        </is>
      </c>
      <c r="O2380" s="45" t="n">
        <v>42985.60833333333</v>
      </c>
      <c r="P2380" s="46" t="n">
        <v>42985</v>
      </c>
      <c r="Q2380" s="44" t="n">
        <v>892</v>
      </c>
      <c r="R2380" s="44" t="inlineStr">
        <is>
          <t>No Video ID yet</t>
        </is>
      </c>
      <c r="S2380" s="46" t="n"/>
      <c r="T2380" s="46" t="n"/>
      <c r="U2380" s="44" t="n"/>
      <c r="V2380" s="44">
        <f>IF(AND(P2380&gt;=Calendar!$K$2,P2380&lt;EDATE(Calendar!$K$2,1),OR(Calendar!$K$4="*",N2380=Calendar!$K$4)),P2380*100+COUNTIFS($P$6:$P$3271,P2380,$Q$6:$Q$3271,"&lt;="&amp;Q2380,$N$6:$N$3271,Calendar!$K$4),"")</f>
        <v/>
      </c>
      <c r="W2380" s="44">
        <f>IF(AND(B2380=Queue!$C$4,OR(Queue!$K$4="*",N2380=Queue!$K$4)),Q2380,"")</f>
        <v/>
      </c>
    </row>
    <row r="2381">
      <c r="A2381" s="35">
        <f>IF(M2381="","",HYPERLINK("https://www.youtube.com/watch?v="&amp;M2381,"▶"))</f>
        <v/>
      </c>
      <c r="B2381" s="36">
        <f>IF(C2381&lt;&gt;"",C2381,IF(P2381&lt;=IFERROR(INDEX(tblChannels[Watched Through],MATCH(N2381,tblChannels[Channel ID],0)),0),"Watched","Unwatched"))</f>
        <v/>
      </c>
      <c r="C2381" s="37" t="n"/>
      <c r="D2381" s="38" t="n"/>
      <c r="E2381" s="39" t="n">
        <v>42983.73194444444</v>
      </c>
      <c r="F2381" s="47" t="inlineStr">
        <is>
          <t>Super Carlin Brothers</t>
        </is>
      </c>
      <c r="G2381" t="inlineStr">
        <is>
          <t>Were The Dursleys Good For Harry?</t>
        </is>
      </c>
      <c r="H2381" s="41" t="n">
        <v>0.007083333333333333</v>
      </c>
      <c r="I2381" s="42" t="n">
        <v>1167536</v>
      </c>
      <c r="J2381" s="42" t="n">
        <v>31329</v>
      </c>
      <c r="K2381" s="42" t="n">
        <v>4380</v>
      </c>
      <c r="L2381" s="43" t="n"/>
      <c r="M2381" s="44" t="n"/>
      <c r="N2381" s="44" t="inlineStr">
        <is>
          <t>UCKZo4N0lVPccBkSiuyVh4yg</t>
        </is>
      </c>
      <c r="O2381" s="45" t="n">
        <v>42983.89861111111</v>
      </c>
      <c r="P2381" s="46" t="n">
        <v>42983</v>
      </c>
      <c r="Q2381" s="44" t="n">
        <v>891</v>
      </c>
      <c r="R2381" s="44" t="inlineStr">
        <is>
          <t>No Video ID yet</t>
        </is>
      </c>
      <c r="S2381" s="46" t="n"/>
      <c r="T2381" s="46" t="n"/>
      <c r="U2381" s="44" t="n"/>
      <c r="V2381" s="44">
        <f>IF(AND(P2381&gt;=Calendar!$K$2,P2381&lt;EDATE(Calendar!$K$2,1),OR(Calendar!$K$4="*",N2381=Calendar!$K$4)),P2381*100+COUNTIFS($P$6:$P$3271,P2381,$Q$6:$Q$3271,"&lt;="&amp;Q2381,$N$6:$N$3271,Calendar!$K$4),"")</f>
        <v/>
      </c>
      <c r="W2381" s="44">
        <f>IF(AND(B2381=Queue!$C$4,OR(Queue!$K$4="*",N2381=Queue!$K$4)),Q2381,"")</f>
        <v/>
      </c>
    </row>
    <row r="2382">
      <c r="A2382" s="35">
        <f>IF(M2382="","",HYPERLINK("https://www.youtube.com/watch?v="&amp;M2382,"▶"))</f>
        <v/>
      </c>
      <c r="B2382" s="36">
        <f>IF(C2382&lt;&gt;"",C2382,IF(P2382&lt;=IFERROR(INDEX(tblChannels[Watched Through],MATCH(N2382,tblChannels[Channel ID],0)),0),"Watched","Unwatched"))</f>
        <v/>
      </c>
      <c r="C2382" s="37" t="n"/>
      <c r="D2382" s="38" t="n"/>
      <c r="E2382" s="39" t="n">
        <v>42983.47986111111</v>
      </c>
      <c r="F2382" s="49" t="inlineStr">
        <is>
          <t>Super Carlin Gaming</t>
        </is>
      </c>
      <c r="G2382" t="inlineStr">
        <is>
          <t>Mario Kart Roulette #27: Motivation &amp; Fitness Tips</t>
        </is>
      </c>
      <c r="H2382" s="41" t="n">
        <v>0.00962962962962963</v>
      </c>
      <c r="I2382" s="42" t="n">
        <v>14073</v>
      </c>
      <c r="J2382" s="42" t="n">
        <v>435</v>
      </c>
      <c r="K2382" s="42" t="n">
        <v>81</v>
      </c>
      <c r="L2382" s="43" t="n"/>
      <c r="M2382" s="44" t="n"/>
      <c r="N2382" s="44" t="inlineStr">
        <is>
          <t>UCor_9jRnNNZVzTuQ92PKsaQ</t>
        </is>
      </c>
      <c r="O2382" s="45" t="n">
        <v>42983.64652777778</v>
      </c>
      <c r="P2382" s="46" t="n">
        <v>42983</v>
      </c>
      <c r="Q2382" s="44" t="n">
        <v>890</v>
      </c>
      <c r="R2382" s="44" t="inlineStr">
        <is>
          <t>No Video ID yet</t>
        </is>
      </c>
      <c r="S2382" s="46" t="n"/>
      <c r="T2382" s="46" t="n"/>
      <c r="U2382" s="44" t="n"/>
      <c r="V2382" s="44">
        <f>IF(AND(P2382&gt;=Calendar!$K$2,P2382&lt;EDATE(Calendar!$K$2,1),OR(Calendar!$K$4="*",N2382=Calendar!$K$4)),P2382*100+COUNTIFS($P$6:$P$3271,P2382,$Q$6:$Q$3271,"&lt;="&amp;Q2382,$N$6:$N$3271,Calendar!$K$4),"")</f>
        <v/>
      </c>
      <c r="W2382" s="44">
        <f>IF(AND(B2382=Queue!$C$4,OR(Queue!$K$4="*",N2382=Queue!$K$4)),Q2382,"")</f>
        <v/>
      </c>
    </row>
    <row r="2383">
      <c r="A2383" s="35">
        <f>IF(M2383="","",HYPERLINK("https://www.youtube.com/watch?v="&amp;M2383,"▶"))</f>
        <v/>
      </c>
      <c r="B2383" s="36">
        <f>IF(C2383&lt;&gt;"",C2383,IF(P2383&lt;=IFERROR(INDEX(tblChannels[Watched Through],MATCH(N2383,tblChannels[Channel ID],0)),0),"Watched","Unwatched"))</f>
        <v/>
      </c>
      <c r="C2383" s="37" t="n"/>
      <c r="D2383" s="38" t="n"/>
      <c r="E2383" s="39" t="n">
        <v>42978.66319444445</v>
      </c>
      <c r="F2383" s="47" t="inlineStr">
        <is>
          <t>Super Carlin Brothers</t>
        </is>
      </c>
      <c r="G2383" t="inlineStr">
        <is>
          <t>The Disney Vault Explained</t>
        </is>
      </c>
      <c r="H2383" s="41" t="n">
        <v>0.007708333333333334</v>
      </c>
      <c r="I2383" s="42" t="n">
        <v>1444314</v>
      </c>
      <c r="J2383" s="42" t="n">
        <v>36054</v>
      </c>
      <c r="K2383" s="42" t="n">
        <v>4713</v>
      </c>
      <c r="L2383" s="43" t="n"/>
      <c r="M2383" s="44" t="n"/>
      <c r="N2383" s="44" t="inlineStr">
        <is>
          <t>UCKZo4N0lVPccBkSiuyVh4yg</t>
        </is>
      </c>
      <c r="O2383" s="45" t="n">
        <v>42978.82986111111</v>
      </c>
      <c r="P2383" s="46" t="n">
        <v>42978</v>
      </c>
      <c r="Q2383" s="44" t="n">
        <v>889</v>
      </c>
      <c r="R2383" s="44" t="inlineStr">
        <is>
          <t>No Video ID yet</t>
        </is>
      </c>
      <c r="S2383" s="46" t="n"/>
      <c r="T2383" s="46" t="n"/>
      <c r="U2383" s="44" t="n"/>
      <c r="V2383" s="44">
        <f>IF(AND(P2383&gt;=Calendar!$K$2,P2383&lt;EDATE(Calendar!$K$2,1),OR(Calendar!$K$4="*",N2383=Calendar!$K$4)),P2383*100+COUNTIFS($P$6:$P$3271,P2383,$Q$6:$Q$3271,"&lt;="&amp;Q2383,$N$6:$N$3271,Calendar!$K$4),"")</f>
        <v/>
      </c>
      <c r="W2383" s="44">
        <f>IF(AND(B2383=Queue!$C$4,OR(Queue!$K$4="*",N2383=Queue!$K$4)),Q2383,"")</f>
        <v/>
      </c>
    </row>
    <row r="2384">
      <c r="A2384" s="35">
        <f>IF(M2384="","",HYPERLINK("https://www.youtube.com/watch?v="&amp;M2384,"▶"))</f>
        <v/>
      </c>
      <c r="B2384" s="36">
        <f>IF(C2384&lt;&gt;"",C2384,IF(P2384&lt;=IFERROR(INDEX(tblChannels[Watched Through],MATCH(N2384,tblChannels[Channel ID],0)),0),"Watched","Unwatched"))</f>
        <v/>
      </c>
      <c r="C2384" s="37" t="n"/>
      <c r="D2384" s="38" t="n"/>
      <c r="E2384" s="39" t="n">
        <v>42978.49236111111</v>
      </c>
      <c r="F2384" s="49" t="inlineStr">
        <is>
          <t>Super Carlin Gaming</t>
        </is>
      </c>
      <c r="G2384" t="inlineStr">
        <is>
          <t>Mario Kart Roulette #26: Back to School!</t>
        </is>
      </c>
      <c r="H2384" s="41" t="n">
        <v>0.009293981481481481</v>
      </c>
      <c r="I2384" s="42" t="n">
        <v>15239</v>
      </c>
      <c r="J2384" s="42" t="n">
        <v>574</v>
      </c>
      <c r="K2384" s="42" t="n">
        <v>102</v>
      </c>
      <c r="L2384" s="43" t="n"/>
      <c r="M2384" s="44" t="n"/>
      <c r="N2384" s="44" t="inlineStr">
        <is>
          <t>UCor_9jRnNNZVzTuQ92PKsaQ</t>
        </is>
      </c>
      <c r="O2384" s="45" t="n">
        <v>42978.65902777778</v>
      </c>
      <c r="P2384" s="46" t="n">
        <v>42978</v>
      </c>
      <c r="Q2384" s="44" t="n">
        <v>888</v>
      </c>
      <c r="R2384" s="44" t="inlineStr">
        <is>
          <t>No Video ID yet</t>
        </is>
      </c>
      <c r="S2384" s="46" t="n"/>
      <c r="T2384" s="46" t="n"/>
      <c r="U2384" s="44" t="n"/>
      <c r="V2384" s="44">
        <f>IF(AND(P2384&gt;=Calendar!$K$2,P2384&lt;EDATE(Calendar!$K$2,1),OR(Calendar!$K$4="*",N2384=Calendar!$K$4)),P2384*100+COUNTIFS($P$6:$P$3271,P2384,$Q$6:$Q$3271,"&lt;="&amp;Q2384,$N$6:$N$3271,Calendar!$K$4),"")</f>
        <v/>
      </c>
      <c r="W2384" s="44">
        <f>IF(AND(B2384=Queue!$C$4,OR(Queue!$K$4="*",N2384=Queue!$K$4)),Q2384,"")</f>
        <v/>
      </c>
    </row>
    <row r="2385">
      <c r="A2385" s="35">
        <f>IF(M2385="","",HYPERLINK("https://www.youtube.com/watch?v="&amp;M2385,"▶"))</f>
        <v/>
      </c>
      <c r="B2385" s="36">
        <f>IF(C2385&lt;&gt;"",C2385,IF(P2385&lt;=IFERROR(INDEX(tblChannels[Watched Through],MATCH(N2385,tblChannels[Channel ID],0)),0),"Watched","Unwatched"))</f>
        <v/>
      </c>
      <c r="C2385" s="37" t="n"/>
      <c r="D2385" s="38" t="n"/>
      <c r="E2385" s="39" t="n">
        <v>42976.70902777778</v>
      </c>
      <c r="F2385" s="47" t="inlineStr">
        <is>
          <t>Super Carlin Brothers</t>
        </is>
      </c>
      <c r="G2385" t="inlineStr">
        <is>
          <t>J vs Ben: The HARDEST Harry Potter Trivia Quiz EVER!</t>
        </is>
      </c>
      <c r="H2385" s="41" t="n">
        <v>0.01958333333333333</v>
      </c>
      <c r="I2385" s="42" t="n">
        <v>1699623</v>
      </c>
      <c r="J2385" s="42" t="n">
        <v>25914</v>
      </c>
      <c r="K2385" s="42" t="n">
        <v>7122</v>
      </c>
      <c r="L2385" s="43" t="n"/>
      <c r="M2385" s="44" t="n"/>
      <c r="N2385" s="44" t="inlineStr">
        <is>
          <t>UCKZo4N0lVPccBkSiuyVh4yg</t>
        </is>
      </c>
      <c r="O2385" s="45" t="n">
        <v>42976.87569444445</v>
      </c>
      <c r="P2385" s="46" t="n">
        <v>42976</v>
      </c>
      <c r="Q2385" s="44" t="n">
        <v>887</v>
      </c>
      <c r="R2385" s="44" t="inlineStr">
        <is>
          <t>No Video ID yet</t>
        </is>
      </c>
      <c r="S2385" s="46" t="n"/>
      <c r="T2385" s="46" t="n"/>
      <c r="U2385" s="44" t="n"/>
      <c r="V2385" s="44">
        <f>IF(AND(P2385&gt;=Calendar!$K$2,P2385&lt;EDATE(Calendar!$K$2,1),OR(Calendar!$K$4="*",N2385=Calendar!$K$4)),P2385*100+COUNTIFS($P$6:$P$3271,P2385,$Q$6:$Q$3271,"&lt;="&amp;Q2385,$N$6:$N$3271,Calendar!$K$4),"")</f>
        <v/>
      </c>
      <c r="W2385" s="44">
        <f>IF(AND(B2385=Queue!$C$4,OR(Queue!$K$4="*",N2385=Queue!$K$4)),Q2385,"")</f>
        <v/>
      </c>
    </row>
    <row r="2386">
      <c r="A2386" s="35">
        <f>IF(M2386="","",HYPERLINK("https://www.youtube.com/watch?v="&amp;M2386,"▶"))</f>
        <v/>
      </c>
      <c r="B2386" s="36">
        <f>IF(C2386&lt;&gt;"",C2386,IF(P2386&lt;=IFERROR(INDEX(tblChannels[Watched Through],MATCH(N2386,tblChannels[Channel ID],0)),0),"Watched","Unwatched"))</f>
        <v/>
      </c>
      <c r="C2386" s="37" t="n"/>
      <c r="D2386" s="38" t="n"/>
      <c r="E2386" s="39" t="n">
        <v>42971.72152777778</v>
      </c>
      <c r="F2386" s="47" t="inlineStr">
        <is>
          <t>Super Carlin Brothers</t>
        </is>
      </c>
      <c r="G2386" t="inlineStr">
        <is>
          <t>Mufasa And Scar Aren't Brothers?!</t>
        </is>
      </c>
      <c r="H2386" s="41" t="n">
        <v>0.0053125</v>
      </c>
      <c r="I2386" s="42" t="n">
        <v>1631562</v>
      </c>
      <c r="J2386" s="42" t="n">
        <v>35924</v>
      </c>
      <c r="K2386" s="42" t="n">
        <v>4131</v>
      </c>
      <c r="L2386" s="43" t="n"/>
      <c r="M2386" s="44" t="n"/>
      <c r="N2386" s="44" t="inlineStr">
        <is>
          <t>UCKZo4N0lVPccBkSiuyVh4yg</t>
        </is>
      </c>
      <c r="O2386" s="45" t="n">
        <v>42971.88819444444</v>
      </c>
      <c r="P2386" s="46" t="n">
        <v>42971</v>
      </c>
      <c r="Q2386" s="44" t="n">
        <v>886</v>
      </c>
      <c r="R2386" s="44" t="inlineStr">
        <is>
          <t>No Video ID yet</t>
        </is>
      </c>
      <c r="S2386" s="46" t="n"/>
      <c r="T2386" s="46" t="n"/>
      <c r="U2386" s="44" t="n"/>
      <c r="V2386" s="44">
        <f>IF(AND(P2386&gt;=Calendar!$K$2,P2386&lt;EDATE(Calendar!$K$2,1),OR(Calendar!$K$4="*",N2386=Calendar!$K$4)),P2386*100+COUNTIFS($P$6:$P$3271,P2386,$Q$6:$Q$3271,"&lt;="&amp;Q2386,$N$6:$N$3271,Calendar!$K$4),"")</f>
        <v/>
      </c>
      <c r="W2386" s="44">
        <f>IF(AND(B2386=Queue!$C$4,OR(Queue!$K$4="*",N2386=Queue!$K$4)),Q2386,"")</f>
        <v/>
      </c>
    </row>
    <row r="2387">
      <c r="A2387" s="35">
        <f>IF(M2387="","",HYPERLINK("https://www.youtube.com/watch?v="&amp;M2387,"▶"))</f>
        <v/>
      </c>
      <c r="B2387" s="36">
        <f>IF(C2387&lt;&gt;"",C2387,IF(P2387&lt;=IFERROR(INDEX(tblChannels[Watched Through],MATCH(N2387,tblChannels[Channel ID],0)),0),"Watched","Unwatched"))</f>
        <v/>
      </c>
      <c r="C2387" s="37" t="n"/>
      <c r="D2387" s="38" t="n"/>
      <c r="E2387" s="39" t="n">
        <v>42969.68541666667</v>
      </c>
      <c r="F2387" s="47" t="inlineStr">
        <is>
          <t>Super Carlin Brothers</t>
        </is>
      </c>
      <c r="G2387" t="inlineStr">
        <is>
          <t>Why Cornelius Fudge Is The Worst</t>
        </is>
      </c>
      <c r="H2387" s="41" t="n">
        <v>0.007337962962962963</v>
      </c>
      <c r="I2387" s="42" t="n">
        <v>1937153</v>
      </c>
      <c r="J2387" s="42" t="n">
        <v>44448</v>
      </c>
      <c r="K2387" s="42" t="n">
        <v>6081</v>
      </c>
      <c r="L2387" s="43" t="n"/>
      <c r="M2387" s="44" t="n"/>
      <c r="N2387" s="44" t="inlineStr">
        <is>
          <t>UCKZo4N0lVPccBkSiuyVh4yg</t>
        </is>
      </c>
      <c r="O2387" s="45" t="n">
        <v>42969.85208333333</v>
      </c>
      <c r="P2387" s="46" t="n">
        <v>42969</v>
      </c>
      <c r="Q2387" s="44" t="n">
        <v>885</v>
      </c>
      <c r="R2387" s="44" t="inlineStr">
        <is>
          <t>No Video ID yet</t>
        </is>
      </c>
      <c r="S2387" s="46" t="n"/>
      <c r="T2387" s="46" t="n"/>
      <c r="U2387" s="44" t="n"/>
      <c r="V2387" s="44">
        <f>IF(AND(P2387&gt;=Calendar!$K$2,P2387&lt;EDATE(Calendar!$K$2,1),OR(Calendar!$K$4="*",N2387=Calendar!$K$4)),P2387*100+COUNTIFS($P$6:$P$3271,P2387,$Q$6:$Q$3271,"&lt;="&amp;Q2387,$N$6:$N$3271,Calendar!$K$4),"")</f>
        <v/>
      </c>
      <c r="W2387" s="44">
        <f>IF(AND(B2387=Queue!$C$4,OR(Queue!$K$4="*",N2387=Queue!$K$4)),Q2387,"")</f>
        <v/>
      </c>
    </row>
    <row r="2388">
      <c r="A2388" s="35">
        <f>IF(M2388="","",HYPERLINK("https://www.youtube.com/watch?v="&amp;M2388,"▶"))</f>
        <v/>
      </c>
      <c r="B2388" s="36">
        <f>IF(C2388&lt;&gt;"",C2388,IF(P2388&lt;=IFERROR(INDEX(tblChannels[Watched Through],MATCH(N2388,tblChannels[Channel ID],0)),0),"Watched","Unwatched"))</f>
        <v/>
      </c>
      <c r="C2388" s="37" t="n"/>
      <c r="D2388" s="38" t="n"/>
      <c r="E2388" s="39" t="n">
        <v>42969.41666666666</v>
      </c>
      <c r="F2388" s="49" t="inlineStr">
        <is>
          <t>Super Carlin Gaming</t>
        </is>
      </c>
      <c r="G2388" t="inlineStr">
        <is>
          <t>Mario Kart Roulette #25: Taking on 200 cc!</t>
        </is>
      </c>
      <c r="H2388" s="41" t="n">
        <v>0.009791666666666667</v>
      </c>
      <c r="I2388" s="42" t="n">
        <v>15846</v>
      </c>
      <c r="J2388" s="42" t="n">
        <v>510</v>
      </c>
      <c r="K2388" s="42" t="n">
        <v>68</v>
      </c>
      <c r="L2388" s="43" t="n"/>
      <c r="M2388" s="44" t="n"/>
      <c r="N2388" s="44" t="inlineStr">
        <is>
          <t>UCor_9jRnNNZVzTuQ92PKsaQ</t>
        </is>
      </c>
      <c r="O2388" s="45" t="n">
        <v>42969.58333333334</v>
      </c>
      <c r="P2388" s="46" t="n">
        <v>42969</v>
      </c>
      <c r="Q2388" s="44" t="n">
        <v>884</v>
      </c>
      <c r="R2388" s="44" t="inlineStr">
        <is>
          <t>No Video ID yet</t>
        </is>
      </c>
      <c r="S2388" s="46" t="n"/>
      <c r="T2388" s="46" t="n"/>
      <c r="U2388" s="44" t="n"/>
      <c r="V2388" s="44">
        <f>IF(AND(P2388&gt;=Calendar!$K$2,P2388&lt;EDATE(Calendar!$K$2,1),OR(Calendar!$K$4="*",N2388=Calendar!$K$4)),P2388*100+COUNTIFS($P$6:$P$3271,P2388,$Q$6:$Q$3271,"&lt;="&amp;Q2388,$N$6:$N$3271,Calendar!$K$4),"")</f>
        <v/>
      </c>
      <c r="W2388" s="44">
        <f>IF(AND(B2388=Queue!$C$4,OR(Queue!$K$4="*",N2388=Queue!$K$4)),Q2388,"")</f>
        <v/>
      </c>
    </row>
    <row r="2389">
      <c r="A2389" s="35">
        <f>IF(M2389="","",HYPERLINK("https://www.youtube.com/watch?v="&amp;M2389,"▶"))</f>
        <v/>
      </c>
      <c r="B2389" s="36">
        <f>IF(C2389&lt;&gt;"",C2389,IF(P2389&lt;=IFERROR(INDEX(tblChannels[Watched Through],MATCH(N2389,tblChannels[Channel ID],0)),0),"Watched","Unwatched"))</f>
        <v/>
      </c>
      <c r="C2389" s="37" t="n"/>
      <c r="D2389" s="38" t="n"/>
      <c r="E2389" s="39" t="n">
        <v>42964.79166666666</v>
      </c>
      <c r="F2389" s="47" t="inlineStr">
        <is>
          <t>Super Carlin Brothers</t>
        </is>
      </c>
      <c r="G2389" t="inlineStr">
        <is>
          <t>Pixar Theory: Why Are Monsters Told Kids Are Toxic?</t>
        </is>
      </c>
      <c r="H2389" s="41" t="n">
        <v>0.007280092592592592</v>
      </c>
      <c r="I2389" s="42" t="n">
        <v>2388352</v>
      </c>
      <c r="J2389" s="42" t="n">
        <v>51827</v>
      </c>
      <c r="K2389" s="42" t="n">
        <v>7335</v>
      </c>
      <c r="L2389" s="43" t="n"/>
      <c r="M2389" s="44" t="n"/>
      <c r="N2389" s="44" t="inlineStr">
        <is>
          <t>UCKZo4N0lVPccBkSiuyVh4yg</t>
        </is>
      </c>
      <c r="O2389" s="45" t="n">
        <v>42964.95833333334</v>
      </c>
      <c r="P2389" s="46" t="n">
        <v>42964</v>
      </c>
      <c r="Q2389" s="44" t="n">
        <v>883</v>
      </c>
      <c r="R2389" s="44" t="inlineStr">
        <is>
          <t>No Video ID yet</t>
        </is>
      </c>
      <c r="S2389" s="46" t="n"/>
      <c r="T2389" s="46" t="n"/>
      <c r="U2389" s="44" t="n"/>
      <c r="V2389" s="44">
        <f>IF(AND(P2389&gt;=Calendar!$K$2,P2389&lt;EDATE(Calendar!$K$2,1),OR(Calendar!$K$4="*",N2389=Calendar!$K$4)),P2389*100+COUNTIFS($P$6:$P$3271,P2389,$Q$6:$Q$3271,"&lt;="&amp;Q2389,$N$6:$N$3271,Calendar!$K$4),"")</f>
        <v/>
      </c>
      <c r="W2389" s="44">
        <f>IF(AND(B2389=Queue!$C$4,OR(Queue!$K$4="*",N2389=Queue!$K$4)),Q2389,"")</f>
        <v/>
      </c>
    </row>
    <row r="2390">
      <c r="A2390" s="35">
        <f>IF(M2390="","",HYPERLINK("https://www.youtube.com/watch?v="&amp;M2390,"▶"))</f>
        <v/>
      </c>
      <c r="B2390" s="36">
        <f>IF(C2390&lt;&gt;"",C2390,IF(P2390&lt;=IFERROR(INDEX(tblChannels[Watched Through],MATCH(N2390,tblChannels[Channel ID],0)),0),"Watched","Unwatched"))</f>
        <v/>
      </c>
      <c r="C2390" s="37" t="n"/>
      <c r="D2390" s="38" t="n"/>
      <c r="E2390" s="39" t="n">
        <v>42964.41666666666</v>
      </c>
      <c r="F2390" s="49" t="inlineStr">
        <is>
          <t>Super Carlin Gaming</t>
        </is>
      </c>
      <c r="G2390" t="inlineStr">
        <is>
          <t>Mario Kart Roulette #24: Most Tolerable Star Wars Prequel</t>
        </is>
      </c>
      <c r="H2390" s="41" t="n">
        <v>0.01109953703703704</v>
      </c>
      <c r="I2390" s="42" t="n">
        <v>17169</v>
      </c>
      <c r="J2390" s="42" t="n">
        <v>571</v>
      </c>
      <c r="K2390" s="42" t="n">
        <v>144</v>
      </c>
      <c r="L2390" s="43" t="n"/>
      <c r="M2390" s="44" t="n"/>
      <c r="N2390" s="44" t="inlineStr">
        <is>
          <t>UCor_9jRnNNZVzTuQ92PKsaQ</t>
        </is>
      </c>
      <c r="O2390" s="45" t="n">
        <v>42964.58333333334</v>
      </c>
      <c r="P2390" s="46" t="n">
        <v>42964</v>
      </c>
      <c r="Q2390" s="44" t="n">
        <v>882</v>
      </c>
      <c r="R2390" s="44" t="inlineStr">
        <is>
          <t>No Video ID yet</t>
        </is>
      </c>
      <c r="S2390" s="46" t="n"/>
      <c r="T2390" s="46" t="n"/>
      <c r="U2390" s="44" t="n"/>
      <c r="V2390" s="44">
        <f>IF(AND(P2390&gt;=Calendar!$K$2,P2390&lt;EDATE(Calendar!$K$2,1),OR(Calendar!$K$4="*",N2390=Calendar!$K$4)),P2390*100+COUNTIFS($P$6:$P$3271,P2390,$Q$6:$Q$3271,"&lt;="&amp;Q2390,$N$6:$N$3271,Calendar!$K$4),"")</f>
        <v/>
      </c>
      <c r="W2390" s="44">
        <f>IF(AND(B2390=Queue!$C$4,OR(Queue!$K$4="*",N2390=Queue!$K$4)),Q2390,"")</f>
        <v/>
      </c>
    </row>
    <row r="2391">
      <c r="A2391" s="35">
        <f>IF(M2391="","",HYPERLINK("https://www.youtube.com/watch?v="&amp;M2391,"▶"))</f>
        <v/>
      </c>
      <c r="B2391" s="36">
        <f>IF(C2391&lt;&gt;"",C2391,IF(P2391&lt;=IFERROR(INDEX(tblChannels[Watched Through],MATCH(N2391,tblChannels[Channel ID],0)),0),"Watched","Unwatched"))</f>
        <v/>
      </c>
      <c r="C2391" s="37" t="n"/>
      <c r="D2391" s="38" t="n"/>
      <c r="E2391" s="39" t="n">
        <v>42962.80763888889</v>
      </c>
      <c r="F2391" s="47" t="inlineStr">
        <is>
          <t>Super Carlin Brothers</t>
        </is>
      </c>
      <c r="G2391" t="inlineStr">
        <is>
          <t>Marvel Theory: Why J. Jonah Jameson Hates Spider-Man (Feat. NerdSync)</t>
        </is>
      </c>
      <c r="H2391" s="41" t="n">
        <v>0.006377314814814815</v>
      </c>
      <c r="I2391" s="42" t="n">
        <v>861090</v>
      </c>
      <c r="J2391" s="42" t="n">
        <v>24503</v>
      </c>
      <c r="K2391" s="42" t="n">
        <v>2234</v>
      </c>
      <c r="L2391" s="43" t="n"/>
      <c r="M2391" s="44" t="n"/>
      <c r="N2391" s="44" t="inlineStr">
        <is>
          <t>UCKZo4N0lVPccBkSiuyVh4yg</t>
        </is>
      </c>
      <c r="O2391" s="45" t="n">
        <v>42962.97430555556</v>
      </c>
      <c r="P2391" s="46" t="n">
        <v>42962</v>
      </c>
      <c r="Q2391" s="44" t="n">
        <v>881</v>
      </c>
      <c r="R2391" s="44" t="inlineStr">
        <is>
          <t>No Video ID yet</t>
        </is>
      </c>
      <c r="S2391" s="46" t="n"/>
      <c r="T2391" s="46" t="n"/>
      <c r="U2391" s="44" t="n"/>
      <c r="V2391" s="44">
        <f>IF(AND(P2391&gt;=Calendar!$K$2,P2391&lt;EDATE(Calendar!$K$2,1),OR(Calendar!$K$4="*",N2391=Calendar!$K$4)),P2391*100+COUNTIFS($P$6:$P$3271,P2391,$Q$6:$Q$3271,"&lt;="&amp;Q2391,$N$6:$N$3271,Calendar!$K$4),"")</f>
        <v/>
      </c>
      <c r="W2391" s="44">
        <f>IF(AND(B2391=Queue!$C$4,OR(Queue!$K$4="*",N2391=Queue!$K$4)),Q2391,"")</f>
        <v/>
      </c>
    </row>
    <row r="2392">
      <c r="A2392" s="35">
        <f>IF(M2392="","",HYPERLINK("https://www.youtube.com/watch?v="&amp;M2392,"▶"))</f>
        <v/>
      </c>
      <c r="B2392" s="36">
        <f>IF(C2392&lt;&gt;"",C2392,IF(P2392&lt;=IFERROR(INDEX(tblChannels[Watched Through],MATCH(N2392,tblChannels[Channel ID],0)),0),"Watched","Unwatched"))</f>
        <v/>
      </c>
      <c r="C2392" s="37" t="n"/>
      <c r="D2392" s="38" t="n"/>
      <c r="E2392" s="39" t="n">
        <v>42962.41666666666</v>
      </c>
      <c r="F2392" s="49" t="inlineStr">
        <is>
          <t>Super Carlin Gaming</t>
        </is>
      </c>
      <c r="G2392" t="inlineStr">
        <is>
          <t>Mario Kart: SPECIAL EDITION BATTLE #2 with J, Ben, DK and Kallie!</t>
        </is>
      </c>
      <c r="H2392" s="41" t="n">
        <v>0.02248842592592593</v>
      </c>
      <c r="I2392" s="42" t="n">
        <v>12615</v>
      </c>
      <c r="J2392" s="42" t="n">
        <v>391</v>
      </c>
      <c r="K2392" s="42" t="n">
        <v>200</v>
      </c>
      <c r="L2392" s="43" t="n"/>
      <c r="M2392" s="44" t="n"/>
      <c r="N2392" s="44" t="inlineStr">
        <is>
          <t>UCor_9jRnNNZVzTuQ92PKsaQ</t>
        </is>
      </c>
      <c r="O2392" s="45" t="n">
        <v>42962.58333333334</v>
      </c>
      <c r="P2392" s="46" t="n">
        <v>42962</v>
      </c>
      <c r="Q2392" s="44" t="n">
        <v>880</v>
      </c>
      <c r="R2392" s="44" t="inlineStr">
        <is>
          <t>No Video ID yet</t>
        </is>
      </c>
      <c r="S2392" s="46" t="n"/>
      <c r="T2392" s="46" t="n"/>
      <c r="U2392" s="44" t="n"/>
      <c r="V2392" s="44">
        <f>IF(AND(P2392&gt;=Calendar!$K$2,P2392&lt;EDATE(Calendar!$K$2,1),OR(Calendar!$K$4="*",N2392=Calendar!$K$4)),P2392*100+COUNTIFS($P$6:$P$3271,P2392,$Q$6:$Q$3271,"&lt;="&amp;Q2392,$N$6:$N$3271,Calendar!$K$4),"")</f>
        <v/>
      </c>
      <c r="W2392" s="44">
        <f>IF(AND(B2392=Queue!$C$4,OR(Queue!$K$4="*",N2392=Queue!$K$4)),Q2392,"")</f>
        <v/>
      </c>
    </row>
    <row r="2393">
      <c r="A2393" s="35">
        <f>IF(M2393="","",HYPERLINK("https://www.youtube.com/watch?v="&amp;M2393,"▶"))</f>
        <v/>
      </c>
      <c r="B2393" s="36">
        <f>IF(C2393&lt;&gt;"",C2393,IF(P2393&lt;=IFERROR(INDEX(tblChannels[Watched Through],MATCH(N2393,tblChannels[Channel ID],0)),0),"Watched","Unwatched"))</f>
        <v/>
      </c>
      <c r="C2393" s="37" t="n"/>
      <c r="D2393" s="38" t="n"/>
      <c r="E2393" s="39" t="n">
        <v>42957.72291666667</v>
      </c>
      <c r="F2393" s="47" t="inlineStr">
        <is>
          <t>Super Carlin Brothers</t>
        </is>
      </c>
      <c r="G2393" t="inlineStr">
        <is>
          <t>How Harry Potter Will Show Up In Fantastic Beasts</t>
        </is>
      </c>
      <c r="H2393" s="41" t="n">
        <v>0.005300925925925926</v>
      </c>
      <c r="I2393" s="42" t="n">
        <v>1084512</v>
      </c>
      <c r="J2393" s="42" t="n">
        <v>29038</v>
      </c>
      <c r="K2393" s="42" t="n">
        <v>2980</v>
      </c>
      <c r="L2393" s="43" t="n"/>
      <c r="M2393" s="44" t="n"/>
      <c r="N2393" s="44" t="inlineStr">
        <is>
          <t>UCKZo4N0lVPccBkSiuyVh4yg</t>
        </is>
      </c>
      <c r="O2393" s="45" t="n">
        <v>42957.88958333333</v>
      </c>
      <c r="P2393" s="46" t="n">
        <v>42957</v>
      </c>
      <c r="Q2393" s="44" t="n">
        <v>879</v>
      </c>
      <c r="R2393" s="44" t="inlineStr">
        <is>
          <t>No Video ID yet</t>
        </is>
      </c>
      <c r="S2393" s="46" t="n"/>
      <c r="T2393" s="46" t="n"/>
      <c r="U2393" s="44" t="n"/>
      <c r="V2393" s="44">
        <f>IF(AND(P2393&gt;=Calendar!$K$2,P2393&lt;EDATE(Calendar!$K$2,1),OR(Calendar!$K$4="*",N2393=Calendar!$K$4)),P2393*100+COUNTIFS($P$6:$P$3271,P2393,$Q$6:$Q$3271,"&lt;="&amp;Q2393,$N$6:$N$3271,Calendar!$K$4),"")</f>
        <v/>
      </c>
      <c r="W2393" s="44">
        <f>IF(AND(B2393=Queue!$C$4,OR(Queue!$K$4="*",N2393=Queue!$K$4)),Q2393,"")</f>
        <v/>
      </c>
    </row>
    <row r="2394">
      <c r="A2394" s="35">
        <f>IF(M2394="","",HYPERLINK("https://www.youtube.com/watch?v="&amp;M2394,"▶"))</f>
        <v/>
      </c>
      <c r="B2394" s="36">
        <f>IF(C2394&lt;&gt;"",C2394,IF(P2394&lt;=IFERROR(INDEX(tblChannels[Watched Through],MATCH(N2394,tblChannels[Channel ID],0)),0),"Watched","Unwatched"))</f>
        <v/>
      </c>
      <c r="C2394" s="37" t="n"/>
      <c r="D2394" s="38" t="n"/>
      <c r="E2394" s="39" t="n">
        <v>42957.41666666666</v>
      </c>
      <c r="F2394" s="49" t="inlineStr">
        <is>
          <t>Super Carlin Gaming</t>
        </is>
      </c>
      <c r="G2394" t="inlineStr">
        <is>
          <t>Mario Kart Roulette #23: Your Problems Don't Mean Anything</t>
        </is>
      </c>
      <c r="H2394" s="41" t="n">
        <v>0.01076388888888889</v>
      </c>
      <c r="I2394" s="42" t="n">
        <v>14495</v>
      </c>
      <c r="J2394" s="42" t="n">
        <v>479</v>
      </c>
      <c r="K2394" s="42" t="n">
        <v>81</v>
      </c>
      <c r="L2394" s="43" t="n"/>
      <c r="M2394" s="44" t="n"/>
      <c r="N2394" s="44" t="inlineStr">
        <is>
          <t>UCor_9jRnNNZVzTuQ92PKsaQ</t>
        </is>
      </c>
      <c r="O2394" s="45" t="n">
        <v>42957.58333333334</v>
      </c>
      <c r="P2394" s="46" t="n">
        <v>42957</v>
      </c>
      <c r="Q2394" s="44" t="n">
        <v>878</v>
      </c>
      <c r="R2394" s="44" t="inlineStr">
        <is>
          <t>No Video ID yet</t>
        </is>
      </c>
      <c r="S2394" s="46" t="n"/>
      <c r="T2394" s="46" t="n"/>
      <c r="U2394" s="44" t="n"/>
      <c r="V2394" s="44">
        <f>IF(AND(P2394&gt;=Calendar!$K$2,P2394&lt;EDATE(Calendar!$K$2,1),OR(Calendar!$K$4="*",N2394=Calendar!$K$4)),P2394*100+COUNTIFS($P$6:$P$3271,P2394,$Q$6:$Q$3271,"&lt;="&amp;Q2394,$N$6:$N$3271,Calendar!$K$4),"")</f>
        <v/>
      </c>
      <c r="W2394" s="44">
        <f>IF(AND(B2394=Queue!$C$4,OR(Queue!$K$4="*",N2394=Queue!$K$4)),Q2394,"")</f>
        <v/>
      </c>
    </row>
    <row r="2395">
      <c r="A2395" s="35">
        <f>IF(M2395="","",HYPERLINK("https://www.youtube.com/watch?v="&amp;M2395,"▶"))</f>
        <v/>
      </c>
      <c r="B2395" s="36">
        <f>IF(C2395&lt;&gt;"",C2395,IF(P2395&lt;=IFERROR(INDEX(tblChannels[Watched Through],MATCH(N2395,tblChannels[Channel ID],0)),0),"Watched","Unwatched"))</f>
        <v/>
      </c>
      <c r="C2395" s="37" t="n"/>
      <c r="D2395" s="38" t="n"/>
      <c r="E2395" s="39" t="n">
        <v>42955.62430555555</v>
      </c>
      <c r="F2395" s="47" t="inlineStr">
        <is>
          <t>Super Carlin Brothers</t>
        </is>
      </c>
      <c r="G2395" t="inlineStr">
        <is>
          <t>Will O' The Wisps Explained</t>
        </is>
      </c>
      <c r="H2395" s="41" t="n">
        <v>0.007916666666666667</v>
      </c>
      <c r="I2395" s="42" t="n">
        <v>532138</v>
      </c>
      <c r="J2395" s="42" t="n">
        <v>19267</v>
      </c>
      <c r="K2395" s="42" t="n">
        <v>2516</v>
      </c>
      <c r="L2395" s="43" t="n"/>
      <c r="M2395" s="44" t="n"/>
      <c r="N2395" s="44" t="inlineStr">
        <is>
          <t>UCKZo4N0lVPccBkSiuyVh4yg</t>
        </is>
      </c>
      <c r="O2395" s="45" t="n">
        <v>42955.79097222222</v>
      </c>
      <c r="P2395" s="46" t="n">
        <v>42955</v>
      </c>
      <c r="Q2395" s="44" t="n">
        <v>877</v>
      </c>
      <c r="R2395" s="44" t="inlineStr">
        <is>
          <t>No Video ID yet</t>
        </is>
      </c>
      <c r="S2395" s="46" t="n"/>
      <c r="T2395" s="46" t="n"/>
      <c r="U2395" s="44" t="n"/>
      <c r="V2395" s="44">
        <f>IF(AND(P2395&gt;=Calendar!$K$2,P2395&lt;EDATE(Calendar!$K$2,1),OR(Calendar!$K$4="*",N2395=Calendar!$K$4)),P2395*100+COUNTIFS($P$6:$P$3271,P2395,$Q$6:$Q$3271,"&lt;="&amp;Q2395,$N$6:$N$3271,Calendar!$K$4),"")</f>
        <v/>
      </c>
      <c r="W2395" s="44">
        <f>IF(AND(B2395=Queue!$C$4,OR(Queue!$K$4="*",N2395=Queue!$K$4)),Q2395,"")</f>
        <v/>
      </c>
    </row>
    <row r="2396">
      <c r="A2396" s="35">
        <f>IF(M2396="","",HYPERLINK("https://www.youtube.com/watch?v="&amp;M2396,"▶"))</f>
        <v/>
      </c>
      <c r="B2396" s="36">
        <f>IF(C2396&lt;&gt;"",C2396,IF(P2396&lt;=IFERROR(INDEX(tblChannels[Watched Through],MATCH(N2396,tblChannels[Channel ID],0)),0),"Watched","Unwatched"))</f>
        <v/>
      </c>
      <c r="C2396" s="37" t="n"/>
      <c r="D2396" s="38" t="n"/>
      <c r="E2396" s="39" t="n">
        <v>42955.45277777778</v>
      </c>
      <c r="F2396" s="49" t="inlineStr">
        <is>
          <t>Super Carlin Gaming</t>
        </is>
      </c>
      <c r="G2396" t="inlineStr">
        <is>
          <t>Mario Kart Roulette #22: Don't Watch This Video If You're Pregnant</t>
        </is>
      </c>
      <c r="H2396" s="41" t="n">
        <v>0.01170138888888889</v>
      </c>
      <c r="I2396" s="42" t="n">
        <v>15552</v>
      </c>
      <c r="J2396" s="42" t="n">
        <v>522</v>
      </c>
      <c r="K2396" s="42" t="n">
        <v>170</v>
      </c>
      <c r="L2396" s="43" t="n"/>
      <c r="M2396" s="44" t="n"/>
      <c r="N2396" s="44" t="inlineStr">
        <is>
          <t>UCor_9jRnNNZVzTuQ92PKsaQ</t>
        </is>
      </c>
      <c r="O2396" s="45" t="n">
        <v>42955.61944444444</v>
      </c>
      <c r="P2396" s="46" t="n">
        <v>42955</v>
      </c>
      <c r="Q2396" s="44" t="n">
        <v>876</v>
      </c>
      <c r="R2396" s="44" t="inlineStr">
        <is>
          <t>No Video ID yet</t>
        </is>
      </c>
      <c r="S2396" s="46" t="n"/>
      <c r="T2396" s="46" t="n"/>
      <c r="U2396" s="44" t="n"/>
      <c r="V2396" s="44">
        <f>IF(AND(P2396&gt;=Calendar!$K$2,P2396&lt;EDATE(Calendar!$K$2,1),OR(Calendar!$K$4="*",N2396=Calendar!$K$4)),P2396*100+COUNTIFS($P$6:$P$3271,P2396,$Q$6:$Q$3271,"&lt;="&amp;Q2396,$N$6:$N$3271,Calendar!$K$4),"")</f>
        <v/>
      </c>
      <c r="W2396" s="44">
        <f>IF(AND(B2396=Queue!$C$4,OR(Queue!$K$4="*",N2396=Queue!$K$4)),Q2396,"")</f>
        <v/>
      </c>
    </row>
    <row r="2397">
      <c r="A2397" s="35">
        <f>IF(M2397="","",HYPERLINK("https://www.youtube.com/watch?v="&amp;M2397,"▶"))</f>
        <v/>
      </c>
      <c r="B2397" s="36">
        <f>IF(C2397&lt;&gt;"",C2397,IF(P2397&lt;=IFERROR(INDEX(tblChannels[Watched Through],MATCH(N2397,tblChannels[Channel ID],0)),0),"Watched","Unwatched"))</f>
        <v/>
      </c>
      <c r="C2397" s="37" t="n"/>
      <c r="D2397" s="38" t="n"/>
      <c r="E2397" s="39" t="n">
        <v>42951.74722222222</v>
      </c>
      <c r="F2397" s="49" t="inlineStr">
        <is>
          <t>Super Carlin Gaming</t>
        </is>
      </c>
      <c r="G2397" t="inlineStr">
        <is>
          <t>Pokemon Pearl Nuzlocke #30: THE FINAL BATTLE!</t>
        </is>
      </c>
      <c r="H2397" s="41" t="n">
        <v>0.02143518518518519</v>
      </c>
      <c r="I2397" s="42" t="n">
        <v>33624</v>
      </c>
      <c r="J2397" s="42" t="n">
        <v>1080</v>
      </c>
      <c r="K2397" s="42" t="n">
        <v>462</v>
      </c>
      <c r="L2397" s="43" t="n"/>
      <c r="M2397" s="44" t="n"/>
      <c r="N2397" s="44" t="inlineStr">
        <is>
          <t>UCor_9jRnNNZVzTuQ92PKsaQ</t>
        </is>
      </c>
      <c r="O2397" s="45" t="n">
        <v>42951.91388888889</v>
      </c>
      <c r="P2397" s="46" t="n">
        <v>42951</v>
      </c>
      <c r="Q2397" s="44" t="n">
        <v>875</v>
      </c>
      <c r="R2397" s="44" t="inlineStr">
        <is>
          <t>No Video ID yet</t>
        </is>
      </c>
      <c r="S2397" s="46" t="n"/>
      <c r="T2397" s="46" t="n"/>
      <c r="U2397" s="44" t="n"/>
      <c r="V2397" s="44">
        <f>IF(AND(P2397&gt;=Calendar!$K$2,P2397&lt;EDATE(Calendar!$K$2,1),OR(Calendar!$K$4="*",N2397=Calendar!$K$4)),P2397*100+COUNTIFS($P$6:$P$3271,P2397,$Q$6:$Q$3271,"&lt;="&amp;Q2397,$N$6:$N$3271,Calendar!$K$4),"")</f>
        <v/>
      </c>
      <c r="W2397" s="44">
        <f>IF(AND(B2397=Queue!$C$4,OR(Queue!$K$4="*",N2397=Queue!$K$4)),Q2397,"")</f>
        <v/>
      </c>
    </row>
    <row r="2398">
      <c r="A2398" s="35">
        <f>IF(M2398="","",HYPERLINK("https://www.youtube.com/watch?v="&amp;M2398,"▶"))</f>
        <v/>
      </c>
      <c r="B2398" s="36">
        <f>IF(C2398&lt;&gt;"",C2398,IF(P2398&lt;=IFERROR(INDEX(tblChannels[Watched Through],MATCH(N2398,tblChannels[Channel ID],0)),0),"Watched","Unwatched"))</f>
        <v/>
      </c>
      <c r="C2398" s="37" t="n"/>
      <c r="D2398" s="38" t="n"/>
      <c r="E2398" s="39" t="n">
        <v>42950.725</v>
      </c>
      <c r="F2398" s="47" t="inlineStr">
        <is>
          <t>Super Carlin Brothers</t>
        </is>
      </c>
      <c r="G2398" t="inlineStr">
        <is>
          <t>Harry Potter Theory: Why Harry Had To Compete In The Tri-Wizard Tournament</t>
        </is>
      </c>
      <c r="H2398" s="41" t="n">
        <v>0.005231481481481481</v>
      </c>
      <c r="I2398" s="42" t="n">
        <v>1962475</v>
      </c>
      <c r="J2398" s="42" t="n">
        <v>35881</v>
      </c>
      <c r="K2398" s="42" t="n">
        <v>4005</v>
      </c>
      <c r="L2398" s="43" t="n"/>
      <c r="M2398" s="44" t="n"/>
      <c r="N2398" s="44" t="inlineStr">
        <is>
          <t>UCKZo4N0lVPccBkSiuyVh4yg</t>
        </is>
      </c>
      <c r="O2398" s="45" t="n">
        <v>42950.89166666667</v>
      </c>
      <c r="P2398" s="46" t="n">
        <v>42950</v>
      </c>
      <c r="Q2398" s="44" t="n">
        <v>874</v>
      </c>
      <c r="R2398" s="44" t="inlineStr">
        <is>
          <t>No Video ID yet</t>
        </is>
      </c>
      <c r="S2398" s="46" t="n"/>
      <c r="T2398" s="46" t="n"/>
      <c r="U2398" s="44" t="n"/>
      <c r="V2398" s="44">
        <f>IF(AND(P2398&gt;=Calendar!$K$2,P2398&lt;EDATE(Calendar!$K$2,1),OR(Calendar!$K$4="*",N2398=Calendar!$K$4)),P2398*100+COUNTIFS($P$6:$P$3271,P2398,$Q$6:$Q$3271,"&lt;="&amp;Q2398,$N$6:$N$3271,Calendar!$K$4),"")</f>
        <v/>
      </c>
      <c r="W2398" s="44">
        <f>IF(AND(B2398=Queue!$C$4,OR(Queue!$K$4="*",N2398=Queue!$K$4)),Q2398,"")</f>
        <v/>
      </c>
    </row>
    <row r="2399">
      <c r="A2399" s="35">
        <f>IF(M2399="","",HYPERLINK("https://www.youtube.com/watch?v="&amp;M2399,"▶"))</f>
        <v/>
      </c>
      <c r="B2399" s="36">
        <f>IF(C2399&lt;&gt;"",C2399,IF(P2399&lt;=IFERROR(INDEX(tblChannels[Watched Through],MATCH(N2399,tblChannels[Channel ID],0)),0),"Watched","Unwatched"))</f>
        <v/>
      </c>
      <c r="C2399" s="37" t="n"/>
      <c r="D2399" s="38" t="n"/>
      <c r="E2399" s="39" t="n">
        <v>42950.49097222222</v>
      </c>
      <c r="F2399" s="49" t="inlineStr">
        <is>
          <t>Super Carlin Gaming</t>
        </is>
      </c>
      <c r="G2399" t="inlineStr">
        <is>
          <t>Mario Kart Roulette #21: Which Deathly Hallow Would You Choose?</t>
        </is>
      </c>
      <c r="H2399" s="41" t="n">
        <v>0.01185185185185185</v>
      </c>
      <c r="I2399" s="42" t="n">
        <v>14768</v>
      </c>
      <c r="J2399" s="42" t="n">
        <v>453</v>
      </c>
      <c r="K2399" s="42" t="n">
        <v>146</v>
      </c>
      <c r="L2399" s="43" t="n"/>
      <c r="M2399" s="44" t="n"/>
      <c r="N2399" s="44" t="inlineStr">
        <is>
          <t>UCor_9jRnNNZVzTuQ92PKsaQ</t>
        </is>
      </c>
      <c r="O2399" s="45" t="n">
        <v>42950.65763888889</v>
      </c>
      <c r="P2399" s="46" t="n">
        <v>42950</v>
      </c>
      <c r="Q2399" s="44" t="n">
        <v>873</v>
      </c>
      <c r="R2399" s="44" t="inlineStr">
        <is>
          <t>No Video ID yet</t>
        </is>
      </c>
      <c r="S2399" s="46" t="n"/>
      <c r="T2399" s="46" t="n"/>
      <c r="U2399" s="44" t="n"/>
      <c r="V2399" s="44">
        <f>IF(AND(P2399&gt;=Calendar!$K$2,P2399&lt;EDATE(Calendar!$K$2,1),OR(Calendar!$K$4="*",N2399=Calendar!$K$4)),P2399*100+COUNTIFS($P$6:$P$3271,P2399,$Q$6:$Q$3271,"&lt;="&amp;Q2399,$N$6:$N$3271,Calendar!$K$4),"")</f>
        <v/>
      </c>
      <c r="W2399" s="44">
        <f>IF(AND(B2399=Queue!$C$4,OR(Queue!$K$4="*",N2399=Queue!$K$4)),Q2399,"")</f>
        <v/>
      </c>
    </row>
    <row r="2400">
      <c r="A2400" s="35">
        <f>IF(M2400="","",HYPERLINK("https://www.youtube.com/watch?v="&amp;M2400,"▶"))</f>
        <v/>
      </c>
      <c r="B2400" s="36">
        <f>IF(C2400&lt;&gt;"",C2400,IF(P2400&lt;=IFERROR(INDEX(tblChannels[Watched Through],MATCH(N2400,tblChannels[Channel ID],0)),0),"Watched","Unwatched"))</f>
        <v/>
      </c>
      <c r="C2400" s="37" t="n"/>
      <c r="D2400" s="38" t="n"/>
      <c r="E2400" s="39" t="n">
        <v>42949.67152777778</v>
      </c>
      <c r="F2400" s="49" t="inlineStr">
        <is>
          <t>Super Carlin Gaming</t>
        </is>
      </c>
      <c r="G2400" t="inlineStr">
        <is>
          <t>Pokemon Pearl Nuzlocke #29: THE ELITE FOUR</t>
        </is>
      </c>
      <c r="H2400" s="41" t="n">
        <v>0.0249537037037037</v>
      </c>
      <c r="I2400" s="42" t="n">
        <v>27429</v>
      </c>
      <c r="J2400" s="42" t="n">
        <v>798</v>
      </c>
      <c r="K2400" s="42" t="n">
        <v>172</v>
      </c>
      <c r="L2400" s="43" t="n"/>
      <c r="M2400" s="44" t="n"/>
      <c r="N2400" s="44" t="inlineStr">
        <is>
          <t>UCor_9jRnNNZVzTuQ92PKsaQ</t>
        </is>
      </c>
      <c r="O2400" s="45" t="n">
        <v>42949.83819444444</v>
      </c>
      <c r="P2400" s="46" t="n">
        <v>42949</v>
      </c>
      <c r="Q2400" s="44" t="n">
        <v>872</v>
      </c>
      <c r="R2400" s="44" t="inlineStr">
        <is>
          <t>No Video ID yet</t>
        </is>
      </c>
      <c r="S2400" s="46" t="n"/>
      <c r="T2400" s="46" t="n"/>
      <c r="U2400" s="44" t="n"/>
      <c r="V2400" s="44">
        <f>IF(AND(P2400&gt;=Calendar!$K$2,P2400&lt;EDATE(Calendar!$K$2,1),OR(Calendar!$K$4="*",N2400=Calendar!$K$4)),P2400*100+COUNTIFS($P$6:$P$3271,P2400,$Q$6:$Q$3271,"&lt;="&amp;Q2400,$N$6:$N$3271,Calendar!$K$4),"")</f>
        <v/>
      </c>
      <c r="W2400" s="44">
        <f>IF(AND(B2400=Queue!$C$4,OR(Queue!$K$4="*",N2400=Queue!$K$4)),Q2400,"")</f>
        <v/>
      </c>
    </row>
    <row r="2401">
      <c r="A2401" s="35">
        <f>IF(M2401="","",HYPERLINK("https://www.youtube.com/watch?v="&amp;M2401,"▶"))</f>
        <v/>
      </c>
      <c r="B2401" s="36">
        <f>IF(C2401&lt;&gt;"",C2401,IF(P2401&lt;=IFERROR(INDEX(tblChannels[Watched Through],MATCH(N2401,tblChannels[Channel ID],0)),0),"Watched","Unwatched"))</f>
        <v/>
      </c>
      <c r="C2401" s="37" t="n"/>
      <c r="D2401" s="38" t="n"/>
      <c r="E2401" s="39" t="n">
        <v>42948.72777777778</v>
      </c>
      <c r="F2401" s="47" t="inlineStr">
        <is>
          <t>Super Carlin Brothers</t>
        </is>
      </c>
      <c r="G2401" t="inlineStr">
        <is>
          <t>Harry Potter Theory: How The Resurrection Stone Actually Works</t>
        </is>
      </c>
      <c r="H2401" s="41" t="n">
        <v>0.005868055555555555</v>
      </c>
      <c r="I2401" s="42" t="n">
        <v>1705097</v>
      </c>
      <c r="J2401" s="42" t="n">
        <v>36454</v>
      </c>
      <c r="K2401" s="42" t="n">
        <v>7712</v>
      </c>
      <c r="L2401" s="43" t="n"/>
      <c r="M2401" s="44" t="n"/>
      <c r="N2401" s="44" t="inlineStr">
        <is>
          <t>UCKZo4N0lVPccBkSiuyVh4yg</t>
        </is>
      </c>
      <c r="O2401" s="45" t="n">
        <v>42948.89444444444</v>
      </c>
      <c r="P2401" s="46" t="n">
        <v>42948</v>
      </c>
      <c r="Q2401" s="44" t="n">
        <v>871</v>
      </c>
      <c r="R2401" s="44" t="inlineStr">
        <is>
          <t>No Video ID yet</t>
        </is>
      </c>
      <c r="S2401" s="46" t="n"/>
      <c r="T2401" s="46" t="n"/>
      <c r="U2401" s="44" t="n"/>
      <c r="V2401" s="44">
        <f>IF(AND(P2401&gt;=Calendar!$K$2,P2401&lt;EDATE(Calendar!$K$2,1),OR(Calendar!$K$4="*",N2401=Calendar!$K$4)),P2401*100+COUNTIFS($P$6:$P$3271,P2401,$Q$6:$Q$3271,"&lt;="&amp;Q2401,$N$6:$N$3271,Calendar!$K$4),"")</f>
        <v/>
      </c>
      <c r="W2401" s="44">
        <f>IF(AND(B2401=Queue!$C$4,OR(Queue!$K$4="*",N2401=Queue!$K$4)),Q2401,"")</f>
        <v/>
      </c>
    </row>
    <row r="2402">
      <c r="A2402" s="35">
        <f>IF(M2402="","",HYPERLINK("https://www.youtube.com/watch?v="&amp;M2402,"▶"))</f>
        <v/>
      </c>
      <c r="B2402" s="36">
        <f>IF(C2402&lt;&gt;"",C2402,IF(P2402&lt;=IFERROR(INDEX(tblChannels[Watched Through],MATCH(N2402,tblChannels[Channel ID],0)),0),"Watched","Unwatched"))</f>
        <v/>
      </c>
      <c r="C2402" s="37" t="n"/>
      <c r="D2402" s="38" t="n"/>
      <c r="E2402" s="39" t="n">
        <v>42948.48402777778</v>
      </c>
      <c r="F2402" s="49" t="inlineStr">
        <is>
          <t>Super Carlin Gaming</t>
        </is>
      </c>
      <c r="G2402" t="inlineStr">
        <is>
          <t>Mario Kart Roulette #20: Ice Cream and Pizza Toppings</t>
        </is>
      </c>
      <c r="H2402" s="41" t="n">
        <v>0.01055555555555556</v>
      </c>
      <c r="I2402" s="42" t="n">
        <v>16245</v>
      </c>
      <c r="J2402" s="42" t="n">
        <v>462</v>
      </c>
      <c r="K2402" s="42" t="n">
        <v>153</v>
      </c>
      <c r="L2402" s="43" t="n"/>
      <c r="M2402" s="44" t="n"/>
      <c r="N2402" s="44" t="inlineStr">
        <is>
          <t>UCor_9jRnNNZVzTuQ92PKsaQ</t>
        </is>
      </c>
      <c r="O2402" s="45" t="n">
        <v>42948.65069444444</v>
      </c>
      <c r="P2402" s="46" t="n">
        <v>42948</v>
      </c>
      <c r="Q2402" s="44" t="n">
        <v>870</v>
      </c>
      <c r="R2402" s="44" t="inlineStr">
        <is>
          <t>No Video ID yet</t>
        </is>
      </c>
      <c r="S2402" s="46" t="n"/>
      <c r="T2402" s="46" t="n"/>
      <c r="U2402" s="44" t="n"/>
      <c r="V2402" s="44">
        <f>IF(AND(P2402&gt;=Calendar!$K$2,P2402&lt;EDATE(Calendar!$K$2,1),OR(Calendar!$K$4="*",N2402=Calendar!$K$4)),P2402*100+COUNTIFS($P$6:$P$3271,P2402,$Q$6:$Q$3271,"&lt;="&amp;Q2402,$N$6:$N$3271,Calendar!$K$4),"")</f>
        <v/>
      </c>
      <c r="W2402" s="44">
        <f>IF(AND(B2402=Queue!$C$4,OR(Queue!$K$4="*",N2402=Queue!$K$4)),Q2402,"")</f>
        <v/>
      </c>
    </row>
    <row r="2403">
      <c r="A2403" s="35">
        <f>IF(M2403="","",HYPERLINK("https://www.youtube.com/watch?v="&amp;M2403,"▶"))</f>
        <v/>
      </c>
      <c r="B2403" s="36">
        <f>IF(C2403&lt;&gt;"",C2403,IF(P2403&lt;=IFERROR(INDEX(tblChannels[Watched Through],MATCH(N2403,tblChannels[Channel ID],0)),0),"Watched","Unwatched"))</f>
        <v/>
      </c>
      <c r="C2403" s="37" t="n"/>
      <c r="D2403" s="38" t="n"/>
      <c r="E2403" s="39" t="n">
        <v>42947.67083333333</v>
      </c>
      <c r="F2403" s="49" t="inlineStr">
        <is>
          <t>Super Carlin Gaming</t>
        </is>
      </c>
      <c r="G2403" t="inlineStr">
        <is>
          <t>Pokemon Pearl Nuzlocke #28: Final Preparations!</t>
        </is>
      </c>
      <c r="H2403" s="41" t="n">
        <v>0.02297453703703704</v>
      </c>
      <c r="I2403" s="42" t="n">
        <v>24240</v>
      </c>
      <c r="J2403" s="42" t="n">
        <v>633</v>
      </c>
      <c r="K2403" s="42" t="n">
        <v>181</v>
      </c>
      <c r="L2403" s="43" t="n"/>
      <c r="M2403" s="44" t="n"/>
      <c r="N2403" s="44" t="inlineStr">
        <is>
          <t>UCor_9jRnNNZVzTuQ92PKsaQ</t>
        </is>
      </c>
      <c r="O2403" s="45" t="n">
        <v>42947.8375</v>
      </c>
      <c r="P2403" s="46" t="n">
        <v>42947</v>
      </c>
      <c r="Q2403" s="44" t="n">
        <v>869</v>
      </c>
      <c r="R2403" s="44" t="inlineStr">
        <is>
          <t>No Video ID yet</t>
        </is>
      </c>
      <c r="S2403" s="46" t="n"/>
      <c r="T2403" s="46" t="n"/>
      <c r="U2403" s="44" t="n"/>
      <c r="V2403" s="44">
        <f>IF(AND(P2403&gt;=Calendar!$K$2,P2403&lt;EDATE(Calendar!$K$2,1),OR(Calendar!$K$4="*",N2403=Calendar!$K$4)),P2403*100+COUNTIFS($P$6:$P$3271,P2403,$Q$6:$Q$3271,"&lt;="&amp;Q2403,$N$6:$N$3271,Calendar!$K$4),"")</f>
        <v/>
      </c>
      <c r="W2403" s="44">
        <f>IF(AND(B2403=Queue!$C$4,OR(Queue!$K$4="*",N2403=Queue!$K$4)),Q2403,"")</f>
        <v/>
      </c>
    </row>
    <row r="2404">
      <c r="A2404" s="35">
        <f>IF(M2404="","",HYPERLINK("https://www.youtube.com/watch?v="&amp;M2404,"▶"))</f>
        <v/>
      </c>
      <c r="B2404" s="36">
        <f>IF(C2404&lt;&gt;"",C2404,IF(P2404&lt;=IFERROR(INDEX(tblChannels[Watched Through],MATCH(N2404,tblChannels[Channel ID],0)),0),"Watched","Unwatched"))</f>
        <v/>
      </c>
      <c r="C2404" s="37" t="n"/>
      <c r="D2404" s="38" t="n"/>
      <c r="E2404" s="39" t="n">
        <v>42944.65763888889</v>
      </c>
      <c r="F2404" s="49" t="inlineStr">
        <is>
          <t>Super Carlin Gaming</t>
        </is>
      </c>
      <c r="G2404" t="inlineStr">
        <is>
          <t>Pokemon Pearl Nuzlocke #27: Graveler Surprise!</t>
        </is>
      </c>
      <c r="H2404" s="41" t="n">
        <v>0.01350694444444444</v>
      </c>
      <c r="I2404" s="42" t="n">
        <v>22152</v>
      </c>
      <c r="J2404" s="42" t="n">
        <v>778</v>
      </c>
      <c r="K2404" s="42" t="n">
        <v>290</v>
      </c>
      <c r="L2404" s="43" t="n"/>
      <c r="M2404" s="44" t="n"/>
      <c r="N2404" s="44" t="inlineStr">
        <is>
          <t>UCor_9jRnNNZVzTuQ92PKsaQ</t>
        </is>
      </c>
      <c r="O2404" s="45" t="n">
        <v>42944.82430555556</v>
      </c>
      <c r="P2404" s="46" t="n">
        <v>42944</v>
      </c>
      <c r="Q2404" s="44" t="n">
        <v>868</v>
      </c>
      <c r="R2404" s="44" t="inlineStr">
        <is>
          <t>No Video ID yet</t>
        </is>
      </c>
      <c r="S2404" s="46" t="n"/>
      <c r="T2404" s="46" t="n"/>
      <c r="U2404" s="44" t="n"/>
      <c r="V2404" s="44">
        <f>IF(AND(P2404&gt;=Calendar!$K$2,P2404&lt;EDATE(Calendar!$K$2,1),OR(Calendar!$K$4="*",N2404=Calendar!$K$4)),P2404*100+COUNTIFS($P$6:$P$3271,P2404,$Q$6:$Q$3271,"&lt;="&amp;Q2404,$N$6:$N$3271,Calendar!$K$4),"")</f>
        <v/>
      </c>
      <c r="W2404" s="44">
        <f>IF(AND(B2404=Queue!$C$4,OR(Queue!$K$4="*",N2404=Queue!$K$4)),Q2404,"")</f>
        <v/>
      </c>
    </row>
    <row r="2405">
      <c r="A2405" s="35">
        <f>IF(M2405="","",HYPERLINK("https://www.youtube.com/watch?v="&amp;M2405,"▶"))</f>
        <v/>
      </c>
      <c r="B2405" s="36">
        <f>IF(C2405&lt;&gt;"",C2405,IF(P2405&lt;=IFERROR(INDEX(tblChannels[Watched Through],MATCH(N2405,tblChannels[Channel ID],0)),0),"Watched","Unwatched"))</f>
        <v/>
      </c>
      <c r="C2405" s="37" t="n"/>
      <c r="D2405" s="38" t="n"/>
      <c r="E2405" s="39" t="n">
        <v>42943.90763888889</v>
      </c>
      <c r="F2405" s="47" t="inlineStr">
        <is>
          <t>Super Carlin Brothers</t>
        </is>
      </c>
      <c r="G2405" t="inlineStr">
        <is>
          <t>How to Get Accepted into Hogwarts!</t>
        </is>
      </c>
      <c r="H2405" s="41" t="n">
        <v>0.005081018518518519</v>
      </c>
      <c r="I2405" s="42" t="n">
        <v>1696420</v>
      </c>
      <c r="J2405" s="42" t="n">
        <v>39503</v>
      </c>
      <c r="K2405" s="42" t="n">
        <v>7272</v>
      </c>
      <c r="L2405" s="43" t="n"/>
      <c r="M2405" s="44" t="n"/>
      <c r="N2405" s="44" t="inlineStr">
        <is>
          <t>UCKZo4N0lVPccBkSiuyVh4yg</t>
        </is>
      </c>
      <c r="O2405" s="45" t="n">
        <v>42944.07430555556</v>
      </c>
      <c r="P2405" s="46" t="n">
        <v>42943</v>
      </c>
      <c r="Q2405" s="44" t="n">
        <v>867</v>
      </c>
      <c r="R2405" s="44" t="inlineStr">
        <is>
          <t>No Video ID yet</t>
        </is>
      </c>
      <c r="S2405" s="46" t="n"/>
      <c r="T2405" s="46" t="n"/>
      <c r="U2405" s="44" t="n"/>
      <c r="V2405" s="44">
        <f>IF(AND(P2405&gt;=Calendar!$K$2,P2405&lt;EDATE(Calendar!$K$2,1),OR(Calendar!$K$4="*",N2405=Calendar!$K$4)),P2405*100+COUNTIFS($P$6:$P$3271,P2405,$Q$6:$Q$3271,"&lt;="&amp;Q2405,$N$6:$N$3271,Calendar!$K$4),"")</f>
        <v/>
      </c>
      <c r="W2405" s="44">
        <f>IF(AND(B2405=Queue!$C$4,OR(Queue!$K$4="*",N2405=Queue!$K$4)),Q2405,"")</f>
        <v/>
      </c>
    </row>
    <row r="2406">
      <c r="A2406" s="35">
        <f>IF(M2406="","",HYPERLINK("https://www.youtube.com/watch?v="&amp;M2406,"▶"))</f>
        <v/>
      </c>
      <c r="B2406" s="36">
        <f>IF(C2406&lt;&gt;"",C2406,IF(P2406&lt;=IFERROR(INDEX(tblChannels[Watched Through],MATCH(N2406,tblChannels[Channel ID],0)),0),"Watched","Unwatched"))</f>
        <v/>
      </c>
      <c r="C2406" s="37" t="n"/>
      <c r="D2406" s="38" t="n"/>
      <c r="E2406" s="39" t="n">
        <v>42943.41666666666</v>
      </c>
      <c r="F2406" s="49" t="inlineStr">
        <is>
          <t>Super Carlin Gaming</t>
        </is>
      </c>
      <c r="G2406" t="inlineStr">
        <is>
          <t>Mario Kart Roulette #19: Crossing Cup? More like Frogger Cup, am I right?</t>
        </is>
      </c>
      <c r="H2406" s="41" t="n">
        <v>0.0124537037037037</v>
      </c>
      <c r="I2406" s="42" t="n">
        <v>17321</v>
      </c>
      <c r="J2406" s="42" t="n">
        <v>496</v>
      </c>
      <c r="K2406" s="42" t="n">
        <v>181</v>
      </c>
      <c r="L2406" s="43" t="n"/>
      <c r="M2406" s="44" t="n"/>
      <c r="N2406" s="44" t="inlineStr">
        <is>
          <t>UCor_9jRnNNZVzTuQ92PKsaQ</t>
        </is>
      </c>
      <c r="O2406" s="45" t="n">
        <v>42943.58333333334</v>
      </c>
      <c r="P2406" s="46" t="n">
        <v>42943</v>
      </c>
      <c r="Q2406" s="44" t="n">
        <v>866</v>
      </c>
      <c r="R2406" s="44" t="inlineStr">
        <is>
          <t>No Video ID yet</t>
        </is>
      </c>
      <c r="S2406" s="46" t="n"/>
      <c r="T2406" s="46" t="n"/>
      <c r="U2406" s="44" t="n"/>
      <c r="V2406" s="44">
        <f>IF(AND(P2406&gt;=Calendar!$K$2,P2406&lt;EDATE(Calendar!$K$2,1),OR(Calendar!$K$4="*",N2406=Calendar!$K$4)),P2406*100+COUNTIFS($P$6:$P$3271,P2406,$Q$6:$Q$3271,"&lt;="&amp;Q2406,$N$6:$N$3271,Calendar!$K$4),"")</f>
        <v/>
      </c>
      <c r="W2406" s="44">
        <f>IF(AND(B2406=Queue!$C$4,OR(Queue!$K$4="*",N2406=Queue!$K$4)),Q2406,"")</f>
        <v/>
      </c>
    </row>
    <row r="2407">
      <c r="A2407" s="35">
        <f>IF(M2407="","",HYPERLINK("https://www.youtube.com/watch?v="&amp;M2407,"▶"))</f>
        <v/>
      </c>
      <c r="B2407" s="36">
        <f>IF(C2407&lt;&gt;"",C2407,IF(P2407&lt;=IFERROR(INDEX(tblChannels[Watched Through],MATCH(N2407,tblChannels[Channel ID],0)),0),"Watched","Unwatched"))</f>
        <v/>
      </c>
      <c r="C2407" s="37" t="n"/>
      <c r="D2407" s="38" t="n"/>
      <c r="E2407" s="39" t="n">
        <v>42942.62847222222</v>
      </c>
      <c r="F2407" s="49" t="inlineStr">
        <is>
          <t>Super Carlin Gaming</t>
        </is>
      </c>
      <c r="G2407" t="inlineStr">
        <is>
          <t>Pokemon Pearl Nuzlocke #26: Aniki is stronger than you.</t>
        </is>
      </c>
      <c r="H2407" s="41" t="n">
        <v>0.03050925925925926</v>
      </c>
      <c r="I2407" s="42" t="n">
        <v>27509</v>
      </c>
      <c r="J2407" s="42" t="n">
        <v>679</v>
      </c>
      <c r="K2407" s="42" t="n">
        <v>404</v>
      </c>
      <c r="L2407" s="43" t="n"/>
      <c r="M2407" s="44" t="n"/>
      <c r="N2407" s="44" t="inlineStr">
        <is>
          <t>UCor_9jRnNNZVzTuQ92PKsaQ</t>
        </is>
      </c>
      <c r="O2407" s="45" t="n">
        <v>42942.79513888889</v>
      </c>
      <c r="P2407" s="46" t="n">
        <v>42942</v>
      </c>
      <c r="Q2407" s="44" t="n">
        <v>865</v>
      </c>
      <c r="R2407" s="44" t="inlineStr">
        <is>
          <t>No Video ID yet</t>
        </is>
      </c>
      <c r="S2407" s="46" t="n"/>
      <c r="T2407" s="46" t="n"/>
      <c r="U2407" s="44" t="n"/>
      <c r="V2407" s="44">
        <f>IF(AND(P2407&gt;=Calendar!$K$2,P2407&lt;EDATE(Calendar!$K$2,1),OR(Calendar!$K$4="*",N2407=Calendar!$K$4)),P2407*100+COUNTIFS($P$6:$P$3271,P2407,$Q$6:$Q$3271,"&lt;="&amp;Q2407,$N$6:$N$3271,Calendar!$K$4),"")</f>
        <v/>
      </c>
      <c r="W2407" s="44">
        <f>IF(AND(B2407=Queue!$C$4,OR(Queue!$K$4="*",N2407=Queue!$K$4)),Q2407,"")</f>
        <v/>
      </c>
    </row>
    <row r="2408">
      <c r="A2408" s="35">
        <f>IF(M2408="","",HYPERLINK("https://www.youtube.com/watch?v="&amp;M2408,"▶"))</f>
        <v/>
      </c>
      <c r="B2408" s="36">
        <f>IF(C2408&lt;&gt;"",C2408,IF(P2408&lt;=IFERROR(INDEX(tblChannels[Watched Through],MATCH(N2408,tblChannels[Channel ID],0)),0),"Watched","Unwatched"))</f>
        <v/>
      </c>
      <c r="C2408" s="37" t="n"/>
      <c r="D2408" s="38" t="n"/>
      <c r="E2408" s="39" t="n">
        <v>42941.62708333333</v>
      </c>
      <c r="F2408" s="47" t="inlineStr">
        <is>
          <t>Super Carlin Brothers</t>
        </is>
      </c>
      <c r="G2408" t="inlineStr">
        <is>
          <t>J vs Ben: The HARDEST Dumbledore Trivia Quiz EVER!</t>
        </is>
      </c>
      <c r="H2408" s="41" t="n">
        <v>0.02212962962962963</v>
      </c>
      <c r="I2408" s="42" t="n">
        <v>1548625</v>
      </c>
      <c r="J2408" s="42" t="n">
        <v>27628</v>
      </c>
      <c r="K2408" s="42" t="n">
        <v>5714</v>
      </c>
      <c r="L2408" s="43" t="n"/>
      <c r="M2408" s="44" t="n"/>
      <c r="N2408" s="44" t="inlineStr">
        <is>
          <t>UCKZo4N0lVPccBkSiuyVh4yg</t>
        </is>
      </c>
      <c r="O2408" s="45" t="n">
        <v>42941.79375</v>
      </c>
      <c r="P2408" s="46" t="n">
        <v>42941</v>
      </c>
      <c r="Q2408" s="44" t="n">
        <v>864</v>
      </c>
      <c r="R2408" s="44" t="inlineStr">
        <is>
          <t>No Video ID yet</t>
        </is>
      </c>
      <c r="S2408" s="46" t="n"/>
      <c r="T2408" s="46" t="n"/>
      <c r="U2408" s="44" t="n"/>
      <c r="V2408" s="44">
        <f>IF(AND(P2408&gt;=Calendar!$K$2,P2408&lt;EDATE(Calendar!$K$2,1),OR(Calendar!$K$4="*",N2408=Calendar!$K$4)),P2408*100+COUNTIFS($P$6:$P$3271,P2408,$Q$6:$Q$3271,"&lt;="&amp;Q2408,$N$6:$N$3271,Calendar!$K$4),"")</f>
        <v/>
      </c>
      <c r="W2408" s="44">
        <f>IF(AND(B2408=Queue!$C$4,OR(Queue!$K$4="*",N2408=Queue!$K$4)),Q2408,"")</f>
        <v/>
      </c>
    </row>
    <row r="2409">
      <c r="A2409" s="35">
        <f>IF(M2409="","",HYPERLINK("https://www.youtube.com/watch?v="&amp;M2409,"▶"))</f>
        <v/>
      </c>
      <c r="B2409" s="36">
        <f>IF(C2409&lt;&gt;"",C2409,IF(P2409&lt;=IFERROR(INDEX(tblChannels[Watched Through],MATCH(N2409,tblChannels[Channel ID],0)),0),"Watched","Unwatched"))</f>
        <v/>
      </c>
      <c r="C2409" s="37" t="n"/>
      <c r="D2409" s="38" t="n"/>
      <c r="E2409" s="39" t="n">
        <v>42941.41666666666</v>
      </c>
      <c r="F2409" s="49" t="inlineStr">
        <is>
          <t>Super Carlin Gaming</t>
        </is>
      </c>
      <c r="G2409" t="inlineStr">
        <is>
          <t>Mario Kart Roulette #18: Favorite YouTubers</t>
        </is>
      </c>
      <c r="H2409" s="41" t="n">
        <v>0.01146990740740741</v>
      </c>
      <c r="I2409" s="42" t="n">
        <v>17391</v>
      </c>
      <c r="J2409" s="42" t="n">
        <v>512</v>
      </c>
      <c r="K2409" s="42" t="n">
        <v>92</v>
      </c>
      <c r="L2409" s="43" t="n"/>
      <c r="M2409" s="44" t="n"/>
      <c r="N2409" s="44" t="inlineStr">
        <is>
          <t>UCor_9jRnNNZVzTuQ92PKsaQ</t>
        </is>
      </c>
      <c r="O2409" s="45" t="n">
        <v>42941.58333333334</v>
      </c>
      <c r="P2409" s="46" t="n">
        <v>42941</v>
      </c>
      <c r="Q2409" s="44" t="n">
        <v>863</v>
      </c>
      <c r="R2409" s="44" t="inlineStr">
        <is>
          <t>No Video ID yet</t>
        </is>
      </c>
      <c r="S2409" s="46" t="n"/>
      <c r="T2409" s="46" t="n"/>
      <c r="U2409" s="44" t="n"/>
      <c r="V2409" s="44">
        <f>IF(AND(P2409&gt;=Calendar!$K$2,P2409&lt;EDATE(Calendar!$K$2,1),OR(Calendar!$K$4="*",N2409=Calendar!$K$4)),P2409*100+COUNTIFS($P$6:$P$3271,P2409,$Q$6:$Q$3271,"&lt;="&amp;Q2409,$N$6:$N$3271,Calendar!$K$4),"")</f>
        <v/>
      </c>
      <c r="W2409" s="44">
        <f>IF(AND(B2409=Queue!$C$4,OR(Queue!$K$4="*",N2409=Queue!$K$4)),Q2409,"")</f>
        <v/>
      </c>
    </row>
    <row r="2410">
      <c r="A2410" s="35">
        <f>IF(M2410="","",HYPERLINK("https://www.youtube.com/watch?v="&amp;M2410,"▶"))</f>
        <v/>
      </c>
      <c r="B2410" s="36">
        <f>IF(C2410&lt;&gt;"",C2410,IF(P2410&lt;=IFERROR(INDEX(tblChannels[Watched Through],MATCH(N2410,tblChannels[Channel ID],0)),0),"Watched","Unwatched"))</f>
        <v/>
      </c>
      <c r="C2410" s="37" t="n"/>
      <c r="D2410" s="38" t="n"/>
      <c r="E2410" s="39" t="n">
        <v>42940.60833333333</v>
      </c>
      <c r="F2410" s="49" t="inlineStr">
        <is>
          <t>Super Carlin Gaming</t>
        </is>
      </c>
      <c r="G2410" t="inlineStr">
        <is>
          <t>Pokemon Pearl Nuzlocke #25: The road to Victory Road.</t>
        </is>
      </c>
      <c r="H2410" s="41" t="n">
        <v>0.01930555555555555</v>
      </c>
      <c r="I2410" s="42" t="n">
        <v>24582</v>
      </c>
      <c r="J2410" s="42" t="n">
        <v>659</v>
      </c>
      <c r="K2410" s="42" t="n">
        <v>146</v>
      </c>
      <c r="L2410" s="43" t="n"/>
      <c r="M2410" s="44" t="n"/>
      <c r="N2410" s="44" t="inlineStr">
        <is>
          <t>UCor_9jRnNNZVzTuQ92PKsaQ</t>
        </is>
      </c>
      <c r="O2410" s="45" t="n">
        <v>42940.775</v>
      </c>
      <c r="P2410" s="46" t="n">
        <v>42940</v>
      </c>
      <c r="Q2410" s="44" t="n">
        <v>862</v>
      </c>
      <c r="R2410" s="44" t="inlineStr">
        <is>
          <t>No Video ID yet</t>
        </is>
      </c>
      <c r="S2410" s="46" t="n"/>
      <c r="T2410" s="46" t="n"/>
      <c r="U2410" s="44" t="n"/>
      <c r="V2410" s="44">
        <f>IF(AND(P2410&gt;=Calendar!$K$2,P2410&lt;EDATE(Calendar!$K$2,1),OR(Calendar!$K$4="*",N2410=Calendar!$K$4)),P2410*100+COUNTIFS($P$6:$P$3271,P2410,$Q$6:$Q$3271,"&lt;="&amp;Q2410,$N$6:$N$3271,Calendar!$K$4),"")</f>
        <v/>
      </c>
      <c r="W2410" s="44">
        <f>IF(AND(B2410=Queue!$C$4,OR(Queue!$K$4="*",N2410=Queue!$K$4)),Q2410,"")</f>
        <v/>
      </c>
    </row>
    <row r="2411">
      <c r="A2411" s="35">
        <f>IF(M2411="","",HYPERLINK("https://www.youtube.com/watch?v="&amp;M2411,"▶"))</f>
        <v/>
      </c>
      <c r="B2411" s="36">
        <f>IF(C2411&lt;&gt;"",C2411,IF(P2411&lt;=IFERROR(INDEX(tblChannels[Watched Through],MATCH(N2411,tblChannels[Channel ID],0)),0),"Watched","Unwatched"))</f>
        <v/>
      </c>
      <c r="C2411" s="37" t="n"/>
      <c r="D2411" s="38" t="n"/>
      <c r="E2411" s="39" t="n">
        <v>42937.57708333333</v>
      </c>
      <c r="F2411" s="49" t="inlineStr">
        <is>
          <t>Super Carlin Gaming</t>
        </is>
      </c>
      <c r="G2411" t="inlineStr">
        <is>
          <t>Pokemon Pearl Nuzlocke #24: Hunting Legendaries!</t>
        </is>
      </c>
      <c r="H2411" s="41" t="n">
        <v>0.01743055555555556</v>
      </c>
      <c r="I2411" s="42" t="n">
        <v>24026</v>
      </c>
      <c r="J2411" s="42" t="n">
        <v>676</v>
      </c>
      <c r="K2411" s="42" t="n">
        <v>376</v>
      </c>
      <c r="L2411" s="43" t="n"/>
      <c r="M2411" s="44" t="n"/>
      <c r="N2411" s="44" t="inlineStr">
        <is>
          <t>UCor_9jRnNNZVzTuQ92PKsaQ</t>
        </is>
      </c>
      <c r="O2411" s="45" t="n">
        <v>42937.74375</v>
      </c>
      <c r="P2411" s="46" t="n">
        <v>42937</v>
      </c>
      <c r="Q2411" s="44" t="n">
        <v>861</v>
      </c>
      <c r="R2411" s="44" t="inlineStr">
        <is>
          <t>No Video ID yet</t>
        </is>
      </c>
      <c r="S2411" s="46" t="n"/>
      <c r="T2411" s="46" t="n"/>
      <c r="U2411" s="44" t="n"/>
      <c r="V2411" s="44">
        <f>IF(AND(P2411&gt;=Calendar!$K$2,P2411&lt;EDATE(Calendar!$K$2,1),OR(Calendar!$K$4="*",N2411=Calendar!$K$4)),P2411*100+COUNTIFS($P$6:$P$3271,P2411,$Q$6:$Q$3271,"&lt;="&amp;Q2411,$N$6:$N$3271,Calendar!$K$4),"")</f>
        <v/>
      </c>
      <c r="W2411" s="44">
        <f>IF(AND(B2411=Queue!$C$4,OR(Queue!$K$4="*",N2411=Queue!$K$4)),Q2411,"")</f>
        <v/>
      </c>
    </row>
    <row r="2412">
      <c r="A2412" s="35">
        <f>IF(M2412="","",HYPERLINK("https://www.youtube.com/watch?v="&amp;M2412,"▶"))</f>
        <v/>
      </c>
      <c r="B2412" s="36">
        <f>IF(C2412&lt;&gt;"",C2412,IF(P2412&lt;=IFERROR(INDEX(tblChannels[Watched Through],MATCH(N2412,tblChannels[Channel ID],0)),0),"Watched","Unwatched"))</f>
        <v/>
      </c>
      <c r="C2412" s="37" t="n"/>
      <c r="D2412" s="38" t="n"/>
      <c r="E2412" s="39" t="n">
        <v>42936.66597222222</v>
      </c>
      <c r="F2412" s="47" t="inlineStr">
        <is>
          <t>Super Carlin Brothers</t>
        </is>
      </c>
      <c r="G2412" t="inlineStr">
        <is>
          <t>How Pixar Was Almost Pixaren't!</t>
        </is>
      </c>
      <c r="H2412" s="41" t="n">
        <v>0.004513888888888888</v>
      </c>
      <c r="I2412" s="42" t="n">
        <v>456156</v>
      </c>
      <c r="J2412" s="42" t="n">
        <v>15303</v>
      </c>
      <c r="K2412" s="42" t="n">
        <v>1841</v>
      </c>
      <c r="L2412" s="43" t="n"/>
      <c r="M2412" s="44" t="n"/>
      <c r="N2412" s="44" t="inlineStr">
        <is>
          <t>UCKZo4N0lVPccBkSiuyVh4yg</t>
        </is>
      </c>
      <c r="O2412" s="45" t="n">
        <v>42936.83263888889</v>
      </c>
      <c r="P2412" s="46" t="n">
        <v>42936</v>
      </c>
      <c r="Q2412" s="44" t="n">
        <v>860</v>
      </c>
      <c r="R2412" s="44" t="inlineStr">
        <is>
          <t>No Video ID yet</t>
        </is>
      </c>
      <c r="S2412" s="46" t="n"/>
      <c r="T2412" s="46" t="n"/>
      <c r="U2412" s="44" t="n"/>
      <c r="V2412" s="44">
        <f>IF(AND(P2412&gt;=Calendar!$K$2,P2412&lt;EDATE(Calendar!$K$2,1),OR(Calendar!$K$4="*",N2412=Calendar!$K$4)),P2412*100+COUNTIFS($P$6:$P$3271,P2412,$Q$6:$Q$3271,"&lt;="&amp;Q2412,$N$6:$N$3271,Calendar!$K$4),"")</f>
        <v/>
      </c>
      <c r="W2412" s="44">
        <f>IF(AND(B2412=Queue!$C$4,OR(Queue!$K$4="*",N2412=Queue!$K$4)),Q2412,"")</f>
        <v/>
      </c>
    </row>
    <row r="2413">
      <c r="A2413" s="35">
        <f>IF(M2413="","",HYPERLINK("https://www.youtube.com/watch?v="&amp;M2413,"▶"))</f>
        <v/>
      </c>
      <c r="B2413" s="36">
        <f>IF(C2413&lt;&gt;"",C2413,IF(P2413&lt;=IFERROR(INDEX(tblChannels[Watched Through],MATCH(N2413,tblChannels[Channel ID],0)),0),"Watched","Unwatched"))</f>
        <v/>
      </c>
      <c r="C2413" s="37" t="n"/>
      <c r="D2413" s="38" t="n"/>
      <c r="E2413" s="39" t="n">
        <v>42936.41666666666</v>
      </c>
      <c r="F2413" s="49" t="inlineStr">
        <is>
          <t>Super Carlin Gaming</t>
        </is>
      </c>
      <c r="G2413" t="inlineStr">
        <is>
          <t>Mario Kart Roulette #17: How Many Times Can Ben Fall Off the Course?</t>
        </is>
      </c>
      <c r="H2413" s="41" t="n">
        <v>0.0140162037037037</v>
      </c>
      <c r="I2413" s="42" t="n">
        <v>18343</v>
      </c>
      <c r="J2413" s="42" t="n">
        <v>499</v>
      </c>
      <c r="K2413" s="42" t="n">
        <v>108</v>
      </c>
      <c r="L2413" s="43" t="n"/>
      <c r="M2413" s="44" t="n"/>
      <c r="N2413" s="44" t="inlineStr">
        <is>
          <t>UCor_9jRnNNZVzTuQ92PKsaQ</t>
        </is>
      </c>
      <c r="O2413" s="45" t="n">
        <v>42936.58333333334</v>
      </c>
      <c r="P2413" s="46" t="n">
        <v>42936</v>
      </c>
      <c r="Q2413" s="44" t="n">
        <v>859</v>
      </c>
      <c r="R2413" s="44" t="inlineStr">
        <is>
          <t>No Video ID yet</t>
        </is>
      </c>
      <c r="S2413" s="46" t="n"/>
      <c r="T2413" s="46" t="n"/>
      <c r="U2413" s="44" t="n"/>
      <c r="V2413" s="44">
        <f>IF(AND(P2413&gt;=Calendar!$K$2,P2413&lt;EDATE(Calendar!$K$2,1),OR(Calendar!$K$4="*",N2413=Calendar!$K$4)),P2413*100+COUNTIFS($P$6:$P$3271,P2413,$Q$6:$Q$3271,"&lt;="&amp;Q2413,$N$6:$N$3271,Calendar!$K$4),"")</f>
        <v/>
      </c>
      <c r="W2413" s="44">
        <f>IF(AND(B2413=Queue!$C$4,OR(Queue!$K$4="*",N2413=Queue!$K$4)),Q2413,"")</f>
        <v/>
      </c>
    </row>
    <row r="2414">
      <c r="A2414" s="35">
        <f>IF(M2414="","",HYPERLINK("https://www.youtube.com/watch?v="&amp;M2414,"▶"))</f>
        <v/>
      </c>
      <c r="B2414" s="36">
        <f>IF(C2414&lt;&gt;"",C2414,IF(P2414&lt;=IFERROR(INDEX(tblChannels[Watched Through],MATCH(N2414,tblChannels[Channel ID],0)),0),"Watched","Unwatched"))</f>
        <v/>
      </c>
      <c r="C2414" s="37" t="n"/>
      <c r="D2414" s="38" t="n"/>
      <c r="E2414" s="39" t="n">
        <v>42935.67152777778</v>
      </c>
      <c r="F2414" s="49" t="inlineStr">
        <is>
          <t>Super Carlin Gaming</t>
        </is>
      </c>
      <c r="G2414" t="inlineStr">
        <is>
          <t>Pokemon Pearl Nuzlocke #23: The Last Badge</t>
        </is>
      </c>
      <c r="H2414" s="41" t="n">
        <v>0.02965277777777778</v>
      </c>
      <c r="I2414" s="42" t="n">
        <v>29932</v>
      </c>
      <c r="J2414" s="42" t="n">
        <v>783</v>
      </c>
      <c r="K2414" s="42" t="n">
        <v>222</v>
      </c>
      <c r="L2414" s="43" t="n"/>
      <c r="M2414" s="44" t="n"/>
      <c r="N2414" s="44" t="inlineStr">
        <is>
          <t>UCor_9jRnNNZVzTuQ92PKsaQ</t>
        </is>
      </c>
      <c r="O2414" s="45" t="n">
        <v>42935.83819444444</v>
      </c>
      <c r="P2414" s="46" t="n">
        <v>42935</v>
      </c>
      <c r="Q2414" s="44" t="n">
        <v>858</v>
      </c>
      <c r="R2414" s="44" t="inlineStr">
        <is>
          <t>No Video ID yet</t>
        </is>
      </c>
      <c r="S2414" s="46" t="n"/>
      <c r="T2414" s="46" t="n"/>
      <c r="U2414" s="44" t="n"/>
      <c r="V2414" s="44">
        <f>IF(AND(P2414&gt;=Calendar!$K$2,P2414&lt;EDATE(Calendar!$K$2,1),OR(Calendar!$K$4="*",N2414=Calendar!$K$4)),P2414*100+COUNTIFS($P$6:$P$3271,P2414,$Q$6:$Q$3271,"&lt;="&amp;Q2414,$N$6:$N$3271,Calendar!$K$4),"")</f>
        <v/>
      </c>
      <c r="W2414" s="44">
        <f>IF(AND(B2414=Queue!$C$4,OR(Queue!$K$4="*",N2414=Queue!$K$4)),Q2414,"")</f>
        <v/>
      </c>
    </row>
    <row r="2415">
      <c r="A2415" s="35">
        <f>IF(M2415="","",HYPERLINK("https://www.youtube.com/watch?v="&amp;M2415,"▶"))</f>
        <v/>
      </c>
      <c r="B2415" s="36">
        <f>IF(C2415&lt;&gt;"",C2415,IF(P2415&lt;=IFERROR(INDEX(tblChannels[Watched Through],MATCH(N2415,tblChannels[Channel ID],0)),0),"Watched","Unwatched"))</f>
        <v/>
      </c>
      <c r="C2415" s="37" t="n"/>
      <c r="D2415" s="38" t="n"/>
      <c r="E2415" s="39" t="n">
        <v>42934.71597222222</v>
      </c>
      <c r="F2415" s="47" t="inlineStr">
        <is>
          <t>Super Carlin Brothers</t>
        </is>
      </c>
      <c r="G2415" t="inlineStr">
        <is>
          <t>How Pixar Almost Deleted Itself</t>
        </is>
      </c>
      <c r="H2415" s="41" t="n">
        <v>0.007546296296296297</v>
      </c>
      <c r="I2415" s="42" t="n">
        <v>1487088</v>
      </c>
      <c r="J2415" s="42" t="n">
        <v>36983</v>
      </c>
      <c r="K2415" s="42" t="n">
        <v>5633</v>
      </c>
      <c r="L2415" s="43" t="n"/>
      <c r="M2415" s="44" t="n"/>
      <c r="N2415" s="44" t="inlineStr">
        <is>
          <t>UCKZo4N0lVPccBkSiuyVh4yg</t>
        </is>
      </c>
      <c r="O2415" s="45" t="n">
        <v>42934.88263888889</v>
      </c>
      <c r="P2415" s="46" t="n">
        <v>42934</v>
      </c>
      <c r="Q2415" s="44" t="n">
        <v>857</v>
      </c>
      <c r="R2415" s="44" t="inlineStr">
        <is>
          <t>No Video ID yet</t>
        </is>
      </c>
      <c r="S2415" s="46" t="n"/>
      <c r="T2415" s="46" t="n"/>
      <c r="U2415" s="44" t="n"/>
      <c r="V2415" s="44">
        <f>IF(AND(P2415&gt;=Calendar!$K$2,P2415&lt;EDATE(Calendar!$K$2,1),OR(Calendar!$K$4="*",N2415=Calendar!$K$4)),P2415*100+COUNTIFS($P$6:$P$3271,P2415,$Q$6:$Q$3271,"&lt;="&amp;Q2415,$N$6:$N$3271,Calendar!$K$4),"")</f>
        <v/>
      </c>
      <c r="W2415" s="44">
        <f>IF(AND(B2415=Queue!$C$4,OR(Queue!$K$4="*",N2415=Queue!$K$4)),Q2415,"")</f>
        <v/>
      </c>
    </row>
    <row r="2416">
      <c r="A2416" s="35">
        <f>IF(M2416="","",HYPERLINK("https://www.youtube.com/watch?v="&amp;M2416,"▶"))</f>
        <v/>
      </c>
      <c r="B2416" s="36">
        <f>IF(C2416&lt;&gt;"",C2416,IF(P2416&lt;=IFERROR(INDEX(tblChannels[Watched Through],MATCH(N2416,tblChannels[Channel ID],0)),0),"Watched","Unwatched"))</f>
        <v/>
      </c>
      <c r="C2416" s="37" t="n"/>
      <c r="D2416" s="38" t="n"/>
      <c r="E2416" s="39" t="n">
        <v>42934.41666666666</v>
      </c>
      <c r="F2416" s="49" t="inlineStr">
        <is>
          <t>Super Carlin Gaming</t>
        </is>
      </c>
      <c r="G2416" t="inlineStr">
        <is>
          <t>Mario Kart Roulette #16: I Don't Wanna Walk Your Crazy Dog, Homes (Roommate Tips)</t>
        </is>
      </c>
      <c r="H2416" s="41" t="n">
        <v>0.01099537037037037</v>
      </c>
      <c r="I2416" s="42" t="n">
        <v>15493</v>
      </c>
      <c r="J2416" s="42" t="n">
        <v>456</v>
      </c>
      <c r="K2416" s="42" t="n">
        <v>53</v>
      </c>
      <c r="L2416" s="43" t="n"/>
      <c r="M2416" s="44" t="n"/>
      <c r="N2416" s="44" t="inlineStr">
        <is>
          <t>UCor_9jRnNNZVzTuQ92PKsaQ</t>
        </is>
      </c>
      <c r="O2416" s="45" t="n">
        <v>42934.58333333334</v>
      </c>
      <c r="P2416" s="46" t="n">
        <v>42934</v>
      </c>
      <c r="Q2416" s="44" t="n">
        <v>856</v>
      </c>
      <c r="R2416" s="44" t="inlineStr">
        <is>
          <t>No Video ID yet</t>
        </is>
      </c>
      <c r="S2416" s="46" t="n"/>
      <c r="T2416" s="46" t="n"/>
      <c r="U2416" s="44" t="n"/>
      <c r="V2416" s="44">
        <f>IF(AND(P2416&gt;=Calendar!$K$2,P2416&lt;EDATE(Calendar!$K$2,1),OR(Calendar!$K$4="*",N2416=Calendar!$K$4)),P2416*100+COUNTIFS($P$6:$P$3271,P2416,$Q$6:$Q$3271,"&lt;="&amp;Q2416,$N$6:$N$3271,Calendar!$K$4),"")</f>
        <v/>
      </c>
      <c r="W2416" s="44">
        <f>IF(AND(B2416=Queue!$C$4,OR(Queue!$K$4="*",N2416=Queue!$K$4)),Q2416,"")</f>
        <v/>
      </c>
    </row>
    <row r="2417">
      <c r="A2417" s="35">
        <f>IF(M2417="","",HYPERLINK("https://www.youtube.com/watch?v="&amp;M2417,"▶"))</f>
        <v/>
      </c>
      <c r="B2417" s="36">
        <f>IF(C2417&lt;&gt;"",C2417,IF(P2417&lt;=IFERROR(INDEX(tblChannels[Watched Through],MATCH(N2417,tblChannels[Channel ID],0)),0),"Watched","Unwatched"))</f>
        <v/>
      </c>
      <c r="C2417" s="37" t="n"/>
      <c r="D2417" s="38" t="n"/>
      <c r="E2417" s="39" t="n">
        <v>42933.63541666666</v>
      </c>
      <c r="F2417" s="49" t="inlineStr">
        <is>
          <t>Super Carlin Gaming</t>
        </is>
      </c>
      <c r="G2417" t="inlineStr">
        <is>
          <t>Pokemon Pearl Nuzlocke #22: Final Battle w/ Team Galactic</t>
        </is>
      </c>
      <c r="H2417" s="41" t="n">
        <v>0.03040509259259259</v>
      </c>
      <c r="I2417" s="42" t="n">
        <v>32514</v>
      </c>
      <c r="J2417" s="42" t="n">
        <v>742</v>
      </c>
      <c r="K2417" s="42" t="n">
        <v>248</v>
      </c>
      <c r="L2417" s="43" t="n"/>
      <c r="M2417" s="44" t="n"/>
      <c r="N2417" s="44" t="inlineStr">
        <is>
          <t>UCor_9jRnNNZVzTuQ92PKsaQ</t>
        </is>
      </c>
      <c r="O2417" s="45" t="n">
        <v>42933.80208333334</v>
      </c>
      <c r="P2417" s="46" t="n">
        <v>42933</v>
      </c>
      <c r="Q2417" s="44" t="n">
        <v>855</v>
      </c>
      <c r="R2417" s="44" t="inlineStr">
        <is>
          <t>No Video ID yet</t>
        </is>
      </c>
      <c r="S2417" s="46" t="n"/>
      <c r="T2417" s="46" t="n"/>
      <c r="U2417" s="44" t="n"/>
      <c r="V2417" s="44">
        <f>IF(AND(P2417&gt;=Calendar!$K$2,P2417&lt;EDATE(Calendar!$K$2,1),OR(Calendar!$K$4="*",N2417=Calendar!$K$4)),P2417*100+COUNTIFS($P$6:$P$3271,P2417,$Q$6:$Q$3271,"&lt;="&amp;Q2417,$N$6:$N$3271,Calendar!$K$4),"")</f>
        <v/>
      </c>
      <c r="W2417" s="44">
        <f>IF(AND(B2417=Queue!$C$4,OR(Queue!$K$4="*",N2417=Queue!$K$4)),Q2417,"")</f>
        <v/>
      </c>
    </row>
    <row r="2418">
      <c r="A2418" s="35">
        <f>IF(M2418="","",HYPERLINK("https://www.youtube.com/watch?v="&amp;M2418,"▶"))</f>
        <v/>
      </c>
      <c r="B2418" s="36">
        <f>IF(C2418&lt;&gt;"",C2418,IF(P2418&lt;=IFERROR(INDEX(tblChannels[Watched Through],MATCH(N2418,tblChannels[Channel ID],0)),0),"Watched","Unwatched"))</f>
        <v/>
      </c>
      <c r="C2418" s="37" t="n"/>
      <c r="D2418" s="38" t="n"/>
      <c r="E2418" s="39" t="n">
        <v>42929.65069444444</v>
      </c>
      <c r="F2418" s="47" t="inlineStr">
        <is>
          <t>Super Carlin Brothers</t>
        </is>
      </c>
      <c r="G2418" t="inlineStr">
        <is>
          <t>Will Moana Be A Disney Princess?</t>
        </is>
      </c>
      <c r="H2418" s="41" t="n">
        <v>0.005173611111111111</v>
      </c>
      <c r="I2418" s="42" t="n">
        <v>489808</v>
      </c>
      <c r="J2418" s="42" t="n">
        <v>17022</v>
      </c>
      <c r="K2418" s="42" t="n">
        <v>2951</v>
      </c>
      <c r="L2418" s="43" t="n"/>
      <c r="M2418" s="44" t="n"/>
      <c r="N2418" s="44" t="inlineStr">
        <is>
          <t>UCKZo4N0lVPccBkSiuyVh4yg</t>
        </is>
      </c>
      <c r="O2418" s="45" t="n">
        <v>42929.81736111111</v>
      </c>
      <c r="P2418" s="46" t="n">
        <v>42929</v>
      </c>
      <c r="Q2418" s="44" t="n">
        <v>854</v>
      </c>
      <c r="R2418" s="44" t="inlineStr">
        <is>
          <t>No Video ID yet</t>
        </is>
      </c>
      <c r="S2418" s="46" t="n"/>
      <c r="T2418" s="46" t="n"/>
      <c r="U2418" s="44" t="n"/>
      <c r="V2418" s="44">
        <f>IF(AND(P2418&gt;=Calendar!$K$2,P2418&lt;EDATE(Calendar!$K$2,1),OR(Calendar!$K$4="*",N2418=Calendar!$K$4)),P2418*100+COUNTIFS($P$6:$P$3271,P2418,$Q$6:$Q$3271,"&lt;="&amp;Q2418,$N$6:$N$3271,Calendar!$K$4),"")</f>
        <v/>
      </c>
      <c r="W2418" s="44">
        <f>IF(AND(B2418=Queue!$C$4,OR(Queue!$K$4="*",N2418=Queue!$K$4)),Q2418,"")</f>
        <v/>
      </c>
    </row>
    <row r="2419">
      <c r="A2419" s="35">
        <f>IF(M2419="","",HYPERLINK("https://www.youtube.com/watch?v="&amp;M2419,"▶"))</f>
        <v/>
      </c>
      <c r="B2419" s="36">
        <f>IF(C2419&lt;&gt;"",C2419,IF(P2419&lt;=IFERROR(INDEX(tblChannels[Watched Through],MATCH(N2419,tblChannels[Channel ID],0)),0),"Watched","Unwatched"))</f>
        <v/>
      </c>
      <c r="C2419" s="37" t="n"/>
      <c r="D2419" s="38" t="n"/>
      <c r="E2419" s="39" t="n">
        <v>42929.41666666666</v>
      </c>
      <c r="F2419" s="49" t="inlineStr">
        <is>
          <t>Super Carlin Gaming</t>
        </is>
      </c>
      <c r="G2419" t="inlineStr">
        <is>
          <t>Mario Kart Roulette #15: J Invented PROMposals</t>
        </is>
      </c>
      <c r="H2419" s="41" t="n">
        <v>0.01184027777777778</v>
      </c>
      <c r="I2419" s="42" t="n">
        <v>17282</v>
      </c>
      <c r="J2419" s="42" t="n">
        <v>497</v>
      </c>
      <c r="K2419" s="42" t="n">
        <v>93</v>
      </c>
      <c r="L2419" s="43" t="n"/>
      <c r="M2419" s="44" t="n"/>
      <c r="N2419" s="44" t="inlineStr">
        <is>
          <t>UCor_9jRnNNZVzTuQ92PKsaQ</t>
        </is>
      </c>
      <c r="O2419" s="45" t="n">
        <v>42929.58333333334</v>
      </c>
      <c r="P2419" s="46" t="n">
        <v>42929</v>
      </c>
      <c r="Q2419" s="44" t="n">
        <v>853</v>
      </c>
      <c r="R2419" s="44" t="inlineStr">
        <is>
          <t>No Video ID yet</t>
        </is>
      </c>
      <c r="S2419" s="46" t="n"/>
      <c r="T2419" s="46" t="n"/>
      <c r="U2419" s="44" t="n"/>
      <c r="V2419" s="44">
        <f>IF(AND(P2419&gt;=Calendar!$K$2,P2419&lt;EDATE(Calendar!$K$2,1),OR(Calendar!$K$4="*",N2419=Calendar!$K$4)),P2419*100+COUNTIFS($P$6:$P$3271,P2419,$Q$6:$Q$3271,"&lt;="&amp;Q2419,$N$6:$N$3271,Calendar!$K$4),"")</f>
        <v/>
      </c>
      <c r="W2419" s="44">
        <f>IF(AND(B2419=Queue!$C$4,OR(Queue!$K$4="*",N2419=Queue!$K$4)),Q2419,"")</f>
        <v/>
      </c>
    </row>
    <row r="2420">
      <c r="A2420" s="35">
        <f>IF(M2420="","",HYPERLINK("https://www.youtube.com/watch?v="&amp;M2420,"▶"))</f>
        <v/>
      </c>
      <c r="B2420" s="36">
        <f>IF(C2420&lt;&gt;"",C2420,IF(P2420&lt;=IFERROR(INDEX(tblChannels[Watched Through],MATCH(N2420,tblChannels[Channel ID],0)),0),"Watched","Unwatched"))</f>
        <v/>
      </c>
      <c r="C2420" s="37" t="n"/>
      <c r="D2420" s="38" t="n"/>
      <c r="E2420" s="39" t="n">
        <v>42927.71111111111</v>
      </c>
      <c r="F2420" s="47" t="inlineStr">
        <is>
          <t>Super Carlin Brothers</t>
        </is>
      </c>
      <c r="G2420" t="inlineStr">
        <is>
          <t>Is This The Best Spider Man Yet? | HOMECOMING REVIEW</t>
        </is>
      </c>
      <c r="H2420" s="41" t="n">
        <v>0.0249537037037037</v>
      </c>
      <c r="I2420" s="42" t="n">
        <v>574025</v>
      </c>
      <c r="J2420" s="42" t="n">
        <v>13228</v>
      </c>
      <c r="K2420" s="42" t="n">
        <v>3148</v>
      </c>
      <c r="L2420" s="43" t="n"/>
      <c r="M2420" s="44" t="n"/>
      <c r="N2420" s="44" t="inlineStr">
        <is>
          <t>UCKZo4N0lVPccBkSiuyVh4yg</t>
        </is>
      </c>
      <c r="O2420" s="45" t="n">
        <v>42927.87777777778</v>
      </c>
      <c r="P2420" s="46" t="n">
        <v>42927</v>
      </c>
      <c r="Q2420" s="44" t="n">
        <v>852</v>
      </c>
      <c r="R2420" s="44" t="inlineStr">
        <is>
          <t>No Video ID yet</t>
        </is>
      </c>
      <c r="S2420" s="46" t="n"/>
      <c r="T2420" s="46" t="n"/>
      <c r="U2420" s="44" t="n"/>
      <c r="V2420" s="44">
        <f>IF(AND(P2420&gt;=Calendar!$K$2,P2420&lt;EDATE(Calendar!$K$2,1),OR(Calendar!$K$4="*",N2420=Calendar!$K$4)),P2420*100+COUNTIFS($P$6:$P$3271,P2420,$Q$6:$Q$3271,"&lt;="&amp;Q2420,$N$6:$N$3271,Calendar!$K$4),"")</f>
        <v/>
      </c>
      <c r="W2420" s="44">
        <f>IF(AND(B2420=Queue!$C$4,OR(Queue!$K$4="*",N2420=Queue!$K$4)),Q2420,"")</f>
        <v/>
      </c>
    </row>
    <row r="2421">
      <c r="A2421" s="35">
        <f>IF(M2421="","",HYPERLINK("https://www.youtube.com/watch?v="&amp;M2421,"▶"))</f>
        <v/>
      </c>
      <c r="B2421" s="36">
        <f>IF(C2421&lt;&gt;"",C2421,IF(P2421&lt;=IFERROR(INDEX(tblChannels[Watched Through],MATCH(N2421,tblChannels[Channel ID],0)),0),"Watched","Unwatched"))</f>
        <v/>
      </c>
      <c r="C2421" s="37" t="n"/>
      <c r="D2421" s="38" t="n"/>
      <c r="E2421" s="39" t="n">
        <v>42927.41666666666</v>
      </c>
      <c r="F2421" s="49" t="inlineStr">
        <is>
          <t>Super Carlin Gaming</t>
        </is>
      </c>
      <c r="G2421" t="inlineStr">
        <is>
          <t>Mario Kart Roulette #14: Fourth of July Stories</t>
        </is>
      </c>
      <c r="H2421" s="41" t="n">
        <v>0.01020833333333333</v>
      </c>
      <c r="I2421" s="42" t="n">
        <v>16510</v>
      </c>
      <c r="J2421" s="42" t="n">
        <v>452</v>
      </c>
      <c r="K2421" s="42" t="n">
        <v>91</v>
      </c>
      <c r="L2421" s="43" t="n"/>
      <c r="M2421" s="44" t="n"/>
      <c r="N2421" s="44" t="inlineStr">
        <is>
          <t>UCor_9jRnNNZVzTuQ92PKsaQ</t>
        </is>
      </c>
      <c r="O2421" s="45" t="n">
        <v>42927.58333333334</v>
      </c>
      <c r="P2421" s="46" t="n">
        <v>42927</v>
      </c>
      <c r="Q2421" s="44" t="n">
        <v>851</v>
      </c>
      <c r="R2421" s="44" t="inlineStr">
        <is>
          <t>No Video ID yet</t>
        </is>
      </c>
      <c r="S2421" s="46" t="n"/>
      <c r="T2421" s="46" t="n"/>
      <c r="U2421" s="44" t="n"/>
      <c r="V2421" s="44">
        <f>IF(AND(P2421&gt;=Calendar!$K$2,P2421&lt;EDATE(Calendar!$K$2,1),OR(Calendar!$K$4="*",N2421=Calendar!$K$4)),P2421*100+COUNTIFS($P$6:$P$3271,P2421,$Q$6:$Q$3271,"&lt;="&amp;Q2421,$N$6:$N$3271,Calendar!$K$4),"")</f>
        <v/>
      </c>
      <c r="W2421" s="44">
        <f>IF(AND(B2421=Queue!$C$4,OR(Queue!$K$4="*",N2421=Queue!$K$4)),Q2421,"")</f>
        <v/>
      </c>
    </row>
    <row r="2422">
      <c r="A2422" s="35">
        <f>IF(M2422="","",HYPERLINK("https://www.youtube.com/watch?v="&amp;M2422,"▶"))</f>
        <v/>
      </c>
      <c r="B2422" s="36">
        <f>IF(C2422&lt;&gt;"",C2422,IF(P2422&lt;=IFERROR(INDEX(tblChannels[Watched Through],MATCH(N2422,tblChannels[Channel ID],0)),0),"Watched","Unwatched"))</f>
        <v/>
      </c>
      <c r="C2422" s="37" t="n"/>
      <c r="D2422" s="38" t="n"/>
      <c r="E2422" s="39" t="n">
        <v>42924.41666666666</v>
      </c>
      <c r="F2422" s="49" t="inlineStr">
        <is>
          <t>Super Carlin Gaming</t>
        </is>
      </c>
      <c r="G2422" t="inlineStr">
        <is>
          <t>Mario Kart Roulette #13: SPECIAL EDITION BATTLE (feat. J, Ben, DK and Kallie)</t>
        </is>
      </c>
      <c r="H2422" s="41" t="n">
        <v>0.01412037037037037</v>
      </c>
      <c r="I2422" s="42" t="n">
        <v>20275</v>
      </c>
      <c r="J2422" s="42" t="n">
        <v>578</v>
      </c>
      <c r="K2422" s="42" t="n">
        <v>88</v>
      </c>
      <c r="L2422" s="43" t="n"/>
      <c r="M2422" s="44" t="n"/>
      <c r="N2422" s="44" t="inlineStr">
        <is>
          <t>UCor_9jRnNNZVzTuQ92PKsaQ</t>
        </is>
      </c>
      <c r="O2422" s="45" t="n">
        <v>42924.58333333334</v>
      </c>
      <c r="P2422" s="46" t="n">
        <v>42924</v>
      </c>
      <c r="Q2422" s="44" t="n">
        <v>850</v>
      </c>
      <c r="R2422" s="44" t="inlineStr">
        <is>
          <t>No Video ID yet</t>
        </is>
      </c>
      <c r="S2422" s="46" t="n"/>
      <c r="T2422" s="46" t="n"/>
      <c r="U2422" s="44" t="n"/>
      <c r="V2422" s="44">
        <f>IF(AND(P2422&gt;=Calendar!$K$2,P2422&lt;EDATE(Calendar!$K$2,1),OR(Calendar!$K$4="*",N2422=Calendar!$K$4)),P2422*100+COUNTIFS($P$6:$P$3271,P2422,$Q$6:$Q$3271,"&lt;="&amp;Q2422,$N$6:$N$3271,Calendar!$K$4),"")</f>
        <v/>
      </c>
      <c r="W2422" s="44">
        <f>IF(AND(B2422=Queue!$C$4,OR(Queue!$K$4="*",N2422=Queue!$K$4)),Q2422,"")</f>
        <v/>
      </c>
    </row>
    <row r="2423">
      <c r="A2423" s="35">
        <f>IF(M2423="","",HYPERLINK("https://www.youtube.com/watch?v="&amp;M2423,"▶"))</f>
        <v/>
      </c>
      <c r="B2423" s="36">
        <f>IF(C2423&lt;&gt;"",C2423,IF(P2423&lt;=IFERROR(INDEX(tblChannels[Watched Through],MATCH(N2423,tblChannels[Channel ID],0)),0),"Watched","Unwatched"))</f>
        <v/>
      </c>
      <c r="C2423" s="37" t="n"/>
      <c r="D2423" s="38" t="n"/>
      <c r="E2423" s="39" t="n">
        <v>42923.54722222222</v>
      </c>
      <c r="F2423" s="49" t="inlineStr">
        <is>
          <t>Super Carlin Gaming</t>
        </is>
      </c>
      <c r="G2423" t="inlineStr">
        <is>
          <t>Pokemon Pearl Nuzlocke #21: Hamilton's Shiny Quest</t>
        </is>
      </c>
      <c r="H2423" s="41" t="n">
        <v>0.0169212962962963</v>
      </c>
      <c r="I2423" s="42" t="n">
        <v>26898</v>
      </c>
      <c r="J2423" s="42" t="n">
        <v>740</v>
      </c>
      <c r="K2423" s="42" t="n">
        <v>320</v>
      </c>
      <c r="L2423" s="43" t="n"/>
      <c r="M2423" s="44" t="n"/>
      <c r="N2423" s="44" t="inlineStr">
        <is>
          <t>UCor_9jRnNNZVzTuQ92PKsaQ</t>
        </is>
      </c>
      <c r="O2423" s="45" t="n">
        <v>42923.71388888889</v>
      </c>
      <c r="P2423" s="46" t="n">
        <v>42923</v>
      </c>
      <c r="Q2423" s="44" t="n">
        <v>849</v>
      </c>
      <c r="R2423" s="44" t="inlineStr">
        <is>
          <t>No Video ID yet</t>
        </is>
      </c>
      <c r="S2423" s="46" t="n"/>
      <c r="T2423" s="46" t="n"/>
      <c r="U2423" s="44" t="n"/>
      <c r="V2423" s="44">
        <f>IF(AND(P2423&gt;=Calendar!$K$2,P2423&lt;EDATE(Calendar!$K$2,1),OR(Calendar!$K$4="*",N2423=Calendar!$K$4)),P2423*100+COUNTIFS($P$6:$P$3271,P2423,$Q$6:$Q$3271,"&lt;="&amp;Q2423,$N$6:$N$3271,Calendar!$K$4),"")</f>
        <v/>
      </c>
      <c r="W2423" s="44">
        <f>IF(AND(B2423=Queue!$C$4,OR(Queue!$K$4="*",N2423=Queue!$K$4)),Q2423,"")</f>
        <v/>
      </c>
    </row>
    <row r="2424">
      <c r="A2424" s="35">
        <f>IF(M2424="","",HYPERLINK("https://www.youtube.com/watch?v="&amp;M2424,"▶"))</f>
        <v/>
      </c>
      <c r="B2424" s="36">
        <f>IF(C2424&lt;&gt;"",C2424,IF(P2424&lt;=IFERROR(INDEX(tblChannels[Watched Through],MATCH(N2424,tblChannels[Channel ID],0)),0),"Watched","Unwatched"))</f>
        <v/>
      </c>
      <c r="C2424" s="37" t="n"/>
      <c r="D2424" s="38" t="n"/>
      <c r="E2424" s="39" t="n">
        <v>42922.77361111111</v>
      </c>
      <c r="F2424" s="47" t="inlineStr">
        <is>
          <t>Super Carlin Brothers</t>
        </is>
      </c>
      <c r="G2424" t="inlineStr">
        <is>
          <t>Star Wars: Why Are Sith Lightsabers Red</t>
        </is>
      </c>
      <c r="H2424" s="41" t="n">
        <v>0.00636574074074074</v>
      </c>
      <c r="I2424" s="42" t="n">
        <v>280798</v>
      </c>
      <c r="J2424" s="42" t="n">
        <v>9132</v>
      </c>
      <c r="K2424" s="42" t="n">
        <v>1841</v>
      </c>
      <c r="L2424" s="43" t="n"/>
      <c r="M2424" s="44" t="n"/>
      <c r="N2424" s="44" t="inlineStr">
        <is>
          <t>UCKZo4N0lVPccBkSiuyVh4yg</t>
        </is>
      </c>
      <c r="O2424" s="45" t="n">
        <v>42922.94027777778</v>
      </c>
      <c r="P2424" s="46" t="n">
        <v>42922</v>
      </c>
      <c r="Q2424" s="44" t="n">
        <v>848</v>
      </c>
      <c r="R2424" s="44" t="inlineStr">
        <is>
          <t>No Video ID yet</t>
        </is>
      </c>
      <c r="S2424" s="46" t="n"/>
      <c r="T2424" s="46" t="n"/>
      <c r="U2424" s="44" t="n"/>
      <c r="V2424" s="44">
        <f>IF(AND(P2424&gt;=Calendar!$K$2,P2424&lt;EDATE(Calendar!$K$2,1),OR(Calendar!$K$4="*",N2424=Calendar!$K$4)),P2424*100+COUNTIFS($P$6:$P$3271,P2424,$Q$6:$Q$3271,"&lt;="&amp;Q2424,$N$6:$N$3271,Calendar!$K$4),"")</f>
        <v/>
      </c>
      <c r="W2424" s="44">
        <f>IF(AND(B2424=Queue!$C$4,OR(Queue!$K$4="*",N2424=Queue!$K$4)),Q2424,"")</f>
        <v/>
      </c>
    </row>
    <row r="2425">
      <c r="A2425" s="35">
        <f>IF(M2425="","",HYPERLINK("https://www.youtube.com/watch?v="&amp;M2425,"▶"))</f>
        <v/>
      </c>
      <c r="B2425" s="36">
        <f>IF(C2425&lt;&gt;"",C2425,IF(P2425&lt;=IFERROR(INDEX(tblChannels[Watched Through],MATCH(N2425,tblChannels[Channel ID],0)),0),"Watched","Unwatched"))</f>
        <v/>
      </c>
      <c r="C2425" s="37" t="n"/>
      <c r="D2425" s="38" t="n"/>
      <c r="E2425" s="39" t="n">
        <v>42922.41666666666</v>
      </c>
      <c r="F2425" s="49" t="inlineStr">
        <is>
          <t>Super Carlin Gaming</t>
        </is>
      </c>
      <c r="G2425" t="inlineStr">
        <is>
          <t>Mario Kart Roulette #12: Complaining About How Awful We Are</t>
        </is>
      </c>
      <c r="H2425" s="41" t="n">
        <v>0.01034722222222222</v>
      </c>
      <c r="I2425" s="42" t="n">
        <v>18458</v>
      </c>
      <c r="J2425" s="42" t="n">
        <v>558</v>
      </c>
      <c r="K2425" s="42" t="n">
        <v>81</v>
      </c>
      <c r="L2425" s="43" t="n"/>
      <c r="M2425" s="44" t="n"/>
      <c r="N2425" s="44" t="inlineStr">
        <is>
          <t>UCor_9jRnNNZVzTuQ92PKsaQ</t>
        </is>
      </c>
      <c r="O2425" s="45" t="n">
        <v>42922.58333333334</v>
      </c>
      <c r="P2425" s="46" t="n">
        <v>42922</v>
      </c>
      <c r="Q2425" s="44" t="n">
        <v>847</v>
      </c>
      <c r="R2425" s="44" t="inlineStr">
        <is>
          <t>No Video ID yet</t>
        </is>
      </c>
      <c r="S2425" s="46" t="n"/>
      <c r="T2425" s="46" t="n"/>
      <c r="U2425" s="44" t="n"/>
      <c r="V2425" s="44">
        <f>IF(AND(P2425&gt;=Calendar!$K$2,P2425&lt;EDATE(Calendar!$K$2,1),OR(Calendar!$K$4="*",N2425=Calendar!$K$4)),P2425*100+COUNTIFS($P$6:$P$3271,P2425,$Q$6:$Q$3271,"&lt;="&amp;Q2425,$N$6:$N$3271,Calendar!$K$4),"")</f>
        <v/>
      </c>
      <c r="W2425" s="44">
        <f>IF(AND(B2425=Queue!$C$4,OR(Queue!$K$4="*",N2425=Queue!$K$4)),Q2425,"")</f>
        <v/>
      </c>
    </row>
    <row r="2426">
      <c r="A2426" s="35">
        <f>IF(M2426="","",HYPERLINK("https://www.youtube.com/watch?v="&amp;M2426,"▶"))</f>
        <v/>
      </c>
      <c r="B2426" s="36">
        <f>IF(C2426&lt;&gt;"",C2426,IF(P2426&lt;=IFERROR(INDEX(tblChannels[Watched Through],MATCH(N2426,tblChannels[Channel ID],0)),0),"Watched","Unwatched"))</f>
        <v/>
      </c>
      <c r="C2426" s="37" t="n"/>
      <c r="D2426" s="38" t="n"/>
      <c r="E2426" s="39" t="n">
        <v>42921.625</v>
      </c>
      <c r="F2426" s="49" t="inlineStr">
        <is>
          <t>Super Carlin Gaming</t>
        </is>
      </c>
      <c r="G2426" t="inlineStr">
        <is>
          <t>Pokemon Pearl Nuzlocke #20: Galactic HQ</t>
        </is>
      </c>
      <c r="H2426" s="41" t="n">
        <v>0.01890046296296296</v>
      </c>
      <c r="I2426" s="42" t="n">
        <v>28349</v>
      </c>
      <c r="J2426" s="42" t="n">
        <v>743</v>
      </c>
      <c r="K2426" s="42" t="n">
        <v>192</v>
      </c>
      <c r="L2426" s="43" t="n"/>
      <c r="M2426" s="44" t="n"/>
      <c r="N2426" s="44" t="inlineStr">
        <is>
          <t>UCor_9jRnNNZVzTuQ92PKsaQ</t>
        </is>
      </c>
      <c r="O2426" s="45" t="n">
        <v>42921.79166666666</v>
      </c>
      <c r="P2426" s="46" t="n">
        <v>42921</v>
      </c>
      <c r="Q2426" s="44" t="n">
        <v>846</v>
      </c>
      <c r="R2426" s="44" t="inlineStr">
        <is>
          <t>No Video ID yet</t>
        </is>
      </c>
      <c r="S2426" s="46" t="n"/>
      <c r="T2426" s="46" t="n"/>
      <c r="U2426" s="44" t="n"/>
      <c r="V2426" s="44">
        <f>IF(AND(P2426&gt;=Calendar!$K$2,P2426&lt;EDATE(Calendar!$K$2,1),OR(Calendar!$K$4="*",N2426=Calendar!$K$4)),P2426*100+COUNTIFS($P$6:$P$3271,P2426,$Q$6:$Q$3271,"&lt;="&amp;Q2426,$N$6:$N$3271,Calendar!$K$4),"")</f>
        <v/>
      </c>
      <c r="W2426" s="44">
        <f>IF(AND(B2426=Queue!$C$4,OR(Queue!$K$4="*",N2426=Queue!$K$4)),Q2426,"")</f>
        <v/>
      </c>
    </row>
    <row r="2427">
      <c r="A2427" s="35">
        <f>IF(M2427="","",HYPERLINK("https://www.youtube.com/watch?v="&amp;M2427,"▶"))</f>
        <v/>
      </c>
      <c r="B2427" s="36">
        <f>IF(C2427&lt;&gt;"",C2427,IF(P2427&lt;=IFERROR(INDEX(tblChannels[Watched Through],MATCH(N2427,tblChannels[Channel ID],0)),0),"Watched","Unwatched"))</f>
        <v/>
      </c>
      <c r="C2427" s="37" t="n"/>
      <c r="D2427" s="38" t="n"/>
      <c r="E2427" s="39" t="n">
        <v>42920.67152777778</v>
      </c>
      <c r="F2427" s="47" t="inlineStr">
        <is>
          <t>Super Carlin Brothers</t>
        </is>
      </c>
      <c r="G2427" t="inlineStr">
        <is>
          <t>Spider Man And The American Flag Explained</t>
        </is>
      </c>
      <c r="H2427" s="41" t="n">
        <v>0.005543981481481481</v>
      </c>
      <c r="I2427" s="42" t="n">
        <v>588252</v>
      </c>
      <c r="J2427" s="42" t="n">
        <v>18466</v>
      </c>
      <c r="K2427" s="42" t="n">
        <v>2574</v>
      </c>
      <c r="L2427" s="43" t="n"/>
      <c r="M2427" s="44" t="n"/>
      <c r="N2427" s="44" t="inlineStr">
        <is>
          <t>UCKZo4N0lVPccBkSiuyVh4yg</t>
        </is>
      </c>
      <c r="O2427" s="45" t="n">
        <v>42920.83819444444</v>
      </c>
      <c r="P2427" s="46" t="n">
        <v>42920</v>
      </c>
      <c r="Q2427" s="44" t="n">
        <v>845</v>
      </c>
      <c r="R2427" s="44" t="inlineStr">
        <is>
          <t>No Video ID yet</t>
        </is>
      </c>
      <c r="S2427" s="46" t="n"/>
      <c r="T2427" s="46" t="n"/>
      <c r="U2427" s="44" t="n"/>
      <c r="V2427" s="44">
        <f>IF(AND(P2427&gt;=Calendar!$K$2,P2427&lt;EDATE(Calendar!$K$2,1),OR(Calendar!$K$4="*",N2427=Calendar!$K$4)),P2427*100+COUNTIFS($P$6:$P$3271,P2427,$Q$6:$Q$3271,"&lt;="&amp;Q2427,$N$6:$N$3271,Calendar!$K$4),"")</f>
        <v/>
      </c>
      <c r="W2427" s="44">
        <f>IF(AND(B2427=Queue!$C$4,OR(Queue!$K$4="*",N2427=Queue!$K$4)),Q2427,"")</f>
        <v/>
      </c>
    </row>
    <row r="2428">
      <c r="A2428" s="35">
        <f>IF(M2428="","",HYPERLINK("https://www.youtube.com/watch?v="&amp;M2428,"▶"))</f>
        <v/>
      </c>
      <c r="B2428" s="36">
        <f>IF(C2428&lt;&gt;"",C2428,IF(P2428&lt;=IFERROR(INDEX(tblChannels[Watched Through],MATCH(N2428,tblChannels[Channel ID],0)),0),"Watched","Unwatched"))</f>
        <v/>
      </c>
      <c r="C2428" s="37" t="n"/>
      <c r="D2428" s="38" t="n"/>
      <c r="E2428" s="39" t="n">
        <v>42920.41666666666</v>
      </c>
      <c r="F2428" s="49" t="inlineStr">
        <is>
          <t>Super Carlin Gaming</t>
        </is>
      </c>
      <c r="G2428" t="inlineStr">
        <is>
          <t>Mario Kart Roulette #11: Strengths and Weaknesses (literally)</t>
        </is>
      </c>
      <c r="H2428" s="41" t="n">
        <v>0.01116898148148148</v>
      </c>
      <c r="I2428" s="42" t="n">
        <v>19269</v>
      </c>
      <c r="J2428" s="42" t="n">
        <v>532</v>
      </c>
      <c r="K2428" s="42" t="n">
        <v>58</v>
      </c>
      <c r="L2428" s="43" t="n"/>
      <c r="M2428" s="44" t="n"/>
      <c r="N2428" s="44" t="inlineStr">
        <is>
          <t>UCor_9jRnNNZVzTuQ92PKsaQ</t>
        </is>
      </c>
      <c r="O2428" s="45" t="n">
        <v>42920.58333333334</v>
      </c>
      <c r="P2428" s="46" t="n">
        <v>42920</v>
      </c>
      <c r="Q2428" s="44" t="n">
        <v>844</v>
      </c>
      <c r="R2428" s="44" t="inlineStr">
        <is>
          <t>No Video ID yet</t>
        </is>
      </c>
      <c r="S2428" s="46" t="n"/>
      <c r="T2428" s="46" t="n"/>
      <c r="U2428" s="44" t="n"/>
      <c r="V2428" s="44">
        <f>IF(AND(P2428&gt;=Calendar!$K$2,P2428&lt;EDATE(Calendar!$K$2,1),OR(Calendar!$K$4="*",N2428=Calendar!$K$4)),P2428*100+COUNTIFS($P$6:$P$3271,P2428,$Q$6:$Q$3271,"&lt;="&amp;Q2428,$N$6:$N$3271,Calendar!$K$4),"")</f>
        <v/>
      </c>
      <c r="W2428" s="44">
        <f>IF(AND(B2428=Queue!$C$4,OR(Queue!$K$4="*",N2428=Queue!$K$4)),Q2428,"")</f>
        <v/>
      </c>
    </row>
    <row r="2429">
      <c r="A2429" s="35">
        <f>IF(M2429="","",HYPERLINK("https://www.youtube.com/watch?v="&amp;M2429,"▶"))</f>
        <v/>
      </c>
      <c r="B2429" s="36">
        <f>IF(C2429&lt;&gt;"",C2429,IF(P2429&lt;=IFERROR(INDEX(tblChannels[Watched Through],MATCH(N2429,tblChannels[Channel ID],0)),0),"Watched","Unwatched"))</f>
        <v/>
      </c>
      <c r="C2429" s="37" t="n"/>
      <c r="D2429" s="38" t="n"/>
      <c r="E2429" s="39" t="n">
        <v>42919.63958333333</v>
      </c>
      <c r="F2429" s="49" t="inlineStr">
        <is>
          <t>Super Carlin Gaming</t>
        </is>
      </c>
      <c r="G2429" t="inlineStr">
        <is>
          <t>Pokemon Pearl Nuzlocke #19: A Raging Starfire</t>
        </is>
      </c>
      <c r="H2429" s="41" t="n">
        <v>0.01732638888888889</v>
      </c>
      <c r="I2429" s="42" t="n">
        <v>29530</v>
      </c>
      <c r="J2429" s="42" t="n">
        <v>793</v>
      </c>
      <c r="K2429" s="42" t="n">
        <v>210</v>
      </c>
      <c r="L2429" s="43" t="n"/>
      <c r="M2429" s="44" t="n"/>
      <c r="N2429" s="44" t="inlineStr">
        <is>
          <t>UCor_9jRnNNZVzTuQ92PKsaQ</t>
        </is>
      </c>
      <c r="O2429" s="45" t="n">
        <v>42919.80625</v>
      </c>
      <c r="P2429" s="46" t="n">
        <v>42919</v>
      </c>
      <c r="Q2429" s="44" t="n">
        <v>843</v>
      </c>
      <c r="R2429" s="44" t="inlineStr">
        <is>
          <t>No Video ID yet</t>
        </is>
      </c>
      <c r="S2429" s="46" t="n"/>
      <c r="T2429" s="46" t="n"/>
      <c r="U2429" s="44" t="n"/>
      <c r="V2429" s="44">
        <f>IF(AND(P2429&gt;=Calendar!$K$2,P2429&lt;EDATE(Calendar!$K$2,1),OR(Calendar!$K$4="*",N2429=Calendar!$K$4)),P2429*100+COUNTIFS($P$6:$P$3271,P2429,$Q$6:$Q$3271,"&lt;="&amp;Q2429,$N$6:$N$3271,Calendar!$K$4),"")</f>
        <v/>
      </c>
      <c r="W2429" s="44">
        <f>IF(AND(B2429=Queue!$C$4,OR(Queue!$K$4="*",N2429=Queue!$K$4)),Q2429,"")</f>
        <v/>
      </c>
    </row>
    <row r="2430">
      <c r="A2430" s="35">
        <f>IF(M2430="","",HYPERLINK("https://www.youtube.com/watch?v="&amp;M2430,"▶"))</f>
        <v/>
      </c>
      <c r="B2430" s="36">
        <f>IF(C2430&lt;&gt;"",C2430,IF(P2430&lt;=IFERROR(INDEX(tblChannels[Watched Through],MATCH(N2430,tblChannels[Channel ID],0)),0),"Watched","Unwatched"))</f>
        <v/>
      </c>
      <c r="C2430" s="37" t="n"/>
      <c r="D2430" s="38" t="n"/>
      <c r="E2430" s="39" t="n">
        <v>42916.64930555555</v>
      </c>
      <c r="F2430" s="49" t="inlineStr">
        <is>
          <t>Super Carlin Gaming</t>
        </is>
      </c>
      <c r="G2430" t="inlineStr">
        <is>
          <t>Pokemon Pearl Nuzlocke #18: Hail Continues To Fall</t>
        </is>
      </c>
      <c r="H2430" s="41" t="n">
        <v>0.02387731481481482</v>
      </c>
      <c r="I2430" s="42" t="n">
        <v>33803</v>
      </c>
      <c r="J2430" s="42" t="n">
        <v>1005</v>
      </c>
      <c r="K2430" s="42" t="n">
        <v>691</v>
      </c>
      <c r="L2430" s="43" t="n"/>
      <c r="M2430" s="44" t="n"/>
      <c r="N2430" s="44" t="inlineStr">
        <is>
          <t>UCor_9jRnNNZVzTuQ92PKsaQ</t>
        </is>
      </c>
      <c r="O2430" s="45" t="n">
        <v>42916.81597222222</v>
      </c>
      <c r="P2430" s="46" t="n">
        <v>42916</v>
      </c>
      <c r="Q2430" s="44" t="n">
        <v>842</v>
      </c>
      <c r="R2430" s="44" t="inlineStr">
        <is>
          <t>No Video ID yet</t>
        </is>
      </c>
      <c r="S2430" s="46" t="n"/>
      <c r="T2430" s="46" t="n"/>
      <c r="U2430" s="44" t="n"/>
      <c r="V2430" s="44">
        <f>IF(AND(P2430&gt;=Calendar!$K$2,P2430&lt;EDATE(Calendar!$K$2,1),OR(Calendar!$K$4="*",N2430=Calendar!$K$4)),P2430*100+COUNTIFS($P$6:$P$3271,P2430,$Q$6:$Q$3271,"&lt;="&amp;Q2430,$N$6:$N$3271,Calendar!$K$4),"")</f>
        <v/>
      </c>
      <c r="W2430" s="44">
        <f>IF(AND(B2430=Queue!$C$4,OR(Queue!$K$4="*",N2430=Queue!$K$4)),Q2430,"")</f>
        <v/>
      </c>
    </row>
    <row r="2431">
      <c r="A2431" s="35">
        <f>IF(M2431="","",HYPERLINK("https://www.youtube.com/watch?v="&amp;M2431,"▶"))</f>
        <v/>
      </c>
      <c r="B2431" s="36">
        <f>IF(C2431&lt;&gt;"",C2431,IF(P2431&lt;=IFERROR(INDEX(tblChannels[Watched Through],MATCH(N2431,tblChannels[Channel ID],0)),0),"Watched","Unwatched"))</f>
        <v/>
      </c>
      <c r="C2431" s="37" t="n"/>
      <c r="D2431" s="38" t="n"/>
      <c r="E2431" s="39" t="n">
        <v>42915.80138888889</v>
      </c>
      <c r="F2431" s="47" t="inlineStr">
        <is>
          <t>Super Carlin Brothers</t>
        </is>
      </c>
      <c r="G2431" t="inlineStr">
        <is>
          <t>Pixar Theory: The Origin Of Al's Toy Barn (ft. Mike Mozart)</t>
        </is>
      </c>
      <c r="H2431" s="41" t="n">
        <v>0.006631944444444445</v>
      </c>
      <c r="I2431" s="42" t="n">
        <v>1259236</v>
      </c>
      <c r="J2431" s="42" t="n">
        <v>33431</v>
      </c>
      <c r="K2431" s="42" t="n">
        <v>3034</v>
      </c>
      <c r="L2431" s="43" t="n"/>
      <c r="M2431" s="44" t="n"/>
      <c r="N2431" s="44" t="inlineStr">
        <is>
          <t>UCKZo4N0lVPccBkSiuyVh4yg</t>
        </is>
      </c>
      <c r="O2431" s="45" t="n">
        <v>42915.96805555555</v>
      </c>
      <c r="P2431" s="46" t="n">
        <v>42915</v>
      </c>
      <c r="Q2431" s="44" t="n">
        <v>841</v>
      </c>
      <c r="R2431" s="44" t="inlineStr">
        <is>
          <t>No Video ID yet</t>
        </is>
      </c>
      <c r="S2431" s="46" t="n"/>
      <c r="T2431" s="46" t="n"/>
      <c r="U2431" s="44" t="n"/>
      <c r="V2431" s="44">
        <f>IF(AND(P2431&gt;=Calendar!$K$2,P2431&lt;EDATE(Calendar!$K$2,1),OR(Calendar!$K$4="*",N2431=Calendar!$K$4)),P2431*100+COUNTIFS($P$6:$P$3271,P2431,$Q$6:$Q$3271,"&lt;="&amp;Q2431,$N$6:$N$3271,Calendar!$K$4),"")</f>
        <v/>
      </c>
      <c r="W2431" s="44">
        <f>IF(AND(B2431=Queue!$C$4,OR(Queue!$K$4="*",N2431=Queue!$K$4)),Q2431,"")</f>
        <v/>
      </c>
    </row>
    <row r="2432">
      <c r="A2432" s="35">
        <f>IF(M2432="","",HYPERLINK("https://www.youtube.com/watch?v="&amp;M2432,"▶"))</f>
        <v/>
      </c>
      <c r="B2432" s="36">
        <f>IF(C2432&lt;&gt;"",C2432,IF(P2432&lt;=IFERROR(INDEX(tblChannels[Watched Through],MATCH(N2432,tblChannels[Channel ID],0)),0),"Watched","Unwatched"))</f>
        <v/>
      </c>
      <c r="C2432" s="37" t="n"/>
      <c r="D2432" s="38" t="n"/>
      <c r="E2432" s="39" t="n">
        <v>42915.41666666666</v>
      </c>
      <c r="F2432" s="49" t="inlineStr">
        <is>
          <t>Super Carlin Gaming</t>
        </is>
      </c>
      <c r="G2432" t="inlineStr">
        <is>
          <t>Mario Kart Roulette #10: Dragons and Nifflers</t>
        </is>
      </c>
      <c r="H2432" s="41" t="n">
        <v>0.01131944444444444</v>
      </c>
      <c r="I2432" s="42" t="n">
        <v>21293</v>
      </c>
      <c r="J2432" s="42" t="n">
        <v>548</v>
      </c>
      <c r="K2432" s="42" t="n">
        <v>127</v>
      </c>
      <c r="L2432" s="43" t="n"/>
      <c r="M2432" s="44" t="n"/>
      <c r="N2432" s="44" t="inlineStr">
        <is>
          <t>UCor_9jRnNNZVzTuQ92PKsaQ</t>
        </is>
      </c>
      <c r="O2432" s="45" t="n">
        <v>42915.58333333334</v>
      </c>
      <c r="P2432" s="46" t="n">
        <v>42915</v>
      </c>
      <c r="Q2432" s="44" t="n">
        <v>840</v>
      </c>
      <c r="R2432" s="44" t="inlineStr">
        <is>
          <t>No Video ID yet</t>
        </is>
      </c>
      <c r="S2432" s="46" t="n"/>
      <c r="T2432" s="46" t="n"/>
      <c r="U2432" s="44" t="n"/>
      <c r="V2432" s="44">
        <f>IF(AND(P2432&gt;=Calendar!$K$2,P2432&lt;EDATE(Calendar!$K$2,1),OR(Calendar!$K$4="*",N2432=Calendar!$K$4)),P2432*100+COUNTIFS($P$6:$P$3271,P2432,$Q$6:$Q$3271,"&lt;="&amp;Q2432,$N$6:$N$3271,Calendar!$K$4),"")</f>
        <v/>
      </c>
      <c r="W2432" s="44">
        <f>IF(AND(B2432=Queue!$C$4,OR(Queue!$K$4="*",N2432=Queue!$K$4)),Q2432,"")</f>
        <v/>
      </c>
    </row>
    <row r="2433">
      <c r="A2433" s="35">
        <f>IF(M2433="","",HYPERLINK("https://www.youtube.com/watch?v="&amp;M2433,"▶"))</f>
        <v/>
      </c>
      <c r="B2433" s="36">
        <f>IF(C2433&lt;&gt;"",C2433,IF(P2433&lt;=IFERROR(INDEX(tblChannels[Watched Through],MATCH(N2433,tblChannels[Channel ID],0)),0),"Watched","Unwatched"))</f>
        <v/>
      </c>
      <c r="C2433" s="37" t="n"/>
      <c r="D2433" s="38" t="n"/>
      <c r="E2433" s="39" t="n">
        <v>42914.62083333333</v>
      </c>
      <c r="F2433" s="49" t="inlineStr">
        <is>
          <t>Super Carlin Gaming</t>
        </is>
      </c>
      <c r="G2433" t="inlineStr">
        <is>
          <t>Pokemon Pearl Nuzlocke #17: Beak Unit Alpha</t>
        </is>
      </c>
      <c r="H2433" s="41" t="n">
        <v>0.02050925925925926</v>
      </c>
      <c r="I2433" s="42" t="n">
        <v>31396</v>
      </c>
      <c r="J2433" s="42" t="n">
        <v>807</v>
      </c>
      <c r="K2433" s="42" t="n">
        <v>295</v>
      </c>
      <c r="L2433" s="43" t="n"/>
      <c r="M2433" s="44" t="n"/>
      <c r="N2433" s="44" t="inlineStr">
        <is>
          <t>UCor_9jRnNNZVzTuQ92PKsaQ</t>
        </is>
      </c>
      <c r="O2433" s="45" t="n">
        <v>42914.7875</v>
      </c>
      <c r="P2433" s="46" t="n">
        <v>42914</v>
      </c>
      <c r="Q2433" s="44" t="n">
        <v>839</v>
      </c>
      <c r="R2433" s="44" t="inlineStr">
        <is>
          <t>No Video ID yet</t>
        </is>
      </c>
      <c r="S2433" s="46" t="n"/>
      <c r="T2433" s="46" t="n"/>
      <c r="U2433" s="44" t="n"/>
      <c r="V2433" s="44">
        <f>IF(AND(P2433&gt;=Calendar!$K$2,P2433&lt;EDATE(Calendar!$K$2,1),OR(Calendar!$K$4="*",N2433=Calendar!$K$4)),P2433*100+COUNTIFS($P$6:$P$3271,P2433,$Q$6:$Q$3271,"&lt;="&amp;Q2433,$N$6:$N$3271,Calendar!$K$4),"")</f>
        <v/>
      </c>
      <c r="W2433" s="44">
        <f>IF(AND(B2433=Queue!$C$4,OR(Queue!$K$4="*",N2433=Queue!$K$4)),Q2433,"")</f>
        <v/>
      </c>
    </row>
    <row r="2434">
      <c r="A2434" s="35">
        <f>IF(M2434="","",HYPERLINK("https://www.youtube.com/watch?v="&amp;M2434,"▶"))</f>
        <v/>
      </c>
      <c r="B2434" s="36">
        <f>IF(C2434&lt;&gt;"",C2434,IF(P2434&lt;=IFERROR(INDEX(tblChannels[Watched Through],MATCH(N2434,tblChannels[Channel ID],0)),0),"Watched","Unwatched"))</f>
        <v/>
      </c>
      <c r="C2434" s="37" t="n"/>
      <c r="D2434" s="38" t="n"/>
      <c r="E2434" s="39" t="n">
        <v>42913.79236111111</v>
      </c>
      <c r="F2434" s="47" t="inlineStr">
        <is>
          <t>Super Carlin Brothers</t>
        </is>
      </c>
      <c r="G2434" t="inlineStr">
        <is>
          <t>How Cars 3 Fits Into the Pixar Theory</t>
        </is>
      </c>
      <c r="H2434" s="41" t="n">
        <v>0.007673611111111111</v>
      </c>
      <c r="I2434" s="42" t="n">
        <v>747828</v>
      </c>
      <c r="J2434" s="42" t="n">
        <v>19450</v>
      </c>
      <c r="K2434" s="42" t="n">
        <v>2990</v>
      </c>
      <c r="L2434" s="43" t="n"/>
      <c r="M2434" s="44" t="n"/>
      <c r="N2434" s="44" t="inlineStr">
        <is>
          <t>UCKZo4N0lVPccBkSiuyVh4yg</t>
        </is>
      </c>
      <c r="O2434" s="45" t="n">
        <v>42913.95902777778</v>
      </c>
      <c r="P2434" s="46" t="n">
        <v>42913</v>
      </c>
      <c r="Q2434" s="44" t="n">
        <v>838</v>
      </c>
      <c r="R2434" s="44" t="inlineStr">
        <is>
          <t>No Video ID yet</t>
        </is>
      </c>
      <c r="S2434" s="46" t="n"/>
      <c r="T2434" s="46" t="n"/>
      <c r="U2434" s="44" t="n"/>
      <c r="V2434" s="44">
        <f>IF(AND(P2434&gt;=Calendar!$K$2,P2434&lt;EDATE(Calendar!$K$2,1),OR(Calendar!$K$4="*",N2434=Calendar!$K$4)),P2434*100+COUNTIFS($P$6:$P$3271,P2434,$Q$6:$Q$3271,"&lt;="&amp;Q2434,$N$6:$N$3271,Calendar!$K$4),"")</f>
        <v/>
      </c>
      <c r="W2434" s="44">
        <f>IF(AND(B2434=Queue!$C$4,OR(Queue!$K$4="*",N2434=Queue!$K$4)),Q2434,"")</f>
        <v/>
      </c>
    </row>
    <row r="2435">
      <c r="A2435" s="35">
        <f>IF(M2435="","",HYPERLINK("https://www.youtube.com/watch?v="&amp;M2435,"▶"))</f>
        <v/>
      </c>
      <c r="B2435" s="36">
        <f>IF(C2435&lt;&gt;"",C2435,IF(P2435&lt;=IFERROR(INDEX(tblChannels[Watched Through],MATCH(N2435,tblChannels[Channel ID],0)),0),"Watched","Unwatched"))</f>
        <v/>
      </c>
      <c r="C2435" s="37" t="n"/>
      <c r="D2435" s="38" t="n"/>
      <c r="E2435" s="39" t="n">
        <v>42913.41666666666</v>
      </c>
      <c r="F2435" s="49" t="inlineStr">
        <is>
          <t>Super Carlin Gaming</t>
        </is>
      </c>
      <c r="G2435" t="inlineStr">
        <is>
          <t>Mario Kart Roulette #9: Ask J and Ben</t>
        </is>
      </c>
      <c r="H2435" s="41" t="n">
        <v>0.01099537037037037</v>
      </c>
      <c r="I2435" s="42" t="n">
        <v>21420</v>
      </c>
      <c r="J2435" s="42" t="n">
        <v>536</v>
      </c>
      <c r="K2435" s="42" t="n">
        <v>100</v>
      </c>
      <c r="L2435" s="43" t="n"/>
      <c r="M2435" s="44" t="n"/>
      <c r="N2435" s="44" t="inlineStr">
        <is>
          <t>UCor_9jRnNNZVzTuQ92PKsaQ</t>
        </is>
      </c>
      <c r="O2435" s="45" t="n">
        <v>42913.58333333334</v>
      </c>
      <c r="P2435" s="46" t="n">
        <v>42913</v>
      </c>
      <c r="Q2435" s="44" t="n">
        <v>837</v>
      </c>
      <c r="R2435" s="44" t="inlineStr">
        <is>
          <t>No Video ID yet</t>
        </is>
      </c>
      <c r="S2435" s="46" t="n"/>
      <c r="T2435" s="46" t="n"/>
      <c r="U2435" s="44" t="n"/>
      <c r="V2435" s="44">
        <f>IF(AND(P2435&gt;=Calendar!$K$2,P2435&lt;EDATE(Calendar!$K$2,1),OR(Calendar!$K$4="*",N2435=Calendar!$K$4)),P2435*100+COUNTIFS($P$6:$P$3271,P2435,$Q$6:$Q$3271,"&lt;="&amp;Q2435,$N$6:$N$3271,Calendar!$K$4),"")</f>
        <v/>
      </c>
      <c r="W2435" s="44">
        <f>IF(AND(B2435=Queue!$C$4,OR(Queue!$K$4="*",N2435=Queue!$K$4)),Q2435,"")</f>
        <v/>
      </c>
    </row>
    <row r="2436">
      <c r="A2436" s="35">
        <f>IF(M2436="","",HYPERLINK("https://www.youtube.com/watch?v="&amp;M2436,"▶"))</f>
        <v/>
      </c>
      <c r="B2436" s="36">
        <f>IF(C2436&lt;&gt;"",C2436,IF(P2436&lt;=IFERROR(INDEX(tblChannels[Watched Through],MATCH(N2436,tblChannels[Channel ID],0)),0),"Watched","Unwatched"))</f>
        <v/>
      </c>
      <c r="C2436" s="37" t="n"/>
      <c r="D2436" s="38" t="n"/>
      <c r="E2436" s="39" t="n">
        <v>42912.64652777778</v>
      </c>
      <c r="F2436" s="49" t="inlineStr">
        <is>
          <t>Super Carlin Gaming</t>
        </is>
      </c>
      <c r="G2436" t="inlineStr">
        <is>
          <t>Pokemon Pearl Nuzlocke #16: A Steel Gym?</t>
        </is>
      </c>
      <c r="H2436" s="41" t="n">
        <v>0.02186342592592593</v>
      </c>
      <c r="I2436" s="42" t="n">
        <v>33738</v>
      </c>
      <c r="J2436" s="42" t="n">
        <v>814</v>
      </c>
      <c r="K2436" s="42" t="n">
        <v>257</v>
      </c>
      <c r="L2436" s="43" t="n"/>
      <c r="M2436" s="44" t="n"/>
      <c r="N2436" s="44" t="inlineStr">
        <is>
          <t>UCor_9jRnNNZVzTuQ92PKsaQ</t>
        </is>
      </c>
      <c r="O2436" s="45" t="n">
        <v>42912.81319444445</v>
      </c>
      <c r="P2436" s="46" t="n">
        <v>42912</v>
      </c>
      <c r="Q2436" s="44" t="n">
        <v>836</v>
      </c>
      <c r="R2436" s="44" t="inlineStr">
        <is>
          <t>No Video ID yet</t>
        </is>
      </c>
      <c r="S2436" s="46" t="n"/>
      <c r="T2436" s="46" t="n"/>
      <c r="U2436" s="44" t="n"/>
      <c r="V2436" s="44">
        <f>IF(AND(P2436&gt;=Calendar!$K$2,P2436&lt;EDATE(Calendar!$K$2,1),OR(Calendar!$K$4="*",N2436=Calendar!$K$4)),P2436*100+COUNTIFS($P$6:$P$3271,P2436,$Q$6:$Q$3271,"&lt;="&amp;Q2436,$N$6:$N$3271,Calendar!$K$4),"")</f>
        <v/>
      </c>
      <c r="W2436" s="44">
        <f>IF(AND(B2436=Queue!$C$4,OR(Queue!$K$4="*",N2436=Queue!$K$4)),Q2436,"")</f>
        <v/>
      </c>
    </row>
    <row r="2437">
      <c r="A2437" s="35">
        <f>IF(M2437="","",HYPERLINK("https://www.youtube.com/watch?v="&amp;M2437,"▶"))</f>
        <v/>
      </c>
      <c r="B2437" s="36">
        <f>IF(C2437&lt;&gt;"",C2437,IF(P2437&lt;=IFERROR(INDEX(tblChannels[Watched Through],MATCH(N2437,tblChannels[Channel ID],0)),0),"Watched","Unwatched"))</f>
        <v/>
      </c>
      <c r="C2437" s="37" t="n"/>
      <c r="D2437" s="38" t="n"/>
      <c r="E2437" s="39" t="n">
        <v>42909.61458333334</v>
      </c>
      <c r="F2437" s="49" t="inlineStr">
        <is>
          <t>Super Carlin Gaming</t>
        </is>
      </c>
      <c r="G2437" t="inlineStr">
        <is>
          <t>Pokemon Pearl Nuzlocke #15: Ghosts and Zombies</t>
        </is>
      </c>
      <c r="H2437" s="41" t="n">
        <v>0.02427083333333333</v>
      </c>
      <c r="I2437" s="42" t="n">
        <v>35488</v>
      </c>
      <c r="J2437" s="42" t="n">
        <v>826</v>
      </c>
      <c r="K2437" s="42" t="n">
        <v>287</v>
      </c>
      <c r="L2437" s="43" t="n"/>
      <c r="M2437" s="44" t="n"/>
      <c r="N2437" s="44" t="inlineStr">
        <is>
          <t>UCor_9jRnNNZVzTuQ92PKsaQ</t>
        </is>
      </c>
      <c r="O2437" s="45" t="n">
        <v>42909.78125</v>
      </c>
      <c r="P2437" s="46" t="n">
        <v>42909</v>
      </c>
      <c r="Q2437" s="44" t="n">
        <v>835</v>
      </c>
      <c r="R2437" s="44" t="inlineStr">
        <is>
          <t>No Video ID yet</t>
        </is>
      </c>
      <c r="S2437" s="46" t="n"/>
      <c r="T2437" s="46" t="n"/>
      <c r="U2437" s="44" t="n"/>
      <c r="V2437" s="44">
        <f>IF(AND(P2437&gt;=Calendar!$K$2,P2437&lt;EDATE(Calendar!$K$2,1),OR(Calendar!$K$4="*",N2437=Calendar!$K$4)),P2437*100+COUNTIFS($P$6:$P$3271,P2437,$Q$6:$Q$3271,"&lt;="&amp;Q2437,$N$6:$N$3271,Calendar!$K$4),"")</f>
        <v/>
      </c>
      <c r="W2437" s="44">
        <f>IF(AND(B2437=Queue!$C$4,OR(Queue!$K$4="*",N2437=Queue!$K$4)),Q2437,"")</f>
        <v/>
      </c>
    </row>
    <row r="2438">
      <c r="A2438" s="35">
        <f>IF(M2438="","",HYPERLINK("https://www.youtube.com/watch?v="&amp;M2438,"▶"))</f>
        <v/>
      </c>
      <c r="B2438" s="36">
        <f>IF(C2438&lt;&gt;"",C2438,IF(P2438&lt;=IFERROR(INDEX(tblChannels[Watched Through],MATCH(N2438,tblChannels[Channel ID],0)),0),"Watched","Unwatched"))</f>
        <v/>
      </c>
      <c r="C2438" s="37" t="n"/>
      <c r="D2438" s="38" t="n"/>
      <c r="E2438" s="39" t="n">
        <v>42908.80555555555</v>
      </c>
      <c r="F2438" s="47" t="inlineStr">
        <is>
          <t>Super Carlin Brothers</t>
        </is>
      </c>
      <c r="G2438" t="inlineStr">
        <is>
          <t>Toy Story Zero: The True Story Of Andy’s Dad &amp; Woody’s Origin (ft. Mike Mozart)</t>
        </is>
      </c>
      <c r="H2438" s="41" t="n">
        <v>0.01224537037037037</v>
      </c>
      <c r="I2438" s="42" t="n">
        <v>5115951</v>
      </c>
      <c r="J2438" s="42" t="n">
        <v>154040</v>
      </c>
      <c r="K2438" s="42" t="n">
        <v>14123</v>
      </c>
      <c r="L2438" s="43" t="n"/>
      <c r="M2438" s="44" t="n"/>
      <c r="N2438" s="44" t="inlineStr">
        <is>
          <t>UCKZo4N0lVPccBkSiuyVh4yg</t>
        </is>
      </c>
      <c r="O2438" s="45" t="n">
        <v>42908.97222222222</v>
      </c>
      <c r="P2438" s="46" t="n">
        <v>42908</v>
      </c>
      <c r="Q2438" s="44" t="n">
        <v>834</v>
      </c>
      <c r="R2438" s="44" t="inlineStr">
        <is>
          <t>No Video ID yet</t>
        </is>
      </c>
      <c r="S2438" s="46" t="n"/>
      <c r="T2438" s="46" t="n"/>
      <c r="U2438" s="44" t="n"/>
      <c r="V2438" s="44">
        <f>IF(AND(P2438&gt;=Calendar!$K$2,P2438&lt;EDATE(Calendar!$K$2,1),OR(Calendar!$K$4="*",N2438=Calendar!$K$4)),P2438*100+COUNTIFS($P$6:$P$3271,P2438,$Q$6:$Q$3271,"&lt;="&amp;Q2438,$N$6:$N$3271,Calendar!$K$4),"")</f>
        <v/>
      </c>
      <c r="W2438" s="44">
        <f>IF(AND(B2438=Queue!$C$4,OR(Queue!$K$4="*",N2438=Queue!$K$4)),Q2438,"")</f>
        <v/>
      </c>
    </row>
    <row r="2439">
      <c r="A2439" s="35">
        <f>IF(M2439="","",HYPERLINK("https://www.youtube.com/watch?v="&amp;M2439,"▶"))</f>
        <v/>
      </c>
      <c r="B2439" s="36">
        <f>IF(C2439&lt;&gt;"",C2439,IF(P2439&lt;=IFERROR(INDEX(tblChannels[Watched Through],MATCH(N2439,tblChannels[Channel ID],0)),0),"Watched","Unwatched"))</f>
        <v/>
      </c>
      <c r="C2439" s="37" t="n"/>
      <c r="D2439" s="38" t="n"/>
      <c r="E2439" s="39" t="n">
        <v>42908.41666666666</v>
      </c>
      <c r="F2439" s="49" t="inlineStr">
        <is>
          <t>Super Carlin Gaming</t>
        </is>
      </c>
      <c r="G2439" t="inlineStr">
        <is>
          <t>Mario Kart Roulette #8: Animal Crossing Is Basically Frogger Right?</t>
        </is>
      </c>
      <c r="H2439" s="41" t="n">
        <v>0.01138888888888889</v>
      </c>
      <c r="I2439" s="42" t="n">
        <v>23833</v>
      </c>
      <c r="J2439" s="42" t="n">
        <v>624</v>
      </c>
      <c r="K2439" s="42" t="n">
        <v>221</v>
      </c>
      <c r="L2439" s="43" t="n"/>
      <c r="M2439" s="44" t="n"/>
      <c r="N2439" s="44" t="inlineStr">
        <is>
          <t>UCor_9jRnNNZVzTuQ92PKsaQ</t>
        </is>
      </c>
      <c r="O2439" s="45" t="n">
        <v>42908.58333333334</v>
      </c>
      <c r="P2439" s="46" t="n">
        <v>42908</v>
      </c>
      <c r="Q2439" s="44" t="n">
        <v>833</v>
      </c>
      <c r="R2439" s="44" t="inlineStr">
        <is>
          <t>No Video ID yet</t>
        </is>
      </c>
      <c r="S2439" s="46" t="n"/>
      <c r="T2439" s="46" t="n"/>
      <c r="U2439" s="44" t="n"/>
      <c r="V2439" s="44">
        <f>IF(AND(P2439&gt;=Calendar!$K$2,P2439&lt;EDATE(Calendar!$K$2,1),OR(Calendar!$K$4="*",N2439=Calendar!$K$4)),P2439*100+COUNTIFS($P$6:$P$3271,P2439,$Q$6:$Q$3271,"&lt;="&amp;Q2439,$N$6:$N$3271,Calendar!$K$4),"")</f>
        <v/>
      </c>
      <c r="W2439" s="44">
        <f>IF(AND(B2439=Queue!$C$4,OR(Queue!$K$4="*",N2439=Queue!$K$4)),Q2439,"")</f>
        <v/>
      </c>
    </row>
    <row r="2440">
      <c r="A2440" s="35">
        <f>IF(M2440="","",HYPERLINK("https://www.youtube.com/watch?v="&amp;M2440,"▶"))</f>
        <v/>
      </c>
      <c r="B2440" s="36">
        <f>IF(C2440&lt;&gt;"",C2440,IF(P2440&lt;=IFERROR(INDEX(tblChannels[Watched Through],MATCH(N2440,tblChannels[Channel ID],0)),0),"Watched","Unwatched"))</f>
        <v/>
      </c>
      <c r="C2440" s="37" t="n"/>
      <c r="D2440" s="38" t="n"/>
      <c r="E2440" s="39" t="n">
        <v>42907.70138888889</v>
      </c>
      <c r="F2440" s="49" t="inlineStr">
        <is>
          <t>Super Carlin Gaming</t>
        </is>
      </c>
      <c r="G2440" t="inlineStr">
        <is>
          <t>Pokemon Pearl Nuzlocke #14: Cynthia's Mission</t>
        </is>
      </c>
      <c r="H2440" s="41" t="n">
        <v>0.02881944444444445</v>
      </c>
      <c r="I2440" s="42" t="n">
        <v>37191</v>
      </c>
      <c r="J2440" s="42" t="n">
        <v>866</v>
      </c>
      <c r="K2440" s="42" t="n">
        <v>401</v>
      </c>
      <c r="L2440" s="43" t="n"/>
      <c r="M2440" s="44" t="n"/>
      <c r="N2440" s="44" t="inlineStr">
        <is>
          <t>UCor_9jRnNNZVzTuQ92PKsaQ</t>
        </is>
      </c>
      <c r="O2440" s="45" t="n">
        <v>42907.86805555555</v>
      </c>
      <c r="P2440" s="46" t="n">
        <v>42907</v>
      </c>
      <c r="Q2440" s="44" t="n">
        <v>832</v>
      </c>
      <c r="R2440" s="44" t="inlineStr">
        <is>
          <t>No Video ID yet</t>
        </is>
      </c>
      <c r="S2440" s="46" t="n"/>
      <c r="T2440" s="46" t="n"/>
      <c r="U2440" s="44" t="n"/>
      <c r="V2440" s="44">
        <f>IF(AND(P2440&gt;=Calendar!$K$2,P2440&lt;EDATE(Calendar!$K$2,1),OR(Calendar!$K$4="*",N2440=Calendar!$K$4)),P2440*100+COUNTIFS($P$6:$P$3271,P2440,$Q$6:$Q$3271,"&lt;="&amp;Q2440,$N$6:$N$3271,Calendar!$K$4),"")</f>
        <v/>
      </c>
      <c r="W2440" s="44">
        <f>IF(AND(B2440=Queue!$C$4,OR(Queue!$K$4="*",N2440=Queue!$K$4)),Q2440,"")</f>
        <v/>
      </c>
    </row>
    <row r="2441">
      <c r="A2441" s="35">
        <f>IF(M2441="","",HYPERLINK("https://www.youtube.com/watch?v="&amp;M2441,"▶"))</f>
        <v/>
      </c>
      <c r="B2441" s="36">
        <f>IF(C2441&lt;&gt;"",C2441,IF(P2441&lt;=IFERROR(INDEX(tblChannels[Watched Through],MATCH(N2441,tblChannels[Channel ID],0)),0),"Watched","Unwatched"))</f>
        <v/>
      </c>
      <c r="C2441" s="37" t="n"/>
      <c r="D2441" s="38" t="n"/>
      <c r="E2441" s="39" t="n">
        <v>42906.78541666667</v>
      </c>
      <c r="F2441" s="47" t="inlineStr">
        <is>
          <t>Super Carlin Brothers</t>
        </is>
      </c>
      <c r="G2441" t="inlineStr">
        <is>
          <t>Is Cars 3 The Best Cars Movie? | REVIEW</t>
        </is>
      </c>
      <c r="H2441" s="41" t="n">
        <v>0.02993055555555555</v>
      </c>
      <c r="I2441" s="42" t="n">
        <v>606419</v>
      </c>
      <c r="J2441" s="42" t="n">
        <v>10586</v>
      </c>
      <c r="K2441" s="42" t="n">
        <v>3059</v>
      </c>
      <c r="L2441" s="43" t="n"/>
      <c r="M2441" s="44" t="n"/>
      <c r="N2441" s="44" t="inlineStr">
        <is>
          <t>UCKZo4N0lVPccBkSiuyVh4yg</t>
        </is>
      </c>
      <c r="O2441" s="45" t="n">
        <v>42906.95208333333</v>
      </c>
      <c r="P2441" s="46" t="n">
        <v>42906</v>
      </c>
      <c r="Q2441" s="44" t="n">
        <v>831</v>
      </c>
      <c r="R2441" s="44" t="inlineStr">
        <is>
          <t>No Video ID yet</t>
        </is>
      </c>
      <c r="S2441" s="46" t="n"/>
      <c r="T2441" s="46" t="n"/>
      <c r="U2441" s="44" t="n"/>
      <c r="V2441" s="44">
        <f>IF(AND(P2441&gt;=Calendar!$K$2,P2441&lt;EDATE(Calendar!$K$2,1),OR(Calendar!$K$4="*",N2441=Calendar!$K$4)),P2441*100+COUNTIFS($P$6:$P$3271,P2441,$Q$6:$Q$3271,"&lt;="&amp;Q2441,$N$6:$N$3271,Calendar!$K$4),"")</f>
        <v/>
      </c>
      <c r="W2441" s="44">
        <f>IF(AND(B2441=Queue!$C$4,OR(Queue!$K$4="*",N2441=Queue!$K$4)),Q2441,"")</f>
        <v/>
      </c>
    </row>
    <row r="2442">
      <c r="A2442" s="35">
        <f>IF(M2442="","",HYPERLINK("https://www.youtube.com/watch?v="&amp;M2442,"▶"))</f>
        <v/>
      </c>
      <c r="B2442" s="36">
        <f>IF(C2442&lt;&gt;"",C2442,IF(P2442&lt;=IFERROR(INDEX(tblChannels[Watched Through],MATCH(N2442,tblChannels[Channel ID],0)),0),"Watched","Unwatched"))</f>
        <v/>
      </c>
      <c r="C2442" s="37" t="n"/>
      <c r="D2442" s="38" t="n"/>
      <c r="E2442" s="39" t="n">
        <v>42906.41666666666</v>
      </c>
      <c r="F2442" s="49" t="inlineStr">
        <is>
          <t>Super Carlin Gaming</t>
        </is>
      </c>
      <c r="G2442" t="inlineStr">
        <is>
          <t>Mario Kart Roulette #7: J and Ben Take on the Shell Cup!</t>
        </is>
      </c>
      <c r="H2442" s="41" t="n">
        <v>0.01032407407407407</v>
      </c>
      <c r="I2442" s="42" t="n">
        <v>30120</v>
      </c>
      <c r="J2442" s="42" t="n">
        <v>754</v>
      </c>
      <c r="K2442" s="42" t="n">
        <v>177</v>
      </c>
      <c r="L2442" s="43" t="n"/>
      <c r="M2442" s="44" t="n"/>
      <c r="N2442" s="44" t="inlineStr">
        <is>
          <t>UCor_9jRnNNZVzTuQ92PKsaQ</t>
        </is>
      </c>
      <c r="O2442" s="45" t="n">
        <v>42906.58333333334</v>
      </c>
      <c r="P2442" s="46" t="n">
        <v>42906</v>
      </c>
      <c r="Q2442" s="44" t="n">
        <v>830</v>
      </c>
      <c r="R2442" s="44" t="inlineStr">
        <is>
          <t>No Video ID yet</t>
        </is>
      </c>
      <c r="S2442" s="46" t="n"/>
      <c r="T2442" s="46" t="n"/>
      <c r="U2442" s="44" t="n"/>
      <c r="V2442" s="44">
        <f>IF(AND(P2442&gt;=Calendar!$K$2,P2442&lt;EDATE(Calendar!$K$2,1),OR(Calendar!$K$4="*",N2442=Calendar!$K$4)),P2442*100+COUNTIFS($P$6:$P$3271,P2442,$Q$6:$Q$3271,"&lt;="&amp;Q2442,$N$6:$N$3271,Calendar!$K$4),"")</f>
        <v/>
      </c>
      <c r="W2442" s="44">
        <f>IF(AND(B2442=Queue!$C$4,OR(Queue!$K$4="*",N2442=Queue!$K$4)),Q2442,"")</f>
        <v/>
      </c>
    </row>
    <row r="2443">
      <c r="A2443" s="35">
        <f>IF(M2443="","",HYPERLINK("https://www.youtube.com/watch?v="&amp;M2443,"▶"))</f>
        <v/>
      </c>
      <c r="B2443" s="36">
        <f>IF(C2443&lt;&gt;"",C2443,IF(P2443&lt;=IFERROR(INDEX(tblChannels[Watched Through],MATCH(N2443,tblChannels[Channel ID],0)),0),"Watched","Unwatched"))</f>
        <v/>
      </c>
      <c r="C2443" s="37" t="n"/>
      <c r="D2443" s="38" t="n"/>
      <c r="E2443" s="39" t="n">
        <v>42905.62638888889</v>
      </c>
      <c r="F2443" s="49" t="inlineStr">
        <is>
          <t>Super Carlin Gaming</t>
        </is>
      </c>
      <c r="G2443" t="inlineStr">
        <is>
          <t>Pokemon Pearl Nuzlocke #13: Soloman vs Wake</t>
        </is>
      </c>
      <c r="H2443" s="41" t="n">
        <v>0.02141203703703704</v>
      </c>
      <c r="I2443" s="42" t="n">
        <v>33588</v>
      </c>
      <c r="J2443" s="42" t="n">
        <v>853</v>
      </c>
      <c r="K2443" s="42" t="n">
        <v>251</v>
      </c>
      <c r="L2443" s="43" t="n"/>
      <c r="M2443" s="44" t="n"/>
      <c r="N2443" s="44" t="inlineStr">
        <is>
          <t>UCor_9jRnNNZVzTuQ92PKsaQ</t>
        </is>
      </c>
      <c r="O2443" s="45" t="n">
        <v>42905.79305555556</v>
      </c>
      <c r="P2443" s="46" t="n">
        <v>42905</v>
      </c>
      <c r="Q2443" s="44" t="n">
        <v>829</v>
      </c>
      <c r="R2443" s="44" t="inlineStr">
        <is>
          <t>No Video ID yet</t>
        </is>
      </c>
      <c r="S2443" s="46" t="n"/>
      <c r="T2443" s="46" t="n"/>
      <c r="U2443" s="44" t="n"/>
      <c r="V2443" s="44">
        <f>IF(AND(P2443&gt;=Calendar!$K$2,P2443&lt;EDATE(Calendar!$K$2,1),OR(Calendar!$K$4="*",N2443=Calendar!$K$4)),P2443*100+COUNTIFS($P$6:$P$3271,P2443,$Q$6:$Q$3271,"&lt;="&amp;Q2443,$N$6:$N$3271,Calendar!$K$4),"")</f>
        <v/>
      </c>
      <c r="W2443" s="44">
        <f>IF(AND(B2443=Queue!$C$4,OR(Queue!$K$4="*",N2443=Queue!$K$4)),Q2443,"")</f>
        <v/>
      </c>
    </row>
    <row r="2444">
      <c r="A2444" s="35">
        <f>IF(M2444="","",HYPERLINK("https://www.youtube.com/watch?v="&amp;M2444,"▶"))</f>
        <v/>
      </c>
      <c r="B2444" s="36">
        <f>IF(C2444&lt;&gt;"",C2444,IF(P2444&lt;=IFERROR(INDEX(tblChannels[Watched Through],MATCH(N2444,tblChannels[Channel ID],0)),0),"Watched","Unwatched"))</f>
        <v/>
      </c>
      <c r="C2444" s="37" t="n"/>
      <c r="D2444" s="38" t="n"/>
      <c r="E2444" s="39" t="n">
        <v>42902.64375</v>
      </c>
      <c r="F2444" s="49" t="inlineStr">
        <is>
          <t>Super Carlin Gaming</t>
        </is>
      </c>
      <c r="G2444" t="inlineStr">
        <is>
          <t>Pokemon Pearl Nuzlocke #12: A New Recruit!</t>
        </is>
      </c>
      <c r="H2444" s="41" t="n">
        <v>0.01900462962962963</v>
      </c>
      <c r="I2444" s="42" t="n">
        <v>34716</v>
      </c>
      <c r="J2444" s="42" t="n">
        <v>758</v>
      </c>
      <c r="K2444" s="42" t="n">
        <v>324</v>
      </c>
      <c r="L2444" s="43" t="n"/>
      <c r="M2444" s="44" t="n"/>
      <c r="N2444" s="44" t="inlineStr">
        <is>
          <t>UCor_9jRnNNZVzTuQ92PKsaQ</t>
        </is>
      </c>
      <c r="O2444" s="45" t="n">
        <v>42902.81041666667</v>
      </c>
      <c r="P2444" s="46" t="n">
        <v>42902</v>
      </c>
      <c r="Q2444" s="44" t="n">
        <v>828</v>
      </c>
      <c r="R2444" s="44" t="inlineStr">
        <is>
          <t>No Video ID yet</t>
        </is>
      </c>
      <c r="S2444" s="46" t="n"/>
      <c r="T2444" s="46" t="n"/>
      <c r="U2444" s="44" t="n"/>
      <c r="V2444" s="44">
        <f>IF(AND(P2444&gt;=Calendar!$K$2,P2444&lt;EDATE(Calendar!$K$2,1),OR(Calendar!$K$4="*",N2444=Calendar!$K$4)),P2444*100+COUNTIFS($P$6:$P$3271,P2444,$Q$6:$Q$3271,"&lt;="&amp;Q2444,$N$6:$N$3271,Calendar!$K$4),"")</f>
        <v/>
      </c>
      <c r="W2444" s="44">
        <f>IF(AND(B2444=Queue!$C$4,OR(Queue!$K$4="*",N2444=Queue!$K$4)),Q2444,"")</f>
        <v/>
      </c>
    </row>
    <row r="2445">
      <c r="A2445" s="35">
        <f>IF(M2445="","",HYPERLINK("https://www.youtube.com/watch?v="&amp;M2445,"▶"))</f>
        <v/>
      </c>
      <c r="B2445" s="36">
        <f>IF(C2445&lt;&gt;"",C2445,IF(P2445&lt;=IFERROR(INDEX(tblChannels[Watched Through],MATCH(N2445,tblChannels[Channel ID],0)),0),"Watched","Unwatched"))</f>
        <v/>
      </c>
      <c r="C2445" s="37" t="n"/>
      <c r="D2445" s="38" t="n"/>
      <c r="E2445" s="39" t="n">
        <v>42901.62777777778</v>
      </c>
      <c r="F2445" s="47" t="inlineStr">
        <is>
          <t>Super Carlin Brothers</t>
        </is>
      </c>
      <c r="G2445" t="inlineStr">
        <is>
          <t>Disney Theory: What is Moana's Spirit Animal?</t>
        </is>
      </c>
      <c r="H2445" s="41" t="n">
        <v>0.004467592592592592</v>
      </c>
      <c r="I2445" s="42" t="n">
        <v>1353477</v>
      </c>
      <c r="J2445" s="42" t="n">
        <v>27559</v>
      </c>
      <c r="K2445" s="42" t="n">
        <v>9437</v>
      </c>
      <c r="L2445" s="43" t="n"/>
      <c r="M2445" s="44" t="n"/>
      <c r="N2445" s="44" t="inlineStr">
        <is>
          <t>UCKZo4N0lVPccBkSiuyVh4yg</t>
        </is>
      </c>
      <c r="O2445" s="45" t="n">
        <v>42901.79444444444</v>
      </c>
      <c r="P2445" s="46" t="n">
        <v>42901</v>
      </c>
      <c r="Q2445" s="44" t="n">
        <v>827</v>
      </c>
      <c r="R2445" s="44" t="inlineStr">
        <is>
          <t>No Video ID yet</t>
        </is>
      </c>
      <c r="S2445" s="46" t="n"/>
      <c r="T2445" s="46" t="n"/>
      <c r="U2445" s="44" t="n"/>
      <c r="V2445" s="44">
        <f>IF(AND(P2445&gt;=Calendar!$K$2,P2445&lt;EDATE(Calendar!$K$2,1),OR(Calendar!$K$4="*",N2445=Calendar!$K$4)),P2445*100+COUNTIFS($P$6:$P$3271,P2445,$Q$6:$Q$3271,"&lt;="&amp;Q2445,$N$6:$N$3271,Calendar!$K$4),"")</f>
        <v/>
      </c>
      <c r="W2445" s="44">
        <f>IF(AND(B2445=Queue!$C$4,OR(Queue!$K$4="*",N2445=Queue!$K$4)),Q2445,"")</f>
        <v/>
      </c>
    </row>
    <row r="2446">
      <c r="A2446" s="35">
        <f>IF(M2446="","",HYPERLINK("https://www.youtube.com/watch?v="&amp;M2446,"▶"))</f>
        <v/>
      </c>
      <c r="B2446" s="36">
        <f>IF(C2446&lt;&gt;"",C2446,IF(P2446&lt;=IFERROR(INDEX(tblChannels[Watched Through],MATCH(N2446,tblChannels[Channel ID],0)),0),"Watched","Unwatched"))</f>
        <v/>
      </c>
      <c r="C2446" s="37" t="n"/>
      <c r="D2446" s="38" t="n"/>
      <c r="E2446" s="39" t="n">
        <v>42901.41666666666</v>
      </c>
      <c r="F2446" s="49" t="inlineStr">
        <is>
          <t>Super Carlin Gaming</t>
        </is>
      </c>
      <c r="G2446" t="inlineStr">
        <is>
          <t>Mario Kart Roulette #6: Ask J (pt. 2)</t>
        </is>
      </c>
      <c r="H2446" s="41" t="n">
        <v>0.0096875</v>
      </c>
      <c r="I2446" s="42" t="n">
        <v>17360</v>
      </c>
      <c r="J2446" s="42" t="n">
        <v>456</v>
      </c>
      <c r="K2446" s="42" t="n">
        <v>121</v>
      </c>
      <c r="L2446" s="43" t="n"/>
      <c r="M2446" s="44" t="n"/>
      <c r="N2446" s="44" t="inlineStr">
        <is>
          <t>UCor_9jRnNNZVzTuQ92PKsaQ</t>
        </is>
      </c>
      <c r="O2446" s="45" t="n">
        <v>42901.58333333334</v>
      </c>
      <c r="P2446" s="46" t="n">
        <v>42901</v>
      </c>
      <c r="Q2446" s="44" t="n">
        <v>826</v>
      </c>
      <c r="R2446" s="44" t="inlineStr">
        <is>
          <t>No Video ID yet</t>
        </is>
      </c>
      <c r="S2446" s="46" t="n"/>
      <c r="T2446" s="46" t="n"/>
      <c r="U2446" s="44" t="n"/>
      <c r="V2446" s="44">
        <f>IF(AND(P2446&gt;=Calendar!$K$2,P2446&lt;EDATE(Calendar!$K$2,1),OR(Calendar!$K$4="*",N2446=Calendar!$K$4)),P2446*100+COUNTIFS($P$6:$P$3271,P2446,$Q$6:$Q$3271,"&lt;="&amp;Q2446,$N$6:$N$3271,Calendar!$K$4),"")</f>
        <v/>
      </c>
      <c r="W2446" s="44">
        <f>IF(AND(B2446=Queue!$C$4,OR(Queue!$K$4="*",N2446=Queue!$K$4)),Q2446,"")</f>
        <v/>
      </c>
    </row>
    <row r="2447">
      <c r="A2447" s="35">
        <f>IF(M2447="","",HYPERLINK("https://www.youtube.com/watch?v="&amp;M2447,"▶"))</f>
        <v/>
      </c>
      <c r="B2447" s="36">
        <f>IF(C2447&lt;&gt;"",C2447,IF(P2447&lt;=IFERROR(INDEX(tblChannels[Watched Through],MATCH(N2447,tblChannels[Channel ID],0)),0),"Watched","Unwatched"))</f>
        <v/>
      </c>
      <c r="C2447" s="37" t="n"/>
      <c r="D2447" s="38" t="n"/>
      <c r="E2447" s="39" t="n">
        <v>42900.69722222222</v>
      </c>
      <c r="F2447" s="49" t="inlineStr">
        <is>
          <t>Super Carlin Gaming</t>
        </is>
      </c>
      <c r="G2447" t="inlineStr">
        <is>
          <t>Pokémon Pearl Nuzlocke #11: The Veilstone Gym</t>
        </is>
      </c>
      <c r="H2447" s="41" t="n">
        <v>0.01756944444444444</v>
      </c>
      <c r="I2447" s="42" t="n">
        <v>35690</v>
      </c>
      <c r="J2447" s="42" t="n">
        <v>827</v>
      </c>
      <c r="K2447" s="42" t="n">
        <v>357</v>
      </c>
      <c r="L2447" s="43" t="n"/>
      <c r="M2447" s="44" t="n"/>
      <c r="N2447" s="44" t="inlineStr">
        <is>
          <t>UCor_9jRnNNZVzTuQ92PKsaQ</t>
        </is>
      </c>
      <c r="O2447" s="45" t="n">
        <v>42900.86388888889</v>
      </c>
      <c r="P2447" s="46" t="n">
        <v>42900</v>
      </c>
      <c r="Q2447" s="44" t="n">
        <v>825</v>
      </c>
      <c r="R2447" s="44" t="inlineStr">
        <is>
          <t>No Video ID yet</t>
        </is>
      </c>
      <c r="S2447" s="46" t="n"/>
      <c r="T2447" s="46" t="n"/>
      <c r="U2447" s="44" t="n"/>
      <c r="V2447" s="44">
        <f>IF(AND(P2447&gt;=Calendar!$K$2,P2447&lt;EDATE(Calendar!$K$2,1),OR(Calendar!$K$4="*",N2447=Calendar!$K$4)),P2447*100+COUNTIFS($P$6:$P$3271,P2447,$Q$6:$Q$3271,"&lt;="&amp;Q2447,$N$6:$N$3271,Calendar!$K$4),"")</f>
        <v/>
      </c>
      <c r="W2447" s="44">
        <f>IF(AND(B2447=Queue!$C$4,OR(Queue!$K$4="*",N2447=Queue!$K$4)),Q2447,"")</f>
        <v/>
      </c>
    </row>
    <row r="2448">
      <c r="A2448" s="35">
        <f>IF(M2448="","",HYPERLINK("https://www.youtube.com/watch?v="&amp;M2448,"▶"))</f>
        <v/>
      </c>
      <c r="B2448" s="36">
        <f>IF(C2448&lt;&gt;"",C2448,IF(P2448&lt;=IFERROR(INDEX(tblChannels[Watched Through],MATCH(N2448,tblChannels[Channel ID],0)),0),"Watched","Unwatched"))</f>
        <v/>
      </c>
      <c r="C2448" s="37" t="n"/>
      <c r="D2448" s="38" t="n"/>
      <c r="E2448" s="39" t="n">
        <v>42899.73958333334</v>
      </c>
      <c r="F2448" s="47" t="inlineStr">
        <is>
          <t>Super Carlin Brothers</t>
        </is>
      </c>
      <c r="G2448" t="inlineStr">
        <is>
          <t>Harry Potter Theory: Why is Ravenclaw's Mascot an Eagle?!</t>
        </is>
      </c>
      <c r="H2448" s="41" t="n">
        <v>0.007696759259259259</v>
      </c>
      <c r="I2448" s="42" t="n">
        <v>1564792</v>
      </c>
      <c r="J2448" s="42" t="n">
        <v>46678</v>
      </c>
      <c r="K2448" s="42" t="n">
        <v>14406</v>
      </c>
      <c r="L2448" s="43" t="n"/>
      <c r="M2448" s="44" t="n"/>
      <c r="N2448" s="44" t="inlineStr">
        <is>
          <t>UCKZo4N0lVPccBkSiuyVh4yg</t>
        </is>
      </c>
      <c r="O2448" s="45" t="n">
        <v>42899.90625</v>
      </c>
      <c r="P2448" s="46" t="n">
        <v>42899</v>
      </c>
      <c r="Q2448" s="44" t="n">
        <v>824</v>
      </c>
      <c r="R2448" s="44" t="inlineStr">
        <is>
          <t>No Video ID yet</t>
        </is>
      </c>
      <c r="S2448" s="46" t="n"/>
      <c r="T2448" s="46" t="n"/>
      <c r="U2448" s="44" t="n"/>
      <c r="V2448" s="44">
        <f>IF(AND(P2448&gt;=Calendar!$K$2,P2448&lt;EDATE(Calendar!$K$2,1),OR(Calendar!$K$4="*",N2448=Calendar!$K$4)),P2448*100+COUNTIFS($P$6:$P$3271,P2448,$Q$6:$Q$3271,"&lt;="&amp;Q2448,$N$6:$N$3271,Calendar!$K$4),"")</f>
        <v/>
      </c>
      <c r="W2448" s="44">
        <f>IF(AND(B2448=Queue!$C$4,OR(Queue!$K$4="*",N2448=Queue!$K$4)),Q2448,"")</f>
        <v/>
      </c>
    </row>
    <row r="2449">
      <c r="A2449" s="35">
        <f>IF(M2449="","",HYPERLINK("https://www.youtube.com/watch?v="&amp;M2449,"▶"))</f>
        <v/>
      </c>
      <c r="B2449" s="36">
        <f>IF(C2449&lt;&gt;"",C2449,IF(P2449&lt;=IFERROR(INDEX(tblChannels[Watched Through],MATCH(N2449,tblChannels[Channel ID],0)),0),"Watched","Unwatched"))</f>
        <v/>
      </c>
      <c r="C2449" s="37" t="n"/>
      <c r="D2449" s="38" t="n"/>
      <c r="E2449" s="39" t="n">
        <v>42899.41666666666</v>
      </c>
      <c r="F2449" s="49" t="inlineStr">
        <is>
          <t>Super Carlin Gaming</t>
        </is>
      </c>
      <c r="G2449" t="inlineStr">
        <is>
          <t>Mario Kart Roulette #5: Ask J</t>
        </is>
      </c>
      <c r="H2449" s="41" t="n">
        <v>0.01021990740740741</v>
      </c>
      <c r="I2449" s="42" t="n">
        <v>20402</v>
      </c>
      <c r="J2449" s="42" t="n">
        <v>576</v>
      </c>
      <c r="K2449" s="42" t="n">
        <v>164</v>
      </c>
      <c r="L2449" s="43" t="n"/>
      <c r="M2449" s="44" t="n"/>
      <c r="N2449" s="44" t="inlineStr">
        <is>
          <t>UCor_9jRnNNZVzTuQ92PKsaQ</t>
        </is>
      </c>
      <c r="O2449" s="45" t="n">
        <v>42899.58333333334</v>
      </c>
      <c r="P2449" s="46" t="n">
        <v>42899</v>
      </c>
      <c r="Q2449" s="44" t="n">
        <v>823</v>
      </c>
      <c r="R2449" s="44" t="inlineStr">
        <is>
          <t>No Video ID yet</t>
        </is>
      </c>
      <c r="S2449" s="46" t="n"/>
      <c r="T2449" s="46" t="n"/>
      <c r="U2449" s="44" t="n"/>
      <c r="V2449" s="44">
        <f>IF(AND(P2449&gt;=Calendar!$K$2,P2449&lt;EDATE(Calendar!$K$2,1),OR(Calendar!$K$4="*",N2449=Calendar!$K$4)),P2449*100+COUNTIFS($P$6:$P$3271,P2449,$Q$6:$Q$3271,"&lt;="&amp;Q2449,$N$6:$N$3271,Calendar!$K$4),"")</f>
        <v/>
      </c>
      <c r="W2449" s="44">
        <f>IF(AND(B2449=Queue!$C$4,OR(Queue!$K$4="*",N2449=Queue!$K$4)),Q2449,"")</f>
        <v/>
      </c>
    </row>
    <row r="2450">
      <c r="A2450" s="35">
        <f>IF(M2450="","",HYPERLINK("https://www.youtube.com/watch?v="&amp;M2450,"▶"))</f>
        <v/>
      </c>
      <c r="B2450" s="36">
        <f>IF(C2450&lt;&gt;"",C2450,IF(P2450&lt;=IFERROR(INDEX(tblChannels[Watched Through],MATCH(N2450,tblChannels[Channel ID],0)),0),"Watched","Unwatched"))</f>
        <v/>
      </c>
      <c r="C2450" s="37" t="n"/>
      <c r="D2450" s="38" t="n"/>
      <c r="E2450" s="39" t="n">
        <v>42898.625</v>
      </c>
      <c r="F2450" s="49" t="inlineStr">
        <is>
          <t>Super Carlin Gaming</t>
        </is>
      </c>
      <c r="G2450" t="inlineStr">
        <is>
          <t>Pokemon Pearl Nuzlocke #10: Gyarados Surprise!</t>
        </is>
      </c>
      <c r="H2450" s="41" t="n">
        <v>0.02846064814814815</v>
      </c>
      <c r="I2450" s="42" t="n">
        <v>41375</v>
      </c>
      <c r="J2450" s="42" t="n">
        <v>899</v>
      </c>
      <c r="K2450" s="42" t="n">
        <v>285</v>
      </c>
      <c r="L2450" s="43" t="n"/>
      <c r="M2450" s="44" t="n"/>
      <c r="N2450" s="44" t="inlineStr">
        <is>
          <t>UCor_9jRnNNZVzTuQ92PKsaQ</t>
        </is>
      </c>
      <c r="O2450" s="45" t="n">
        <v>42898.79166666666</v>
      </c>
      <c r="P2450" s="46" t="n">
        <v>42898</v>
      </c>
      <c r="Q2450" s="44" t="n">
        <v>822</v>
      </c>
      <c r="R2450" s="44" t="inlineStr">
        <is>
          <t>No Video ID yet</t>
        </is>
      </c>
      <c r="S2450" s="46" t="n"/>
      <c r="T2450" s="46" t="n"/>
      <c r="U2450" s="44" t="n"/>
      <c r="V2450" s="44">
        <f>IF(AND(P2450&gt;=Calendar!$K$2,P2450&lt;EDATE(Calendar!$K$2,1),OR(Calendar!$K$4="*",N2450=Calendar!$K$4)),P2450*100+COUNTIFS($P$6:$P$3271,P2450,$Q$6:$Q$3271,"&lt;="&amp;Q2450,$N$6:$N$3271,Calendar!$K$4),"")</f>
        <v/>
      </c>
      <c r="W2450" s="44">
        <f>IF(AND(B2450=Queue!$C$4,OR(Queue!$K$4="*",N2450=Queue!$K$4)),Q2450,"")</f>
        <v/>
      </c>
    </row>
    <row r="2451">
      <c r="A2451" s="35">
        <f>IF(M2451="","",HYPERLINK("https://www.youtube.com/watch?v="&amp;M2451,"▶"))</f>
        <v/>
      </c>
      <c r="B2451" s="36">
        <f>IF(C2451&lt;&gt;"",C2451,IF(P2451&lt;=IFERROR(INDEX(tblChannels[Watched Through],MATCH(N2451,tblChannels[Channel ID],0)),0),"Watched","Unwatched"))</f>
        <v/>
      </c>
      <c r="C2451" s="37" t="n"/>
      <c r="D2451" s="38" t="n"/>
      <c r="E2451" s="39" t="n">
        <v>42895.625</v>
      </c>
      <c r="F2451" s="49" t="inlineStr">
        <is>
          <t>Super Carlin Gaming</t>
        </is>
      </c>
      <c r="G2451" t="inlineStr">
        <is>
          <t>Pokemon Pearl Nuzlocke #9: There Is A Mole In Our Ranks</t>
        </is>
      </c>
      <c r="H2451" s="41" t="n">
        <v>0.0258912037037037</v>
      </c>
      <c r="I2451" s="42" t="n">
        <v>42371</v>
      </c>
      <c r="J2451" s="42" t="n">
        <v>950</v>
      </c>
      <c r="K2451" s="42" t="n">
        <v>445</v>
      </c>
      <c r="L2451" s="43" t="n"/>
      <c r="M2451" s="44" t="n"/>
      <c r="N2451" s="44" t="inlineStr">
        <is>
          <t>UCor_9jRnNNZVzTuQ92PKsaQ</t>
        </is>
      </c>
      <c r="O2451" s="45" t="n">
        <v>42895.79166666666</v>
      </c>
      <c r="P2451" s="46" t="n">
        <v>42895</v>
      </c>
      <c r="Q2451" s="44" t="n">
        <v>821</v>
      </c>
      <c r="R2451" s="44" t="inlineStr">
        <is>
          <t>No Video ID yet</t>
        </is>
      </c>
      <c r="S2451" s="46" t="n"/>
      <c r="T2451" s="46" t="n"/>
      <c r="U2451" s="44" t="n"/>
      <c r="V2451" s="44">
        <f>IF(AND(P2451&gt;=Calendar!$K$2,P2451&lt;EDATE(Calendar!$K$2,1),OR(Calendar!$K$4="*",N2451=Calendar!$K$4)),P2451*100+COUNTIFS($P$6:$P$3271,P2451,$Q$6:$Q$3271,"&lt;="&amp;Q2451,$N$6:$N$3271,Calendar!$K$4),"")</f>
        <v/>
      </c>
      <c r="W2451" s="44">
        <f>IF(AND(B2451=Queue!$C$4,OR(Queue!$K$4="*",N2451=Queue!$K$4)),Q2451,"")</f>
        <v/>
      </c>
    </row>
    <row r="2452">
      <c r="A2452" s="35">
        <f>IF(M2452="","",HYPERLINK("https://www.youtube.com/watch?v="&amp;M2452,"▶"))</f>
        <v/>
      </c>
      <c r="B2452" s="36">
        <f>IF(C2452&lt;&gt;"",C2452,IF(P2452&lt;=IFERROR(INDEX(tblChannels[Watched Through],MATCH(N2452,tblChannels[Channel ID],0)),0),"Watched","Unwatched"))</f>
        <v/>
      </c>
      <c r="C2452" s="37" t="n"/>
      <c r="D2452" s="38" t="n"/>
      <c r="E2452" s="39" t="n">
        <v>42894.7625</v>
      </c>
      <c r="F2452" s="47" t="inlineStr">
        <is>
          <t>Super Carlin Brothers</t>
        </is>
      </c>
      <c r="G2452" t="inlineStr">
        <is>
          <t>Frozen Theory: How Do Elsa's Gloves Work?</t>
        </is>
      </c>
      <c r="H2452" s="41" t="n">
        <v>0.005763888888888889</v>
      </c>
      <c r="I2452" s="42" t="n">
        <v>1519396</v>
      </c>
      <c r="J2452" s="42" t="n">
        <v>34165</v>
      </c>
      <c r="K2452" s="42" t="n">
        <v>6393</v>
      </c>
      <c r="L2452" s="43" t="n"/>
      <c r="M2452" s="44" t="n"/>
      <c r="N2452" s="44" t="inlineStr">
        <is>
          <t>UCKZo4N0lVPccBkSiuyVh4yg</t>
        </is>
      </c>
      <c r="O2452" s="45" t="n">
        <v>42894.92916666667</v>
      </c>
      <c r="P2452" s="46" t="n">
        <v>42894</v>
      </c>
      <c r="Q2452" s="44" t="n">
        <v>820</v>
      </c>
      <c r="R2452" s="44" t="inlineStr">
        <is>
          <t>No Video ID yet</t>
        </is>
      </c>
      <c r="S2452" s="46" t="n"/>
      <c r="T2452" s="46" t="n"/>
      <c r="U2452" s="44" t="n"/>
      <c r="V2452" s="44">
        <f>IF(AND(P2452&gt;=Calendar!$K$2,P2452&lt;EDATE(Calendar!$K$2,1),OR(Calendar!$K$4="*",N2452=Calendar!$K$4)),P2452*100+COUNTIFS($P$6:$P$3271,P2452,$Q$6:$Q$3271,"&lt;="&amp;Q2452,$N$6:$N$3271,Calendar!$K$4),"")</f>
        <v/>
      </c>
      <c r="W2452" s="44">
        <f>IF(AND(B2452=Queue!$C$4,OR(Queue!$K$4="*",N2452=Queue!$K$4)),Q2452,"")</f>
        <v/>
      </c>
    </row>
    <row r="2453">
      <c r="A2453" s="35">
        <f>IF(M2453="","",HYPERLINK("https://www.youtube.com/watch?v="&amp;M2453,"▶"))</f>
        <v/>
      </c>
      <c r="B2453" s="36">
        <f>IF(C2453&lt;&gt;"",C2453,IF(P2453&lt;=IFERROR(INDEX(tblChannels[Watched Through],MATCH(N2453,tblChannels[Channel ID],0)),0),"Watched","Unwatched"))</f>
        <v/>
      </c>
      <c r="C2453" s="37" t="n"/>
      <c r="D2453" s="38" t="n"/>
      <c r="E2453" s="39" t="n">
        <v>42893.625</v>
      </c>
      <c r="F2453" s="49" t="inlineStr">
        <is>
          <t>Super Carlin Gaming</t>
        </is>
      </c>
      <c r="G2453" t="inlineStr">
        <is>
          <t>Pokemon Pearl Nuzlocke #8: Return Of The Sprouts</t>
        </is>
      </c>
      <c r="H2453" s="41" t="n">
        <v>0.01629629629629629</v>
      </c>
      <c r="I2453" s="42" t="n">
        <v>38695</v>
      </c>
      <c r="J2453" s="42" t="n">
        <v>871</v>
      </c>
      <c r="K2453" s="42" t="n">
        <v>277</v>
      </c>
      <c r="L2453" s="43" t="n"/>
      <c r="M2453" s="44" t="n"/>
      <c r="N2453" s="44" t="inlineStr">
        <is>
          <t>UCor_9jRnNNZVzTuQ92PKsaQ</t>
        </is>
      </c>
      <c r="O2453" s="45" t="n">
        <v>42893.79166666666</v>
      </c>
      <c r="P2453" s="46" t="n">
        <v>42893</v>
      </c>
      <c r="Q2453" s="44" t="n">
        <v>819</v>
      </c>
      <c r="R2453" s="44" t="inlineStr">
        <is>
          <t>No Video ID yet</t>
        </is>
      </c>
      <c r="S2453" s="46" t="n"/>
      <c r="T2453" s="46" t="n"/>
      <c r="U2453" s="44" t="n"/>
      <c r="V2453" s="44">
        <f>IF(AND(P2453&gt;=Calendar!$K$2,P2453&lt;EDATE(Calendar!$K$2,1),OR(Calendar!$K$4="*",N2453=Calendar!$K$4)),P2453*100+COUNTIFS($P$6:$P$3271,P2453,$Q$6:$Q$3271,"&lt;="&amp;Q2453,$N$6:$N$3271,Calendar!$K$4),"")</f>
        <v/>
      </c>
      <c r="W2453" s="44">
        <f>IF(AND(B2453=Queue!$C$4,OR(Queue!$K$4="*",N2453=Queue!$K$4)),Q2453,"")</f>
        <v/>
      </c>
    </row>
    <row r="2454">
      <c r="A2454" s="35">
        <f>IF(M2454="","",HYPERLINK("https://www.youtube.com/watch?v="&amp;M2454,"▶"))</f>
        <v/>
      </c>
      <c r="B2454" s="36">
        <f>IF(C2454&lt;&gt;"",C2454,IF(P2454&lt;=IFERROR(INDEX(tblChannels[Watched Through],MATCH(N2454,tblChannels[Channel ID],0)),0),"Watched","Unwatched"))</f>
        <v/>
      </c>
      <c r="C2454" s="37" t="n"/>
      <c r="D2454" s="38" t="n"/>
      <c r="E2454" s="39" t="n">
        <v>42892.63541666666</v>
      </c>
      <c r="F2454" s="47" t="inlineStr">
        <is>
          <t>Super Carlin Brothers</t>
        </is>
      </c>
      <c r="G2454" t="inlineStr">
        <is>
          <t>Top 10 Things To Look For In Cars 3</t>
        </is>
      </c>
      <c r="H2454" s="41" t="n">
        <v>0.00662037037037037</v>
      </c>
      <c r="I2454" s="42" t="n">
        <v>302055</v>
      </c>
      <c r="J2454" s="42" t="n">
        <v>8894</v>
      </c>
      <c r="K2454" s="42" t="n">
        <v>2293</v>
      </c>
      <c r="L2454" s="43" t="n"/>
      <c r="M2454" s="44" t="n"/>
      <c r="N2454" s="44" t="inlineStr">
        <is>
          <t>UCKZo4N0lVPccBkSiuyVh4yg</t>
        </is>
      </c>
      <c r="O2454" s="45" t="n">
        <v>42892.80208333334</v>
      </c>
      <c r="P2454" s="46" t="n">
        <v>42892</v>
      </c>
      <c r="Q2454" s="44" t="n">
        <v>818</v>
      </c>
      <c r="R2454" s="44" t="inlineStr">
        <is>
          <t>No Video ID yet</t>
        </is>
      </c>
      <c r="S2454" s="46" t="n"/>
      <c r="T2454" s="46" t="n"/>
      <c r="U2454" s="44" t="n"/>
      <c r="V2454" s="44">
        <f>IF(AND(P2454&gt;=Calendar!$K$2,P2454&lt;EDATE(Calendar!$K$2,1),OR(Calendar!$K$4="*",N2454=Calendar!$K$4)),P2454*100+COUNTIFS($P$6:$P$3271,P2454,$Q$6:$Q$3271,"&lt;="&amp;Q2454,$N$6:$N$3271,Calendar!$K$4),"")</f>
        <v/>
      </c>
      <c r="W2454" s="44">
        <f>IF(AND(B2454=Queue!$C$4,OR(Queue!$K$4="*",N2454=Queue!$K$4)),Q2454,"")</f>
        <v/>
      </c>
    </row>
    <row r="2455">
      <c r="A2455" s="35">
        <f>IF(M2455="","",HYPERLINK("https://www.youtube.com/watch?v="&amp;M2455,"▶"))</f>
        <v/>
      </c>
      <c r="B2455" s="36">
        <f>IF(C2455&lt;&gt;"",C2455,IF(P2455&lt;=IFERROR(INDEX(tblChannels[Watched Through],MATCH(N2455,tblChannels[Channel ID],0)),0),"Watched","Unwatched"))</f>
        <v/>
      </c>
      <c r="C2455" s="37" t="n"/>
      <c r="D2455" s="38" t="n"/>
      <c r="E2455" s="39" t="n">
        <v>42892.42291666667</v>
      </c>
      <c r="F2455" s="49" t="inlineStr">
        <is>
          <t>Super Carlin Gaming</t>
        </is>
      </c>
      <c r="G2455" t="inlineStr">
        <is>
          <t>Mario Kart Roulette #4: Hand-Held Gaming</t>
        </is>
      </c>
      <c r="H2455" s="41" t="n">
        <v>0.01116898148148148</v>
      </c>
      <c r="I2455" s="42" t="n">
        <v>21399</v>
      </c>
      <c r="J2455" s="42" t="n">
        <v>575</v>
      </c>
      <c r="K2455" s="42" t="n">
        <v>129</v>
      </c>
      <c r="L2455" s="43" t="n"/>
      <c r="M2455" s="44" t="n"/>
      <c r="N2455" s="44" t="inlineStr">
        <is>
          <t>UCor_9jRnNNZVzTuQ92PKsaQ</t>
        </is>
      </c>
      <c r="O2455" s="45" t="n">
        <v>42892.58958333333</v>
      </c>
      <c r="P2455" s="46" t="n">
        <v>42892</v>
      </c>
      <c r="Q2455" s="44" t="n">
        <v>817</v>
      </c>
      <c r="R2455" s="44" t="inlineStr">
        <is>
          <t>No Video ID yet</t>
        </is>
      </c>
      <c r="S2455" s="46" t="n"/>
      <c r="T2455" s="46" t="n"/>
      <c r="U2455" s="44" t="n"/>
      <c r="V2455" s="44">
        <f>IF(AND(P2455&gt;=Calendar!$K$2,P2455&lt;EDATE(Calendar!$K$2,1),OR(Calendar!$K$4="*",N2455=Calendar!$K$4)),P2455*100+COUNTIFS($P$6:$P$3271,P2455,$Q$6:$Q$3271,"&lt;="&amp;Q2455,$N$6:$N$3271,Calendar!$K$4),"")</f>
        <v/>
      </c>
      <c r="W2455" s="44">
        <f>IF(AND(B2455=Queue!$C$4,OR(Queue!$K$4="*",N2455=Queue!$K$4)),Q2455,"")</f>
        <v/>
      </c>
    </row>
    <row r="2456">
      <c r="A2456" s="35">
        <f>IF(M2456="","",HYPERLINK("https://www.youtube.com/watch?v="&amp;M2456,"▶"))</f>
        <v/>
      </c>
      <c r="B2456" s="36">
        <f>IF(C2456&lt;&gt;"",C2456,IF(P2456&lt;=IFERROR(INDEX(tblChannels[Watched Through],MATCH(N2456,tblChannels[Channel ID],0)),0),"Watched","Unwatched"))</f>
        <v/>
      </c>
      <c r="C2456" s="37" t="n"/>
      <c r="D2456" s="38" t="n"/>
      <c r="E2456" s="39" t="n">
        <v>42892.41666666666</v>
      </c>
      <c r="F2456" s="49" t="inlineStr">
        <is>
          <t>Super Carlin Gaming</t>
        </is>
      </c>
      <c r="G2456" t="inlineStr">
        <is>
          <t>Mario Kart Roulette #3: J's History of Gaming</t>
        </is>
      </c>
      <c r="H2456" s="41" t="n">
        <v>0.009907407407407408</v>
      </c>
      <c r="I2456" s="42" t="n">
        <v>24061</v>
      </c>
      <c r="J2456" s="42" t="n">
        <v>659</v>
      </c>
      <c r="K2456" s="42" t="n">
        <v>127</v>
      </c>
      <c r="L2456" s="43" t="n"/>
      <c r="M2456" s="44" t="n"/>
      <c r="N2456" s="44" t="inlineStr">
        <is>
          <t>UCor_9jRnNNZVzTuQ92PKsaQ</t>
        </is>
      </c>
      <c r="O2456" s="45" t="n">
        <v>42892.58333333334</v>
      </c>
      <c r="P2456" s="46" t="n">
        <v>42892</v>
      </c>
      <c r="Q2456" s="44" t="n">
        <v>816</v>
      </c>
      <c r="R2456" s="44" t="inlineStr">
        <is>
          <t>No Video ID yet</t>
        </is>
      </c>
      <c r="S2456" s="46" t="n"/>
      <c r="T2456" s="46" t="n"/>
      <c r="U2456" s="44" t="n"/>
      <c r="V2456" s="44">
        <f>IF(AND(P2456&gt;=Calendar!$K$2,P2456&lt;EDATE(Calendar!$K$2,1),OR(Calendar!$K$4="*",N2456=Calendar!$K$4)),P2456*100+COUNTIFS($P$6:$P$3271,P2456,$Q$6:$Q$3271,"&lt;="&amp;Q2456,$N$6:$N$3271,Calendar!$K$4),"")</f>
        <v/>
      </c>
      <c r="W2456" s="44">
        <f>IF(AND(B2456=Queue!$C$4,OR(Queue!$K$4="*",N2456=Queue!$K$4)),Q2456,"")</f>
        <v/>
      </c>
    </row>
    <row r="2457">
      <c r="A2457" s="35">
        <f>IF(M2457="","",HYPERLINK("https://www.youtube.com/watch?v="&amp;M2457,"▶"))</f>
        <v/>
      </c>
      <c r="B2457" s="36">
        <f>IF(C2457&lt;&gt;"",C2457,IF(P2457&lt;=IFERROR(INDEX(tblChannels[Watched Through],MATCH(N2457,tblChannels[Channel ID],0)),0),"Watched","Unwatched"))</f>
        <v/>
      </c>
      <c r="C2457" s="37" t="n"/>
      <c r="D2457" s="38" t="n"/>
      <c r="E2457" s="39" t="n">
        <v>42891.70208333333</v>
      </c>
      <c r="F2457" s="49" t="inlineStr">
        <is>
          <t>Super Carlin Gaming</t>
        </is>
      </c>
      <c r="G2457" t="inlineStr">
        <is>
          <t>Pokemon Pearl Nuzlocke #7: A Deadly Galactic Battle</t>
        </is>
      </c>
      <c r="H2457" s="41" t="n">
        <v>0.02644675925925926</v>
      </c>
      <c r="I2457" s="42" t="n">
        <v>47601</v>
      </c>
      <c r="J2457" s="42" t="n">
        <v>1018</v>
      </c>
      <c r="K2457" s="42" t="n">
        <v>519</v>
      </c>
      <c r="L2457" s="43" t="n"/>
      <c r="M2457" s="44" t="n"/>
      <c r="N2457" s="44" t="inlineStr">
        <is>
          <t>UCor_9jRnNNZVzTuQ92PKsaQ</t>
        </is>
      </c>
      <c r="O2457" s="45" t="n">
        <v>42891.86875</v>
      </c>
      <c r="P2457" s="46" t="n">
        <v>42891</v>
      </c>
      <c r="Q2457" s="44" t="n">
        <v>815</v>
      </c>
      <c r="R2457" s="44" t="inlineStr">
        <is>
          <t>No Video ID yet</t>
        </is>
      </c>
      <c r="S2457" s="46" t="n"/>
      <c r="T2457" s="46" t="n"/>
      <c r="U2457" s="44" t="n"/>
      <c r="V2457" s="44">
        <f>IF(AND(P2457&gt;=Calendar!$K$2,P2457&lt;EDATE(Calendar!$K$2,1),OR(Calendar!$K$4="*",N2457=Calendar!$K$4)),P2457*100+COUNTIFS($P$6:$P$3271,P2457,$Q$6:$Q$3271,"&lt;="&amp;Q2457,$N$6:$N$3271,Calendar!$K$4),"")</f>
        <v/>
      </c>
      <c r="W2457" s="44">
        <f>IF(AND(B2457=Queue!$C$4,OR(Queue!$K$4="*",N2457=Queue!$K$4)),Q2457,"")</f>
        <v/>
      </c>
    </row>
    <row r="2458">
      <c r="A2458" s="35">
        <f>IF(M2458="","",HYPERLINK("https://www.youtube.com/watch?v="&amp;M2458,"▶"))</f>
        <v/>
      </c>
      <c r="B2458" s="36">
        <f>IF(C2458&lt;&gt;"",C2458,IF(P2458&lt;=IFERROR(INDEX(tblChannels[Watched Through],MATCH(N2458,tblChannels[Channel ID],0)),0),"Watched","Unwatched"))</f>
        <v/>
      </c>
      <c r="C2458" s="37" t="n"/>
      <c r="D2458" s="38" t="n"/>
      <c r="E2458" s="39" t="n">
        <v>42888.625</v>
      </c>
      <c r="F2458" s="49" t="inlineStr">
        <is>
          <t>Super Carlin Gaming</t>
        </is>
      </c>
      <c r="G2458" t="inlineStr">
        <is>
          <t>Pokemon Pearl Nuzlocke #6: Romera VS Gardenia!</t>
        </is>
      </c>
      <c r="H2458" s="41" t="n">
        <v>0.01358796296296296</v>
      </c>
      <c r="I2458" s="42" t="n">
        <v>41309</v>
      </c>
      <c r="J2458" s="42" t="n">
        <v>954</v>
      </c>
      <c r="K2458" s="42" t="n">
        <v>384</v>
      </c>
      <c r="L2458" s="43" t="n"/>
      <c r="M2458" s="44" t="n"/>
      <c r="N2458" s="44" t="inlineStr">
        <is>
          <t>UCor_9jRnNNZVzTuQ92PKsaQ</t>
        </is>
      </c>
      <c r="O2458" s="45" t="n">
        <v>42888.79166666666</v>
      </c>
      <c r="P2458" s="46" t="n">
        <v>42888</v>
      </c>
      <c r="Q2458" s="44" t="n">
        <v>814</v>
      </c>
      <c r="R2458" s="44" t="inlineStr">
        <is>
          <t>No Video ID yet</t>
        </is>
      </c>
      <c r="S2458" s="46" t="n"/>
      <c r="T2458" s="46" t="n"/>
      <c r="U2458" s="44" t="n"/>
      <c r="V2458" s="44">
        <f>IF(AND(P2458&gt;=Calendar!$K$2,P2458&lt;EDATE(Calendar!$K$2,1),OR(Calendar!$K$4="*",N2458=Calendar!$K$4)),P2458*100+COUNTIFS($P$6:$P$3271,P2458,$Q$6:$Q$3271,"&lt;="&amp;Q2458,$N$6:$N$3271,Calendar!$K$4),"")</f>
        <v/>
      </c>
      <c r="W2458" s="44">
        <f>IF(AND(B2458=Queue!$C$4,OR(Queue!$K$4="*",N2458=Queue!$K$4)),Q2458,"")</f>
        <v/>
      </c>
    </row>
    <row r="2459">
      <c r="A2459" s="35">
        <f>IF(M2459="","",HYPERLINK("https://www.youtube.com/watch?v="&amp;M2459,"▶"))</f>
        <v/>
      </c>
      <c r="B2459" s="36">
        <f>IF(C2459&lt;&gt;"",C2459,IF(P2459&lt;=IFERROR(INDEX(tblChannels[Watched Through],MATCH(N2459,tblChannels[Channel ID],0)),0),"Watched","Unwatched"))</f>
        <v/>
      </c>
      <c r="C2459" s="37" t="n"/>
      <c r="D2459" s="38" t="n"/>
      <c r="E2459" s="39" t="n">
        <v>42887.67013888889</v>
      </c>
      <c r="F2459" s="47" t="inlineStr">
        <is>
          <t>Super Carlin Brothers</t>
        </is>
      </c>
      <c r="G2459" t="inlineStr">
        <is>
          <t>In Defense of Dudley Dursley</t>
        </is>
      </c>
      <c r="H2459" s="41" t="n">
        <v>0.004895833333333334</v>
      </c>
      <c r="I2459" s="42" t="n">
        <v>2302459</v>
      </c>
      <c r="J2459" s="42" t="n">
        <v>50983</v>
      </c>
      <c r="K2459" s="42" t="n">
        <v>4764</v>
      </c>
      <c r="L2459" s="43" t="n"/>
      <c r="M2459" s="44" t="n"/>
      <c r="N2459" s="44" t="inlineStr">
        <is>
          <t>UCKZo4N0lVPccBkSiuyVh4yg</t>
        </is>
      </c>
      <c r="O2459" s="45" t="n">
        <v>42887.83680555555</v>
      </c>
      <c r="P2459" s="46" t="n">
        <v>42887</v>
      </c>
      <c r="Q2459" s="44" t="n">
        <v>813</v>
      </c>
      <c r="R2459" s="44" t="inlineStr">
        <is>
          <t>No Video ID yet</t>
        </is>
      </c>
      <c r="S2459" s="46" t="n"/>
      <c r="T2459" s="46" t="n"/>
      <c r="U2459" s="44" t="n"/>
      <c r="V2459" s="44">
        <f>IF(AND(P2459&gt;=Calendar!$K$2,P2459&lt;EDATE(Calendar!$K$2,1),OR(Calendar!$K$4="*",N2459=Calendar!$K$4)),P2459*100+COUNTIFS($P$6:$P$3271,P2459,$Q$6:$Q$3271,"&lt;="&amp;Q2459,$N$6:$N$3271,Calendar!$K$4),"")</f>
        <v/>
      </c>
      <c r="W2459" s="44">
        <f>IF(AND(B2459=Queue!$C$4,OR(Queue!$K$4="*",N2459=Queue!$K$4)),Q2459,"")</f>
        <v/>
      </c>
    </row>
    <row r="2460">
      <c r="A2460" s="35">
        <f>IF(M2460="","",HYPERLINK("https://www.youtube.com/watch?v="&amp;M2460,"▶"))</f>
        <v/>
      </c>
      <c r="B2460" s="36">
        <f>IF(C2460&lt;&gt;"",C2460,IF(P2460&lt;=IFERROR(INDEX(tblChannels[Watched Through],MATCH(N2460,tblChannels[Channel ID],0)),0),"Watched","Unwatched"))</f>
        <v/>
      </c>
      <c r="C2460" s="37" t="n"/>
      <c r="D2460" s="38" t="n"/>
      <c r="E2460" s="39" t="n">
        <v>42887.41666666666</v>
      </c>
      <c r="F2460" s="49" t="inlineStr">
        <is>
          <t>Super Carlin Gaming</t>
        </is>
      </c>
      <c r="G2460" t="inlineStr">
        <is>
          <t>Mario Kart 8 Roulette #2: Best and Worst Tracks</t>
        </is>
      </c>
      <c r="H2460" s="41" t="n">
        <v>0.01063657407407407</v>
      </c>
      <c r="I2460" s="42" t="n">
        <v>29826</v>
      </c>
      <c r="J2460" s="42" t="n">
        <v>730</v>
      </c>
      <c r="K2460" s="42" t="n">
        <v>163</v>
      </c>
      <c r="L2460" s="43" t="n"/>
      <c r="M2460" s="44" t="n"/>
      <c r="N2460" s="44" t="inlineStr">
        <is>
          <t>UCor_9jRnNNZVzTuQ92PKsaQ</t>
        </is>
      </c>
      <c r="O2460" s="45" t="n">
        <v>42887.58333333334</v>
      </c>
      <c r="P2460" s="46" t="n">
        <v>42887</v>
      </c>
      <c r="Q2460" s="44" t="n">
        <v>812</v>
      </c>
      <c r="R2460" s="44" t="inlineStr">
        <is>
          <t>No Video ID yet</t>
        </is>
      </c>
      <c r="S2460" s="46" t="n"/>
      <c r="T2460" s="46" t="n"/>
      <c r="U2460" s="44" t="n"/>
      <c r="V2460" s="44">
        <f>IF(AND(P2460&gt;=Calendar!$K$2,P2460&lt;EDATE(Calendar!$K$2,1),OR(Calendar!$K$4="*",N2460=Calendar!$K$4)),P2460*100+COUNTIFS($P$6:$P$3271,P2460,$Q$6:$Q$3271,"&lt;="&amp;Q2460,$N$6:$N$3271,Calendar!$K$4),"")</f>
        <v/>
      </c>
      <c r="W2460" s="44">
        <f>IF(AND(B2460=Queue!$C$4,OR(Queue!$K$4="*",N2460=Queue!$K$4)),Q2460,"")</f>
        <v/>
      </c>
    </row>
    <row r="2461">
      <c r="A2461" s="35">
        <f>IF(M2461="","",HYPERLINK("https://www.youtube.com/watch?v="&amp;M2461,"▶"))</f>
        <v/>
      </c>
      <c r="B2461" s="36">
        <f>IF(C2461&lt;&gt;"",C2461,IF(P2461&lt;=IFERROR(INDEX(tblChannels[Watched Through],MATCH(N2461,tblChannels[Channel ID],0)),0),"Watched","Unwatched"))</f>
        <v/>
      </c>
      <c r="C2461" s="37" t="n"/>
      <c r="D2461" s="38" t="n"/>
      <c r="E2461" s="39" t="n">
        <v>42886.625</v>
      </c>
      <c r="F2461" s="49" t="inlineStr">
        <is>
          <t>Super Carlin Gaming</t>
        </is>
      </c>
      <c r="G2461" t="inlineStr">
        <is>
          <t>Pokemon Pearl Nuzlocke #5: Budew or Budont There Is No Try</t>
        </is>
      </c>
      <c r="H2461" s="41" t="n">
        <v>0.01996527777777778</v>
      </c>
      <c r="I2461" s="42" t="n">
        <v>46895</v>
      </c>
      <c r="J2461" s="42" t="n">
        <v>1074</v>
      </c>
      <c r="K2461" s="42" t="n">
        <v>464</v>
      </c>
      <c r="L2461" s="43" t="n"/>
      <c r="M2461" s="44" t="n"/>
      <c r="N2461" s="44" t="inlineStr">
        <is>
          <t>UCor_9jRnNNZVzTuQ92PKsaQ</t>
        </is>
      </c>
      <c r="O2461" s="45" t="n">
        <v>42886.79166666666</v>
      </c>
      <c r="P2461" s="46" t="n">
        <v>42886</v>
      </c>
      <c r="Q2461" s="44" t="n">
        <v>811</v>
      </c>
      <c r="R2461" s="44" t="inlineStr">
        <is>
          <t>No Video ID yet</t>
        </is>
      </c>
      <c r="S2461" s="46" t="n"/>
      <c r="T2461" s="46" t="n"/>
      <c r="U2461" s="44" t="n"/>
      <c r="V2461" s="44">
        <f>IF(AND(P2461&gt;=Calendar!$K$2,P2461&lt;EDATE(Calendar!$K$2,1),OR(Calendar!$K$4="*",N2461=Calendar!$K$4)),P2461*100+COUNTIFS($P$6:$P$3271,P2461,$Q$6:$Q$3271,"&lt;="&amp;Q2461,$N$6:$N$3271,Calendar!$K$4),"")</f>
        <v/>
      </c>
      <c r="W2461" s="44">
        <f>IF(AND(B2461=Queue!$C$4,OR(Queue!$K$4="*",N2461=Queue!$K$4)),Q2461,"")</f>
        <v/>
      </c>
    </row>
    <row r="2462">
      <c r="A2462" s="35">
        <f>IF(M2462="","",HYPERLINK("https://www.youtube.com/watch?v="&amp;M2462,"▶"))</f>
        <v/>
      </c>
      <c r="B2462" s="36">
        <f>IF(C2462&lt;&gt;"",C2462,IF(P2462&lt;=IFERROR(INDEX(tblChannels[Watched Through],MATCH(N2462,tblChannels[Channel ID],0)),0),"Watched","Unwatched"))</f>
        <v/>
      </c>
      <c r="C2462" s="37" t="n"/>
      <c r="D2462" s="38" t="n"/>
      <c r="E2462" s="39" t="n">
        <v>42885.66458333333</v>
      </c>
      <c r="F2462" s="47" t="inlineStr">
        <is>
          <t>Super Carlin Brothers</t>
        </is>
      </c>
      <c r="G2462" t="inlineStr">
        <is>
          <t>J vs Ben: Hardest UP Trivia Quiz Ever</t>
        </is>
      </c>
      <c r="H2462" s="41" t="n">
        <v>0.01142361111111111</v>
      </c>
      <c r="I2462" s="42" t="n">
        <v>609379</v>
      </c>
      <c r="J2462" s="42" t="n">
        <v>16681</v>
      </c>
      <c r="K2462" s="42" t="n">
        <v>3817</v>
      </c>
      <c r="L2462" s="43" t="n"/>
      <c r="M2462" s="44" t="n"/>
      <c r="N2462" s="44" t="inlineStr">
        <is>
          <t>UCKZo4N0lVPccBkSiuyVh4yg</t>
        </is>
      </c>
      <c r="O2462" s="45" t="n">
        <v>42885.83125</v>
      </c>
      <c r="P2462" s="46" t="n">
        <v>42885</v>
      </c>
      <c r="Q2462" s="44" t="n">
        <v>810</v>
      </c>
      <c r="R2462" s="44" t="inlineStr">
        <is>
          <t>No Video ID yet</t>
        </is>
      </c>
      <c r="S2462" s="46" t="n"/>
      <c r="T2462" s="46" t="n"/>
      <c r="U2462" s="44" t="n"/>
      <c r="V2462" s="44">
        <f>IF(AND(P2462&gt;=Calendar!$K$2,P2462&lt;EDATE(Calendar!$K$2,1),OR(Calendar!$K$4="*",N2462=Calendar!$K$4)),P2462*100+COUNTIFS($P$6:$P$3271,P2462,$Q$6:$Q$3271,"&lt;="&amp;Q2462,$N$6:$N$3271,Calendar!$K$4),"")</f>
        <v/>
      </c>
      <c r="W2462" s="44">
        <f>IF(AND(B2462=Queue!$C$4,OR(Queue!$K$4="*",N2462=Queue!$K$4)),Q2462,"")</f>
        <v/>
      </c>
    </row>
    <row r="2463">
      <c r="A2463" s="35">
        <f>IF(M2463="","",HYPERLINK("https://www.youtube.com/watch?v="&amp;M2463,"▶"))</f>
        <v/>
      </c>
      <c r="B2463" s="36">
        <f>IF(C2463&lt;&gt;"",C2463,IF(P2463&lt;=IFERROR(INDEX(tblChannels[Watched Through],MATCH(N2463,tblChannels[Channel ID],0)),0),"Watched","Unwatched"))</f>
        <v/>
      </c>
      <c r="C2463" s="37" t="n"/>
      <c r="D2463" s="38" t="n"/>
      <c r="E2463" s="39" t="n">
        <v>42885.41666666666</v>
      </c>
      <c r="F2463" s="49" t="inlineStr">
        <is>
          <t>Super Carlin Gaming</t>
        </is>
      </c>
      <c r="G2463" t="inlineStr">
        <is>
          <t>Mario Kart Roulette #1: Favorite/Least Favorite Characters</t>
        </is>
      </c>
      <c r="H2463" s="41" t="n">
        <v>0.01115740740740741</v>
      </c>
      <c r="I2463" s="42" t="n">
        <v>63973</v>
      </c>
      <c r="J2463" s="42" t="n">
        <v>1398</v>
      </c>
      <c r="K2463" s="42" t="n">
        <v>304</v>
      </c>
      <c r="L2463" s="43" t="n"/>
      <c r="M2463" s="44" t="n"/>
      <c r="N2463" s="44" t="inlineStr">
        <is>
          <t>UCor_9jRnNNZVzTuQ92PKsaQ</t>
        </is>
      </c>
      <c r="O2463" s="45" t="n">
        <v>42885.58333333334</v>
      </c>
      <c r="P2463" s="46" t="n">
        <v>42885</v>
      </c>
      <c r="Q2463" s="44" t="n">
        <v>809</v>
      </c>
      <c r="R2463" s="44" t="inlineStr">
        <is>
          <t>No Video ID yet</t>
        </is>
      </c>
      <c r="S2463" s="46" t="n"/>
      <c r="T2463" s="46" t="n"/>
      <c r="U2463" s="44" t="n"/>
      <c r="V2463" s="44">
        <f>IF(AND(P2463&gt;=Calendar!$K$2,P2463&lt;EDATE(Calendar!$K$2,1),OR(Calendar!$K$4="*",N2463=Calendar!$K$4)),P2463*100+COUNTIFS($P$6:$P$3271,P2463,$Q$6:$Q$3271,"&lt;="&amp;Q2463,$N$6:$N$3271,Calendar!$K$4),"")</f>
        <v/>
      </c>
      <c r="W2463" s="44">
        <f>IF(AND(B2463=Queue!$C$4,OR(Queue!$K$4="*",N2463=Queue!$K$4)),Q2463,"")</f>
        <v/>
      </c>
    </row>
    <row r="2464">
      <c r="A2464" s="35">
        <f>IF(M2464="","",HYPERLINK("https://www.youtube.com/watch?v="&amp;M2464,"▶"))</f>
        <v/>
      </c>
      <c r="B2464" s="36">
        <f>IF(C2464&lt;&gt;"",C2464,IF(P2464&lt;=IFERROR(INDEX(tblChannels[Watched Through],MATCH(N2464,tblChannels[Channel ID],0)),0),"Watched","Unwatched"))</f>
        <v/>
      </c>
      <c r="C2464" s="37" t="n"/>
      <c r="D2464" s="38" t="n"/>
      <c r="E2464" s="39" t="n">
        <v>42884.625</v>
      </c>
      <c r="F2464" s="49" t="inlineStr">
        <is>
          <t>Super Carlin Gaming</t>
        </is>
      </c>
      <c r="G2464" t="inlineStr">
        <is>
          <t>Pokemon Pearl Nuzlocke #4: Enter Team Galactic</t>
        </is>
      </c>
      <c r="H2464" s="41" t="n">
        <v>0.01446759259259259</v>
      </c>
      <c r="I2464" s="42" t="n">
        <v>47169</v>
      </c>
      <c r="J2464" s="42" t="n">
        <v>1074</v>
      </c>
      <c r="K2464" s="42" t="n">
        <v>472</v>
      </c>
      <c r="L2464" s="43" t="n"/>
      <c r="M2464" s="44" t="n"/>
      <c r="N2464" s="44" t="inlineStr">
        <is>
          <t>UCor_9jRnNNZVzTuQ92PKsaQ</t>
        </is>
      </c>
      <c r="O2464" s="45" t="n">
        <v>42884.79166666666</v>
      </c>
      <c r="P2464" s="46" t="n">
        <v>42884</v>
      </c>
      <c r="Q2464" s="44" t="n">
        <v>808</v>
      </c>
      <c r="R2464" s="44" t="inlineStr">
        <is>
          <t>No Video ID yet</t>
        </is>
      </c>
      <c r="S2464" s="46" t="n"/>
      <c r="T2464" s="46" t="n"/>
      <c r="U2464" s="44" t="n"/>
      <c r="V2464" s="44">
        <f>IF(AND(P2464&gt;=Calendar!$K$2,P2464&lt;EDATE(Calendar!$K$2,1),OR(Calendar!$K$4="*",N2464=Calendar!$K$4)),P2464*100+COUNTIFS($P$6:$P$3271,P2464,$Q$6:$Q$3271,"&lt;="&amp;Q2464,$N$6:$N$3271,Calendar!$K$4),"")</f>
        <v/>
      </c>
      <c r="W2464" s="44">
        <f>IF(AND(B2464=Queue!$C$4,OR(Queue!$K$4="*",N2464=Queue!$K$4)),Q2464,"")</f>
        <v/>
      </c>
    </row>
    <row r="2465">
      <c r="A2465" s="35">
        <f>IF(M2465="","",HYPERLINK("https://www.youtube.com/watch?v="&amp;M2465,"▶"))</f>
        <v/>
      </c>
      <c r="B2465" s="36">
        <f>IF(C2465&lt;&gt;"",C2465,IF(P2465&lt;=IFERROR(INDEX(tblChannels[Watched Through],MATCH(N2465,tblChannels[Channel ID],0)),0),"Watched","Unwatched"))</f>
        <v/>
      </c>
      <c r="C2465" s="37" t="n"/>
      <c r="D2465" s="38" t="n"/>
      <c r="E2465" s="39" t="n">
        <v>42881.625</v>
      </c>
      <c r="F2465" s="49" t="inlineStr">
        <is>
          <t>Super Carlin Gaming</t>
        </is>
      </c>
      <c r="G2465" t="inlineStr">
        <is>
          <t>Pokemon Pearl Nuzlocke #3: Ozzy VS Roark</t>
        </is>
      </c>
      <c r="H2465" s="41" t="n">
        <v>0.0191087962962963</v>
      </c>
      <c r="I2465" s="42" t="n">
        <v>55065</v>
      </c>
      <c r="J2465" s="42" t="n">
        <v>1151</v>
      </c>
      <c r="K2465" s="42" t="n">
        <v>496</v>
      </c>
      <c r="L2465" s="43" t="n"/>
      <c r="M2465" s="44" t="n"/>
      <c r="N2465" s="44" t="inlineStr">
        <is>
          <t>UCor_9jRnNNZVzTuQ92PKsaQ</t>
        </is>
      </c>
      <c r="O2465" s="45" t="n">
        <v>42881.79166666666</v>
      </c>
      <c r="P2465" s="46" t="n">
        <v>42881</v>
      </c>
      <c r="Q2465" s="44" t="n">
        <v>807</v>
      </c>
      <c r="R2465" s="44" t="inlineStr">
        <is>
          <t>No Video ID yet</t>
        </is>
      </c>
      <c r="S2465" s="46" t="n"/>
      <c r="T2465" s="46" t="n"/>
      <c r="U2465" s="44" t="n"/>
      <c r="V2465" s="44">
        <f>IF(AND(P2465&gt;=Calendar!$K$2,P2465&lt;EDATE(Calendar!$K$2,1),OR(Calendar!$K$4="*",N2465=Calendar!$K$4)),P2465*100+COUNTIFS($P$6:$P$3271,P2465,$Q$6:$Q$3271,"&lt;="&amp;Q2465,$N$6:$N$3271,Calendar!$K$4),"")</f>
        <v/>
      </c>
      <c r="W2465" s="44">
        <f>IF(AND(B2465=Queue!$C$4,OR(Queue!$K$4="*",N2465=Queue!$K$4)),Q2465,"")</f>
        <v/>
      </c>
    </row>
    <row r="2466">
      <c r="A2466" s="35">
        <f>IF(M2466="","",HYPERLINK("https://www.youtube.com/watch?v="&amp;M2466,"▶"))</f>
        <v/>
      </c>
      <c r="B2466" s="36">
        <f>IF(C2466&lt;&gt;"",C2466,IF(P2466&lt;=IFERROR(INDEX(tblChannels[Watched Through],MATCH(N2466,tblChannels[Channel ID],0)),0),"Watched","Unwatched"))</f>
        <v/>
      </c>
      <c r="C2466" s="37" t="n"/>
      <c r="D2466" s="38" t="n"/>
      <c r="E2466" s="39" t="n">
        <v>42880.72638888889</v>
      </c>
      <c r="F2466" s="47" t="inlineStr">
        <is>
          <t>Super Carlin Brothers</t>
        </is>
      </c>
      <c r="G2466" t="inlineStr">
        <is>
          <t>Big Hero 6 Kites Explained</t>
        </is>
      </c>
      <c r="H2466" s="41" t="n">
        <v>0.004699074074074074</v>
      </c>
      <c r="I2466" s="42" t="n">
        <v>357973</v>
      </c>
      <c r="J2466" s="42" t="n">
        <v>12443</v>
      </c>
      <c r="K2466" s="42" t="n">
        <v>1410</v>
      </c>
      <c r="L2466" s="43" t="n"/>
      <c r="M2466" s="44" t="n"/>
      <c r="N2466" s="44" t="inlineStr">
        <is>
          <t>UCKZo4N0lVPccBkSiuyVh4yg</t>
        </is>
      </c>
      <c r="O2466" s="45" t="n">
        <v>42880.89305555556</v>
      </c>
      <c r="P2466" s="46" t="n">
        <v>42880</v>
      </c>
      <c r="Q2466" s="44" t="n">
        <v>806</v>
      </c>
      <c r="R2466" s="44" t="inlineStr">
        <is>
          <t>No Video ID yet</t>
        </is>
      </c>
      <c r="S2466" s="46" t="n"/>
      <c r="T2466" s="46" t="n"/>
      <c r="U2466" s="44" t="n"/>
      <c r="V2466" s="44">
        <f>IF(AND(P2466&gt;=Calendar!$K$2,P2466&lt;EDATE(Calendar!$K$2,1),OR(Calendar!$K$4="*",N2466=Calendar!$K$4)),P2466*100+COUNTIFS($P$6:$P$3271,P2466,$Q$6:$Q$3271,"&lt;="&amp;Q2466,$N$6:$N$3271,Calendar!$K$4),"")</f>
        <v/>
      </c>
      <c r="W2466" s="44">
        <f>IF(AND(B2466=Queue!$C$4,OR(Queue!$K$4="*",N2466=Queue!$K$4)),Q2466,"")</f>
        <v/>
      </c>
    </row>
    <row r="2467">
      <c r="A2467" s="35">
        <f>IF(M2467="","",HYPERLINK("https://www.youtube.com/watch?v="&amp;M2467,"▶"))</f>
        <v/>
      </c>
      <c r="B2467" s="36">
        <f>IF(C2467&lt;&gt;"",C2467,IF(P2467&lt;=IFERROR(INDEX(tblChannels[Watched Through],MATCH(N2467,tblChannels[Channel ID],0)),0),"Watched","Unwatched"))</f>
        <v/>
      </c>
      <c r="C2467" s="37" t="n"/>
      <c r="D2467" s="38" t="n"/>
      <c r="E2467" s="39" t="n">
        <v>42879.625</v>
      </c>
      <c r="F2467" s="49" t="inlineStr">
        <is>
          <t>Super Carlin Gaming</t>
        </is>
      </c>
      <c r="G2467" t="inlineStr">
        <is>
          <t>Pokemon Pearl Nuzlocke #2: Team Building!</t>
        </is>
      </c>
      <c r="H2467" s="41" t="n">
        <v>0.01353009259259259</v>
      </c>
      <c r="I2467" s="42" t="n">
        <v>58533</v>
      </c>
      <c r="J2467" s="42" t="n">
        <v>1193</v>
      </c>
      <c r="K2467" s="42" t="n">
        <v>525</v>
      </c>
      <c r="L2467" s="43" t="n"/>
      <c r="M2467" s="44" t="n"/>
      <c r="N2467" s="44" t="inlineStr">
        <is>
          <t>UCor_9jRnNNZVzTuQ92PKsaQ</t>
        </is>
      </c>
      <c r="O2467" s="45" t="n">
        <v>42879.79166666666</v>
      </c>
      <c r="P2467" s="46" t="n">
        <v>42879</v>
      </c>
      <c r="Q2467" s="44" t="n">
        <v>805</v>
      </c>
      <c r="R2467" s="44" t="inlineStr">
        <is>
          <t>No Video ID yet</t>
        </is>
      </c>
      <c r="S2467" s="46" t="n"/>
      <c r="T2467" s="46" t="n"/>
      <c r="U2467" s="44" t="n"/>
      <c r="V2467" s="44">
        <f>IF(AND(P2467&gt;=Calendar!$K$2,P2467&lt;EDATE(Calendar!$K$2,1),OR(Calendar!$K$4="*",N2467=Calendar!$K$4)),P2467*100+COUNTIFS($P$6:$P$3271,P2467,$Q$6:$Q$3271,"&lt;="&amp;Q2467,$N$6:$N$3271,Calendar!$K$4),"")</f>
        <v/>
      </c>
      <c r="W2467" s="44">
        <f>IF(AND(B2467=Queue!$C$4,OR(Queue!$K$4="*",N2467=Queue!$K$4)),Q2467,"")</f>
        <v/>
      </c>
    </row>
    <row r="2468">
      <c r="A2468" s="35">
        <f>IF(M2468="","",HYPERLINK("https://www.youtube.com/watch?v="&amp;M2468,"▶"))</f>
        <v/>
      </c>
      <c r="B2468" s="36">
        <f>IF(C2468&lt;&gt;"",C2468,IF(P2468&lt;=IFERROR(INDEX(tblChannels[Watched Through],MATCH(N2468,tblChannels[Channel ID],0)),0),"Watched","Unwatched"))</f>
        <v/>
      </c>
      <c r="C2468" s="37" t="n"/>
      <c r="D2468" s="38" t="n"/>
      <c r="E2468" s="39" t="n">
        <v>42878.69652777778</v>
      </c>
      <c r="F2468" s="47" t="inlineStr">
        <is>
          <t>Super Carlin Brothers</t>
        </is>
      </c>
      <c r="G2468" t="inlineStr">
        <is>
          <t>The Truth About Doc Hudson</t>
        </is>
      </c>
      <c r="H2468" s="41" t="n">
        <v>0.006840277777777778</v>
      </c>
      <c r="I2468" s="42" t="n">
        <v>1879545</v>
      </c>
      <c r="J2468" s="42" t="n">
        <v>34847</v>
      </c>
      <c r="K2468" s="42" t="n">
        <v>5145</v>
      </c>
      <c r="L2468" s="43" t="n"/>
      <c r="M2468" s="44" t="n"/>
      <c r="N2468" s="44" t="inlineStr">
        <is>
          <t>UCKZo4N0lVPccBkSiuyVh4yg</t>
        </is>
      </c>
      <c r="O2468" s="45" t="n">
        <v>42878.86319444444</v>
      </c>
      <c r="P2468" s="46" t="n">
        <v>42878</v>
      </c>
      <c r="Q2468" s="44" t="n">
        <v>804</v>
      </c>
      <c r="R2468" s="44" t="inlineStr">
        <is>
          <t>No Video ID yet</t>
        </is>
      </c>
      <c r="S2468" s="46" t="n"/>
      <c r="T2468" s="46" t="n"/>
      <c r="U2468" s="44" t="n"/>
      <c r="V2468" s="44">
        <f>IF(AND(P2468&gt;=Calendar!$K$2,P2468&lt;EDATE(Calendar!$K$2,1),OR(Calendar!$K$4="*",N2468=Calendar!$K$4)),P2468*100+COUNTIFS($P$6:$P$3271,P2468,$Q$6:$Q$3271,"&lt;="&amp;Q2468,$N$6:$N$3271,Calendar!$K$4),"")</f>
        <v/>
      </c>
      <c r="W2468" s="44">
        <f>IF(AND(B2468=Queue!$C$4,OR(Queue!$K$4="*",N2468=Queue!$K$4)),Q2468,"")</f>
        <v/>
      </c>
    </row>
    <row r="2469">
      <c r="A2469" s="35">
        <f>IF(M2469="","",HYPERLINK("https://www.youtube.com/watch?v="&amp;M2469,"▶"))</f>
        <v/>
      </c>
      <c r="B2469" s="36">
        <f>IF(C2469&lt;&gt;"",C2469,IF(P2469&lt;=IFERROR(INDEX(tblChannels[Watched Through],MATCH(N2469,tblChannels[Channel ID],0)),0),"Watched","Unwatched"))</f>
        <v/>
      </c>
      <c r="C2469" s="37" t="n"/>
      <c r="D2469" s="38" t="n"/>
      <c r="E2469" s="39" t="n">
        <v>42877.63472222222</v>
      </c>
      <c r="F2469" s="49" t="inlineStr">
        <is>
          <t>Super Carlin Gaming</t>
        </is>
      </c>
      <c r="G2469" t="inlineStr">
        <is>
          <t>Pokemon Pearl Nuzlocke #1: Piplup, Turtwig or Chimchar?</t>
        </is>
      </c>
      <c r="H2469" s="41" t="n">
        <v>0.01609953703703704</v>
      </c>
      <c r="I2469" s="42" t="n">
        <v>129045</v>
      </c>
      <c r="J2469" s="42" t="n">
        <v>2234</v>
      </c>
      <c r="K2469" s="42" t="n">
        <v>1388</v>
      </c>
      <c r="L2469" s="43" t="n"/>
      <c r="M2469" s="44" t="n"/>
      <c r="N2469" s="44" t="inlineStr">
        <is>
          <t>UCor_9jRnNNZVzTuQ92PKsaQ</t>
        </is>
      </c>
      <c r="O2469" s="45" t="n">
        <v>42877.80138888889</v>
      </c>
      <c r="P2469" s="46" t="n">
        <v>42877</v>
      </c>
      <c r="Q2469" s="44" t="n">
        <v>803</v>
      </c>
      <c r="R2469" s="44" t="inlineStr">
        <is>
          <t>No Video ID yet</t>
        </is>
      </c>
      <c r="S2469" s="46" t="n"/>
      <c r="T2469" s="46" t="n"/>
      <c r="U2469" s="44" t="n"/>
      <c r="V2469" s="44">
        <f>IF(AND(P2469&gt;=Calendar!$K$2,P2469&lt;EDATE(Calendar!$K$2,1),OR(Calendar!$K$4="*",N2469=Calendar!$K$4)),P2469*100+COUNTIFS($P$6:$P$3271,P2469,$Q$6:$Q$3271,"&lt;="&amp;Q2469,$N$6:$N$3271,Calendar!$K$4),"")</f>
        <v/>
      </c>
      <c r="W2469" s="44">
        <f>IF(AND(B2469=Queue!$C$4,OR(Queue!$K$4="*",N2469=Queue!$K$4)),Q2469,"")</f>
        <v/>
      </c>
    </row>
    <row r="2470">
      <c r="A2470" s="35">
        <f>IF(M2470="","",HYPERLINK("https://www.youtube.com/watch?v="&amp;M2470,"▶"))</f>
        <v/>
      </c>
      <c r="B2470" s="36">
        <f>IF(C2470&lt;&gt;"",C2470,IF(P2470&lt;=IFERROR(INDEX(tblChannels[Watched Through],MATCH(N2470,tblChannels[Channel ID],0)),0),"Watched","Unwatched"))</f>
        <v/>
      </c>
      <c r="C2470" s="37" t="n"/>
      <c r="D2470" s="38" t="n"/>
      <c r="E2470" s="39" t="n">
        <v>42873.75972222222</v>
      </c>
      <c r="F2470" s="47" t="inlineStr">
        <is>
          <t>Super Carlin Brothers</t>
        </is>
      </c>
      <c r="G2470" t="inlineStr">
        <is>
          <t>Marvel Theory: Stan Lee's Cameos Explained</t>
        </is>
      </c>
      <c r="H2470" s="41" t="n">
        <v>0.007152777777777778</v>
      </c>
      <c r="I2470" s="42" t="n">
        <v>765766</v>
      </c>
      <c r="J2470" s="42" t="n">
        <v>19452</v>
      </c>
      <c r="K2470" s="42" t="n">
        <v>2834</v>
      </c>
      <c r="L2470" s="43" t="n"/>
      <c r="M2470" s="44" t="n"/>
      <c r="N2470" s="44" t="inlineStr">
        <is>
          <t>UCKZo4N0lVPccBkSiuyVh4yg</t>
        </is>
      </c>
      <c r="O2470" s="45" t="n">
        <v>42873.92638888889</v>
      </c>
      <c r="P2470" s="46" t="n">
        <v>42873</v>
      </c>
      <c r="Q2470" s="44" t="n">
        <v>802</v>
      </c>
      <c r="R2470" s="44" t="inlineStr">
        <is>
          <t>No Video ID yet</t>
        </is>
      </c>
      <c r="S2470" s="46" t="n"/>
      <c r="T2470" s="46" t="n"/>
      <c r="U2470" s="44" t="n"/>
      <c r="V2470" s="44">
        <f>IF(AND(P2470&gt;=Calendar!$K$2,P2470&lt;EDATE(Calendar!$K$2,1),OR(Calendar!$K$4="*",N2470=Calendar!$K$4)),P2470*100+COUNTIFS($P$6:$P$3271,P2470,$Q$6:$Q$3271,"&lt;="&amp;Q2470,$N$6:$N$3271,Calendar!$K$4),"")</f>
        <v/>
      </c>
      <c r="W2470" s="44">
        <f>IF(AND(B2470=Queue!$C$4,OR(Queue!$K$4="*",N2470=Queue!$K$4)),Q2470,"")</f>
        <v/>
      </c>
    </row>
    <row r="2471">
      <c r="A2471" s="35">
        <f>IF(M2471="","",HYPERLINK("https://www.youtube.com/watch?v="&amp;M2471,"▶"))</f>
        <v/>
      </c>
      <c r="B2471" s="36">
        <f>IF(C2471&lt;&gt;"",C2471,IF(P2471&lt;=IFERROR(INDEX(tblChannels[Watched Through],MATCH(N2471,tblChannels[Channel ID],0)),0),"Watched","Unwatched"))</f>
        <v/>
      </c>
      <c r="C2471" s="37" t="n"/>
      <c r="D2471" s="38" t="n"/>
      <c r="E2471" s="39" t="n">
        <v>42871.63333333333</v>
      </c>
      <c r="F2471" s="47" t="inlineStr">
        <is>
          <t>Super Carlin Brothers</t>
        </is>
      </c>
      <c r="G2471" t="inlineStr">
        <is>
          <t>Does Lightning Google Autofill</t>
        </is>
      </c>
      <c r="H2471" s="41" t="n">
        <v>0.005185185185185185</v>
      </c>
      <c r="I2471" s="42" t="n">
        <v>274023</v>
      </c>
      <c r="J2471" s="42" t="n">
        <v>8831</v>
      </c>
      <c r="K2471" s="42" t="n">
        <v>1344</v>
      </c>
      <c r="L2471" s="43" t="n"/>
      <c r="M2471" s="44" t="n"/>
      <c r="N2471" s="44" t="inlineStr">
        <is>
          <t>UCKZo4N0lVPccBkSiuyVh4yg</t>
        </is>
      </c>
      <c r="O2471" s="45" t="n">
        <v>42871.8</v>
      </c>
      <c r="P2471" s="46" t="n">
        <v>42871</v>
      </c>
      <c r="Q2471" s="44" t="n">
        <v>801</v>
      </c>
      <c r="R2471" s="44" t="inlineStr">
        <is>
          <t>No Video ID yet</t>
        </is>
      </c>
      <c r="S2471" s="46" t="n"/>
      <c r="T2471" s="46" t="n"/>
      <c r="U2471" s="44" t="n"/>
      <c r="V2471" s="44">
        <f>IF(AND(P2471&gt;=Calendar!$K$2,P2471&lt;EDATE(Calendar!$K$2,1),OR(Calendar!$K$4="*",N2471=Calendar!$K$4)),P2471*100+COUNTIFS($P$6:$P$3271,P2471,$Q$6:$Q$3271,"&lt;="&amp;Q2471,$N$6:$N$3271,Calendar!$K$4),"")</f>
        <v/>
      </c>
      <c r="W2471" s="44">
        <f>IF(AND(B2471=Queue!$C$4,OR(Queue!$K$4="*",N2471=Queue!$K$4)),Q2471,"")</f>
        <v/>
      </c>
    </row>
    <row r="2472">
      <c r="A2472" s="35">
        <f>IF(M2472="","",HYPERLINK("https://www.youtube.com/watch?v="&amp;M2472,"▶"))</f>
        <v/>
      </c>
      <c r="B2472" s="36">
        <f>IF(C2472&lt;&gt;"",C2472,IF(P2472&lt;=IFERROR(INDEX(tblChannels[Watched Through],MATCH(N2472,tblChannels[Channel ID],0)),0),"Watched","Unwatched"))</f>
        <v/>
      </c>
      <c r="C2472" s="37" t="n"/>
      <c r="D2472" s="38" t="n"/>
      <c r="E2472" s="39" t="n">
        <v>42866.79305555556</v>
      </c>
      <c r="F2472" s="47" t="inlineStr">
        <is>
          <t>Super Carlin Brothers</t>
        </is>
      </c>
      <c r="G2472" t="inlineStr">
        <is>
          <t>Harry Potter Theory: Slughorn's Darkest Secret</t>
        </is>
      </c>
      <c r="H2472" s="41" t="n">
        <v>0.005856481481481482</v>
      </c>
      <c r="I2472" s="42" t="n">
        <v>2288588</v>
      </c>
      <c r="J2472" s="42" t="n">
        <v>48512</v>
      </c>
      <c r="K2472" s="42" t="n">
        <v>3682</v>
      </c>
      <c r="L2472" s="43" t="n"/>
      <c r="M2472" s="44" t="n"/>
      <c r="N2472" s="44" t="inlineStr">
        <is>
          <t>UCKZo4N0lVPccBkSiuyVh4yg</t>
        </is>
      </c>
      <c r="O2472" s="45" t="n">
        <v>42866.95972222222</v>
      </c>
      <c r="P2472" s="46" t="n">
        <v>42866</v>
      </c>
      <c r="Q2472" s="44" t="n">
        <v>800</v>
      </c>
      <c r="R2472" s="44" t="inlineStr">
        <is>
          <t>No Video ID yet</t>
        </is>
      </c>
      <c r="S2472" s="46" t="n"/>
      <c r="T2472" s="46" t="n"/>
      <c r="U2472" s="44" t="n"/>
      <c r="V2472" s="44">
        <f>IF(AND(P2472&gt;=Calendar!$K$2,P2472&lt;EDATE(Calendar!$K$2,1),OR(Calendar!$K$4="*",N2472=Calendar!$K$4)),P2472*100+COUNTIFS($P$6:$P$3271,P2472,$Q$6:$Q$3271,"&lt;="&amp;Q2472,$N$6:$N$3271,Calendar!$K$4),"")</f>
        <v/>
      </c>
      <c r="W2472" s="44">
        <f>IF(AND(B2472=Queue!$C$4,OR(Queue!$K$4="*",N2472=Queue!$K$4)),Q2472,"")</f>
        <v/>
      </c>
    </row>
    <row r="2473">
      <c r="A2473" s="35">
        <f>IF(M2473="","",HYPERLINK("https://www.youtube.com/watch?v="&amp;M2473,"▶"))</f>
        <v/>
      </c>
      <c r="B2473" s="36">
        <f>IF(C2473&lt;&gt;"",C2473,IF(P2473&lt;=IFERROR(INDEX(tblChannels[Watched Through],MATCH(N2473,tblChannels[Channel ID],0)),0),"Watched","Unwatched"))</f>
        <v/>
      </c>
      <c r="C2473" s="37" t="n"/>
      <c r="D2473" s="38" t="n"/>
      <c r="E2473" s="39" t="n">
        <v>42864.80902777778</v>
      </c>
      <c r="F2473" s="47" t="inlineStr">
        <is>
          <t>Super Carlin Brothers</t>
        </is>
      </c>
      <c r="G2473" t="inlineStr">
        <is>
          <t>Disney Theory: Big Hero 6 Brother Is Alive</t>
        </is>
      </c>
      <c r="H2473" s="41" t="n">
        <v>0.007569444444444445</v>
      </c>
      <c r="I2473" s="42" t="n">
        <v>4373502</v>
      </c>
      <c r="J2473" s="42" t="n">
        <v>81951</v>
      </c>
      <c r="K2473" s="42" t="n">
        <v>12411</v>
      </c>
      <c r="L2473" s="43" t="n"/>
      <c r="M2473" s="44" t="n"/>
      <c r="N2473" s="44" t="inlineStr">
        <is>
          <t>UCKZo4N0lVPccBkSiuyVh4yg</t>
        </is>
      </c>
      <c r="O2473" s="45" t="n">
        <v>42864.97569444445</v>
      </c>
      <c r="P2473" s="46" t="n">
        <v>42864</v>
      </c>
      <c r="Q2473" s="44" t="n">
        <v>799</v>
      </c>
      <c r="R2473" s="44" t="inlineStr">
        <is>
          <t>No Video ID yet</t>
        </is>
      </c>
      <c r="S2473" s="46" t="n"/>
      <c r="T2473" s="46" t="n"/>
      <c r="U2473" s="44" t="n"/>
      <c r="V2473" s="44">
        <f>IF(AND(P2473&gt;=Calendar!$K$2,P2473&lt;EDATE(Calendar!$K$2,1),OR(Calendar!$K$4="*",N2473=Calendar!$K$4)),P2473*100+COUNTIFS($P$6:$P$3271,P2473,$Q$6:$Q$3271,"&lt;="&amp;Q2473,$N$6:$N$3271,Calendar!$K$4),"")</f>
        <v/>
      </c>
      <c r="W2473" s="44">
        <f>IF(AND(B2473=Queue!$C$4,OR(Queue!$K$4="*",N2473=Queue!$K$4)),Q2473,"")</f>
        <v/>
      </c>
    </row>
    <row r="2474">
      <c r="A2474" s="35">
        <f>IF(M2474="","",HYPERLINK("https://www.youtube.com/watch?v="&amp;M2474,"▶"))</f>
        <v/>
      </c>
      <c r="B2474" s="36">
        <f>IF(C2474&lt;&gt;"",C2474,IF(P2474&lt;=IFERROR(INDEX(tblChannels[Watched Through],MATCH(N2474,tblChannels[Channel ID],0)),0),"Watched","Unwatched"))</f>
        <v/>
      </c>
      <c r="C2474" s="37" t="n"/>
      <c r="D2474" s="38" t="n"/>
      <c r="E2474" s="39" t="n">
        <v>42861.41666666666</v>
      </c>
      <c r="F2474" s="47" t="inlineStr">
        <is>
          <t>Super Carlin Brothers</t>
        </is>
      </c>
      <c r="G2474" t="inlineStr">
        <is>
          <t>Loot Crate Unboxing | INVESTIGATE</t>
        </is>
      </c>
      <c r="H2474" s="41" t="n">
        <v>0.00880787037037037</v>
      </c>
      <c r="I2474" s="42" t="n">
        <v>93940</v>
      </c>
      <c r="J2474" s="42" t="n">
        <v>3730</v>
      </c>
      <c r="K2474" s="42" t="n">
        <v>799</v>
      </c>
      <c r="L2474" s="43" t="n"/>
      <c r="M2474" s="44" t="n"/>
      <c r="N2474" s="44" t="inlineStr">
        <is>
          <t>UCKZo4N0lVPccBkSiuyVh4yg</t>
        </is>
      </c>
      <c r="O2474" s="45" t="n">
        <v>42861.58333333334</v>
      </c>
      <c r="P2474" s="46" t="n">
        <v>42861</v>
      </c>
      <c r="Q2474" s="44" t="n">
        <v>798</v>
      </c>
      <c r="R2474" s="44" t="inlineStr">
        <is>
          <t>No Video ID yet</t>
        </is>
      </c>
      <c r="S2474" s="46" t="n"/>
      <c r="T2474" s="46" t="n"/>
      <c r="U2474" s="44" t="n"/>
      <c r="V2474" s="44">
        <f>IF(AND(P2474&gt;=Calendar!$K$2,P2474&lt;EDATE(Calendar!$K$2,1),OR(Calendar!$K$4="*",N2474=Calendar!$K$4)),P2474*100+COUNTIFS($P$6:$P$3271,P2474,$Q$6:$Q$3271,"&lt;="&amp;Q2474,$N$6:$N$3271,Calendar!$K$4),"")</f>
        <v/>
      </c>
      <c r="W2474" s="44">
        <f>IF(AND(B2474=Queue!$C$4,OR(Queue!$K$4="*",N2474=Queue!$K$4)),Q2474,"")</f>
        <v/>
      </c>
    </row>
    <row r="2475">
      <c r="A2475" s="35">
        <f>IF(M2475="","",HYPERLINK("https://www.youtube.com/watch?v="&amp;M2475,"▶"))</f>
        <v/>
      </c>
      <c r="B2475" s="36">
        <f>IF(C2475&lt;&gt;"",C2475,IF(P2475&lt;=IFERROR(INDEX(tblChannels[Watched Through],MATCH(N2475,tblChannels[Channel ID],0)),0),"Watched","Unwatched"))</f>
        <v/>
      </c>
      <c r="C2475" s="37" t="n"/>
      <c r="D2475" s="38" t="n"/>
      <c r="E2475" s="39" t="n">
        <v>42859.71111111111</v>
      </c>
      <c r="F2475" s="47" t="inlineStr">
        <is>
          <t>Super Carlin Brothers</t>
        </is>
      </c>
      <c r="G2475" t="inlineStr">
        <is>
          <t>Harry Potter Theory: Newt's Patronus</t>
        </is>
      </c>
      <c r="H2475" s="41" t="n">
        <v>0.00587962962962963</v>
      </c>
      <c r="I2475" s="42" t="n">
        <v>1534251</v>
      </c>
      <c r="J2475" s="42" t="n">
        <v>37678</v>
      </c>
      <c r="K2475" s="42" t="n">
        <v>8807</v>
      </c>
      <c r="L2475" s="43" t="n"/>
      <c r="M2475" s="44" t="n"/>
      <c r="N2475" s="44" t="inlineStr">
        <is>
          <t>UCKZo4N0lVPccBkSiuyVh4yg</t>
        </is>
      </c>
      <c r="O2475" s="45" t="n">
        <v>42859.87777777778</v>
      </c>
      <c r="P2475" s="46" t="n">
        <v>42859</v>
      </c>
      <c r="Q2475" s="44" t="n">
        <v>797</v>
      </c>
      <c r="R2475" s="44" t="inlineStr">
        <is>
          <t>No Video ID yet</t>
        </is>
      </c>
      <c r="S2475" s="46" t="n"/>
      <c r="T2475" s="46" t="n"/>
      <c r="U2475" s="44" t="n"/>
      <c r="V2475" s="44">
        <f>IF(AND(P2475&gt;=Calendar!$K$2,P2475&lt;EDATE(Calendar!$K$2,1),OR(Calendar!$K$4="*",N2475=Calendar!$K$4)),P2475*100+COUNTIFS($P$6:$P$3271,P2475,$Q$6:$Q$3271,"&lt;="&amp;Q2475,$N$6:$N$3271,Calendar!$K$4),"")</f>
        <v/>
      </c>
      <c r="W2475" s="44">
        <f>IF(AND(B2475=Queue!$C$4,OR(Queue!$K$4="*",N2475=Queue!$K$4)),Q2475,"")</f>
        <v/>
      </c>
    </row>
    <row r="2476">
      <c r="A2476" s="35">
        <f>IF(M2476="","",HYPERLINK("https://www.youtube.com/watch?v="&amp;M2476,"▶"))</f>
        <v/>
      </c>
      <c r="B2476" s="36">
        <f>IF(C2476&lt;&gt;"",C2476,IF(P2476&lt;=IFERROR(INDEX(tblChannels[Watched Through],MATCH(N2476,tblChannels[Channel ID],0)),0),"Watched","Unwatched"))</f>
        <v/>
      </c>
      <c r="C2476" s="37" t="n"/>
      <c r="D2476" s="38" t="n"/>
      <c r="E2476" s="39" t="n">
        <v>42857.74513888889</v>
      </c>
      <c r="F2476" s="47" t="inlineStr">
        <is>
          <t>Super Carlin Brothers</t>
        </is>
      </c>
      <c r="G2476" t="inlineStr">
        <is>
          <t>Cars Theory: Who Is The True Villain of Cars 3?</t>
        </is>
      </c>
      <c r="H2476" s="41" t="n">
        <v>0.005868055555555555</v>
      </c>
      <c r="I2476" s="42" t="n">
        <v>1134813</v>
      </c>
      <c r="J2476" s="42" t="n">
        <v>19864</v>
      </c>
      <c r="K2476" s="42" t="n">
        <v>2506</v>
      </c>
      <c r="L2476" s="43" t="n"/>
      <c r="M2476" s="44" t="n"/>
      <c r="N2476" s="44" t="inlineStr">
        <is>
          <t>UCKZo4N0lVPccBkSiuyVh4yg</t>
        </is>
      </c>
      <c r="O2476" s="45" t="n">
        <v>42857.91180555556</v>
      </c>
      <c r="P2476" s="46" t="n">
        <v>42857</v>
      </c>
      <c r="Q2476" s="44" t="n">
        <v>796</v>
      </c>
      <c r="R2476" s="44" t="inlineStr">
        <is>
          <t>No Video ID yet</t>
        </is>
      </c>
      <c r="S2476" s="46" t="n"/>
      <c r="T2476" s="46" t="n"/>
      <c r="U2476" s="44" t="n"/>
      <c r="V2476" s="44">
        <f>IF(AND(P2476&gt;=Calendar!$K$2,P2476&lt;EDATE(Calendar!$K$2,1),OR(Calendar!$K$4="*",N2476=Calendar!$K$4)),P2476*100+COUNTIFS($P$6:$P$3271,P2476,$Q$6:$Q$3271,"&lt;="&amp;Q2476,$N$6:$N$3271,Calendar!$K$4),"")</f>
        <v/>
      </c>
      <c r="W2476" s="44">
        <f>IF(AND(B2476=Queue!$C$4,OR(Queue!$K$4="*",N2476=Queue!$K$4)),Q2476,"")</f>
        <v/>
      </c>
    </row>
    <row r="2477">
      <c r="A2477" s="35">
        <f>IF(M2477="","",HYPERLINK("https://www.youtube.com/watch?v="&amp;M2477,"▶"))</f>
        <v/>
      </c>
      <c r="B2477" s="36">
        <f>IF(C2477&lt;&gt;"",C2477,IF(P2477&lt;=IFERROR(INDEX(tblChannels[Watched Through],MATCH(N2477,tblChannels[Channel ID],0)),0),"Watched","Unwatched"))</f>
        <v/>
      </c>
      <c r="C2477" s="37" t="n"/>
      <c r="D2477" s="38" t="n"/>
      <c r="E2477" s="39" t="n">
        <v>42852.71736111111</v>
      </c>
      <c r="F2477" s="47" t="inlineStr">
        <is>
          <t>Super Carlin Brothers</t>
        </is>
      </c>
      <c r="G2477" t="inlineStr">
        <is>
          <t>Top 10 Favorite Harry Potter Movie Moments</t>
        </is>
      </c>
      <c r="H2477" s="41" t="n">
        <v>0.00775462962962963</v>
      </c>
      <c r="I2477" s="42" t="n">
        <v>1157377</v>
      </c>
      <c r="J2477" s="42" t="n">
        <v>30685</v>
      </c>
      <c r="K2477" s="42" t="n">
        <v>8028</v>
      </c>
      <c r="L2477" s="43" t="n"/>
      <c r="M2477" s="44" t="n"/>
      <c r="N2477" s="44" t="inlineStr">
        <is>
          <t>UCKZo4N0lVPccBkSiuyVh4yg</t>
        </is>
      </c>
      <c r="O2477" s="45" t="n">
        <v>42852.88402777778</v>
      </c>
      <c r="P2477" s="46" t="n">
        <v>42852</v>
      </c>
      <c r="Q2477" s="44" t="n">
        <v>795</v>
      </c>
      <c r="R2477" s="44" t="inlineStr">
        <is>
          <t>No Video ID yet</t>
        </is>
      </c>
      <c r="S2477" s="46" t="n"/>
      <c r="T2477" s="46" t="n"/>
      <c r="U2477" s="44" t="n"/>
      <c r="V2477" s="44">
        <f>IF(AND(P2477&gt;=Calendar!$K$2,P2477&lt;EDATE(Calendar!$K$2,1),OR(Calendar!$K$4="*",N2477=Calendar!$K$4)),P2477*100+COUNTIFS($P$6:$P$3271,P2477,$Q$6:$Q$3271,"&lt;="&amp;Q2477,$N$6:$N$3271,Calendar!$K$4),"")</f>
        <v/>
      </c>
      <c r="W2477" s="44">
        <f>IF(AND(B2477=Queue!$C$4,OR(Queue!$K$4="*",N2477=Queue!$K$4)),Q2477,"")</f>
        <v/>
      </c>
    </row>
    <row r="2478">
      <c r="A2478" s="35">
        <f>IF(M2478="","",HYPERLINK("https://www.youtube.com/watch?v="&amp;M2478,"▶"))</f>
        <v/>
      </c>
      <c r="B2478" s="36">
        <f>IF(C2478&lt;&gt;"",C2478,IF(P2478&lt;=IFERROR(INDEX(tblChannels[Watched Through],MATCH(N2478,tblChannels[Channel ID],0)),0),"Watched","Unwatched"))</f>
        <v/>
      </c>
      <c r="C2478" s="37" t="n"/>
      <c r="D2478" s="38" t="n"/>
      <c r="E2478" s="39" t="n">
        <v>42850.80208333334</v>
      </c>
      <c r="F2478" s="47" t="inlineStr">
        <is>
          <t>Super Carlin Brothers</t>
        </is>
      </c>
      <c r="G2478" t="inlineStr">
        <is>
          <t>Harry Potter Theory: The Truth About Felix Felicis</t>
        </is>
      </c>
      <c r="H2478" s="41" t="n">
        <v>0.008645833333333333</v>
      </c>
      <c r="I2478" s="42" t="n">
        <v>2588467</v>
      </c>
      <c r="J2478" s="42" t="n">
        <v>56099</v>
      </c>
      <c r="K2478" s="42" t="n">
        <v>6219</v>
      </c>
      <c r="L2478" s="43" t="n"/>
      <c r="M2478" s="44" t="n"/>
      <c r="N2478" s="44" t="inlineStr">
        <is>
          <t>UCKZo4N0lVPccBkSiuyVh4yg</t>
        </is>
      </c>
      <c r="O2478" s="45" t="n">
        <v>42850.96875</v>
      </c>
      <c r="P2478" s="46" t="n">
        <v>42850</v>
      </c>
      <c r="Q2478" s="44" t="n">
        <v>794</v>
      </c>
      <c r="R2478" s="44" t="inlineStr">
        <is>
          <t>No Video ID yet</t>
        </is>
      </c>
      <c r="S2478" s="46" t="n"/>
      <c r="T2478" s="46" t="n"/>
      <c r="U2478" s="44" t="n"/>
      <c r="V2478" s="44">
        <f>IF(AND(P2478&gt;=Calendar!$K$2,P2478&lt;EDATE(Calendar!$K$2,1),OR(Calendar!$K$4="*",N2478=Calendar!$K$4)),P2478*100+COUNTIFS($P$6:$P$3271,P2478,$Q$6:$Q$3271,"&lt;="&amp;Q2478,$N$6:$N$3271,Calendar!$K$4),"")</f>
        <v/>
      </c>
      <c r="W2478" s="44">
        <f>IF(AND(B2478=Queue!$C$4,OR(Queue!$K$4="*",N2478=Queue!$K$4)),Q2478,"")</f>
        <v/>
      </c>
    </row>
    <row r="2479">
      <c r="A2479" s="35">
        <f>IF(M2479="","",HYPERLINK("https://www.youtube.com/watch?v="&amp;M2479,"▶"))</f>
        <v/>
      </c>
      <c r="B2479" s="36">
        <f>IF(C2479&lt;&gt;"",C2479,IF(P2479&lt;=IFERROR(INDEX(tblChannels[Watched Through],MATCH(N2479,tblChannels[Channel ID],0)),0),"Watched","Unwatched"))</f>
        <v/>
      </c>
      <c r="C2479" s="37" t="n"/>
      <c r="D2479" s="38" t="n"/>
      <c r="E2479" s="39" t="n">
        <v>42845.81944444445</v>
      </c>
      <c r="F2479" s="47" t="inlineStr">
        <is>
          <t>Super Carlin Brothers</t>
        </is>
      </c>
      <c r="G2479" t="inlineStr">
        <is>
          <t>Star Wars Theory: Will Luke Be Evil?!</t>
        </is>
      </c>
      <c r="H2479" s="41" t="n">
        <v>0.008657407407407407</v>
      </c>
      <c r="I2479" s="42" t="n">
        <v>356954</v>
      </c>
      <c r="J2479" s="42" t="n">
        <v>10995</v>
      </c>
      <c r="K2479" s="42" t="n">
        <v>2174</v>
      </c>
      <c r="L2479" s="43" t="n"/>
      <c r="M2479" s="44" t="n"/>
      <c r="N2479" s="44" t="inlineStr">
        <is>
          <t>UCKZo4N0lVPccBkSiuyVh4yg</t>
        </is>
      </c>
      <c r="O2479" s="45" t="n">
        <v>42845.98611111111</v>
      </c>
      <c r="P2479" s="46" t="n">
        <v>42845</v>
      </c>
      <c r="Q2479" s="44" t="n">
        <v>793</v>
      </c>
      <c r="R2479" s="44" t="inlineStr">
        <is>
          <t>No Video ID yet</t>
        </is>
      </c>
      <c r="S2479" s="46" t="n"/>
      <c r="T2479" s="46" t="n"/>
      <c r="U2479" s="44" t="n"/>
      <c r="V2479" s="44">
        <f>IF(AND(P2479&gt;=Calendar!$K$2,P2479&lt;EDATE(Calendar!$K$2,1),OR(Calendar!$K$4="*",N2479=Calendar!$K$4)),P2479*100+COUNTIFS($P$6:$P$3271,P2479,$Q$6:$Q$3271,"&lt;="&amp;Q2479,$N$6:$N$3271,Calendar!$K$4),"")</f>
        <v/>
      </c>
      <c r="W2479" s="44">
        <f>IF(AND(B2479=Queue!$C$4,OR(Queue!$K$4="*",N2479=Queue!$K$4)),Q2479,"")</f>
        <v/>
      </c>
    </row>
    <row r="2480">
      <c r="A2480" s="35">
        <f>IF(M2480="","",HYPERLINK("https://www.youtube.com/watch?v="&amp;M2480,"▶"))</f>
        <v/>
      </c>
      <c r="B2480" s="36">
        <f>IF(C2480&lt;&gt;"",C2480,IF(P2480&lt;=IFERROR(INDEX(tblChannels[Watched Through],MATCH(N2480,tblChannels[Channel ID],0)),0),"Watched","Unwatched"))</f>
        <v/>
      </c>
      <c r="C2480" s="37" t="n"/>
      <c r="D2480" s="38" t="n"/>
      <c r="E2480" s="39" t="n">
        <v>42844.65138888889</v>
      </c>
      <c r="F2480" s="49" t="inlineStr">
        <is>
          <t>Super Carlin Gaming</t>
        </is>
      </c>
      <c r="G2480" t="inlineStr">
        <is>
          <t>Pokemon Emerald Nuzlocke #32: THE FINAL BATTLE!</t>
        </is>
      </c>
      <c r="H2480" s="41" t="n">
        <v>0.01618055555555556</v>
      </c>
      <c r="I2480" s="42" t="n">
        <v>30224</v>
      </c>
      <c r="J2480" s="42" t="n">
        <v>905</v>
      </c>
      <c r="K2480" s="42" t="n">
        <v>450</v>
      </c>
      <c r="L2480" s="43" t="n"/>
      <c r="M2480" s="44" t="n"/>
      <c r="N2480" s="44" t="inlineStr">
        <is>
          <t>UCor_9jRnNNZVzTuQ92PKsaQ</t>
        </is>
      </c>
      <c r="O2480" s="45" t="n">
        <v>42844.81805555556</v>
      </c>
      <c r="P2480" s="46" t="n">
        <v>42844</v>
      </c>
      <c r="Q2480" s="44" t="n">
        <v>792</v>
      </c>
      <c r="R2480" s="44" t="inlineStr">
        <is>
          <t>No Video ID yet</t>
        </is>
      </c>
      <c r="S2480" s="46" t="n"/>
      <c r="T2480" s="46" t="n"/>
      <c r="U2480" s="44" t="n"/>
      <c r="V2480" s="44">
        <f>IF(AND(P2480&gt;=Calendar!$K$2,P2480&lt;EDATE(Calendar!$K$2,1),OR(Calendar!$K$4="*",N2480=Calendar!$K$4)),P2480*100+COUNTIFS($P$6:$P$3271,P2480,$Q$6:$Q$3271,"&lt;="&amp;Q2480,$N$6:$N$3271,Calendar!$K$4),"")</f>
        <v/>
      </c>
      <c r="W2480" s="44">
        <f>IF(AND(B2480=Queue!$C$4,OR(Queue!$K$4="*",N2480=Queue!$K$4)),Q2480,"")</f>
        <v/>
      </c>
    </row>
    <row r="2481">
      <c r="A2481" s="35">
        <f>IF(M2481="","",HYPERLINK("https://www.youtube.com/watch?v="&amp;M2481,"▶"))</f>
        <v/>
      </c>
      <c r="B2481" s="36">
        <f>IF(C2481&lt;&gt;"",C2481,IF(P2481&lt;=IFERROR(INDEX(tblChannels[Watched Through],MATCH(N2481,tblChannels[Channel ID],0)),0),"Watched","Unwatched"))</f>
        <v/>
      </c>
      <c r="C2481" s="37" t="n"/>
      <c r="D2481" s="38" t="n"/>
      <c r="E2481" s="39" t="n">
        <v>42843.70902777778</v>
      </c>
      <c r="F2481" s="47" t="inlineStr">
        <is>
          <t>Super Carlin Brothers</t>
        </is>
      </c>
      <c r="G2481" t="inlineStr">
        <is>
          <t>Harry Potter Theory: Who Was Crookshanks Original Owner?</t>
        </is>
      </c>
      <c r="H2481" s="41" t="n">
        <v>0.005983796296296296</v>
      </c>
      <c r="I2481" s="42" t="n">
        <v>2069985</v>
      </c>
      <c r="J2481" s="42" t="n">
        <v>51736</v>
      </c>
      <c r="K2481" s="42" t="n">
        <v>5531</v>
      </c>
      <c r="L2481" s="43" t="n"/>
      <c r="M2481" s="44" t="n"/>
      <c r="N2481" s="44" t="inlineStr">
        <is>
          <t>UCKZo4N0lVPccBkSiuyVh4yg</t>
        </is>
      </c>
      <c r="O2481" s="45" t="n">
        <v>42843.87569444445</v>
      </c>
      <c r="P2481" s="46" t="n">
        <v>42843</v>
      </c>
      <c r="Q2481" s="44" t="n">
        <v>791</v>
      </c>
      <c r="R2481" s="44" t="inlineStr">
        <is>
          <t>No Video ID yet</t>
        </is>
      </c>
      <c r="S2481" s="46" t="n"/>
      <c r="T2481" s="46" t="n"/>
      <c r="U2481" s="44" t="n"/>
      <c r="V2481" s="44">
        <f>IF(AND(P2481&gt;=Calendar!$K$2,P2481&lt;EDATE(Calendar!$K$2,1),OR(Calendar!$K$4="*",N2481=Calendar!$K$4)),P2481*100+COUNTIFS($P$6:$P$3271,P2481,$Q$6:$Q$3271,"&lt;="&amp;Q2481,$N$6:$N$3271,Calendar!$K$4),"")</f>
        <v/>
      </c>
      <c r="W2481" s="44">
        <f>IF(AND(B2481=Queue!$C$4,OR(Queue!$K$4="*",N2481=Queue!$K$4)),Q2481,"")</f>
        <v/>
      </c>
    </row>
    <row r="2482">
      <c r="A2482" s="35">
        <f>IF(M2482="","",HYPERLINK("https://www.youtube.com/watch?v="&amp;M2482,"▶"))</f>
        <v/>
      </c>
      <c r="B2482" s="36">
        <f>IF(C2482&lt;&gt;"",C2482,IF(P2482&lt;=IFERROR(INDEX(tblChannels[Watched Through],MATCH(N2482,tblChannels[Channel ID],0)),0),"Watched","Unwatched"))</f>
        <v/>
      </c>
      <c r="C2482" s="37" t="n"/>
      <c r="D2482" s="38" t="n"/>
      <c r="E2482" s="39" t="n">
        <v>42842.69375</v>
      </c>
      <c r="F2482" s="49" t="inlineStr">
        <is>
          <t>Super Carlin Gaming</t>
        </is>
      </c>
      <c r="G2482" t="inlineStr">
        <is>
          <t>Pokemon Emerald Nuzlocke #31: ICE AND DRAGONS</t>
        </is>
      </c>
      <c r="H2482" s="41" t="n">
        <v>0.01604166666666667</v>
      </c>
      <c r="I2482" s="42" t="n">
        <v>22208</v>
      </c>
      <c r="J2482" s="42" t="n">
        <v>576</v>
      </c>
      <c r="K2482" s="42" t="n">
        <v>195</v>
      </c>
      <c r="L2482" s="43" t="n"/>
      <c r="M2482" s="44" t="n"/>
      <c r="N2482" s="44" t="inlineStr">
        <is>
          <t>UCor_9jRnNNZVzTuQ92PKsaQ</t>
        </is>
      </c>
      <c r="O2482" s="45" t="n">
        <v>42842.86041666667</v>
      </c>
      <c r="P2482" s="46" t="n">
        <v>42842</v>
      </c>
      <c r="Q2482" s="44" t="n">
        <v>790</v>
      </c>
      <c r="R2482" s="44" t="inlineStr">
        <is>
          <t>No Video ID yet</t>
        </is>
      </c>
      <c r="S2482" s="46" t="n"/>
      <c r="T2482" s="46" t="n"/>
      <c r="U2482" s="44" t="n"/>
      <c r="V2482" s="44">
        <f>IF(AND(P2482&gt;=Calendar!$K$2,P2482&lt;EDATE(Calendar!$K$2,1),OR(Calendar!$K$4="*",N2482=Calendar!$K$4)),P2482*100+COUNTIFS($P$6:$P$3271,P2482,$Q$6:$Q$3271,"&lt;="&amp;Q2482,$N$6:$N$3271,Calendar!$K$4),"")</f>
        <v/>
      </c>
      <c r="W2482" s="44">
        <f>IF(AND(B2482=Queue!$C$4,OR(Queue!$K$4="*",N2482=Queue!$K$4)),Q2482,"")</f>
        <v/>
      </c>
    </row>
    <row r="2483">
      <c r="A2483" s="35">
        <f>IF(M2483="","",HYPERLINK("https://www.youtube.com/watch?v="&amp;M2483,"▶"))</f>
        <v/>
      </c>
      <c r="B2483" s="36">
        <f>IF(C2483&lt;&gt;"",C2483,IF(P2483&lt;=IFERROR(INDEX(tblChannels[Watched Through],MATCH(N2483,tblChannels[Channel ID],0)),0),"Watched","Unwatched"))</f>
        <v/>
      </c>
      <c r="C2483" s="37" t="n"/>
      <c r="D2483" s="38" t="n"/>
      <c r="E2483" s="39" t="n">
        <v>42840.41666666666</v>
      </c>
      <c r="F2483" s="47" t="inlineStr">
        <is>
          <t>Super Carlin Brothers</t>
        </is>
      </c>
      <c r="G2483" t="inlineStr">
        <is>
          <t>Loot Crate Unboxing | PRIMAL</t>
        </is>
      </c>
      <c r="H2483" s="41" t="n">
        <v>0.009016203703703703</v>
      </c>
      <c r="I2483" s="42" t="n">
        <v>95166</v>
      </c>
      <c r="J2483" s="42" t="n">
        <v>3763</v>
      </c>
      <c r="K2483" s="42" t="n">
        <v>860</v>
      </c>
      <c r="L2483" s="43" t="n"/>
      <c r="M2483" s="44" t="n"/>
      <c r="N2483" s="44" t="inlineStr">
        <is>
          <t>UCKZo4N0lVPccBkSiuyVh4yg</t>
        </is>
      </c>
      <c r="O2483" s="45" t="n">
        <v>42840.58333333334</v>
      </c>
      <c r="P2483" s="46" t="n">
        <v>42840</v>
      </c>
      <c r="Q2483" s="44" t="n">
        <v>789</v>
      </c>
      <c r="R2483" s="44" t="inlineStr">
        <is>
          <t>No Video ID yet</t>
        </is>
      </c>
      <c r="S2483" s="46" t="n"/>
      <c r="T2483" s="46" t="n"/>
      <c r="U2483" s="44" t="n"/>
      <c r="V2483" s="44">
        <f>IF(AND(P2483&gt;=Calendar!$K$2,P2483&lt;EDATE(Calendar!$K$2,1),OR(Calendar!$K$4="*",N2483=Calendar!$K$4)),P2483*100+COUNTIFS($P$6:$P$3271,P2483,$Q$6:$Q$3271,"&lt;="&amp;Q2483,$N$6:$N$3271,Calendar!$K$4),"")</f>
        <v/>
      </c>
      <c r="W2483" s="44">
        <f>IF(AND(B2483=Queue!$C$4,OR(Queue!$K$4="*",N2483=Queue!$K$4)),Q2483,"")</f>
        <v/>
      </c>
    </row>
    <row r="2484">
      <c r="A2484" s="35">
        <f>IF(M2484="","",HYPERLINK("https://www.youtube.com/watch?v="&amp;M2484,"▶"))</f>
        <v/>
      </c>
      <c r="B2484" s="36">
        <f>IF(C2484&lt;&gt;"",C2484,IF(P2484&lt;=IFERROR(INDEX(tblChannels[Watched Through],MATCH(N2484,tblChannels[Channel ID],0)),0),"Watched","Unwatched"))</f>
        <v/>
      </c>
      <c r="C2484" s="37" t="n"/>
      <c r="D2484" s="38" t="n"/>
      <c r="E2484" s="39" t="n">
        <v>42839.74444444444</v>
      </c>
      <c r="F2484" s="49" t="inlineStr">
        <is>
          <t>Super Carlin Gaming</t>
        </is>
      </c>
      <c r="G2484" t="inlineStr">
        <is>
          <t>Pokemon Emerald Nuzlocke #30: ENTER THE ELITE 4</t>
        </is>
      </c>
      <c r="H2484" s="41" t="n">
        <v>0.01876157407407407</v>
      </c>
      <c r="I2484" s="42" t="n">
        <v>24853</v>
      </c>
      <c r="J2484" s="42" t="n">
        <v>611</v>
      </c>
      <c r="K2484" s="42" t="n">
        <v>192</v>
      </c>
      <c r="L2484" s="43" t="n"/>
      <c r="M2484" s="44" t="n"/>
      <c r="N2484" s="44" t="inlineStr">
        <is>
          <t>UCor_9jRnNNZVzTuQ92PKsaQ</t>
        </is>
      </c>
      <c r="O2484" s="45" t="n">
        <v>42839.91111111111</v>
      </c>
      <c r="P2484" s="46" t="n">
        <v>42839</v>
      </c>
      <c r="Q2484" s="44" t="n">
        <v>788</v>
      </c>
      <c r="R2484" s="44" t="inlineStr">
        <is>
          <t>No Video ID yet</t>
        </is>
      </c>
      <c r="S2484" s="46" t="n"/>
      <c r="T2484" s="46" t="n"/>
      <c r="U2484" s="44" t="n"/>
      <c r="V2484" s="44">
        <f>IF(AND(P2484&gt;=Calendar!$K$2,P2484&lt;EDATE(Calendar!$K$2,1),OR(Calendar!$K$4="*",N2484=Calendar!$K$4)),P2484*100+COUNTIFS($P$6:$P$3271,P2484,$Q$6:$Q$3271,"&lt;="&amp;Q2484,$N$6:$N$3271,Calendar!$K$4),"")</f>
        <v/>
      </c>
      <c r="W2484" s="44">
        <f>IF(AND(B2484=Queue!$C$4,OR(Queue!$K$4="*",N2484=Queue!$K$4)),Q2484,"")</f>
        <v/>
      </c>
    </row>
    <row r="2485">
      <c r="A2485" s="35">
        <f>IF(M2485="","",HYPERLINK("https://www.youtube.com/watch?v="&amp;M2485,"▶"))</f>
        <v/>
      </c>
      <c r="B2485" s="36">
        <f>IF(C2485&lt;&gt;"",C2485,IF(P2485&lt;=IFERROR(INDEX(tblChannels[Watched Through],MATCH(N2485,tblChannels[Channel ID],0)),0),"Watched","Unwatched"))</f>
        <v/>
      </c>
      <c r="C2485" s="37" t="n"/>
      <c r="D2485" s="38" t="n"/>
      <c r="E2485" s="39" t="n">
        <v>42838.74930555555</v>
      </c>
      <c r="F2485" s="47" t="inlineStr">
        <is>
          <t>Super Carlin Brothers</t>
        </is>
      </c>
      <c r="G2485" t="inlineStr">
        <is>
          <t>Why Are Disney Parents Always So Dead?</t>
        </is>
      </c>
      <c r="H2485" s="41" t="n">
        <v>0.004814814814814815</v>
      </c>
      <c r="I2485" s="42" t="n">
        <v>1229896</v>
      </c>
      <c r="J2485" s="42" t="n">
        <v>31795</v>
      </c>
      <c r="K2485" s="42" t="n">
        <v>4313</v>
      </c>
      <c r="L2485" s="43" t="n"/>
      <c r="M2485" s="44" t="n"/>
      <c r="N2485" s="44" t="inlineStr">
        <is>
          <t>UCKZo4N0lVPccBkSiuyVh4yg</t>
        </is>
      </c>
      <c r="O2485" s="45" t="n">
        <v>42838.91597222222</v>
      </c>
      <c r="P2485" s="46" t="n">
        <v>42838</v>
      </c>
      <c r="Q2485" s="44" t="n">
        <v>787</v>
      </c>
      <c r="R2485" s="44" t="inlineStr">
        <is>
          <t>No Video ID yet</t>
        </is>
      </c>
      <c r="S2485" s="46" t="n"/>
      <c r="T2485" s="46" t="n"/>
      <c r="U2485" s="44" t="n"/>
      <c r="V2485" s="44">
        <f>IF(AND(P2485&gt;=Calendar!$K$2,P2485&lt;EDATE(Calendar!$K$2,1),OR(Calendar!$K$4="*",N2485=Calendar!$K$4)),P2485*100+COUNTIFS($P$6:$P$3271,P2485,$Q$6:$Q$3271,"&lt;="&amp;Q2485,$N$6:$N$3271,Calendar!$K$4),"")</f>
        <v/>
      </c>
      <c r="W2485" s="44">
        <f>IF(AND(B2485=Queue!$C$4,OR(Queue!$K$4="*",N2485=Queue!$K$4)),Q2485,"")</f>
        <v/>
      </c>
    </row>
    <row r="2486">
      <c r="A2486" s="35">
        <f>IF(M2486="","",HYPERLINK("https://www.youtube.com/watch?v="&amp;M2486,"▶"))</f>
        <v/>
      </c>
      <c r="B2486" s="36">
        <f>IF(C2486&lt;&gt;"",C2486,IF(P2486&lt;=IFERROR(INDEX(tblChannels[Watched Through],MATCH(N2486,tblChannels[Channel ID],0)),0),"Watched","Unwatched"))</f>
        <v/>
      </c>
      <c r="C2486" s="37" t="n"/>
      <c r="D2486" s="38" t="n"/>
      <c r="E2486" s="39" t="n">
        <v>42837.72013888889</v>
      </c>
      <c r="F2486" s="49" t="inlineStr">
        <is>
          <t>Super Carlin Gaming</t>
        </is>
      </c>
      <c r="G2486" t="inlineStr">
        <is>
          <t>Pokemon Emerald Nuzlocke #29: ONLY 5 SURVIVE</t>
        </is>
      </c>
      <c r="H2486" s="41" t="n">
        <v>0.03540509259259259</v>
      </c>
      <c r="I2486" s="42" t="n">
        <v>26632</v>
      </c>
      <c r="J2486" s="42" t="n">
        <v>621</v>
      </c>
      <c r="K2486" s="42" t="n">
        <v>369</v>
      </c>
      <c r="L2486" s="43" t="n"/>
      <c r="M2486" s="44" t="n"/>
      <c r="N2486" s="44" t="inlineStr">
        <is>
          <t>UCor_9jRnNNZVzTuQ92PKsaQ</t>
        </is>
      </c>
      <c r="O2486" s="45" t="n">
        <v>42837.88680555556</v>
      </c>
      <c r="P2486" s="46" t="n">
        <v>42837</v>
      </c>
      <c r="Q2486" s="44" t="n">
        <v>786</v>
      </c>
      <c r="R2486" s="44" t="inlineStr">
        <is>
          <t>No Video ID yet</t>
        </is>
      </c>
      <c r="S2486" s="46" t="n"/>
      <c r="T2486" s="46" t="n"/>
      <c r="U2486" s="44" t="n"/>
      <c r="V2486" s="44">
        <f>IF(AND(P2486&gt;=Calendar!$K$2,P2486&lt;EDATE(Calendar!$K$2,1),OR(Calendar!$K$4="*",N2486=Calendar!$K$4)),P2486*100+COUNTIFS($P$6:$P$3271,P2486,$Q$6:$Q$3271,"&lt;="&amp;Q2486,$N$6:$N$3271,Calendar!$K$4),"")</f>
        <v/>
      </c>
      <c r="W2486" s="44">
        <f>IF(AND(B2486=Queue!$C$4,OR(Queue!$K$4="*",N2486=Queue!$K$4)),Q2486,"")</f>
        <v/>
      </c>
    </row>
    <row r="2487">
      <c r="A2487" s="35">
        <f>IF(M2487="","",HYPERLINK("https://www.youtube.com/watch?v="&amp;M2487,"▶"))</f>
        <v/>
      </c>
      <c r="B2487" s="36">
        <f>IF(C2487&lt;&gt;"",C2487,IF(P2487&lt;=IFERROR(INDEX(tblChannels[Watched Through],MATCH(N2487,tblChannels[Channel ID],0)),0),"Watched","Unwatched"))</f>
        <v/>
      </c>
      <c r="C2487" s="37" t="n"/>
      <c r="D2487" s="38" t="n"/>
      <c r="E2487" s="39" t="n">
        <v>42836.69097222222</v>
      </c>
      <c r="F2487" s="47" t="inlineStr">
        <is>
          <t>Super Carlin Brothers</t>
        </is>
      </c>
      <c r="G2487" t="inlineStr">
        <is>
          <t>The Gaston Song Explained</t>
        </is>
      </c>
      <c r="H2487" s="41" t="n">
        <v>0.006099537037037037</v>
      </c>
      <c r="I2487" s="42" t="n">
        <v>1128878</v>
      </c>
      <c r="J2487" s="42" t="n">
        <v>32387</v>
      </c>
      <c r="K2487" s="42" t="n">
        <v>7643</v>
      </c>
      <c r="L2487" s="43" t="n"/>
      <c r="M2487" s="44" t="n"/>
      <c r="N2487" s="44" t="inlineStr">
        <is>
          <t>UCKZo4N0lVPccBkSiuyVh4yg</t>
        </is>
      </c>
      <c r="O2487" s="45" t="n">
        <v>42836.85763888889</v>
      </c>
      <c r="P2487" s="46" t="n">
        <v>42836</v>
      </c>
      <c r="Q2487" s="44" t="n">
        <v>785</v>
      </c>
      <c r="R2487" s="44" t="inlineStr">
        <is>
          <t>No Video ID yet</t>
        </is>
      </c>
      <c r="S2487" s="46" t="n"/>
      <c r="T2487" s="46" t="n"/>
      <c r="U2487" s="44" t="n"/>
      <c r="V2487" s="44">
        <f>IF(AND(P2487&gt;=Calendar!$K$2,P2487&lt;EDATE(Calendar!$K$2,1),OR(Calendar!$K$4="*",N2487=Calendar!$K$4)),P2487*100+COUNTIFS($P$6:$P$3271,P2487,$Q$6:$Q$3271,"&lt;="&amp;Q2487,$N$6:$N$3271,Calendar!$K$4),"")</f>
        <v/>
      </c>
      <c r="W2487" s="44">
        <f>IF(AND(B2487=Queue!$C$4,OR(Queue!$K$4="*",N2487=Queue!$K$4)),Q2487,"")</f>
        <v/>
      </c>
    </row>
    <row r="2488">
      <c r="A2488" s="35">
        <f>IF(M2488="","",HYPERLINK("https://www.youtube.com/watch?v="&amp;M2488,"▶"))</f>
        <v/>
      </c>
      <c r="B2488" s="36">
        <f>IF(C2488&lt;&gt;"",C2488,IF(P2488&lt;=IFERROR(INDEX(tblChannels[Watched Through],MATCH(N2488,tblChannels[Channel ID],0)),0),"Watched","Unwatched"))</f>
        <v/>
      </c>
      <c r="C2488" s="37" t="n"/>
      <c r="D2488" s="38" t="n"/>
      <c r="E2488" s="39" t="n">
        <v>42835.67430555556</v>
      </c>
      <c r="F2488" s="49" t="inlineStr">
        <is>
          <t>Super Carlin Gaming</t>
        </is>
      </c>
      <c r="G2488" t="inlineStr">
        <is>
          <t>Pokemon Emerald Nuzlocke #28: Mayonnaise Surprise!</t>
        </is>
      </c>
      <c r="H2488" s="41" t="n">
        <v>0.01543981481481481</v>
      </c>
      <c r="I2488" s="42" t="n">
        <v>20759</v>
      </c>
      <c r="J2488" s="42" t="n">
        <v>545</v>
      </c>
      <c r="K2488" s="42" t="n">
        <v>225</v>
      </c>
      <c r="L2488" s="43" t="n"/>
      <c r="M2488" s="44" t="n"/>
      <c r="N2488" s="44" t="inlineStr">
        <is>
          <t>UCor_9jRnNNZVzTuQ92PKsaQ</t>
        </is>
      </c>
      <c r="O2488" s="45" t="n">
        <v>42835.84097222222</v>
      </c>
      <c r="P2488" s="46" t="n">
        <v>42835</v>
      </c>
      <c r="Q2488" s="44" t="n">
        <v>784</v>
      </c>
      <c r="R2488" s="44" t="inlineStr">
        <is>
          <t>No Video ID yet</t>
        </is>
      </c>
      <c r="S2488" s="46" t="n"/>
      <c r="T2488" s="46" t="n"/>
      <c r="U2488" s="44" t="n"/>
      <c r="V2488" s="44">
        <f>IF(AND(P2488&gt;=Calendar!$K$2,P2488&lt;EDATE(Calendar!$K$2,1),OR(Calendar!$K$4="*",N2488=Calendar!$K$4)),P2488*100+COUNTIFS($P$6:$P$3271,P2488,$Q$6:$Q$3271,"&lt;="&amp;Q2488,$N$6:$N$3271,Calendar!$K$4),"")</f>
        <v/>
      </c>
      <c r="W2488" s="44">
        <f>IF(AND(B2488=Queue!$C$4,OR(Queue!$K$4="*",N2488=Queue!$K$4)),Q2488,"")</f>
        <v/>
      </c>
    </row>
    <row r="2489">
      <c r="A2489" s="35">
        <f>IF(M2489="","",HYPERLINK("https://www.youtube.com/watch?v="&amp;M2489,"▶"))</f>
        <v/>
      </c>
      <c r="B2489" s="36">
        <f>IF(C2489&lt;&gt;"",C2489,IF(P2489&lt;=IFERROR(INDEX(tblChannels[Watched Through],MATCH(N2489,tblChannels[Channel ID],0)),0),"Watched","Unwatched"))</f>
        <v/>
      </c>
      <c r="C2489" s="37" t="n"/>
      <c r="D2489" s="38" t="n"/>
      <c r="E2489" s="39" t="n">
        <v>42832.72916666666</v>
      </c>
      <c r="F2489" s="49" t="inlineStr">
        <is>
          <t>Super Carlin Gaming</t>
        </is>
      </c>
      <c r="G2489" t="inlineStr">
        <is>
          <t>Pokemon Emerald Nuzlocke #27: Regice Is Hard To Find!</t>
        </is>
      </c>
      <c r="H2489" s="41" t="n">
        <v>0.0162037037037037</v>
      </c>
      <c r="I2489" s="42" t="n">
        <v>20741</v>
      </c>
      <c r="J2489" s="42" t="n">
        <v>582</v>
      </c>
      <c r="K2489" s="42" t="n">
        <v>224</v>
      </c>
      <c r="L2489" s="43" t="n"/>
      <c r="M2489" s="44" t="n"/>
      <c r="N2489" s="44" t="inlineStr">
        <is>
          <t>UCor_9jRnNNZVzTuQ92PKsaQ</t>
        </is>
      </c>
      <c r="O2489" s="45" t="n">
        <v>42832.89583333334</v>
      </c>
      <c r="P2489" s="46" t="n">
        <v>42832</v>
      </c>
      <c r="Q2489" s="44" t="n">
        <v>783</v>
      </c>
      <c r="R2489" s="44" t="inlineStr">
        <is>
          <t>No Video ID yet</t>
        </is>
      </c>
      <c r="S2489" s="46" t="n"/>
      <c r="T2489" s="46" t="n"/>
      <c r="U2489" s="44" t="n"/>
      <c r="V2489" s="44">
        <f>IF(AND(P2489&gt;=Calendar!$K$2,P2489&lt;EDATE(Calendar!$K$2,1),OR(Calendar!$K$4="*",N2489=Calendar!$K$4)),P2489*100+COUNTIFS($P$6:$P$3271,P2489,$Q$6:$Q$3271,"&lt;="&amp;Q2489,$N$6:$N$3271,Calendar!$K$4),"")</f>
        <v/>
      </c>
      <c r="W2489" s="44">
        <f>IF(AND(B2489=Queue!$C$4,OR(Queue!$K$4="*",N2489=Queue!$K$4)),Q2489,"")</f>
        <v/>
      </c>
    </row>
    <row r="2490">
      <c r="A2490" s="35">
        <f>IF(M2490="","",HYPERLINK("https://www.youtube.com/watch?v="&amp;M2490,"▶"))</f>
        <v/>
      </c>
      <c r="B2490" s="36">
        <f>IF(C2490&lt;&gt;"",C2490,IF(P2490&lt;=IFERROR(INDEX(tblChannels[Watched Through],MATCH(N2490,tblChannels[Channel ID],0)),0),"Watched","Unwatched"))</f>
        <v/>
      </c>
      <c r="C2490" s="37" t="n"/>
      <c r="D2490" s="38" t="n"/>
      <c r="E2490" s="39" t="n">
        <v>42831.72708333333</v>
      </c>
      <c r="F2490" s="47" t="inlineStr">
        <is>
          <t>Super Carlin Brothers</t>
        </is>
      </c>
      <c r="G2490" t="inlineStr">
        <is>
          <t>Who Was Harry's Best Defense Against The Dark Arts Professor?</t>
        </is>
      </c>
      <c r="H2490" s="41" t="n">
        <v>0.0065625</v>
      </c>
      <c r="I2490" s="42" t="n">
        <v>4241857</v>
      </c>
      <c r="J2490" s="42" t="n">
        <v>77597</v>
      </c>
      <c r="K2490" s="42" t="n">
        <v>15693</v>
      </c>
      <c r="L2490" s="43" t="n"/>
      <c r="M2490" s="44" t="n"/>
      <c r="N2490" s="44" t="inlineStr">
        <is>
          <t>UCKZo4N0lVPccBkSiuyVh4yg</t>
        </is>
      </c>
      <c r="O2490" s="45" t="n">
        <v>42831.89375</v>
      </c>
      <c r="P2490" s="46" t="n">
        <v>42831</v>
      </c>
      <c r="Q2490" s="44" t="n">
        <v>782</v>
      </c>
      <c r="R2490" s="44" t="inlineStr">
        <is>
          <t>No Video ID yet</t>
        </is>
      </c>
      <c r="S2490" s="46" t="n"/>
      <c r="T2490" s="46" t="n"/>
      <c r="U2490" s="44" t="n"/>
      <c r="V2490" s="44">
        <f>IF(AND(P2490&gt;=Calendar!$K$2,P2490&lt;EDATE(Calendar!$K$2,1),OR(Calendar!$K$4="*",N2490=Calendar!$K$4)),P2490*100+COUNTIFS($P$6:$P$3271,P2490,$Q$6:$Q$3271,"&lt;="&amp;Q2490,$N$6:$N$3271,Calendar!$K$4),"")</f>
        <v/>
      </c>
      <c r="W2490" s="44">
        <f>IF(AND(B2490=Queue!$C$4,OR(Queue!$K$4="*",N2490=Queue!$K$4)),Q2490,"")</f>
        <v/>
      </c>
    </row>
    <row r="2491">
      <c r="A2491" s="35">
        <f>IF(M2491="","",HYPERLINK("https://www.youtube.com/watch?v="&amp;M2491,"▶"))</f>
        <v/>
      </c>
      <c r="B2491" s="36">
        <f>IF(C2491&lt;&gt;"",C2491,IF(P2491&lt;=IFERROR(INDEX(tblChannels[Watched Through],MATCH(N2491,tblChannels[Channel ID],0)),0),"Watched","Unwatched"))</f>
        <v/>
      </c>
      <c r="C2491" s="37" t="n"/>
      <c r="D2491" s="38" t="n"/>
      <c r="E2491" s="39" t="n">
        <v>42830.62916666667</v>
      </c>
      <c r="F2491" s="49" t="inlineStr">
        <is>
          <t>Super Carlin Gaming</t>
        </is>
      </c>
      <c r="G2491" t="inlineStr">
        <is>
          <t>Pokemon Emerald Nuzlocke #26: FLO vs JUAN!</t>
        </is>
      </c>
      <c r="H2491" s="41" t="n">
        <v>0.0141087962962963</v>
      </c>
      <c r="I2491" s="42" t="n">
        <v>19926</v>
      </c>
      <c r="J2491" s="42" t="n">
        <v>597</v>
      </c>
      <c r="K2491" s="42" t="n">
        <v>141</v>
      </c>
      <c r="L2491" s="43" t="n"/>
      <c r="M2491" s="44" t="n"/>
      <c r="N2491" s="44" t="inlineStr">
        <is>
          <t>UCor_9jRnNNZVzTuQ92PKsaQ</t>
        </is>
      </c>
      <c r="O2491" s="45" t="n">
        <v>42830.79583333333</v>
      </c>
      <c r="P2491" s="46" t="n">
        <v>42830</v>
      </c>
      <c r="Q2491" s="44" t="n">
        <v>781</v>
      </c>
      <c r="R2491" s="44" t="inlineStr">
        <is>
          <t>No Video ID yet</t>
        </is>
      </c>
      <c r="S2491" s="46" t="n"/>
      <c r="T2491" s="46" t="n"/>
      <c r="U2491" s="44" t="n"/>
      <c r="V2491" s="44">
        <f>IF(AND(P2491&gt;=Calendar!$K$2,P2491&lt;EDATE(Calendar!$K$2,1),OR(Calendar!$K$4="*",N2491=Calendar!$K$4)),P2491*100+COUNTIFS($P$6:$P$3271,P2491,$Q$6:$Q$3271,"&lt;="&amp;Q2491,$N$6:$N$3271,Calendar!$K$4),"")</f>
        <v/>
      </c>
      <c r="W2491" s="44">
        <f>IF(AND(B2491=Queue!$C$4,OR(Queue!$K$4="*",N2491=Queue!$K$4)),Q2491,"")</f>
        <v/>
      </c>
    </row>
    <row r="2492">
      <c r="A2492" s="35">
        <f>IF(M2492="","",HYPERLINK("https://www.youtube.com/watch?v="&amp;M2492,"▶"))</f>
        <v/>
      </c>
      <c r="B2492" s="36">
        <f>IF(C2492&lt;&gt;"",C2492,IF(P2492&lt;=IFERROR(INDEX(tblChannels[Watched Through],MATCH(N2492,tblChannels[Channel ID],0)),0),"Watched","Unwatched"))</f>
        <v/>
      </c>
      <c r="C2492" s="37" t="n"/>
      <c r="D2492" s="38" t="n"/>
      <c r="E2492" s="39" t="n">
        <v>42829.73194444444</v>
      </c>
      <c r="F2492" s="47" t="inlineStr">
        <is>
          <t>Super Carlin Brothers</t>
        </is>
      </c>
      <c r="G2492" t="inlineStr">
        <is>
          <t>Why Star Wars Is Actually So Popular</t>
        </is>
      </c>
      <c r="H2492" s="41" t="n">
        <v>0.005752314814814815</v>
      </c>
      <c r="I2492" s="42" t="n">
        <v>287957</v>
      </c>
      <c r="J2492" s="42" t="n">
        <v>10963</v>
      </c>
      <c r="K2492" s="42" t="n">
        <v>1271</v>
      </c>
      <c r="L2492" s="43" t="n"/>
      <c r="M2492" s="44" t="n"/>
      <c r="N2492" s="44" t="inlineStr">
        <is>
          <t>UCKZo4N0lVPccBkSiuyVh4yg</t>
        </is>
      </c>
      <c r="O2492" s="45" t="n">
        <v>42829.89861111111</v>
      </c>
      <c r="P2492" s="46" t="n">
        <v>42829</v>
      </c>
      <c r="Q2492" s="44" t="n">
        <v>780</v>
      </c>
      <c r="R2492" s="44" t="inlineStr">
        <is>
          <t>No Video ID yet</t>
        </is>
      </c>
      <c r="S2492" s="46" t="n"/>
      <c r="T2492" s="46" t="n"/>
      <c r="U2492" s="44" t="n"/>
      <c r="V2492" s="44">
        <f>IF(AND(P2492&gt;=Calendar!$K$2,P2492&lt;EDATE(Calendar!$K$2,1),OR(Calendar!$K$4="*",N2492=Calendar!$K$4)),P2492*100+COUNTIFS($P$6:$P$3271,P2492,$Q$6:$Q$3271,"&lt;="&amp;Q2492,$N$6:$N$3271,Calendar!$K$4),"")</f>
        <v/>
      </c>
      <c r="W2492" s="44">
        <f>IF(AND(B2492=Queue!$C$4,OR(Queue!$K$4="*",N2492=Queue!$K$4)),Q2492,"")</f>
        <v/>
      </c>
    </row>
    <row r="2493">
      <c r="A2493" s="35">
        <f>IF(M2493="","",HYPERLINK("https://www.youtube.com/watch?v="&amp;M2493,"▶"))</f>
        <v/>
      </c>
      <c r="B2493" s="36">
        <f>IF(C2493&lt;&gt;"",C2493,IF(P2493&lt;=IFERROR(INDEX(tblChannels[Watched Through],MATCH(N2493,tblChannels[Channel ID],0)),0),"Watched","Unwatched"))</f>
        <v/>
      </c>
      <c r="C2493" s="37" t="n"/>
      <c r="D2493" s="38" t="n"/>
      <c r="E2493" s="39" t="n">
        <v>42828.65277777778</v>
      </c>
      <c r="F2493" s="49" t="inlineStr">
        <is>
          <t>Super Carlin Gaming</t>
        </is>
      </c>
      <c r="G2493" t="inlineStr">
        <is>
          <t>Pokemon Emerald Nuzlocke #25: Rayquaza Awakens!</t>
        </is>
      </c>
      <c r="H2493" s="41" t="n">
        <v>0.01868055555555555</v>
      </c>
      <c r="I2493" s="42" t="n">
        <v>21717</v>
      </c>
      <c r="J2493" s="42" t="n">
        <v>550</v>
      </c>
      <c r="K2493" s="42" t="n">
        <v>178</v>
      </c>
      <c r="L2493" s="43" t="n"/>
      <c r="M2493" s="44" t="n"/>
      <c r="N2493" s="44" t="inlineStr">
        <is>
          <t>UCor_9jRnNNZVzTuQ92PKsaQ</t>
        </is>
      </c>
      <c r="O2493" s="45" t="n">
        <v>42828.81944444445</v>
      </c>
      <c r="P2493" s="46" t="n">
        <v>42828</v>
      </c>
      <c r="Q2493" s="44" t="n">
        <v>779</v>
      </c>
      <c r="R2493" s="44" t="inlineStr">
        <is>
          <t>No Video ID yet</t>
        </is>
      </c>
      <c r="S2493" s="46" t="n"/>
      <c r="T2493" s="46" t="n"/>
      <c r="U2493" s="44" t="n"/>
      <c r="V2493" s="44">
        <f>IF(AND(P2493&gt;=Calendar!$K$2,P2493&lt;EDATE(Calendar!$K$2,1),OR(Calendar!$K$4="*",N2493=Calendar!$K$4)),P2493*100+COUNTIFS($P$6:$P$3271,P2493,$Q$6:$Q$3271,"&lt;="&amp;Q2493,$N$6:$N$3271,Calendar!$K$4),"")</f>
        <v/>
      </c>
      <c r="W2493" s="44">
        <f>IF(AND(B2493=Queue!$C$4,OR(Queue!$K$4="*",N2493=Queue!$K$4)),Q2493,"")</f>
        <v/>
      </c>
    </row>
    <row r="2494">
      <c r="A2494" s="35">
        <f>IF(M2494="","",HYPERLINK("https://www.youtube.com/watch?v="&amp;M2494,"▶"))</f>
        <v/>
      </c>
      <c r="B2494" s="36">
        <f>IF(C2494&lt;&gt;"",C2494,IF(P2494&lt;=IFERROR(INDEX(tblChannels[Watched Through],MATCH(N2494,tblChannels[Channel ID],0)),0),"Watched","Unwatched"))</f>
        <v/>
      </c>
      <c r="C2494" s="37" t="n"/>
      <c r="D2494" s="38" t="n"/>
      <c r="E2494" s="39" t="n">
        <v>42825.66527777778</v>
      </c>
      <c r="F2494" s="49" t="inlineStr">
        <is>
          <t>Super Carlin Gaming</t>
        </is>
      </c>
      <c r="G2494" t="inlineStr">
        <is>
          <t>Pokemon Emerald Nuzlocke #24: Showdown w/Maxie and Archie!</t>
        </is>
      </c>
      <c r="H2494" s="41" t="n">
        <v>0.02454861111111111</v>
      </c>
      <c r="I2494" s="42" t="n">
        <v>23685</v>
      </c>
      <c r="J2494" s="42" t="n">
        <v>557</v>
      </c>
      <c r="K2494" s="42" t="n">
        <v>145</v>
      </c>
      <c r="L2494" s="43" t="n"/>
      <c r="M2494" s="44" t="n"/>
      <c r="N2494" s="44" t="inlineStr">
        <is>
          <t>UCor_9jRnNNZVzTuQ92PKsaQ</t>
        </is>
      </c>
      <c r="O2494" s="45" t="n">
        <v>42825.83194444444</v>
      </c>
      <c r="P2494" s="46" t="n">
        <v>42825</v>
      </c>
      <c r="Q2494" s="44" t="n">
        <v>778</v>
      </c>
      <c r="R2494" s="44" t="inlineStr">
        <is>
          <t>No Video ID yet</t>
        </is>
      </c>
      <c r="S2494" s="46" t="n"/>
      <c r="T2494" s="46" t="n"/>
      <c r="U2494" s="44" t="n"/>
      <c r="V2494" s="44">
        <f>IF(AND(P2494&gt;=Calendar!$K$2,P2494&lt;EDATE(Calendar!$K$2,1),OR(Calendar!$K$4="*",N2494=Calendar!$K$4)),P2494*100+COUNTIFS($P$6:$P$3271,P2494,$Q$6:$Q$3271,"&lt;="&amp;Q2494,$N$6:$N$3271,Calendar!$K$4),"")</f>
        <v/>
      </c>
      <c r="W2494" s="44">
        <f>IF(AND(B2494=Queue!$C$4,OR(Queue!$K$4="*",N2494=Queue!$K$4)),Q2494,"")</f>
        <v/>
      </c>
    </row>
    <row r="2495">
      <c r="A2495" s="35">
        <f>IF(M2495="","",HYPERLINK("https://www.youtube.com/watch?v="&amp;M2495,"▶"))</f>
        <v/>
      </c>
      <c r="B2495" s="36">
        <f>IF(C2495&lt;&gt;"",C2495,IF(P2495&lt;=IFERROR(INDEX(tblChannels[Watched Through],MATCH(N2495,tblChannels[Channel ID],0)),0),"Watched","Unwatched"))</f>
        <v/>
      </c>
      <c r="C2495" s="37" t="n"/>
      <c r="D2495" s="38" t="n"/>
      <c r="E2495" s="39" t="n">
        <v>42824.78888888889</v>
      </c>
      <c r="F2495" s="47" t="inlineStr">
        <is>
          <t>Super Carlin Brothers</t>
        </is>
      </c>
      <c r="G2495" t="inlineStr">
        <is>
          <t>Moana Theory: Why The Ocean Chose Moana</t>
        </is>
      </c>
      <c r="H2495" s="41" t="n">
        <v>0.006527777777777778</v>
      </c>
      <c r="I2495" s="42" t="n">
        <v>2461811</v>
      </c>
      <c r="J2495" s="42" t="n">
        <v>47882</v>
      </c>
      <c r="K2495" s="42" t="n">
        <v>5078</v>
      </c>
      <c r="L2495" s="43" t="n"/>
      <c r="M2495" s="44" t="n"/>
      <c r="N2495" s="44" t="inlineStr">
        <is>
          <t>UCKZo4N0lVPccBkSiuyVh4yg</t>
        </is>
      </c>
      <c r="O2495" s="45" t="n">
        <v>42824.95555555556</v>
      </c>
      <c r="P2495" s="46" t="n">
        <v>42824</v>
      </c>
      <c r="Q2495" s="44" t="n">
        <v>777</v>
      </c>
      <c r="R2495" s="44" t="inlineStr">
        <is>
          <t>No Video ID yet</t>
        </is>
      </c>
      <c r="S2495" s="46" t="n"/>
      <c r="T2495" s="46" t="n"/>
      <c r="U2495" s="44" t="n"/>
      <c r="V2495" s="44">
        <f>IF(AND(P2495&gt;=Calendar!$K$2,P2495&lt;EDATE(Calendar!$K$2,1),OR(Calendar!$K$4="*",N2495=Calendar!$K$4)),P2495*100+COUNTIFS($P$6:$P$3271,P2495,$Q$6:$Q$3271,"&lt;="&amp;Q2495,$N$6:$N$3271,Calendar!$K$4),"")</f>
        <v/>
      </c>
      <c r="W2495" s="44">
        <f>IF(AND(B2495=Queue!$C$4,OR(Queue!$K$4="*",N2495=Queue!$K$4)),Q2495,"")</f>
        <v/>
      </c>
    </row>
    <row r="2496">
      <c r="A2496" s="35">
        <f>IF(M2496="","",HYPERLINK("https://www.youtube.com/watch?v="&amp;M2496,"▶"))</f>
        <v/>
      </c>
      <c r="B2496" s="36">
        <f>IF(C2496&lt;&gt;"",C2496,IF(P2496&lt;=IFERROR(INDEX(tblChannels[Watched Through],MATCH(N2496,tblChannels[Channel ID],0)),0),"Watched","Unwatched"))</f>
        <v/>
      </c>
      <c r="C2496" s="37" t="n"/>
      <c r="D2496" s="38" t="n"/>
      <c r="E2496" s="39" t="n">
        <v>42823.62569444445</v>
      </c>
      <c r="F2496" s="49" t="inlineStr">
        <is>
          <t>Super Carlin Gaming</t>
        </is>
      </c>
      <c r="G2496" t="inlineStr">
        <is>
          <t>Pokemon Emerald Nuzlocke #23: Liza, Tate &amp; Kybou</t>
        </is>
      </c>
      <c r="H2496" s="41" t="n">
        <v>0.01579861111111111</v>
      </c>
      <c r="I2496" s="42" t="n">
        <v>21998</v>
      </c>
      <c r="J2496" s="42" t="n">
        <v>621</v>
      </c>
      <c r="K2496" s="42" t="n">
        <v>149</v>
      </c>
      <c r="L2496" s="43" t="n"/>
      <c r="M2496" s="44" t="n"/>
      <c r="N2496" s="44" t="inlineStr">
        <is>
          <t>UCor_9jRnNNZVzTuQ92PKsaQ</t>
        </is>
      </c>
      <c r="O2496" s="45" t="n">
        <v>42823.79236111111</v>
      </c>
      <c r="P2496" s="46" t="n">
        <v>42823</v>
      </c>
      <c r="Q2496" s="44" t="n">
        <v>776</v>
      </c>
      <c r="R2496" s="44" t="inlineStr">
        <is>
          <t>No Video ID yet</t>
        </is>
      </c>
      <c r="S2496" s="46" t="n"/>
      <c r="T2496" s="46" t="n"/>
      <c r="U2496" s="44" t="n"/>
      <c r="V2496" s="44">
        <f>IF(AND(P2496&gt;=Calendar!$K$2,P2496&lt;EDATE(Calendar!$K$2,1),OR(Calendar!$K$4="*",N2496=Calendar!$K$4)),P2496*100+COUNTIFS($P$6:$P$3271,P2496,$Q$6:$Q$3271,"&lt;="&amp;Q2496,$N$6:$N$3271,Calendar!$K$4),"")</f>
        <v/>
      </c>
      <c r="W2496" s="44">
        <f>IF(AND(B2496=Queue!$C$4,OR(Queue!$K$4="*",N2496=Queue!$K$4)),Q2496,"")</f>
        <v/>
      </c>
    </row>
    <row r="2497">
      <c r="A2497" s="35">
        <f>IF(M2497="","",HYPERLINK("https://www.youtube.com/watch?v="&amp;M2497,"▶"))</f>
        <v/>
      </c>
      <c r="B2497" s="36">
        <f>IF(C2497&lt;&gt;"",C2497,IF(P2497&lt;=IFERROR(INDEX(tblChannels[Watched Through],MATCH(N2497,tblChannels[Channel ID],0)),0),"Watched","Unwatched"))</f>
        <v/>
      </c>
      <c r="C2497" s="37" t="n"/>
      <c r="D2497" s="38" t="n"/>
      <c r="E2497" s="39" t="n">
        <v>42822.81458333333</v>
      </c>
      <c r="F2497" s="47" t="inlineStr">
        <is>
          <t>Super Carlin Brothers</t>
        </is>
      </c>
      <c r="G2497" t="inlineStr">
        <is>
          <t>Moana Theory: Tamatoa's True Identity</t>
        </is>
      </c>
      <c r="H2497" s="41" t="n">
        <v>0.006782407407407407</v>
      </c>
      <c r="I2497" s="42" t="n">
        <v>4297680</v>
      </c>
      <c r="J2497" s="42" t="n">
        <v>57635</v>
      </c>
      <c r="K2497" s="42" t="n">
        <v>10832</v>
      </c>
      <c r="L2497" s="43" t="n"/>
      <c r="M2497" s="44" t="n"/>
      <c r="N2497" s="44" t="inlineStr">
        <is>
          <t>UCKZo4N0lVPccBkSiuyVh4yg</t>
        </is>
      </c>
      <c r="O2497" s="45" t="n">
        <v>42822.98125</v>
      </c>
      <c r="P2497" s="46" t="n">
        <v>42822</v>
      </c>
      <c r="Q2497" s="44" t="n">
        <v>775</v>
      </c>
      <c r="R2497" s="44" t="inlineStr">
        <is>
          <t>No Video ID yet</t>
        </is>
      </c>
      <c r="S2497" s="46" t="n"/>
      <c r="T2497" s="46" t="n"/>
      <c r="U2497" s="44" t="n"/>
      <c r="V2497" s="44">
        <f>IF(AND(P2497&gt;=Calendar!$K$2,P2497&lt;EDATE(Calendar!$K$2,1),OR(Calendar!$K$4="*",N2497=Calendar!$K$4)),P2497*100+COUNTIFS($P$6:$P$3271,P2497,$Q$6:$Q$3271,"&lt;="&amp;Q2497,$N$6:$N$3271,Calendar!$K$4),"")</f>
        <v/>
      </c>
      <c r="W2497" s="44">
        <f>IF(AND(B2497=Queue!$C$4,OR(Queue!$K$4="*",N2497=Queue!$K$4)),Q2497,"")</f>
        <v/>
      </c>
    </row>
    <row r="2498">
      <c r="A2498" s="35">
        <f>IF(M2498="","",HYPERLINK("https://www.youtube.com/watch?v="&amp;M2498,"▶"))</f>
        <v/>
      </c>
      <c r="B2498" s="36">
        <f>IF(C2498&lt;&gt;"",C2498,IF(P2498&lt;=IFERROR(INDEX(tblChannels[Watched Through],MATCH(N2498,tblChannels[Channel ID],0)),0),"Watched","Unwatched"))</f>
        <v/>
      </c>
      <c r="C2498" s="37" t="n"/>
      <c r="D2498" s="38" t="n"/>
      <c r="E2498" s="39" t="n">
        <v>42821.68125</v>
      </c>
      <c r="F2498" s="49" t="inlineStr">
        <is>
          <t>Super Carlin Gaming</t>
        </is>
      </c>
      <c r="G2498" t="inlineStr">
        <is>
          <t>Pokemon Emerald Nuzlocke #22: The Team Aqua Hideout!</t>
        </is>
      </c>
      <c r="H2498" s="41" t="n">
        <v>0.0175</v>
      </c>
      <c r="I2498" s="42" t="n">
        <v>22069</v>
      </c>
      <c r="J2498" s="42" t="n">
        <v>578</v>
      </c>
      <c r="K2498" s="42" t="n">
        <v>198</v>
      </c>
      <c r="L2498" s="43" t="n"/>
      <c r="M2498" s="44" t="n"/>
      <c r="N2498" s="44" t="inlineStr">
        <is>
          <t>UCor_9jRnNNZVzTuQ92PKsaQ</t>
        </is>
      </c>
      <c r="O2498" s="45" t="n">
        <v>42821.84791666667</v>
      </c>
      <c r="P2498" s="46" t="n">
        <v>42821</v>
      </c>
      <c r="Q2498" s="44" t="n">
        <v>774</v>
      </c>
      <c r="R2498" s="44" t="inlineStr">
        <is>
          <t>No Video ID yet</t>
        </is>
      </c>
      <c r="S2498" s="46" t="n"/>
      <c r="T2498" s="46" t="n"/>
      <c r="U2498" s="44" t="n"/>
      <c r="V2498" s="44">
        <f>IF(AND(P2498&gt;=Calendar!$K$2,P2498&lt;EDATE(Calendar!$K$2,1),OR(Calendar!$K$4="*",N2498=Calendar!$K$4)),P2498*100+COUNTIFS($P$6:$P$3271,P2498,$Q$6:$Q$3271,"&lt;="&amp;Q2498,$N$6:$N$3271,Calendar!$K$4),"")</f>
        <v/>
      </c>
      <c r="W2498" s="44">
        <f>IF(AND(B2498=Queue!$C$4,OR(Queue!$K$4="*",N2498=Queue!$K$4)),Q2498,"")</f>
        <v/>
      </c>
    </row>
    <row r="2499">
      <c r="A2499" s="35">
        <f>IF(M2499="","",HYPERLINK("https://www.youtube.com/watch?v="&amp;M2499,"▶"))</f>
        <v/>
      </c>
      <c r="B2499" s="36">
        <f>IF(C2499&lt;&gt;"",C2499,IF(P2499&lt;=IFERROR(INDEX(tblChannels[Watched Through],MATCH(N2499,tblChannels[Channel ID],0)),0),"Watched","Unwatched"))</f>
        <v/>
      </c>
      <c r="C2499" s="37" t="n"/>
      <c r="D2499" s="38" t="n"/>
      <c r="E2499" s="39" t="n">
        <v>42818.70625</v>
      </c>
      <c r="F2499" s="49" t="inlineStr">
        <is>
          <t>Super Carlin Gaming</t>
        </is>
      </c>
      <c r="G2499" t="inlineStr">
        <is>
          <t>Pokemon Emerald Nuzlocke #21: Rematch with Maxie</t>
        </is>
      </c>
      <c r="H2499" s="41" t="n">
        <v>0.02418981481481481</v>
      </c>
      <c r="I2499" s="42" t="n">
        <v>24981</v>
      </c>
      <c r="J2499" s="42" t="n">
        <v>628</v>
      </c>
      <c r="K2499" s="42" t="n">
        <v>172</v>
      </c>
      <c r="L2499" s="43" t="n"/>
      <c r="M2499" s="44" t="n"/>
      <c r="N2499" s="44" t="inlineStr">
        <is>
          <t>UCor_9jRnNNZVzTuQ92PKsaQ</t>
        </is>
      </c>
      <c r="O2499" s="45" t="n">
        <v>42818.87291666667</v>
      </c>
      <c r="P2499" s="46" t="n">
        <v>42818</v>
      </c>
      <c r="Q2499" s="44" t="n">
        <v>773</v>
      </c>
      <c r="R2499" s="44" t="inlineStr">
        <is>
          <t>No Video ID yet</t>
        </is>
      </c>
      <c r="S2499" s="46" t="n"/>
      <c r="T2499" s="46" t="n"/>
      <c r="U2499" s="44" t="n"/>
      <c r="V2499" s="44">
        <f>IF(AND(P2499&gt;=Calendar!$K$2,P2499&lt;EDATE(Calendar!$K$2,1),OR(Calendar!$K$4="*",N2499=Calendar!$K$4)),P2499*100+COUNTIFS($P$6:$P$3271,P2499,$Q$6:$Q$3271,"&lt;="&amp;Q2499,$N$6:$N$3271,Calendar!$K$4),"")</f>
        <v/>
      </c>
      <c r="W2499" s="44">
        <f>IF(AND(B2499=Queue!$C$4,OR(Queue!$K$4="*",N2499=Queue!$K$4)),Q2499,"")</f>
        <v/>
      </c>
    </row>
    <row r="2500">
      <c r="A2500" s="35">
        <f>IF(M2500="","",HYPERLINK("https://www.youtube.com/watch?v="&amp;M2500,"▶"))</f>
        <v/>
      </c>
      <c r="B2500" s="36">
        <f>IF(C2500&lt;&gt;"",C2500,IF(P2500&lt;=IFERROR(INDEX(tblChannels[Watched Through],MATCH(N2500,tblChannels[Channel ID],0)),0),"Watched","Unwatched"))</f>
        <v/>
      </c>
      <c r="C2500" s="37" t="n"/>
      <c r="D2500" s="38" t="n"/>
      <c r="E2500" s="39" t="n">
        <v>42818.62638888889</v>
      </c>
      <c r="F2500" s="47" t="inlineStr">
        <is>
          <t>Super Carlin Brothers</t>
        </is>
      </c>
      <c r="G2500" t="inlineStr">
        <is>
          <t>Is Beauty And The Beast The Best Live Action Remake? | REVIEW</t>
        </is>
      </c>
      <c r="H2500" s="41" t="n">
        <v>0.0302662037037037</v>
      </c>
      <c r="I2500" s="42" t="n">
        <v>689793</v>
      </c>
      <c r="J2500" s="42" t="n">
        <v>15140</v>
      </c>
      <c r="K2500" s="42" t="n">
        <v>5896</v>
      </c>
      <c r="L2500" s="43" t="n"/>
      <c r="M2500" s="44" t="n"/>
      <c r="N2500" s="44" t="inlineStr">
        <is>
          <t>UCKZo4N0lVPccBkSiuyVh4yg</t>
        </is>
      </c>
      <c r="O2500" s="45" t="n">
        <v>42818.79305555556</v>
      </c>
      <c r="P2500" s="46" t="n">
        <v>42818</v>
      </c>
      <c r="Q2500" s="44" t="n">
        <v>772</v>
      </c>
      <c r="R2500" s="44" t="inlineStr">
        <is>
          <t>No Video ID yet</t>
        </is>
      </c>
      <c r="S2500" s="46" t="n"/>
      <c r="T2500" s="46" t="n"/>
      <c r="U2500" s="44" t="n"/>
      <c r="V2500" s="44">
        <f>IF(AND(P2500&gt;=Calendar!$K$2,P2500&lt;EDATE(Calendar!$K$2,1),OR(Calendar!$K$4="*",N2500=Calendar!$K$4)),P2500*100+COUNTIFS($P$6:$P$3271,P2500,$Q$6:$Q$3271,"&lt;="&amp;Q2500,$N$6:$N$3271,Calendar!$K$4),"")</f>
        <v/>
      </c>
      <c r="W2500" s="44">
        <f>IF(AND(B2500=Queue!$C$4,OR(Queue!$K$4="*",N2500=Queue!$K$4)),Q2500,"")</f>
        <v/>
      </c>
    </row>
    <row r="2501">
      <c r="A2501" s="35">
        <f>IF(M2501="","",HYPERLINK("https://www.youtube.com/watch?v="&amp;M2501,"▶"))</f>
        <v/>
      </c>
      <c r="B2501" s="36">
        <f>IF(C2501&lt;&gt;"",C2501,IF(P2501&lt;=IFERROR(INDEX(tblChannels[Watched Through],MATCH(N2501,tblChannels[Channel ID],0)),0),"Watched","Unwatched"))</f>
        <v/>
      </c>
      <c r="C2501" s="37" t="n"/>
      <c r="D2501" s="38" t="n"/>
      <c r="E2501" s="39" t="n">
        <v>42816.65486111111</v>
      </c>
      <c r="F2501" s="49" t="inlineStr">
        <is>
          <t>Super Carlin Gaming</t>
        </is>
      </c>
      <c r="G2501" t="inlineStr">
        <is>
          <t>Pokemon Emerald Nuzlocke #20: Wobbuffet is the WORST</t>
        </is>
      </c>
      <c r="H2501" s="41" t="n">
        <v>0.02420138888888889</v>
      </c>
      <c r="I2501" s="42" t="n">
        <v>28607</v>
      </c>
      <c r="J2501" s="42" t="n">
        <v>680</v>
      </c>
      <c r="K2501" s="42" t="n">
        <v>291</v>
      </c>
      <c r="L2501" s="43" t="n"/>
      <c r="M2501" s="44" t="n"/>
      <c r="N2501" s="44" t="inlineStr">
        <is>
          <t>UCor_9jRnNNZVzTuQ92PKsaQ</t>
        </is>
      </c>
      <c r="O2501" s="45" t="n">
        <v>42816.82152777778</v>
      </c>
      <c r="P2501" s="46" t="n">
        <v>42816</v>
      </c>
      <c r="Q2501" s="44" t="n">
        <v>771</v>
      </c>
      <c r="R2501" s="44" t="inlineStr">
        <is>
          <t>No Video ID yet</t>
        </is>
      </c>
      <c r="S2501" s="46" t="n"/>
      <c r="T2501" s="46" t="n"/>
      <c r="U2501" s="44" t="n"/>
      <c r="V2501" s="44">
        <f>IF(AND(P2501&gt;=Calendar!$K$2,P2501&lt;EDATE(Calendar!$K$2,1),OR(Calendar!$K$4="*",N2501=Calendar!$K$4)),P2501*100+COUNTIFS($P$6:$P$3271,P2501,$Q$6:$Q$3271,"&lt;="&amp;Q2501,$N$6:$N$3271,Calendar!$K$4),"")</f>
        <v/>
      </c>
      <c r="W2501" s="44">
        <f>IF(AND(B2501=Queue!$C$4,OR(Queue!$K$4="*",N2501=Queue!$K$4)),Q2501,"")</f>
        <v/>
      </c>
    </row>
    <row r="2502">
      <c r="A2502" s="35">
        <f>IF(M2502="","",HYPERLINK("https://www.youtube.com/watch?v="&amp;M2502,"▶"))</f>
        <v/>
      </c>
      <c r="B2502" s="36">
        <f>IF(C2502&lt;&gt;"",C2502,IF(P2502&lt;=IFERROR(INDEX(tblChannels[Watched Through],MATCH(N2502,tblChannels[Channel ID],0)),0),"Watched","Unwatched"))</f>
        <v/>
      </c>
      <c r="C2502" s="37" t="n"/>
      <c r="D2502" s="38" t="n"/>
      <c r="E2502" s="39" t="n">
        <v>42815.76597222222</v>
      </c>
      <c r="F2502" s="47" t="inlineStr">
        <is>
          <t>Super Carlin Brothers</t>
        </is>
      </c>
      <c r="G2502" t="inlineStr">
        <is>
          <t>The Truth About Kakamora</t>
        </is>
      </c>
      <c r="H2502" s="41" t="n">
        <v>0.00537037037037037</v>
      </c>
      <c r="I2502" s="42" t="n">
        <v>1861413</v>
      </c>
      <c r="J2502" s="42" t="n">
        <v>31415</v>
      </c>
      <c r="K2502" s="42" t="n">
        <v>3484</v>
      </c>
      <c r="L2502" s="43" t="n"/>
      <c r="M2502" s="44" t="n"/>
      <c r="N2502" s="44" t="inlineStr">
        <is>
          <t>UCKZo4N0lVPccBkSiuyVh4yg</t>
        </is>
      </c>
      <c r="O2502" s="45" t="n">
        <v>42815.93263888889</v>
      </c>
      <c r="P2502" s="46" t="n">
        <v>42815</v>
      </c>
      <c r="Q2502" s="44" t="n">
        <v>770</v>
      </c>
      <c r="R2502" s="44" t="inlineStr">
        <is>
          <t>No Video ID yet</t>
        </is>
      </c>
      <c r="S2502" s="46" t="n"/>
      <c r="T2502" s="46" t="n"/>
      <c r="U2502" s="44" t="n"/>
      <c r="V2502" s="44">
        <f>IF(AND(P2502&gt;=Calendar!$K$2,P2502&lt;EDATE(Calendar!$K$2,1),OR(Calendar!$K$4="*",N2502=Calendar!$K$4)),P2502*100+COUNTIFS($P$6:$P$3271,P2502,$Q$6:$Q$3271,"&lt;="&amp;Q2502,$N$6:$N$3271,Calendar!$K$4),"")</f>
        <v/>
      </c>
      <c r="W2502" s="44">
        <f>IF(AND(B2502=Queue!$C$4,OR(Queue!$K$4="*",N2502=Queue!$K$4)),Q2502,"")</f>
        <v/>
      </c>
    </row>
    <row r="2503">
      <c r="A2503" s="35">
        <f>IF(M2503="","",HYPERLINK("https://www.youtube.com/watch?v="&amp;M2503,"▶"))</f>
        <v/>
      </c>
      <c r="B2503" s="36">
        <f>IF(C2503&lt;&gt;"",C2503,IF(P2503&lt;=IFERROR(INDEX(tblChannels[Watched Through],MATCH(N2503,tblChannels[Channel ID],0)),0),"Watched","Unwatched"))</f>
        <v/>
      </c>
      <c r="C2503" s="37" t="n"/>
      <c r="D2503" s="38" t="n"/>
      <c r="E2503" s="39" t="n">
        <v>42814.71805555555</v>
      </c>
      <c r="F2503" s="49" t="inlineStr">
        <is>
          <t>Super Carlin Gaming</t>
        </is>
      </c>
      <c r="G2503" t="inlineStr">
        <is>
          <t>Pokemon Emerald Nuzlocke #19: Double Dragon</t>
        </is>
      </c>
      <c r="H2503" s="41" t="n">
        <v>0.02778935185185185</v>
      </c>
      <c r="I2503" s="42" t="n">
        <v>28202</v>
      </c>
      <c r="J2503" s="42" t="n">
        <v>648</v>
      </c>
      <c r="K2503" s="42" t="n">
        <v>287</v>
      </c>
      <c r="L2503" s="43" t="n"/>
      <c r="M2503" s="44" t="n"/>
      <c r="N2503" s="44" t="inlineStr">
        <is>
          <t>UCor_9jRnNNZVzTuQ92PKsaQ</t>
        </is>
      </c>
      <c r="O2503" s="45" t="n">
        <v>42814.88472222222</v>
      </c>
      <c r="P2503" s="46" t="n">
        <v>42814</v>
      </c>
      <c r="Q2503" s="44" t="n">
        <v>769</v>
      </c>
      <c r="R2503" s="44" t="inlineStr">
        <is>
          <t>No Video ID yet</t>
        </is>
      </c>
      <c r="S2503" s="46" t="n"/>
      <c r="T2503" s="46" t="n"/>
      <c r="U2503" s="44" t="n"/>
      <c r="V2503" s="44">
        <f>IF(AND(P2503&gt;=Calendar!$K$2,P2503&lt;EDATE(Calendar!$K$2,1),OR(Calendar!$K$4="*",N2503=Calendar!$K$4)),P2503*100+COUNTIFS($P$6:$P$3271,P2503,$Q$6:$Q$3271,"&lt;="&amp;Q2503,$N$6:$N$3271,Calendar!$K$4),"")</f>
        <v/>
      </c>
      <c r="W2503" s="44">
        <f>IF(AND(B2503=Queue!$C$4,OR(Queue!$K$4="*",N2503=Queue!$K$4)),Q2503,"")</f>
        <v/>
      </c>
    </row>
    <row r="2504">
      <c r="A2504" s="35">
        <f>IF(M2504="","",HYPERLINK("https://www.youtube.com/watch?v="&amp;M2504,"▶"))</f>
        <v/>
      </c>
      <c r="B2504" s="36">
        <f>IF(C2504&lt;&gt;"",C2504,IF(P2504&lt;=IFERROR(INDEX(tblChannels[Watched Through],MATCH(N2504,tblChannels[Channel ID],0)),0),"Watched","Unwatched"))</f>
        <v/>
      </c>
      <c r="C2504" s="37" t="n"/>
      <c r="D2504" s="38" t="n"/>
      <c r="E2504" s="39" t="n">
        <v>42811.6625</v>
      </c>
      <c r="F2504" s="49" t="inlineStr">
        <is>
          <t>Super Carlin Gaming</t>
        </is>
      </c>
      <c r="G2504" t="inlineStr">
        <is>
          <t>Pokemon Emerald Nuzlocke #18: EARTHQUAKE</t>
        </is>
      </c>
      <c r="H2504" s="41" t="n">
        <v>0.01625</v>
      </c>
      <c r="I2504" s="42" t="n">
        <v>24331</v>
      </c>
      <c r="J2504" s="42" t="n">
        <v>594</v>
      </c>
      <c r="K2504" s="42" t="n">
        <v>422</v>
      </c>
      <c r="L2504" s="43" t="n"/>
      <c r="M2504" s="44" t="n"/>
      <c r="N2504" s="44" t="inlineStr">
        <is>
          <t>UCor_9jRnNNZVzTuQ92PKsaQ</t>
        </is>
      </c>
      <c r="O2504" s="45" t="n">
        <v>42811.82916666667</v>
      </c>
      <c r="P2504" s="46" t="n">
        <v>42811</v>
      </c>
      <c r="Q2504" s="44" t="n">
        <v>768</v>
      </c>
      <c r="R2504" s="44" t="inlineStr">
        <is>
          <t>No Video ID yet</t>
        </is>
      </c>
      <c r="S2504" s="46" t="n"/>
      <c r="T2504" s="46" t="n"/>
      <c r="U2504" s="44" t="n"/>
      <c r="V2504" s="44">
        <f>IF(AND(P2504&gt;=Calendar!$K$2,P2504&lt;EDATE(Calendar!$K$2,1),OR(Calendar!$K$4="*",N2504=Calendar!$K$4)),P2504*100+COUNTIFS($P$6:$P$3271,P2504,$Q$6:$Q$3271,"&lt;="&amp;Q2504,$N$6:$N$3271,Calendar!$K$4),"")</f>
        <v/>
      </c>
      <c r="W2504" s="44">
        <f>IF(AND(B2504=Queue!$C$4,OR(Queue!$K$4="*",N2504=Queue!$K$4)),Q2504,"")</f>
        <v/>
      </c>
    </row>
    <row r="2505">
      <c r="A2505" s="35">
        <f>IF(M2505="","",HYPERLINK("https://www.youtube.com/watch?v="&amp;M2505,"▶"))</f>
        <v/>
      </c>
      <c r="B2505" s="36">
        <f>IF(C2505&lt;&gt;"",C2505,IF(P2505&lt;=IFERROR(INDEX(tblChannels[Watched Through],MATCH(N2505,tblChannels[Channel ID],0)),0),"Watched","Unwatched"))</f>
        <v/>
      </c>
      <c r="C2505" s="37" t="n"/>
      <c r="D2505" s="38" t="n"/>
      <c r="E2505" s="39" t="n">
        <v>42810.81388888889</v>
      </c>
      <c r="F2505" s="47" t="inlineStr">
        <is>
          <t>Super Carlin Brothers</t>
        </is>
      </c>
      <c r="G2505" t="inlineStr">
        <is>
          <t>Why Coco Is Going To Be Amazing</t>
        </is>
      </c>
      <c r="H2505" s="41" t="n">
        <v>0.006180555555555555</v>
      </c>
      <c r="I2505" s="42" t="n">
        <v>573100</v>
      </c>
      <c r="J2505" s="42" t="n">
        <v>17110</v>
      </c>
      <c r="K2505" s="42" t="n">
        <v>3951</v>
      </c>
      <c r="L2505" s="43" t="n"/>
      <c r="M2505" s="44" t="n"/>
      <c r="N2505" s="44" t="inlineStr">
        <is>
          <t>UCKZo4N0lVPccBkSiuyVh4yg</t>
        </is>
      </c>
      <c r="O2505" s="45" t="n">
        <v>42810.98055555556</v>
      </c>
      <c r="P2505" s="46" t="n">
        <v>42810</v>
      </c>
      <c r="Q2505" s="44" t="n">
        <v>767</v>
      </c>
      <c r="R2505" s="44" t="inlineStr">
        <is>
          <t>No Video ID yet</t>
        </is>
      </c>
      <c r="S2505" s="46" t="n"/>
      <c r="T2505" s="46" t="n"/>
      <c r="U2505" s="44" t="n"/>
      <c r="V2505" s="44">
        <f>IF(AND(P2505&gt;=Calendar!$K$2,P2505&lt;EDATE(Calendar!$K$2,1),OR(Calendar!$K$4="*",N2505=Calendar!$K$4)),P2505*100+COUNTIFS($P$6:$P$3271,P2505,$Q$6:$Q$3271,"&lt;="&amp;Q2505,$N$6:$N$3271,Calendar!$K$4),"")</f>
        <v/>
      </c>
      <c r="W2505" s="44">
        <f>IF(AND(B2505=Queue!$C$4,OR(Queue!$K$4="*",N2505=Queue!$K$4)),Q2505,"")</f>
        <v/>
      </c>
    </row>
    <row r="2506">
      <c r="A2506" s="35">
        <f>IF(M2506="","",HYPERLINK("https://www.youtube.com/watch?v="&amp;M2506,"▶"))</f>
        <v/>
      </c>
      <c r="B2506" s="36">
        <f>IF(C2506&lt;&gt;"",C2506,IF(P2506&lt;=IFERROR(INDEX(tblChannels[Watched Through],MATCH(N2506,tblChannels[Channel ID],0)),0),"Watched","Unwatched"))</f>
        <v/>
      </c>
      <c r="C2506" s="37" t="n"/>
      <c r="D2506" s="38" t="n"/>
      <c r="E2506" s="39" t="n">
        <v>42809.62361111111</v>
      </c>
      <c r="F2506" s="49" t="inlineStr">
        <is>
          <t>Super Carlin Gaming</t>
        </is>
      </c>
      <c r="G2506" t="inlineStr">
        <is>
          <t>Pokemon Emerald Nuzlocke #17: Grapefruit Surprise!</t>
        </is>
      </c>
      <c r="H2506" s="41" t="n">
        <v>0.01679398148148148</v>
      </c>
      <c r="I2506" s="42" t="n">
        <v>24326</v>
      </c>
      <c r="J2506" s="42" t="n">
        <v>606</v>
      </c>
      <c r="K2506" s="42" t="n">
        <v>231</v>
      </c>
      <c r="L2506" s="43" t="n"/>
      <c r="M2506" s="44" t="n"/>
      <c r="N2506" s="44" t="inlineStr">
        <is>
          <t>UCor_9jRnNNZVzTuQ92PKsaQ</t>
        </is>
      </c>
      <c r="O2506" s="45" t="n">
        <v>42809.79027777778</v>
      </c>
      <c r="P2506" s="46" t="n">
        <v>42809</v>
      </c>
      <c r="Q2506" s="44" t="n">
        <v>766</v>
      </c>
      <c r="R2506" s="44" t="inlineStr">
        <is>
          <t>No Video ID yet</t>
        </is>
      </c>
      <c r="S2506" s="46" t="n"/>
      <c r="T2506" s="46" t="n"/>
      <c r="U2506" s="44" t="n"/>
      <c r="V2506" s="44">
        <f>IF(AND(P2506&gt;=Calendar!$K$2,P2506&lt;EDATE(Calendar!$K$2,1),OR(Calendar!$K$4="*",N2506=Calendar!$K$4)),P2506*100+COUNTIFS($P$6:$P$3271,P2506,$Q$6:$Q$3271,"&lt;="&amp;Q2506,$N$6:$N$3271,Calendar!$K$4),"")</f>
        <v/>
      </c>
      <c r="W2506" s="44">
        <f>IF(AND(B2506=Queue!$C$4,OR(Queue!$K$4="*",N2506=Queue!$K$4)),Q2506,"")</f>
        <v/>
      </c>
    </row>
    <row r="2507">
      <c r="A2507" s="35">
        <f>IF(M2507="","",HYPERLINK("https://www.youtube.com/watch?v="&amp;M2507,"▶"))</f>
        <v/>
      </c>
      <c r="B2507" s="36">
        <f>IF(C2507&lt;&gt;"",C2507,IF(P2507&lt;=IFERROR(INDEX(tblChannels[Watched Through],MATCH(N2507,tblChannels[Channel ID],0)),0),"Watched","Unwatched"))</f>
        <v/>
      </c>
      <c r="C2507" s="37" t="n"/>
      <c r="D2507" s="38" t="n"/>
      <c r="E2507" s="39" t="n">
        <v>42808.625</v>
      </c>
      <c r="F2507" s="47" t="inlineStr">
        <is>
          <t>Super Carlin Brothers</t>
        </is>
      </c>
      <c r="G2507" t="inlineStr">
        <is>
          <t>Why Is He Called Winnie the Pooh?</t>
        </is>
      </c>
      <c r="H2507" s="41" t="n">
        <v>0.004583333333333333</v>
      </c>
      <c r="I2507" s="42" t="n">
        <v>1285484</v>
      </c>
      <c r="J2507" s="42" t="n">
        <v>31967</v>
      </c>
      <c r="K2507" s="42" t="n">
        <v>4607</v>
      </c>
      <c r="L2507" s="43" t="n"/>
      <c r="M2507" s="44" t="n"/>
      <c r="N2507" s="44" t="inlineStr">
        <is>
          <t>UCKZo4N0lVPccBkSiuyVh4yg</t>
        </is>
      </c>
      <c r="O2507" s="45" t="n">
        <v>42808.79166666666</v>
      </c>
      <c r="P2507" s="46" t="n">
        <v>42808</v>
      </c>
      <c r="Q2507" s="44" t="n">
        <v>765</v>
      </c>
      <c r="R2507" s="44" t="inlineStr">
        <is>
          <t>No Video ID yet</t>
        </is>
      </c>
      <c r="S2507" s="46" t="n"/>
      <c r="T2507" s="46" t="n"/>
      <c r="U2507" s="44" t="n"/>
      <c r="V2507" s="44">
        <f>IF(AND(P2507&gt;=Calendar!$K$2,P2507&lt;EDATE(Calendar!$K$2,1),OR(Calendar!$K$4="*",N2507=Calendar!$K$4)),P2507*100+COUNTIFS($P$6:$P$3271,P2507,$Q$6:$Q$3271,"&lt;="&amp;Q2507,$N$6:$N$3271,Calendar!$K$4),"")</f>
        <v/>
      </c>
      <c r="W2507" s="44">
        <f>IF(AND(B2507=Queue!$C$4,OR(Queue!$K$4="*",N2507=Queue!$K$4)),Q2507,"")</f>
        <v/>
      </c>
    </row>
    <row r="2508">
      <c r="A2508" s="35">
        <f>IF(M2508="","",HYPERLINK("https://www.youtube.com/watch?v="&amp;M2508,"▶"))</f>
        <v/>
      </c>
      <c r="B2508" s="36">
        <f>IF(C2508&lt;&gt;"",C2508,IF(P2508&lt;=IFERROR(INDEX(tblChannels[Watched Through],MATCH(N2508,tblChannels[Channel ID],0)),0),"Watched","Unwatched"))</f>
        <v/>
      </c>
      <c r="C2508" s="37" t="n"/>
      <c r="D2508" s="38" t="n"/>
      <c r="E2508" s="39" t="n">
        <v>42807.65</v>
      </c>
      <c r="F2508" s="49" t="inlineStr">
        <is>
          <t>Super Carlin Gaming</t>
        </is>
      </c>
      <c r="G2508" t="inlineStr">
        <is>
          <t>Pokemon Emerald Nuzlocke #16: CAN'T ESCAPE!</t>
        </is>
      </c>
      <c r="H2508" s="41" t="n">
        <v>0.02076388888888889</v>
      </c>
      <c r="I2508" s="42" t="n">
        <v>26414</v>
      </c>
      <c r="J2508" s="42" t="n">
        <v>630</v>
      </c>
      <c r="K2508" s="42" t="n">
        <v>252</v>
      </c>
      <c r="L2508" s="43" t="n"/>
      <c r="M2508" s="44" t="n"/>
      <c r="N2508" s="44" t="inlineStr">
        <is>
          <t>UCor_9jRnNNZVzTuQ92PKsaQ</t>
        </is>
      </c>
      <c r="O2508" s="45" t="n">
        <v>42807.81666666667</v>
      </c>
      <c r="P2508" s="46" t="n">
        <v>42807</v>
      </c>
      <c r="Q2508" s="44" t="n">
        <v>764</v>
      </c>
      <c r="R2508" s="44" t="inlineStr">
        <is>
          <t>No Video ID yet</t>
        </is>
      </c>
      <c r="S2508" s="46" t="n"/>
      <c r="T2508" s="46" t="n"/>
      <c r="U2508" s="44" t="n"/>
      <c r="V2508" s="44">
        <f>IF(AND(P2508&gt;=Calendar!$K$2,P2508&lt;EDATE(Calendar!$K$2,1),OR(Calendar!$K$4="*",N2508=Calendar!$K$4)),P2508*100+COUNTIFS($P$6:$P$3271,P2508,$Q$6:$Q$3271,"&lt;="&amp;Q2508,$N$6:$N$3271,Calendar!$K$4),"")</f>
        <v/>
      </c>
      <c r="W2508" s="44">
        <f>IF(AND(B2508=Queue!$C$4,OR(Queue!$K$4="*",N2508=Queue!$K$4)),Q2508,"")</f>
        <v/>
      </c>
    </row>
    <row r="2509">
      <c r="A2509" s="35">
        <f>IF(M2509="","",HYPERLINK("https://www.youtube.com/watch?v="&amp;M2509,"▶"))</f>
        <v/>
      </c>
      <c r="B2509" s="36">
        <f>IF(C2509&lt;&gt;"",C2509,IF(P2509&lt;=IFERROR(INDEX(tblChannels[Watched Through],MATCH(N2509,tblChannels[Channel ID],0)),0),"Watched","Unwatched"))</f>
        <v/>
      </c>
      <c r="C2509" s="37" t="n"/>
      <c r="D2509" s="38" t="n"/>
      <c r="E2509" s="39" t="n">
        <v>42805.69375</v>
      </c>
      <c r="F2509" s="49" t="inlineStr">
        <is>
          <t>Super Carlin Gaming</t>
        </is>
      </c>
      <c r="G2509" t="inlineStr">
        <is>
          <t>Pokemon Emerald Nuzlocke #15: THUNDER BOLT</t>
        </is>
      </c>
      <c r="H2509" s="41" t="n">
        <v>0.01508101851851852</v>
      </c>
      <c r="I2509" s="42" t="n">
        <v>26157</v>
      </c>
      <c r="J2509" s="42" t="n">
        <v>674</v>
      </c>
      <c r="K2509" s="42" t="n">
        <v>387</v>
      </c>
      <c r="L2509" s="43" t="n"/>
      <c r="M2509" s="44" t="n"/>
      <c r="N2509" s="44" t="inlineStr">
        <is>
          <t>UCor_9jRnNNZVzTuQ92PKsaQ</t>
        </is>
      </c>
      <c r="O2509" s="45" t="n">
        <v>42805.90208333333</v>
      </c>
      <c r="P2509" s="46" t="n">
        <v>42805</v>
      </c>
      <c r="Q2509" s="44" t="n">
        <v>763</v>
      </c>
      <c r="R2509" s="44" t="inlineStr">
        <is>
          <t>No Video ID yet</t>
        </is>
      </c>
      <c r="S2509" s="46" t="n"/>
      <c r="T2509" s="46" t="n"/>
      <c r="U2509" s="44" t="n"/>
      <c r="V2509" s="44">
        <f>IF(AND(P2509&gt;=Calendar!$K$2,P2509&lt;EDATE(Calendar!$K$2,1),OR(Calendar!$K$4="*",N2509=Calendar!$K$4)),P2509*100+COUNTIFS($P$6:$P$3271,P2509,$Q$6:$Q$3271,"&lt;="&amp;Q2509,$N$6:$N$3271,Calendar!$K$4),"")</f>
        <v/>
      </c>
      <c r="W2509" s="44">
        <f>IF(AND(B2509=Queue!$C$4,OR(Queue!$K$4="*",N2509=Queue!$K$4)),Q2509,"")</f>
        <v/>
      </c>
    </row>
    <row r="2510">
      <c r="A2510" s="35">
        <f>IF(M2510="","",HYPERLINK("https://www.youtube.com/watch?v="&amp;M2510,"▶"))</f>
        <v/>
      </c>
      <c r="B2510" s="36">
        <f>IF(C2510&lt;&gt;"",C2510,IF(P2510&lt;=IFERROR(INDEX(tblChannels[Watched Through],MATCH(N2510,tblChannels[Channel ID],0)),0),"Watched","Unwatched"))</f>
        <v/>
      </c>
      <c r="C2510" s="37" t="n"/>
      <c r="D2510" s="38" t="n"/>
      <c r="E2510" s="39" t="n">
        <v>42803.77222222222</v>
      </c>
      <c r="F2510" s="47" t="inlineStr">
        <is>
          <t>Super Carlin Brothers</t>
        </is>
      </c>
      <c r="G2510" t="inlineStr">
        <is>
          <t>Disney Theory: Who is Belle's Mother?</t>
        </is>
      </c>
      <c r="H2510" s="41" t="n">
        <v>0.005543981481481481</v>
      </c>
      <c r="I2510" s="42" t="n">
        <v>1726272</v>
      </c>
      <c r="J2510" s="42" t="n">
        <v>36853</v>
      </c>
      <c r="K2510" s="42" t="n">
        <v>5616</v>
      </c>
      <c r="L2510" s="43" t="n"/>
      <c r="M2510" s="44" t="n"/>
      <c r="N2510" s="44" t="inlineStr">
        <is>
          <t>UCKZo4N0lVPccBkSiuyVh4yg</t>
        </is>
      </c>
      <c r="O2510" s="45" t="n">
        <v>42803.98055555556</v>
      </c>
      <c r="P2510" s="46" t="n">
        <v>42803</v>
      </c>
      <c r="Q2510" s="44" t="n">
        <v>762</v>
      </c>
      <c r="R2510" s="44" t="inlineStr">
        <is>
          <t>No Video ID yet</t>
        </is>
      </c>
      <c r="S2510" s="46" t="n"/>
      <c r="T2510" s="46" t="n"/>
      <c r="U2510" s="44" t="n"/>
      <c r="V2510" s="44">
        <f>IF(AND(P2510&gt;=Calendar!$K$2,P2510&lt;EDATE(Calendar!$K$2,1),OR(Calendar!$K$4="*",N2510=Calendar!$K$4)),P2510*100+COUNTIFS($P$6:$P$3271,P2510,$Q$6:$Q$3271,"&lt;="&amp;Q2510,$N$6:$N$3271,Calendar!$K$4),"")</f>
        <v/>
      </c>
      <c r="W2510" s="44">
        <f>IF(AND(B2510=Queue!$C$4,OR(Queue!$K$4="*",N2510=Queue!$K$4)),Q2510,"")</f>
        <v/>
      </c>
    </row>
    <row r="2511">
      <c r="A2511" s="35">
        <f>IF(M2511="","",HYPERLINK("https://www.youtube.com/watch?v="&amp;M2511,"▶"))</f>
        <v/>
      </c>
      <c r="B2511" s="36">
        <f>IF(C2511&lt;&gt;"",C2511,IF(P2511&lt;=IFERROR(INDEX(tblChannels[Watched Through],MATCH(N2511,tblChannels[Channel ID],0)),0),"Watched","Unwatched"))</f>
        <v/>
      </c>
      <c r="C2511" s="37" t="n"/>
      <c r="D2511" s="38" t="n"/>
      <c r="E2511" s="39" t="n">
        <v>42802.62638888889</v>
      </c>
      <c r="F2511" s="49" t="inlineStr">
        <is>
          <t>Super Carlin Gaming</t>
        </is>
      </c>
      <c r="G2511" t="inlineStr">
        <is>
          <t>Pokemon Emerald Nuzlocke #14: Flo vs EVERYTHING!</t>
        </is>
      </c>
      <c r="H2511" s="41" t="n">
        <v>0.0269212962962963</v>
      </c>
      <c r="I2511" s="42" t="n">
        <v>31155</v>
      </c>
      <c r="J2511" s="42" t="n">
        <v>714</v>
      </c>
      <c r="K2511" s="42" t="n">
        <v>376</v>
      </c>
      <c r="L2511" s="43" t="n"/>
      <c r="M2511" s="44" t="n"/>
      <c r="N2511" s="44" t="inlineStr">
        <is>
          <t>UCor_9jRnNNZVzTuQ92PKsaQ</t>
        </is>
      </c>
      <c r="O2511" s="45" t="n">
        <v>42802.83472222222</v>
      </c>
      <c r="P2511" s="46" t="n">
        <v>42802</v>
      </c>
      <c r="Q2511" s="44" t="n">
        <v>761</v>
      </c>
      <c r="R2511" s="44" t="inlineStr">
        <is>
          <t>No Video ID yet</t>
        </is>
      </c>
      <c r="S2511" s="46" t="n"/>
      <c r="T2511" s="46" t="n"/>
      <c r="U2511" s="44" t="n"/>
      <c r="V2511" s="44">
        <f>IF(AND(P2511&gt;=Calendar!$K$2,P2511&lt;EDATE(Calendar!$K$2,1),OR(Calendar!$K$4="*",N2511=Calendar!$K$4)),P2511*100+COUNTIFS($P$6:$P$3271,P2511,$Q$6:$Q$3271,"&lt;="&amp;Q2511,$N$6:$N$3271,Calendar!$K$4),"")</f>
        <v/>
      </c>
      <c r="W2511" s="44">
        <f>IF(AND(B2511=Queue!$C$4,OR(Queue!$K$4="*",N2511=Queue!$K$4)),Q2511,"")</f>
        <v/>
      </c>
    </row>
    <row r="2512">
      <c r="A2512" s="35">
        <f>IF(M2512="","",HYPERLINK("https://www.youtube.com/watch?v="&amp;M2512,"▶"))</f>
        <v/>
      </c>
      <c r="B2512" s="36">
        <f>IF(C2512&lt;&gt;"",C2512,IF(P2512&lt;=IFERROR(INDEX(tblChannels[Watched Through],MATCH(N2512,tblChannels[Channel ID],0)),0),"Watched","Unwatched"))</f>
        <v/>
      </c>
      <c r="C2512" s="37" t="n"/>
      <c r="D2512" s="38" t="n"/>
      <c r="E2512" s="39" t="n">
        <v>42801.66666666666</v>
      </c>
      <c r="F2512" s="47" t="inlineStr">
        <is>
          <t>Super Carlin Brothers</t>
        </is>
      </c>
      <c r="G2512" t="inlineStr">
        <is>
          <t>Harry Potter Theory: Why Is Peeves Allowed To Stay At Hogwarts?</t>
        </is>
      </c>
      <c r="H2512" s="41" t="n">
        <v>0.006041666666666667</v>
      </c>
      <c r="I2512" s="42" t="n">
        <v>1884681</v>
      </c>
      <c r="J2512" s="42" t="n">
        <v>40066</v>
      </c>
      <c r="K2512" s="42" t="n">
        <v>6730</v>
      </c>
      <c r="L2512" s="43" t="n"/>
      <c r="M2512" s="44" t="n"/>
      <c r="N2512" s="44" t="inlineStr">
        <is>
          <t>UCKZo4N0lVPccBkSiuyVh4yg</t>
        </is>
      </c>
      <c r="O2512" s="45" t="n">
        <v>42801.875</v>
      </c>
      <c r="P2512" s="46" t="n">
        <v>42801</v>
      </c>
      <c r="Q2512" s="44" t="n">
        <v>760</v>
      </c>
      <c r="R2512" s="44" t="inlineStr">
        <is>
          <t>No Video ID yet</t>
        </is>
      </c>
      <c r="S2512" s="46" t="n"/>
      <c r="T2512" s="46" t="n"/>
      <c r="U2512" s="44" t="n"/>
      <c r="V2512" s="44">
        <f>IF(AND(P2512&gt;=Calendar!$K$2,P2512&lt;EDATE(Calendar!$K$2,1),OR(Calendar!$K$4="*",N2512=Calendar!$K$4)),P2512*100+COUNTIFS($P$6:$P$3271,P2512,$Q$6:$Q$3271,"&lt;="&amp;Q2512,$N$6:$N$3271,Calendar!$K$4),"")</f>
        <v/>
      </c>
      <c r="W2512" s="44">
        <f>IF(AND(B2512=Queue!$C$4,OR(Queue!$K$4="*",N2512=Queue!$K$4)),Q2512,"")</f>
        <v/>
      </c>
    </row>
    <row r="2513">
      <c r="A2513" s="35">
        <f>IF(M2513="","",HYPERLINK("https://www.youtube.com/watch?v="&amp;M2513,"▶"))</f>
        <v/>
      </c>
      <c r="B2513" s="36">
        <f>IF(C2513&lt;&gt;"",C2513,IF(P2513&lt;=IFERROR(INDEX(tblChannels[Watched Through],MATCH(N2513,tblChannels[Channel ID],0)),0),"Watched","Unwatched"))</f>
        <v/>
      </c>
      <c r="C2513" s="37" t="n"/>
      <c r="D2513" s="38" t="n"/>
      <c r="E2513" s="39" t="n">
        <v>42800.625</v>
      </c>
      <c r="F2513" s="49" t="inlineStr">
        <is>
          <t>Super Carlin Gaming</t>
        </is>
      </c>
      <c r="G2513" t="inlineStr">
        <is>
          <t>Pokemon Emerald Nuzlocke #13: Showdown with DAD</t>
        </is>
      </c>
      <c r="H2513" s="41" t="n">
        <v>0.01930555555555555</v>
      </c>
      <c r="I2513" s="42" t="n">
        <v>28740</v>
      </c>
      <c r="J2513" s="42" t="n">
        <v>693</v>
      </c>
      <c r="K2513" s="42" t="n">
        <v>342</v>
      </c>
      <c r="L2513" s="43" t="n"/>
      <c r="M2513" s="44" t="n"/>
      <c r="N2513" s="44" t="inlineStr">
        <is>
          <t>UCor_9jRnNNZVzTuQ92PKsaQ</t>
        </is>
      </c>
      <c r="O2513" s="45" t="n">
        <v>42800.83333333334</v>
      </c>
      <c r="P2513" s="46" t="n">
        <v>42800</v>
      </c>
      <c r="Q2513" s="44" t="n">
        <v>759</v>
      </c>
      <c r="R2513" s="44" t="inlineStr">
        <is>
          <t>No Video ID yet</t>
        </is>
      </c>
      <c r="S2513" s="46" t="n"/>
      <c r="T2513" s="46" t="n"/>
      <c r="U2513" s="44" t="n"/>
      <c r="V2513" s="44">
        <f>IF(AND(P2513&gt;=Calendar!$K$2,P2513&lt;EDATE(Calendar!$K$2,1),OR(Calendar!$K$4="*",N2513=Calendar!$K$4)),P2513*100+COUNTIFS($P$6:$P$3271,P2513,$Q$6:$Q$3271,"&lt;="&amp;Q2513,$N$6:$N$3271,Calendar!$K$4),"")</f>
        <v/>
      </c>
      <c r="W2513" s="44">
        <f>IF(AND(B2513=Queue!$C$4,OR(Queue!$K$4="*",N2513=Queue!$K$4)),Q2513,"")</f>
        <v/>
      </c>
    </row>
    <row r="2514">
      <c r="A2514" s="35">
        <f>IF(M2514="","",HYPERLINK("https://www.youtube.com/watch?v="&amp;M2514,"▶"))</f>
        <v/>
      </c>
      <c r="B2514" s="36">
        <f>IF(C2514&lt;&gt;"",C2514,IF(P2514&lt;=IFERROR(INDEX(tblChannels[Watched Through],MATCH(N2514,tblChannels[Channel ID],0)),0),"Watched","Unwatched"))</f>
        <v/>
      </c>
      <c r="C2514" s="37" t="n"/>
      <c r="D2514" s="38" t="n"/>
      <c r="E2514" s="39" t="n">
        <v>42798.41666666666</v>
      </c>
      <c r="F2514" s="47" t="inlineStr">
        <is>
          <t>Super Carlin Brothers</t>
        </is>
      </c>
      <c r="G2514" t="inlineStr">
        <is>
          <t>Loot Crate Unboxing | BUILD</t>
        </is>
      </c>
      <c r="H2514" s="41" t="n">
        <v>0.01041666666666667</v>
      </c>
      <c r="I2514" s="42" t="n">
        <v>104744</v>
      </c>
      <c r="J2514" s="42" t="n">
        <v>3844</v>
      </c>
      <c r="K2514" s="42" t="n">
        <v>782</v>
      </c>
      <c r="L2514" s="43" t="n"/>
      <c r="M2514" s="44" t="n"/>
      <c r="N2514" s="44" t="inlineStr">
        <is>
          <t>UCKZo4N0lVPccBkSiuyVh4yg</t>
        </is>
      </c>
      <c r="O2514" s="45" t="n">
        <v>42798.625</v>
      </c>
      <c r="P2514" s="46" t="n">
        <v>42798</v>
      </c>
      <c r="Q2514" s="44" t="n">
        <v>758</v>
      </c>
      <c r="R2514" s="44" t="inlineStr">
        <is>
          <t>No Video ID yet</t>
        </is>
      </c>
      <c r="S2514" s="46" t="n"/>
      <c r="T2514" s="46" t="n"/>
      <c r="U2514" s="44" t="n"/>
      <c r="V2514" s="44">
        <f>IF(AND(P2514&gt;=Calendar!$K$2,P2514&lt;EDATE(Calendar!$K$2,1),OR(Calendar!$K$4="*",N2514=Calendar!$K$4)),P2514*100+COUNTIFS($P$6:$P$3271,P2514,$Q$6:$Q$3271,"&lt;="&amp;Q2514,$N$6:$N$3271,Calendar!$K$4),"")</f>
        <v/>
      </c>
      <c r="W2514" s="44">
        <f>IF(AND(B2514=Queue!$C$4,OR(Queue!$K$4="*",N2514=Queue!$K$4)),Q2514,"")</f>
        <v/>
      </c>
    </row>
    <row r="2515">
      <c r="A2515" s="35">
        <f>IF(M2515="","",HYPERLINK("https://www.youtube.com/watch?v="&amp;M2515,"▶"))</f>
        <v/>
      </c>
      <c r="B2515" s="36">
        <f>IF(C2515&lt;&gt;"",C2515,IF(P2515&lt;=IFERROR(INDEX(tblChannels[Watched Through],MATCH(N2515,tblChannels[Channel ID],0)),0),"Watched","Unwatched"))</f>
        <v/>
      </c>
      <c r="C2515" s="37" t="n"/>
      <c r="D2515" s="38" t="n"/>
      <c r="E2515" s="39" t="n">
        <v>42797.75972222222</v>
      </c>
      <c r="F2515" s="49" t="inlineStr">
        <is>
          <t>Super Carlin Gaming</t>
        </is>
      </c>
      <c r="G2515" t="inlineStr">
        <is>
          <t>Pokemon Emerald Nuzlocke #12: Heating Up!</t>
        </is>
      </c>
      <c r="H2515" s="41" t="n">
        <v>0.02221064814814815</v>
      </c>
      <c r="I2515" s="42" t="n">
        <v>30506</v>
      </c>
      <c r="J2515" s="42" t="n">
        <v>802</v>
      </c>
      <c r="K2515" s="42" t="n">
        <v>355</v>
      </c>
      <c r="L2515" s="43" t="n"/>
      <c r="M2515" s="44" t="n"/>
      <c r="N2515" s="44" t="inlineStr">
        <is>
          <t>UCor_9jRnNNZVzTuQ92PKsaQ</t>
        </is>
      </c>
      <c r="O2515" s="45" t="n">
        <v>42797.96805555555</v>
      </c>
      <c r="P2515" s="46" t="n">
        <v>42797</v>
      </c>
      <c r="Q2515" s="44" t="n">
        <v>757</v>
      </c>
      <c r="R2515" s="44" t="inlineStr">
        <is>
          <t>No Video ID yet</t>
        </is>
      </c>
      <c r="S2515" s="46" t="n"/>
      <c r="T2515" s="46" t="n"/>
      <c r="U2515" s="44" t="n"/>
      <c r="V2515" s="44">
        <f>IF(AND(P2515&gt;=Calendar!$K$2,P2515&lt;EDATE(Calendar!$K$2,1),OR(Calendar!$K$4="*",N2515=Calendar!$K$4)),P2515*100+COUNTIFS($P$6:$P$3271,P2515,$Q$6:$Q$3271,"&lt;="&amp;Q2515,$N$6:$N$3271,Calendar!$K$4),"")</f>
        <v/>
      </c>
      <c r="W2515" s="44">
        <f>IF(AND(B2515=Queue!$C$4,OR(Queue!$K$4="*",N2515=Queue!$K$4)),Q2515,"")</f>
        <v/>
      </c>
    </row>
    <row r="2516">
      <c r="A2516" s="35">
        <f>IF(M2516="","",HYPERLINK("https://www.youtube.com/watch?v="&amp;M2516,"▶"))</f>
        <v/>
      </c>
      <c r="B2516" s="36">
        <f>IF(C2516&lt;&gt;"",C2516,IF(P2516&lt;=IFERROR(INDEX(tblChannels[Watched Through],MATCH(N2516,tblChannels[Channel ID],0)),0),"Watched","Unwatched"))</f>
        <v/>
      </c>
      <c r="C2516" s="37" t="n"/>
      <c r="D2516" s="38" t="n"/>
      <c r="E2516" s="39" t="n">
        <v>42796.89236111111</v>
      </c>
      <c r="F2516" s="47" t="inlineStr">
        <is>
          <t>Super Carlin Brothers</t>
        </is>
      </c>
      <c r="G2516" t="inlineStr">
        <is>
          <t>Disney Theory: What Book Is Belle Actually Reading?</t>
        </is>
      </c>
      <c r="H2516" s="41" t="n">
        <v>0.006053240740740741</v>
      </c>
      <c r="I2516" s="42" t="n">
        <v>2011369</v>
      </c>
      <c r="J2516" s="42" t="n">
        <v>39138</v>
      </c>
      <c r="K2516" s="42" t="n">
        <v>6586</v>
      </c>
      <c r="L2516" s="43" t="n"/>
      <c r="M2516" s="44" t="n"/>
      <c r="N2516" s="44" t="inlineStr">
        <is>
          <t>UCKZo4N0lVPccBkSiuyVh4yg</t>
        </is>
      </c>
      <c r="O2516" s="45" t="n">
        <v>42797.10069444445</v>
      </c>
      <c r="P2516" s="46" t="n">
        <v>42796</v>
      </c>
      <c r="Q2516" s="44" t="n">
        <v>756</v>
      </c>
      <c r="R2516" s="44" t="inlineStr">
        <is>
          <t>No Video ID yet</t>
        </is>
      </c>
      <c r="S2516" s="46" t="n"/>
      <c r="T2516" s="46" t="n"/>
      <c r="U2516" s="44" t="n"/>
      <c r="V2516" s="44">
        <f>IF(AND(P2516&gt;=Calendar!$K$2,P2516&lt;EDATE(Calendar!$K$2,1),OR(Calendar!$K$4="*",N2516=Calendar!$K$4)),P2516*100+COUNTIFS($P$6:$P$3271,P2516,$Q$6:$Q$3271,"&lt;="&amp;Q2516,$N$6:$N$3271,Calendar!$K$4),"")</f>
        <v/>
      </c>
      <c r="W2516" s="44">
        <f>IF(AND(B2516=Queue!$C$4,OR(Queue!$K$4="*",N2516=Queue!$K$4)),Q2516,"")</f>
        <v/>
      </c>
    </row>
    <row r="2517">
      <c r="A2517" s="35">
        <f>IF(M2517="","",HYPERLINK("https://www.youtube.com/watch?v="&amp;M2517,"▶"))</f>
        <v/>
      </c>
      <c r="B2517" s="36">
        <f>IF(C2517&lt;&gt;"",C2517,IF(P2517&lt;=IFERROR(INDEX(tblChannels[Watched Through],MATCH(N2517,tblChannels[Channel ID],0)),0),"Watched","Unwatched"))</f>
        <v/>
      </c>
      <c r="C2517" s="37" t="n"/>
      <c r="D2517" s="38" t="n"/>
      <c r="E2517" s="39" t="n">
        <v>42795.65694444445</v>
      </c>
      <c r="F2517" s="49" t="inlineStr">
        <is>
          <t>Super Carlin Gaming</t>
        </is>
      </c>
      <c r="G2517" t="inlineStr">
        <is>
          <t>Pokemon Emerald Nuzlocke #11: The Imposter</t>
        </is>
      </c>
      <c r="H2517" s="41" t="n">
        <v>0.01701388888888889</v>
      </c>
      <c r="I2517" s="42" t="n">
        <v>29614</v>
      </c>
      <c r="J2517" s="42" t="n">
        <v>705</v>
      </c>
      <c r="K2517" s="42" t="n">
        <v>420</v>
      </c>
      <c r="L2517" s="43" t="n"/>
      <c r="M2517" s="44" t="n"/>
      <c r="N2517" s="44" t="inlineStr">
        <is>
          <t>UCor_9jRnNNZVzTuQ92PKsaQ</t>
        </is>
      </c>
      <c r="O2517" s="45" t="n">
        <v>42795.86527777778</v>
      </c>
      <c r="P2517" s="46" t="n">
        <v>42795</v>
      </c>
      <c r="Q2517" s="44" t="n">
        <v>755</v>
      </c>
      <c r="R2517" s="44" t="inlineStr">
        <is>
          <t>No Video ID yet</t>
        </is>
      </c>
      <c r="S2517" s="46" t="n"/>
      <c r="T2517" s="46" t="n"/>
      <c r="U2517" s="44" t="n"/>
      <c r="V2517" s="44">
        <f>IF(AND(P2517&gt;=Calendar!$K$2,P2517&lt;EDATE(Calendar!$K$2,1),OR(Calendar!$K$4="*",N2517=Calendar!$K$4)),P2517*100+COUNTIFS($P$6:$P$3271,P2517,$Q$6:$Q$3271,"&lt;="&amp;Q2517,$N$6:$N$3271,Calendar!$K$4),"")</f>
        <v/>
      </c>
      <c r="W2517" s="44">
        <f>IF(AND(B2517=Queue!$C$4,OR(Queue!$K$4="*",N2517=Queue!$K$4)),Q2517,"")</f>
        <v/>
      </c>
    </row>
    <row r="2518">
      <c r="A2518" s="35">
        <f>IF(M2518="","",HYPERLINK("https://www.youtube.com/watch?v="&amp;M2518,"▶"))</f>
        <v/>
      </c>
      <c r="B2518" s="36">
        <f>IF(C2518&lt;&gt;"",C2518,IF(P2518&lt;=IFERROR(INDEX(tblChannels[Watched Through],MATCH(N2518,tblChannels[Channel ID],0)),0),"Watched","Unwatched"))</f>
        <v/>
      </c>
      <c r="C2518" s="37" t="n"/>
      <c r="D2518" s="38" t="n"/>
      <c r="E2518" s="39" t="n">
        <v>42794.84791666667</v>
      </c>
      <c r="F2518" s="47" t="inlineStr">
        <is>
          <t>Super Carlin Brothers</t>
        </is>
      </c>
      <c r="G2518" t="inlineStr">
        <is>
          <t>Cars Theory: How Lightning Will Defeat Jackson Storm</t>
        </is>
      </c>
      <c r="H2518" s="41" t="n">
        <v>0.007164351851851851</v>
      </c>
      <c r="I2518" s="42" t="n">
        <v>618391</v>
      </c>
      <c r="J2518" s="42" t="n">
        <v>14171</v>
      </c>
      <c r="K2518" s="42" t="n">
        <v>2479</v>
      </c>
      <c r="L2518" s="43" t="n"/>
      <c r="M2518" s="44" t="n"/>
      <c r="N2518" s="44" t="inlineStr">
        <is>
          <t>UCKZo4N0lVPccBkSiuyVh4yg</t>
        </is>
      </c>
      <c r="O2518" s="45" t="n">
        <v>42795.05625</v>
      </c>
      <c r="P2518" s="46" t="n">
        <v>42794</v>
      </c>
      <c r="Q2518" s="44" t="n">
        <v>754</v>
      </c>
      <c r="R2518" s="44" t="inlineStr">
        <is>
          <t>No Video ID yet</t>
        </is>
      </c>
      <c r="S2518" s="46" t="n"/>
      <c r="T2518" s="46" t="n"/>
      <c r="U2518" s="44" t="n"/>
      <c r="V2518" s="44">
        <f>IF(AND(P2518&gt;=Calendar!$K$2,P2518&lt;EDATE(Calendar!$K$2,1),OR(Calendar!$K$4="*",N2518=Calendar!$K$4)),P2518*100+COUNTIFS($P$6:$P$3271,P2518,$Q$6:$Q$3271,"&lt;="&amp;Q2518,$N$6:$N$3271,Calendar!$K$4),"")</f>
        <v/>
      </c>
      <c r="W2518" s="44">
        <f>IF(AND(B2518=Queue!$C$4,OR(Queue!$K$4="*",N2518=Queue!$K$4)),Q2518,"")</f>
        <v/>
      </c>
    </row>
    <row r="2519">
      <c r="A2519" s="35">
        <f>IF(M2519="","",HYPERLINK("https://www.youtube.com/watch?v="&amp;M2519,"▶"))</f>
        <v/>
      </c>
      <c r="B2519" s="36">
        <f>IF(C2519&lt;&gt;"",C2519,IF(P2519&lt;=IFERROR(INDEX(tblChannels[Watched Through],MATCH(N2519,tblChannels[Channel ID],0)),0),"Watched","Unwatched"))</f>
        <v/>
      </c>
      <c r="C2519" s="37" t="n"/>
      <c r="D2519" s="38" t="n"/>
      <c r="E2519" s="39" t="n">
        <v>42791.41666666666</v>
      </c>
      <c r="F2519" s="49" t="inlineStr">
        <is>
          <t>Super Carlin Gaming</t>
        </is>
      </c>
      <c r="G2519" t="inlineStr">
        <is>
          <t>Pokemon Emerald Nuzlocke #10: Fang Unit Gamma</t>
        </is>
      </c>
      <c r="H2519" s="41" t="n">
        <v>0.02069444444444445</v>
      </c>
      <c r="I2519" s="42" t="n">
        <v>33829</v>
      </c>
      <c r="J2519" s="42" t="n">
        <v>733</v>
      </c>
      <c r="K2519" s="42" t="n">
        <v>336</v>
      </c>
      <c r="L2519" s="43" t="n"/>
      <c r="M2519" s="44" t="n"/>
      <c r="N2519" s="44" t="inlineStr">
        <is>
          <t>UCor_9jRnNNZVzTuQ92PKsaQ</t>
        </is>
      </c>
      <c r="O2519" s="45" t="n">
        <v>42791.625</v>
      </c>
      <c r="P2519" s="46" t="n">
        <v>42791</v>
      </c>
      <c r="Q2519" s="44" t="n">
        <v>753</v>
      </c>
      <c r="R2519" s="44" t="inlineStr">
        <is>
          <t>No Video ID yet</t>
        </is>
      </c>
      <c r="S2519" s="46" t="n"/>
      <c r="T2519" s="46" t="n"/>
      <c r="U2519" s="44" t="n"/>
      <c r="V2519" s="44">
        <f>IF(AND(P2519&gt;=Calendar!$K$2,P2519&lt;EDATE(Calendar!$K$2,1),OR(Calendar!$K$4="*",N2519=Calendar!$K$4)),P2519*100+COUNTIFS($P$6:$P$3271,P2519,$Q$6:$Q$3271,"&lt;="&amp;Q2519,$N$6:$N$3271,Calendar!$K$4),"")</f>
        <v/>
      </c>
      <c r="W2519" s="44">
        <f>IF(AND(B2519=Queue!$C$4,OR(Queue!$K$4="*",N2519=Queue!$K$4)),Q2519,"")</f>
        <v/>
      </c>
    </row>
    <row r="2520">
      <c r="A2520" s="35">
        <f>IF(M2520="","",HYPERLINK("https://www.youtube.com/watch?v="&amp;M2520,"▶"))</f>
        <v/>
      </c>
      <c r="B2520" s="36">
        <f>IF(C2520&lt;&gt;"",C2520,IF(P2520&lt;=IFERROR(INDEX(tblChannels[Watched Through],MATCH(N2520,tblChannels[Channel ID],0)),0),"Watched","Unwatched"))</f>
        <v/>
      </c>
      <c r="C2520" s="37" t="n"/>
      <c r="D2520" s="38" t="n"/>
      <c r="E2520" s="39" t="n">
        <v>42789.70347222222</v>
      </c>
      <c r="F2520" s="47" t="inlineStr">
        <is>
          <t>Super Carlin Brothers</t>
        </is>
      </c>
      <c r="G2520" t="inlineStr">
        <is>
          <t>Harry Potter Theory: Was Professor Quirrell a Horcrux?</t>
        </is>
      </c>
      <c r="H2520" s="41" t="n">
        <v>0.004918981481481482</v>
      </c>
      <c r="I2520" s="42" t="n">
        <v>1178190</v>
      </c>
      <c r="J2520" s="42" t="n">
        <v>25167</v>
      </c>
      <c r="K2520" s="42" t="n">
        <v>3416</v>
      </c>
      <c r="L2520" s="43" t="n"/>
      <c r="M2520" s="44" t="n"/>
      <c r="N2520" s="44" t="inlineStr">
        <is>
          <t>UCKZo4N0lVPccBkSiuyVh4yg</t>
        </is>
      </c>
      <c r="O2520" s="45" t="n">
        <v>42789.91180555556</v>
      </c>
      <c r="P2520" s="46" t="n">
        <v>42789</v>
      </c>
      <c r="Q2520" s="44" t="n">
        <v>752</v>
      </c>
      <c r="R2520" s="44" t="inlineStr">
        <is>
          <t>No Video ID yet</t>
        </is>
      </c>
      <c r="S2520" s="46" t="n"/>
      <c r="T2520" s="46" t="n"/>
      <c r="U2520" s="44" t="n"/>
      <c r="V2520" s="44">
        <f>IF(AND(P2520&gt;=Calendar!$K$2,P2520&lt;EDATE(Calendar!$K$2,1),OR(Calendar!$K$4="*",N2520=Calendar!$K$4)),P2520*100+COUNTIFS($P$6:$P$3271,P2520,$Q$6:$Q$3271,"&lt;="&amp;Q2520,$N$6:$N$3271,Calendar!$K$4),"")</f>
        <v/>
      </c>
      <c r="W2520" s="44">
        <f>IF(AND(B2520=Queue!$C$4,OR(Queue!$K$4="*",N2520=Queue!$K$4)),Q2520,"")</f>
        <v/>
      </c>
    </row>
    <row r="2521">
      <c r="A2521" s="35">
        <f>IF(M2521="","",HYPERLINK("https://www.youtube.com/watch?v="&amp;M2521,"▶"))</f>
        <v/>
      </c>
      <c r="B2521" s="36">
        <f>IF(C2521&lt;&gt;"",C2521,IF(P2521&lt;=IFERROR(INDEX(tblChannels[Watched Through],MATCH(N2521,tblChannels[Channel ID],0)),0),"Watched","Unwatched"))</f>
        <v/>
      </c>
      <c r="C2521" s="37" t="n"/>
      <c r="D2521" s="38" t="n"/>
      <c r="E2521" s="39" t="n">
        <v>42788.78194444445</v>
      </c>
      <c r="F2521" s="49" t="inlineStr">
        <is>
          <t>Super Carlin Gaming</t>
        </is>
      </c>
      <c r="G2521" t="inlineStr">
        <is>
          <t>Pokemon Emerald Nuzlocke #9: The Long Road</t>
        </is>
      </c>
      <c r="H2521" s="41" t="n">
        <v>0.02320601851851852</v>
      </c>
      <c r="I2521" s="42" t="n">
        <v>32472</v>
      </c>
      <c r="J2521" s="42" t="n">
        <v>709</v>
      </c>
      <c r="K2521" s="42" t="n">
        <v>416</v>
      </c>
      <c r="L2521" s="43" t="n"/>
      <c r="M2521" s="44" t="n"/>
      <c r="N2521" s="44" t="inlineStr">
        <is>
          <t>UCor_9jRnNNZVzTuQ92PKsaQ</t>
        </is>
      </c>
      <c r="O2521" s="45" t="n">
        <v>42788.99027777778</v>
      </c>
      <c r="P2521" s="46" t="n">
        <v>42788</v>
      </c>
      <c r="Q2521" s="44" t="n">
        <v>751</v>
      </c>
      <c r="R2521" s="44" t="inlineStr">
        <is>
          <t>No Video ID yet</t>
        </is>
      </c>
      <c r="S2521" s="46" t="n"/>
      <c r="T2521" s="46" t="n"/>
      <c r="U2521" s="44" t="n"/>
      <c r="V2521" s="44">
        <f>IF(AND(P2521&gt;=Calendar!$K$2,P2521&lt;EDATE(Calendar!$K$2,1),OR(Calendar!$K$4="*",N2521=Calendar!$K$4)),P2521*100+COUNTIFS($P$6:$P$3271,P2521,$Q$6:$Q$3271,"&lt;="&amp;Q2521,$N$6:$N$3271,Calendar!$K$4),"")</f>
        <v/>
      </c>
      <c r="W2521" s="44">
        <f>IF(AND(B2521=Queue!$C$4,OR(Queue!$K$4="*",N2521=Queue!$K$4)),Q2521,"")</f>
        <v/>
      </c>
    </row>
    <row r="2522">
      <c r="A2522" s="35">
        <f>IF(M2522="","",HYPERLINK("https://www.youtube.com/watch?v="&amp;M2522,"▶"))</f>
        <v/>
      </c>
      <c r="B2522" s="36">
        <f>IF(C2522&lt;&gt;"",C2522,IF(P2522&lt;=IFERROR(INDEX(tblChannels[Watched Through],MATCH(N2522,tblChannels[Channel ID],0)),0),"Watched","Unwatched"))</f>
        <v/>
      </c>
      <c r="C2522" s="37" t="n"/>
      <c r="D2522" s="38" t="n"/>
      <c r="E2522" s="39" t="n">
        <v>42786.78263888889</v>
      </c>
      <c r="F2522" s="49" t="inlineStr">
        <is>
          <t>Super Carlin Gaming</t>
        </is>
      </c>
      <c r="G2522" t="inlineStr">
        <is>
          <t>Pokemon Emerald Nuzlocke #8: An Electric Shock</t>
        </is>
      </c>
      <c r="H2522" s="41" t="n">
        <v>0.01908564814814815</v>
      </c>
      <c r="I2522" s="42" t="n">
        <v>34084</v>
      </c>
      <c r="J2522" s="42" t="n">
        <v>760</v>
      </c>
      <c r="K2522" s="42" t="n">
        <v>469</v>
      </c>
      <c r="L2522" s="43" t="n"/>
      <c r="M2522" s="44" t="n"/>
      <c r="N2522" s="44" t="inlineStr">
        <is>
          <t>UCor_9jRnNNZVzTuQ92PKsaQ</t>
        </is>
      </c>
      <c r="O2522" s="45" t="n">
        <v>42786.99097222222</v>
      </c>
      <c r="P2522" s="46" t="n">
        <v>42786</v>
      </c>
      <c r="Q2522" s="44" t="n">
        <v>750</v>
      </c>
      <c r="R2522" s="44" t="inlineStr">
        <is>
          <t>No Video ID yet</t>
        </is>
      </c>
      <c r="S2522" s="46" t="n"/>
      <c r="T2522" s="46" t="n"/>
      <c r="U2522" s="44" t="n"/>
      <c r="V2522" s="44">
        <f>IF(AND(P2522&gt;=Calendar!$K$2,P2522&lt;EDATE(Calendar!$K$2,1),OR(Calendar!$K$4="*",N2522=Calendar!$K$4)),P2522*100+COUNTIFS($P$6:$P$3271,P2522,$Q$6:$Q$3271,"&lt;="&amp;Q2522,$N$6:$N$3271,Calendar!$K$4),"")</f>
        <v/>
      </c>
      <c r="W2522" s="44">
        <f>IF(AND(B2522=Queue!$C$4,OR(Queue!$K$4="*",N2522=Queue!$K$4)),Q2522,"")</f>
        <v/>
      </c>
    </row>
    <row r="2523">
      <c r="A2523" s="35">
        <f>IF(M2523="","",HYPERLINK("https://www.youtube.com/watch?v="&amp;M2523,"▶"))</f>
        <v/>
      </c>
      <c r="B2523" s="36">
        <f>IF(C2523&lt;&gt;"",C2523,IF(P2523&lt;=IFERROR(INDEX(tblChannels[Watched Through],MATCH(N2523,tblChannels[Channel ID],0)),0),"Watched","Unwatched"))</f>
        <v/>
      </c>
      <c r="C2523" s="37" t="n"/>
      <c r="D2523" s="38" t="n"/>
      <c r="E2523" s="39" t="n">
        <v>42786.625</v>
      </c>
      <c r="F2523" s="47" t="inlineStr">
        <is>
          <t>Super Carlin Brothers</t>
        </is>
      </c>
      <c r="G2523" t="inlineStr">
        <is>
          <t>Can Wolverine Google Autofill</t>
        </is>
      </c>
      <c r="H2523" s="41" t="n">
        <v>0.005069444444444444</v>
      </c>
      <c r="I2523" s="42" t="n">
        <v>206789</v>
      </c>
      <c r="J2523" s="42" t="n">
        <v>7143</v>
      </c>
      <c r="K2523" s="42" t="n">
        <v>1817</v>
      </c>
      <c r="L2523" s="43" t="n"/>
      <c r="M2523" s="44" t="n"/>
      <c r="N2523" s="44" t="inlineStr">
        <is>
          <t>UCKZo4N0lVPccBkSiuyVh4yg</t>
        </is>
      </c>
      <c r="O2523" s="45" t="n">
        <v>42786.83333333334</v>
      </c>
      <c r="P2523" s="46" t="n">
        <v>42786</v>
      </c>
      <c r="Q2523" s="44" t="n">
        <v>749</v>
      </c>
      <c r="R2523" s="44" t="inlineStr">
        <is>
          <t>No Video ID yet</t>
        </is>
      </c>
      <c r="S2523" s="46" t="n"/>
      <c r="T2523" s="46" t="n"/>
      <c r="U2523" s="44" t="n"/>
      <c r="V2523" s="44">
        <f>IF(AND(P2523&gt;=Calendar!$K$2,P2523&lt;EDATE(Calendar!$K$2,1),OR(Calendar!$K$4="*",N2523=Calendar!$K$4)),P2523*100+COUNTIFS($P$6:$P$3271,P2523,$Q$6:$Q$3271,"&lt;="&amp;Q2523,$N$6:$N$3271,Calendar!$K$4),"")</f>
        <v/>
      </c>
      <c r="W2523" s="44">
        <f>IF(AND(B2523=Queue!$C$4,OR(Queue!$K$4="*",N2523=Queue!$K$4)),Q2523,"")</f>
        <v/>
      </c>
    </row>
    <row r="2524">
      <c r="A2524" s="35">
        <f>IF(M2524="","",HYPERLINK("https://www.youtube.com/watch?v="&amp;M2524,"▶"))</f>
        <v/>
      </c>
      <c r="B2524" s="36">
        <f>IF(C2524&lt;&gt;"",C2524,IF(P2524&lt;=IFERROR(INDEX(tblChannels[Watched Through],MATCH(N2524,tblChannels[Channel ID],0)),0),"Watched","Unwatched"))</f>
        <v/>
      </c>
      <c r="C2524" s="37" t="n"/>
      <c r="D2524" s="38" t="n"/>
      <c r="E2524" s="39" t="n">
        <v>42783.59513888889</v>
      </c>
      <c r="F2524" s="49" t="inlineStr">
        <is>
          <t>Super Carlin Gaming</t>
        </is>
      </c>
      <c r="G2524" t="inlineStr">
        <is>
          <t>Pokemon Emerald Nuzlocke #7: The Dustox Showdown</t>
        </is>
      </c>
      <c r="H2524" s="41" t="n">
        <v>0.01967592592592593</v>
      </c>
      <c r="I2524" s="42" t="n">
        <v>37837</v>
      </c>
      <c r="J2524" s="42" t="n">
        <v>764</v>
      </c>
      <c r="K2524" s="42" t="n">
        <v>383</v>
      </c>
      <c r="L2524" s="43" t="n"/>
      <c r="M2524" s="44" t="n"/>
      <c r="N2524" s="44" t="inlineStr">
        <is>
          <t>UCor_9jRnNNZVzTuQ92PKsaQ</t>
        </is>
      </c>
      <c r="O2524" s="45" t="n">
        <v>42783.80347222222</v>
      </c>
      <c r="P2524" s="46" t="n">
        <v>42783</v>
      </c>
      <c r="Q2524" s="44" t="n">
        <v>748</v>
      </c>
      <c r="R2524" s="44" t="inlineStr">
        <is>
          <t>No Video ID yet</t>
        </is>
      </c>
      <c r="S2524" s="46" t="n"/>
      <c r="T2524" s="46" t="n"/>
      <c r="U2524" s="44" t="n"/>
      <c r="V2524" s="44">
        <f>IF(AND(P2524&gt;=Calendar!$K$2,P2524&lt;EDATE(Calendar!$K$2,1),OR(Calendar!$K$4="*",N2524=Calendar!$K$4)),P2524*100+COUNTIFS($P$6:$P$3271,P2524,$Q$6:$Q$3271,"&lt;="&amp;Q2524,$N$6:$N$3271,Calendar!$K$4),"")</f>
        <v/>
      </c>
      <c r="W2524" s="44">
        <f>IF(AND(B2524=Queue!$C$4,OR(Queue!$K$4="*",N2524=Queue!$K$4)),Q2524,"")</f>
        <v/>
      </c>
    </row>
    <row r="2525">
      <c r="A2525" s="35">
        <f>IF(M2525="","",HYPERLINK("https://www.youtube.com/watch?v="&amp;M2525,"▶"))</f>
        <v/>
      </c>
      <c r="B2525" s="36">
        <f>IF(C2525&lt;&gt;"",C2525,IF(P2525&lt;=IFERROR(INDEX(tblChannels[Watched Through],MATCH(N2525,tblChannels[Channel ID],0)),0),"Watched","Unwatched"))</f>
        <v/>
      </c>
      <c r="C2525" s="37" t="n"/>
      <c r="D2525" s="38" t="n"/>
      <c r="E2525" s="39" t="n">
        <v>42782.80416666667</v>
      </c>
      <c r="F2525" s="47" t="inlineStr">
        <is>
          <t>Super Carlin Brothers</t>
        </is>
      </c>
      <c r="G2525" t="inlineStr">
        <is>
          <t>Is LEGO Batman The Best Batman Movie? | REVIEW</t>
        </is>
      </c>
      <c r="H2525" s="41" t="n">
        <v>0.01760416666666667</v>
      </c>
      <c r="I2525" s="42" t="n">
        <v>232912</v>
      </c>
      <c r="J2525" s="42" t="n">
        <v>5902</v>
      </c>
      <c r="K2525" s="42" t="n">
        <v>1515</v>
      </c>
      <c r="L2525" s="43" t="n"/>
      <c r="M2525" s="44" t="n"/>
      <c r="N2525" s="44" t="inlineStr">
        <is>
          <t>UCKZo4N0lVPccBkSiuyVh4yg</t>
        </is>
      </c>
      <c r="O2525" s="45" t="n">
        <v>42783.0125</v>
      </c>
      <c r="P2525" s="46" t="n">
        <v>42782</v>
      </c>
      <c r="Q2525" s="44" t="n">
        <v>747</v>
      </c>
      <c r="R2525" s="44" t="inlineStr">
        <is>
          <t>No Video ID yet</t>
        </is>
      </c>
      <c r="S2525" s="46" t="n"/>
      <c r="T2525" s="46" t="n"/>
      <c r="U2525" s="44" t="n"/>
      <c r="V2525" s="44">
        <f>IF(AND(P2525&gt;=Calendar!$K$2,P2525&lt;EDATE(Calendar!$K$2,1),OR(Calendar!$K$4="*",N2525=Calendar!$K$4)),P2525*100+COUNTIFS($P$6:$P$3271,P2525,$Q$6:$Q$3271,"&lt;="&amp;Q2525,$N$6:$N$3271,Calendar!$K$4),"")</f>
        <v/>
      </c>
      <c r="W2525" s="44">
        <f>IF(AND(B2525=Queue!$C$4,OR(Queue!$K$4="*",N2525=Queue!$K$4)),Q2525,"")</f>
        <v/>
      </c>
    </row>
    <row r="2526">
      <c r="A2526" s="35">
        <f>IF(M2526="","",HYPERLINK("https://www.youtube.com/watch?v="&amp;M2526,"▶"))</f>
        <v/>
      </c>
      <c r="B2526" s="36">
        <f>IF(C2526&lt;&gt;"",C2526,IF(P2526&lt;=IFERROR(INDEX(tblChannels[Watched Through],MATCH(N2526,tblChannels[Channel ID],0)),0),"Watched","Unwatched"))</f>
        <v/>
      </c>
      <c r="C2526" s="37" t="n"/>
      <c r="D2526" s="38" t="n"/>
      <c r="E2526" s="39" t="n">
        <v>42781.625</v>
      </c>
      <c r="F2526" s="49" t="inlineStr">
        <is>
          <t>Super Carlin Gaming</t>
        </is>
      </c>
      <c r="G2526" t="inlineStr">
        <is>
          <t>Pokemon Emerald Nuzlocke #6: Grapefruit Returns!</t>
        </is>
      </c>
      <c r="H2526" s="41" t="n">
        <v>0.01476851851851852</v>
      </c>
      <c r="I2526" s="42" t="n">
        <v>35280</v>
      </c>
      <c r="J2526" s="42" t="n">
        <v>766</v>
      </c>
      <c r="K2526" s="42" t="n">
        <v>313</v>
      </c>
      <c r="L2526" s="43" t="n"/>
      <c r="M2526" s="44" t="n"/>
      <c r="N2526" s="44" t="inlineStr">
        <is>
          <t>UCor_9jRnNNZVzTuQ92PKsaQ</t>
        </is>
      </c>
      <c r="O2526" s="45" t="n">
        <v>42781.83333333334</v>
      </c>
      <c r="P2526" s="46" t="n">
        <v>42781</v>
      </c>
      <c r="Q2526" s="44" t="n">
        <v>746</v>
      </c>
      <c r="R2526" s="44" t="inlineStr">
        <is>
          <t>No Video ID yet</t>
        </is>
      </c>
      <c r="S2526" s="46" t="n"/>
      <c r="T2526" s="46" t="n"/>
      <c r="U2526" s="44" t="n"/>
      <c r="V2526" s="44">
        <f>IF(AND(P2526&gt;=Calendar!$K$2,P2526&lt;EDATE(Calendar!$K$2,1),OR(Calendar!$K$4="*",N2526=Calendar!$K$4)),P2526*100+COUNTIFS($P$6:$P$3271,P2526,$Q$6:$Q$3271,"&lt;="&amp;Q2526,$N$6:$N$3271,Calendar!$K$4),"")</f>
        <v/>
      </c>
      <c r="W2526" s="44">
        <f>IF(AND(B2526=Queue!$C$4,OR(Queue!$K$4="*",N2526=Queue!$K$4)),Q2526,"")</f>
        <v/>
      </c>
    </row>
    <row r="2527">
      <c r="A2527" s="35">
        <f>IF(M2527="","",HYPERLINK("https://www.youtube.com/watch?v="&amp;M2527,"▶"))</f>
        <v/>
      </c>
      <c r="B2527" s="36">
        <f>IF(C2527&lt;&gt;"",C2527,IF(P2527&lt;=IFERROR(INDEX(tblChannels[Watched Through],MATCH(N2527,tblChannels[Channel ID],0)),0),"Watched","Unwatched"))</f>
        <v/>
      </c>
      <c r="C2527" s="37" t="n"/>
      <c r="D2527" s="38" t="n"/>
      <c r="E2527" s="39" t="n">
        <v>42780.66527777778</v>
      </c>
      <c r="F2527" s="47" t="inlineStr">
        <is>
          <t>Super Carlin Brothers</t>
        </is>
      </c>
      <c r="G2527" t="inlineStr">
        <is>
          <t>Top 10 Most Romantic Moments In Pixar</t>
        </is>
      </c>
      <c r="H2527" s="41" t="n">
        <v>0.006585648148148148</v>
      </c>
      <c r="I2527" s="42" t="n">
        <v>453423</v>
      </c>
      <c r="J2527" s="42" t="n">
        <v>15653</v>
      </c>
      <c r="K2527" s="42" t="n">
        <v>2238</v>
      </c>
      <c r="L2527" s="43" t="n"/>
      <c r="M2527" s="44" t="n"/>
      <c r="N2527" s="44" t="inlineStr">
        <is>
          <t>UCKZo4N0lVPccBkSiuyVh4yg</t>
        </is>
      </c>
      <c r="O2527" s="45" t="n">
        <v>42780.87361111111</v>
      </c>
      <c r="P2527" s="46" t="n">
        <v>42780</v>
      </c>
      <c r="Q2527" s="44" t="n">
        <v>745</v>
      </c>
      <c r="R2527" s="44" t="inlineStr">
        <is>
          <t>No Video ID yet</t>
        </is>
      </c>
      <c r="S2527" s="46" t="n"/>
      <c r="T2527" s="46" t="n"/>
      <c r="U2527" s="44" t="n"/>
      <c r="V2527" s="44">
        <f>IF(AND(P2527&gt;=Calendar!$K$2,P2527&lt;EDATE(Calendar!$K$2,1),OR(Calendar!$K$4="*",N2527=Calendar!$K$4)),P2527*100+COUNTIFS($P$6:$P$3271,P2527,$Q$6:$Q$3271,"&lt;="&amp;Q2527,$N$6:$N$3271,Calendar!$K$4),"")</f>
        <v/>
      </c>
      <c r="W2527" s="44">
        <f>IF(AND(B2527=Queue!$C$4,OR(Queue!$K$4="*",N2527=Queue!$K$4)),Q2527,"")</f>
        <v/>
      </c>
    </row>
    <row r="2528">
      <c r="A2528" s="35">
        <f>IF(M2528="","",HYPERLINK("https://www.youtube.com/watch?v="&amp;M2528,"▶"))</f>
        <v/>
      </c>
      <c r="B2528" s="36">
        <f>IF(C2528&lt;&gt;"",C2528,IF(P2528&lt;=IFERROR(INDEX(tblChannels[Watched Through],MATCH(N2528,tblChannels[Channel ID],0)),0),"Watched","Unwatched"))</f>
        <v/>
      </c>
      <c r="C2528" s="37" t="n"/>
      <c r="D2528" s="38" t="n"/>
      <c r="E2528" s="39" t="n">
        <v>42779.625</v>
      </c>
      <c r="F2528" s="49" t="inlineStr">
        <is>
          <t>Super Carlin Gaming</t>
        </is>
      </c>
      <c r="G2528" t="inlineStr">
        <is>
          <t>Pokemon Emerald Nuzlocke #5: Journey to Slateport</t>
        </is>
      </c>
      <c r="H2528" s="41" t="n">
        <v>0.02141203703703704</v>
      </c>
      <c r="I2528" s="42" t="n">
        <v>41554</v>
      </c>
      <c r="J2528" s="42" t="n">
        <v>805</v>
      </c>
      <c r="K2528" s="42" t="n">
        <v>552</v>
      </c>
      <c r="L2528" s="43" t="n"/>
      <c r="M2528" s="44" t="n"/>
      <c r="N2528" s="44" t="inlineStr">
        <is>
          <t>UCor_9jRnNNZVzTuQ92PKsaQ</t>
        </is>
      </c>
      <c r="O2528" s="45" t="n">
        <v>42779.83333333334</v>
      </c>
      <c r="P2528" s="46" t="n">
        <v>42779</v>
      </c>
      <c r="Q2528" s="44" t="n">
        <v>744</v>
      </c>
      <c r="R2528" s="44" t="inlineStr">
        <is>
          <t>No Video ID yet</t>
        </is>
      </c>
      <c r="S2528" s="46" t="n"/>
      <c r="T2528" s="46" t="n"/>
      <c r="U2528" s="44" t="n"/>
      <c r="V2528" s="44">
        <f>IF(AND(P2528&gt;=Calendar!$K$2,P2528&lt;EDATE(Calendar!$K$2,1),OR(Calendar!$K$4="*",N2528=Calendar!$K$4)),P2528*100+COUNTIFS($P$6:$P$3271,P2528,$Q$6:$Q$3271,"&lt;="&amp;Q2528,$N$6:$N$3271,Calendar!$K$4),"")</f>
        <v/>
      </c>
      <c r="W2528" s="44">
        <f>IF(AND(B2528=Queue!$C$4,OR(Queue!$K$4="*",N2528=Queue!$K$4)),Q2528,"")</f>
        <v/>
      </c>
    </row>
    <row r="2529">
      <c r="A2529" s="35">
        <f>IF(M2529="","",HYPERLINK("https://www.youtube.com/watch?v="&amp;M2529,"▶"))</f>
        <v/>
      </c>
      <c r="B2529" s="36">
        <f>IF(C2529&lt;&gt;"",C2529,IF(P2529&lt;=IFERROR(INDEX(tblChannels[Watched Through],MATCH(N2529,tblChannels[Channel ID],0)),0),"Watched","Unwatched"))</f>
        <v/>
      </c>
      <c r="C2529" s="37" t="n"/>
      <c r="D2529" s="38" t="n"/>
      <c r="E2529" s="39" t="n">
        <v>42776.625</v>
      </c>
      <c r="F2529" s="49" t="inlineStr">
        <is>
          <t>Super Carlin Gaming</t>
        </is>
      </c>
      <c r="G2529" t="inlineStr">
        <is>
          <t>Pokemon Emerald Nuzlocke #4: It's Time To Brawly</t>
        </is>
      </c>
      <c r="H2529" s="41" t="n">
        <v>0.02518518518518519</v>
      </c>
      <c r="I2529" s="42" t="n">
        <v>49197</v>
      </c>
      <c r="J2529" s="42" t="n">
        <v>1111</v>
      </c>
      <c r="K2529" s="42" t="n">
        <v>492</v>
      </c>
      <c r="L2529" s="43" t="n"/>
      <c r="M2529" s="44" t="n"/>
      <c r="N2529" s="44" t="inlineStr">
        <is>
          <t>UCor_9jRnNNZVzTuQ92PKsaQ</t>
        </is>
      </c>
      <c r="O2529" s="45" t="n">
        <v>42776.83333333334</v>
      </c>
      <c r="P2529" s="46" t="n">
        <v>42776</v>
      </c>
      <c r="Q2529" s="44" t="n">
        <v>743</v>
      </c>
      <c r="R2529" s="44" t="inlineStr">
        <is>
          <t>No Video ID yet</t>
        </is>
      </c>
      <c r="S2529" s="46" t="n"/>
      <c r="T2529" s="46" t="n"/>
      <c r="U2529" s="44" t="n"/>
      <c r="V2529" s="44">
        <f>IF(AND(P2529&gt;=Calendar!$K$2,P2529&lt;EDATE(Calendar!$K$2,1),OR(Calendar!$K$4="*",N2529=Calendar!$K$4)),P2529*100+COUNTIFS($P$6:$P$3271,P2529,$Q$6:$Q$3271,"&lt;="&amp;Q2529,$N$6:$N$3271,Calendar!$K$4),"")</f>
        <v/>
      </c>
      <c r="W2529" s="44">
        <f>IF(AND(B2529=Queue!$C$4,OR(Queue!$K$4="*",N2529=Queue!$K$4)),Q2529,"")</f>
        <v/>
      </c>
    </row>
    <row r="2530">
      <c r="A2530" s="35">
        <f>IF(M2530="","",HYPERLINK("https://www.youtube.com/watch?v="&amp;M2530,"▶"))</f>
        <v/>
      </c>
      <c r="B2530" s="36">
        <f>IF(C2530&lt;&gt;"",C2530,IF(P2530&lt;=IFERROR(INDEX(tblChannels[Watched Through],MATCH(N2530,tblChannels[Channel ID],0)),0),"Watched","Unwatched"))</f>
        <v/>
      </c>
      <c r="C2530" s="37" t="n"/>
      <c r="D2530" s="38" t="n"/>
      <c r="E2530" s="39" t="n">
        <v>42775.76458333333</v>
      </c>
      <c r="F2530" s="47" t="inlineStr">
        <is>
          <t>Super Carlin Brothers</t>
        </is>
      </c>
      <c r="G2530" t="inlineStr">
        <is>
          <t>Star Wars Theory: Did Han Solo Commit Suicide?</t>
        </is>
      </c>
      <c r="H2530" s="41" t="n">
        <v>0.004444444444444444</v>
      </c>
      <c r="I2530" s="42" t="n">
        <v>587318</v>
      </c>
      <c r="J2530" s="42" t="n">
        <v>19467</v>
      </c>
      <c r="K2530" s="42" t="n">
        <v>3245</v>
      </c>
      <c r="L2530" s="43" t="n"/>
      <c r="M2530" s="44" t="n"/>
      <c r="N2530" s="44" t="inlineStr">
        <is>
          <t>UCKZo4N0lVPccBkSiuyVh4yg</t>
        </is>
      </c>
      <c r="O2530" s="45" t="n">
        <v>42775.97291666667</v>
      </c>
      <c r="P2530" s="46" t="n">
        <v>42775</v>
      </c>
      <c r="Q2530" s="44" t="n">
        <v>742</v>
      </c>
      <c r="R2530" s="44" t="inlineStr">
        <is>
          <t>No Video ID yet</t>
        </is>
      </c>
      <c r="S2530" s="46" t="n"/>
      <c r="T2530" s="46" t="n"/>
      <c r="U2530" s="44" t="n"/>
      <c r="V2530" s="44">
        <f>IF(AND(P2530&gt;=Calendar!$K$2,P2530&lt;EDATE(Calendar!$K$2,1),OR(Calendar!$K$4="*",N2530=Calendar!$K$4)),P2530*100+COUNTIFS($P$6:$P$3271,P2530,$Q$6:$Q$3271,"&lt;="&amp;Q2530,$N$6:$N$3271,Calendar!$K$4),"")</f>
        <v/>
      </c>
      <c r="W2530" s="44">
        <f>IF(AND(B2530=Queue!$C$4,OR(Queue!$K$4="*",N2530=Queue!$K$4)),Q2530,"")</f>
        <v/>
      </c>
    </row>
    <row r="2531">
      <c r="A2531" s="35">
        <f>IF(M2531="","",HYPERLINK("https://www.youtube.com/watch?v="&amp;M2531,"▶"))</f>
        <v/>
      </c>
      <c r="B2531" s="36">
        <f>IF(C2531&lt;&gt;"",C2531,IF(P2531&lt;=IFERROR(INDEX(tblChannels[Watched Through],MATCH(N2531,tblChannels[Channel ID],0)),0),"Watched","Unwatched"))</f>
        <v/>
      </c>
      <c r="C2531" s="37" t="n"/>
      <c r="D2531" s="38" t="n"/>
      <c r="E2531" s="39" t="n">
        <v>42774.625</v>
      </c>
      <c r="F2531" s="49" t="inlineStr">
        <is>
          <t>Super Carlin Gaming</t>
        </is>
      </c>
      <c r="G2531" t="inlineStr">
        <is>
          <t>Pokemon Emerald Nuzlocke #3: A Shiny New Badge</t>
        </is>
      </c>
      <c r="H2531" s="41" t="n">
        <v>0.02074074074074074</v>
      </c>
      <c r="I2531" s="42" t="n">
        <v>52250</v>
      </c>
      <c r="J2531" s="42" t="n">
        <v>1073</v>
      </c>
      <c r="K2531" s="42" t="n">
        <v>645</v>
      </c>
      <c r="L2531" s="43" t="n"/>
      <c r="M2531" s="44" t="n"/>
      <c r="N2531" s="44" t="inlineStr">
        <is>
          <t>UCor_9jRnNNZVzTuQ92PKsaQ</t>
        </is>
      </c>
      <c r="O2531" s="45" t="n">
        <v>42774.83333333334</v>
      </c>
      <c r="P2531" s="46" t="n">
        <v>42774</v>
      </c>
      <c r="Q2531" s="44" t="n">
        <v>741</v>
      </c>
      <c r="R2531" s="44" t="inlineStr">
        <is>
          <t>No Video ID yet</t>
        </is>
      </c>
      <c r="S2531" s="46" t="n"/>
      <c r="T2531" s="46" t="n"/>
      <c r="U2531" s="44" t="n"/>
      <c r="V2531" s="44">
        <f>IF(AND(P2531&gt;=Calendar!$K$2,P2531&lt;EDATE(Calendar!$K$2,1),OR(Calendar!$K$4="*",N2531=Calendar!$K$4)),P2531*100+COUNTIFS($P$6:$P$3271,P2531,$Q$6:$Q$3271,"&lt;="&amp;Q2531,$N$6:$N$3271,Calendar!$K$4),"")</f>
        <v/>
      </c>
      <c r="W2531" s="44">
        <f>IF(AND(B2531=Queue!$C$4,OR(Queue!$K$4="*",N2531=Queue!$K$4)),Q2531,"")</f>
        <v/>
      </c>
    </row>
    <row r="2532">
      <c r="A2532" s="35">
        <f>IF(M2532="","",HYPERLINK("https://www.youtube.com/watch?v="&amp;M2532,"▶"))</f>
        <v/>
      </c>
      <c r="B2532" s="36">
        <f>IF(C2532&lt;&gt;"",C2532,IF(P2532&lt;=IFERROR(INDEX(tblChannels[Watched Through],MATCH(N2532,tblChannels[Channel ID],0)),0),"Watched","Unwatched"))</f>
        <v/>
      </c>
      <c r="C2532" s="37" t="n"/>
      <c r="D2532" s="38" t="n"/>
      <c r="E2532" s="39" t="n">
        <v>42773.83472222222</v>
      </c>
      <c r="F2532" s="47" t="inlineStr">
        <is>
          <t>Super Carlin Brothers</t>
        </is>
      </c>
      <c r="G2532" t="inlineStr">
        <is>
          <t>Is Radiator Springs A Real Town?</t>
        </is>
      </c>
      <c r="H2532" s="41" t="n">
        <v>0.005844907407407407</v>
      </c>
      <c r="I2532" s="42" t="n">
        <v>757410</v>
      </c>
      <c r="J2532" s="42" t="n">
        <v>19128</v>
      </c>
      <c r="K2532" s="42" t="n">
        <v>2806</v>
      </c>
      <c r="L2532" s="43" t="n"/>
      <c r="M2532" s="44" t="n"/>
      <c r="N2532" s="44" t="inlineStr">
        <is>
          <t>UCKZo4N0lVPccBkSiuyVh4yg</t>
        </is>
      </c>
      <c r="O2532" s="45" t="n">
        <v>42774.04305555556</v>
      </c>
      <c r="P2532" s="46" t="n">
        <v>42773</v>
      </c>
      <c r="Q2532" s="44" t="n">
        <v>740</v>
      </c>
      <c r="R2532" s="44" t="inlineStr">
        <is>
          <t>No Video ID yet</t>
        </is>
      </c>
      <c r="S2532" s="46" t="n"/>
      <c r="T2532" s="46" t="n"/>
      <c r="U2532" s="44" t="n"/>
      <c r="V2532" s="44">
        <f>IF(AND(P2532&gt;=Calendar!$K$2,P2532&lt;EDATE(Calendar!$K$2,1),OR(Calendar!$K$4="*",N2532=Calendar!$K$4)),P2532*100+COUNTIFS($P$6:$P$3271,P2532,$Q$6:$Q$3271,"&lt;="&amp;Q2532,$N$6:$N$3271,Calendar!$K$4),"")</f>
        <v/>
      </c>
      <c r="W2532" s="44">
        <f>IF(AND(B2532=Queue!$C$4,OR(Queue!$K$4="*",N2532=Queue!$K$4)),Q2532,"")</f>
        <v/>
      </c>
    </row>
    <row r="2533">
      <c r="A2533" s="35">
        <f>IF(M2533="","",HYPERLINK("https://www.youtube.com/watch?v="&amp;M2533,"▶"))</f>
        <v/>
      </c>
      <c r="B2533" s="36">
        <f>IF(C2533&lt;&gt;"",C2533,IF(P2533&lt;=IFERROR(INDEX(tblChannels[Watched Through],MATCH(N2533,tblChannels[Channel ID],0)),0),"Watched","Unwatched"))</f>
        <v/>
      </c>
      <c r="C2533" s="37" t="n"/>
      <c r="D2533" s="38" t="n"/>
      <c r="E2533" s="39" t="n">
        <v>42772.625</v>
      </c>
      <c r="F2533" s="49" t="inlineStr">
        <is>
          <t>Super Carlin Gaming</t>
        </is>
      </c>
      <c r="G2533" t="inlineStr">
        <is>
          <t>Pokemon Emerald Nuzlocke #2: Team Building</t>
        </is>
      </c>
      <c r="H2533" s="41" t="n">
        <v>0.02224537037037037</v>
      </c>
      <c r="I2533" s="42" t="n">
        <v>59674</v>
      </c>
      <c r="J2533" s="42" t="n">
        <v>1172</v>
      </c>
      <c r="K2533" s="42" t="n">
        <v>667</v>
      </c>
      <c r="L2533" s="43" t="n"/>
      <c r="M2533" s="44" t="n"/>
      <c r="N2533" s="44" t="inlineStr">
        <is>
          <t>UCor_9jRnNNZVzTuQ92PKsaQ</t>
        </is>
      </c>
      <c r="O2533" s="45" t="n">
        <v>42772.83333333334</v>
      </c>
      <c r="P2533" s="46" t="n">
        <v>42772</v>
      </c>
      <c r="Q2533" s="44" t="n">
        <v>739</v>
      </c>
      <c r="R2533" s="44" t="inlineStr">
        <is>
          <t>No Video ID yet</t>
        </is>
      </c>
      <c r="S2533" s="46" t="n"/>
      <c r="T2533" s="46" t="n"/>
      <c r="U2533" s="44" t="n"/>
      <c r="V2533" s="44">
        <f>IF(AND(P2533&gt;=Calendar!$K$2,P2533&lt;EDATE(Calendar!$K$2,1),OR(Calendar!$K$4="*",N2533=Calendar!$K$4)),P2533*100+COUNTIFS($P$6:$P$3271,P2533,$Q$6:$Q$3271,"&lt;="&amp;Q2533,$N$6:$N$3271,Calendar!$K$4),"")</f>
        <v/>
      </c>
      <c r="W2533" s="44">
        <f>IF(AND(B2533=Queue!$C$4,OR(Queue!$K$4="*",N2533=Queue!$K$4)),Q2533,"")</f>
        <v/>
      </c>
    </row>
    <row r="2534">
      <c r="A2534" s="35">
        <f>IF(M2534="","",HYPERLINK("https://www.youtube.com/watch?v="&amp;M2534,"▶"))</f>
        <v/>
      </c>
      <c r="B2534" s="36">
        <f>IF(C2534&lt;&gt;"",C2534,IF(P2534&lt;=IFERROR(INDEX(tblChannels[Watched Through],MATCH(N2534,tblChannels[Channel ID],0)),0),"Watched","Unwatched"))</f>
        <v/>
      </c>
      <c r="C2534" s="37" t="n"/>
      <c r="D2534" s="38" t="n"/>
      <c r="E2534" s="39" t="n">
        <v>42770.41666666666</v>
      </c>
      <c r="F2534" s="47" t="inlineStr">
        <is>
          <t>Super Carlin Brothers</t>
        </is>
      </c>
      <c r="G2534" t="inlineStr">
        <is>
          <t>Loot Crate Unboxing | ORIGINS</t>
        </is>
      </c>
      <c r="H2534" s="41" t="n">
        <v>0.007592592592592593</v>
      </c>
      <c r="I2534" s="42" t="n">
        <v>106528</v>
      </c>
      <c r="J2534" s="42" t="n">
        <v>4334</v>
      </c>
      <c r="K2534" s="42" t="n">
        <v>1524</v>
      </c>
      <c r="L2534" s="43" t="n"/>
      <c r="M2534" s="44" t="n"/>
      <c r="N2534" s="44" t="inlineStr">
        <is>
          <t>UCKZo4N0lVPccBkSiuyVh4yg</t>
        </is>
      </c>
      <c r="O2534" s="45" t="n">
        <v>42770.625</v>
      </c>
      <c r="P2534" s="46" t="n">
        <v>42770</v>
      </c>
      <c r="Q2534" s="44" t="n">
        <v>738</v>
      </c>
      <c r="R2534" s="44" t="inlineStr">
        <is>
          <t>No Video ID yet</t>
        </is>
      </c>
      <c r="S2534" s="46" t="n"/>
      <c r="T2534" s="46" t="n"/>
      <c r="U2534" s="44" t="n"/>
      <c r="V2534" s="44">
        <f>IF(AND(P2534&gt;=Calendar!$K$2,P2534&lt;EDATE(Calendar!$K$2,1),OR(Calendar!$K$4="*",N2534=Calendar!$K$4)),P2534*100+COUNTIFS($P$6:$P$3271,P2534,$Q$6:$Q$3271,"&lt;="&amp;Q2534,$N$6:$N$3271,Calendar!$K$4),"")</f>
        <v/>
      </c>
      <c r="W2534" s="44">
        <f>IF(AND(B2534=Queue!$C$4,OR(Queue!$K$4="*",N2534=Queue!$K$4)),Q2534,"")</f>
        <v/>
      </c>
    </row>
    <row r="2535">
      <c r="A2535" s="35">
        <f>IF(M2535="","",HYPERLINK("https://www.youtube.com/watch?v="&amp;M2535,"▶"))</f>
        <v/>
      </c>
      <c r="B2535" s="36">
        <f>IF(C2535&lt;&gt;"",C2535,IF(P2535&lt;=IFERROR(INDEX(tblChannels[Watched Through],MATCH(N2535,tblChannels[Channel ID],0)),0),"Watched","Unwatched"))</f>
        <v/>
      </c>
      <c r="C2535" s="37" t="n"/>
      <c r="D2535" s="38" t="n"/>
      <c r="E2535" s="39" t="n">
        <v>42769.625</v>
      </c>
      <c r="F2535" s="49" t="inlineStr">
        <is>
          <t>Super Carlin Gaming</t>
        </is>
      </c>
      <c r="G2535" t="inlineStr">
        <is>
          <t>Pokemon Emerald Nuzlocke #1: Our Journey Begins!</t>
        </is>
      </c>
      <c r="H2535" s="41" t="n">
        <v>0.0112962962962963</v>
      </c>
      <c r="I2535" s="42" t="n">
        <v>107841</v>
      </c>
      <c r="J2535" s="42" t="n">
        <v>2062</v>
      </c>
      <c r="K2535" s="42" t="n">
        <v>1206</v>
      </c>
      <c r="L2535" s="43" t="n"/>
      <c r="M2535" s="44" t="n"/>
      <c r="N2535" s="44" t="inlineStr">
        <is>
          <t>UCor_9jRnNNZVzTuQ92PKsaQ</t>
        </is>
      </c>
      <c r="O2535" s="45" t="n">
        <v>42769.83333333334</v>
      </c>
      <c r="P2535" s="46" t="n">
        <v>42769</v>
      </c>
      <c r="Q2535" s="44" t="n">
        <v>737</v>
      </c>
      <c r="R2535" s="44" t="inlineStr">
        <is>
          <t>No Video ID yet</t>
        </is>
      </c>
      <c r="S2535" s="46" t="n"/>
      <c r="T2535" s="46" t="n"/>
      <c r="U2535" s="44" t="n"/>
      <c r="V2535" s="44">
        <f>IF(AND(P2535&gt;=Calendar!$K$2,P2535&lt;EDATE(Calendar!$K$2,1),OR(Calendar!$K$4="*",N2535=Calendar!$K$4)),P2535*100+COUNTIFS($P$6:$P$3271,P2535,$Q$6:$Q$3271,"&lt;="&amp;Q2535,$N$6:$N$3271,Calendar!$K$4),"")</f>
        <v/>
      </c>
      <c r="W2535" s="44">
        <f>IF(AND(B2535=Queue!$C$4,OR(Queue!$K$4="*",N2535=Queue!$K$4)),Q2535,"")</f>
        <v/>
      </c>
    </row>
    <row r="2536">
      <c r="A2536" s="35">
        <f>IF(M2536="","",HYPERLINK("https://www.youtube.com/watch?v="&amp;M2536,"▶"))</f>
        <v/>
      </c>
      <c r="B2536" s="36">
        <f>IF(C2536&lt;&gt;"",C2536,IF(P2536&lt;=IFERROR(INDEX(tblChannels[Watched Through],MATCH(N2536,tblChannels[Channel ID],0)),0),"Watched","Unwatched"))</f>
        <v/>
      </c>
      <c r="C2536" s="37" t="n"/>
      <c r="D2536" s="38" t="n"/>
      <c r="E2536" s="39" t="n">
        <v>42768.74097222222</v>
      </c>
      <c r="F2536" s="47" t="inlineStr">
        <is>
          <t>Super Carlin Brothers</t>
        </is>
      </c>
      <c r="G2536" t="inlineStr">
        <is>
          <t>Harry Potter Theory: Golden Flames Explained</t>
        </is>
      </c>
      <c r="H2536" s="41" t="n">
        <v>0.005972222222222223</v>
      </c>
      <c r="I2536" s="42" t="n">
        <v>1562964</v>
      </c>
      <c r="J2536" s="42" t="n">
        <v>34720</v>
      </c>
      <c r="K2536" s="42" t="n">
        <v>3713</v>
      </c>
      <c r="L2536" s="43" t="n"/>
      <c r="M2536" s="44" t="n"/>
      <c r="N2536" s="44" t="inlineStr">
        <is>
          <t>UCKZo4N0lVPccBkSiuyVh4yg</t>
        </is>
      </c>
      <c r="O2536" s="45" t="n">
        <v>42768.94930555556</v>
      </c>
      <c r="P2536" s="46" t="n">
        <v>42768</v>
      </c>
      <c r="Q2536" s="44" t="n">
        <v>736</v>
      </c>
      <c r="R2536" s="44" t="inlineStr">
        <is>
          <t>No Video ID yet</t>
        </is>
      </c>
      <c r="S2536" s="46" t="n"/>
      <c r="T2536" s="46" t="n"/>
      <c r="U2536" s="44" t="n"/>
      <c r="V2536" s="44">
        <f>IF(AND(P2536&gt;=Calendar!$K$2,P2536&lt;EDATE(Calendar!$K$2,1),OR(Calendar!$K$4="*",N2536=Calendar!$K$4)),P2536*100+COUNTIFS($P$6:$P$3271,P2536,$Q$6:$Q$3271,"&lt;="&amp;Q2536,$N$6:$N$3271,Calendar!$K$4),"")</f>
        <v/>
      </c>
      <c r="W2536" s="44">
        <f>IF(AND(B2536=Queue!$C$4,OR(Queue!$K$4="*",N2536=Queue!$K$4)),Q2536,"")</f>
        <v/>
      </c>
    </row>
    <row r="2537">
      <c r="A2537" s="35">
        <f>IF(M2537="","",HYPERLINK("https://www.youtube.com/watch?v="&amp;M2537,"▶"))</f>
        <v/>
      </c>
      <c r="B2537" s="36">
        <f>IF(C2537&lt;&gt;"",C2537,IF(P2537&lt;=IFERROR(INDEX(tblChannels[Watched Through],MATCH(N2537,tblChannels[Channel ID],0)),0),"Watched","Unwatched"))</f>
        <v/>
      </c>
      <c r="C2537" s="37" t="n"/>
      <c r="D2537" s="38" t="n"/>
      <c r="E2537" s="39" t="n">
        <v>42768.41666666666</v>
      </c>
      <c r="F2537" s="49" t="inlineStr">
        <is>
          <t>Super Carlin Gaming</t>
        </is>
      </c>
      <c r="G2537" t="inlineStr">
        <is>
          <t>Castle Crashers #9: THE FINAL BATTLE</t>
        </is>
      </c>
      <c r="H2537" s="41" t="n">
        <v>0.01943287037037037</v>
      </c>
      <c r="I2537" s="42" t="n">
        <v>7642</v>
      </c>
      <c r="J2537" s="42" t="n">
        <v>186</v>
      </c>
      <c r="K2537" s="42" t="n">
        <v>86</v>
      </c>
      <c r="L2537" s="43" t="n"/>
      <c r="M2537" s="44" t="n"/>
      <c r="N2537" s="44" t="inlineStr">
        <is>
          <t>UCor_9jRnNNZVzTuQ92PKsaQ</t>
        </is>
      </c>
      <c r="O2537" s="45" t="n">
        <v>42768.625</v>
      </c>
      <c r="P2537" s="46" t="n">
        <v>42768</v>
      </c>
      <c r="Q2537" s="44" t="n">
        <v>735</v>
      </c>
      <c r="R2537" s="44" t="inlineStr">
        <is>
          <t>No Video ID yet</t>
        </is>
      </c>
      <c r="S2537" s="46" t="n"/>
      <c r="T2537" s="46" t="n"/>
      <c r="U2537" s="44" t="n"/>
      <c r="V2537" s="44">
        <f>IF(AND(P2537&gt;=Calendar!$K$2,P2537&lt;EDATE(Calendar!$K$2,1),OR(Calendar!$K$4="*",N2537=Calendar!$K$4)),P2537*100+COUNTIFS($P$6:$P$3271,P2537,$Q$6:$Q$3271,"&lt;="&amp;Q2537,$N$6:$N$3271,Calendar!$K$4),"")</f>
        <v/>
      </c>
      <c r="W2537" s="44">
        <f>IF(AND(B2537=Queue!$C$4,OR(Queue!$K$4="*",N2537=Queue!$K$4)),Q2537,"")</f>
        <v/>
      </c>
    </row>
    <row r="2538">
      <c r="A2538" s="35">
        <f>IF(M2538="","",HYPERLINK("https://www.youtube.com/watch?v="&amp;M2538,"▶"))</f>
        <v/>
      </c>
      <c r="B2538" s="36">
        <f>IF(C2538&lt;&gt;"",C2538,IF(P2538&lt;=IFERROR(INDEX(tblChannels[Watched Through],MATCH(N2538,tblChannels[Channel ID],0)),0),"Watched","Unwatched"))</f>
        <v/>
      </c>
      <c r="C2538" s="37" t="n"/>
      <c r="D2538" s="38" t="n"/>
      <c r="E2538" s="39" t="n">
        <v>42766.625</v>
      </c>
      <c r="F2538" s="47" t="inlineStr">
        <is>
          <t>Super Carlin Brothers</t>
        </is>
      </c>
      <c r="G2538" t="inlineStr">
        <is>
          <t>Who Is The Last Jedi?</t>
        </is>
      </c>
      <c r="H2538" s="41" t="n">
        <v>0.005590277777777777</v>
      </c>
      <c r="I2538" s="42" t="n">
        <v>362078</v>
      </c>
      <c r="J2538" s="42" t="n">
        <v>11204</v>
      </c>
      <c r="K2538" s="42" t="n">
        <v>2706</v>
      </c>
      <c r="L2538" s="43" t="n"/>
      <c r="M2538" s="44" t="n"/>
      <c r="N2538" s="44" t="inlineStr">
        <is>
          <t>UCKZo4N0lVPccBkSiuyVh4yg</t>
        </is>
      </c>
      <c r="O2538" s="45" t="n">
        <v>42766.83333333334</v>
      </c>
      <c r="P2538" s="46" t="n">
        <v>42766</v>
      </c>
      <c r="Q2538" s="44" t="n">
        <v>734</v>
      </c>
      <c r="R2538" s="44" t="inlineStr">
        <is>
          <t>No Video ID yet</t>
        </is>
      </c>
      <c r="S2538" s="46" t="n"/>
      <c r="T2538" s="46" t="n"/>
      <c r="U2538" s="44" t="n"/>
      <c r="V2538" s="44">
        <f>IF(AND(P2538&gt;=Calendar!$K$2,P2538&lt;EDATE(Calendar!$K$2,1),OR(Calendar!$K$4="*",N2538=Calendar!$K$4)),P2538*100+COUNTIFS($P$6:$P$3271,P2538,$Q$6:$Q$3271,"&lt;="&amp;Q2538,$N$6:$N$3271,Calendar!$K$4),"")</f>
        <v/>
      </c>
      <c r="W2538" s="44">
        <f>IF(AND(B2538=Queue!$C$4,OR(Queue!$K$4="*",N2538=Queue!$K$4)),Q2538,"")</f>
        <v/>
      </c>
    </row>
    <row r="2539">
      <c r="A2539" s="35">
        <f>IF(M2539="","",HYPERLINK("https://www.youtube.com/watch?v="&amp;M2539,"▶"))</f>
        <v/>
      </c>
      <c r="B2539" s="36">
        <f>IF(C2539&lt;&gt;"",C2539,IF(P2539&lt;=IFERROR(INDEX(tblChannels[Watched Through],MATCH(N2539,tblChannels[Channel ID],0)),0),"Watched","Unwatched"))</f>
        <v/>
      </c>
      <c r="C2539" s="37" t="n"/>
      <c r="D2539" s="38" t="n"/>
      <c r="E2539" s="39" t="n">
        <v>42765.77222222222</v>
      </c>
      <c r="F2539" s="49" t="inlineStr">
        <is>
          <t>Super Carlin Gaming</t>
        </is>
      </c>
      <c r="G2539" t="inlineStr">
        <is>
          <t>Castle Crashers #8: J vs Iron Peach Round 3!</t>
        </is>
      </c>
      <c r="H2539" s="41" t="n">
        <v>0.0166087962962963</v>
      </c>
      <c r="I2539" s="42" t="n">
        <v>5790</v>
      </c>
      <c r="J2539" s="42" t="n">
        <v>145</v>
      </c>
      <c r="K2539" s="42" t="n">
        <v>82</v>
      </c>
      <c r="L2539" s="43" t="n"/>
      <c r="M2539" s="44" t="n"/>
      <c r="N2539" s="44" t="inlineStr">
        <is>
          <t>UCor_9jRnNNZVzTuQ92PKsaQ</t>
        </is>
      </c>
      <c r="O2539" s="45" t="n">
        <v>42765.98055555556</v>
      </c>
      <c r="P2539" s="46" t="n">
        <v>42765</v>
      </c>
      <c r="Q2539" s="44" t="n">
        <v>733</v>
      </c>
      <c r="R2539" s="44" t="inlineStr">
        <is>
          <t>No Video ID yet</t>
        </is>
      </c>
      <c r="S2539" s="46" t="n"/>
      <c r="T2539" s="46" t="n"/>
      <c r="U2539" s="44" t="n"/>
      <c r="V2539" s="44">
        <f>IF(AND(P2539&gt;=Calendar!$K$2,P2539&lt;EDATE(Calendar!$K$2,1),OR(Calendar!$K$4="*",N2539=Calendar!$K$4)),P2539*100+COUNTIFS($P$6:$P$3271,P2539,$Q$6:$Q$3271,"&lt;="&amp;Q2539,$N$6:$N$3271,Calendar!$K$4),"")</f>
        <v/>
      </c>
      <c r="W2539" s="44">
        <f>IF(AND(B2539=Queue!$C$4,OR(Queue!$K$4="*",N2539=Queue!$K$4)),Q2539,"")</f>
        <v/>
      </c>
    </row>
    <row r="2540">
      <c r="A2540" s="35">
        <f>IF(M2540="","",HYPERLINK("https://www.youtube.com/watch?v="&amp;M2540,"▶"))</f>
        <v/>
      </c>
      <c r="B2540" s="36">
        <f>IF(C2540&lt;&gt;"",C2540,IF(P2540&lt;=IFERROR(INDEX(tblChannels[Watched Through],MATCH(N2540,tblChannels[Channel ID],0)),0),"Watched","Unwatched"))</f>
        <v/>
      </c>
      <c r="C2540" s="37" t="n"/>
      <c r="D2540" s="38" t="n"/>
      <c r="E2540" s="39" t="n">
        <v>42762.70833333334</v>
      </c>
      <c r="F2540" s="49" t="inlineStr">
        <is>
          <t>Super Carlin Gaming</t>
        </is>
      </c>
      <c r="G2540" t="inlineStr">
        <is>
          <t>Castle Crashers #7: Super Corny</t>
        </is>
      </c>
      <c r="H2540" s="41" t="n">
        <v>0.01356481481481481</v>
      </c>
      <c r="I2540" s="42" t="n">
        <v>5537</v>
      </c>
      <c r="J2540" s="42" t="n">
        <v>144</v>
      </c>
      <c r="K2540" s="42" t="n">
        <v>34</v>
      </c>
      <c r="L2540" s="43" t="n"/>
      <c r="M2540" s="44" t="n"/>
      <c r="N2540" s="44" t="inlineStr">
        <is>
          <t>UCor_9jRnNNZVzTuQ92PKsaQ</t>
        </is>
      </c>
      <c r="O2540" s="45" t="n">
        <v>42762.91666666666</v>
      </c>
      <c r="P2540" s="46" t="n">
        <v>42762</v>
      </c>
      <c r="Q2540" s="44" t="n">
        <v>732</v>
      </c>
      <c r="R2540" s="44" t="inlineStr">
        <is>
          <t>No Video ID yet</t>
        </is>
      </c>
      <c r="S2540" s="46" t="n"/>
      <c r="T2540" s="46" t="n"/>
      <c r="U2540" s="44" t="n"/>
      <c r="V2540" s="44">
        <f>IF(AND(P2540&gt;=Calendar!$K$2,P2540&lt;EDATE(Calendar!$K$2,1),OR(Calendar!$K$4="*",N2540=Calendar!$K$4)),P2540*100+COUNTIFS($P$6:$P$3271,P2540,$Q$6:$Q$3271,"&lt;="&amp;Q2540,$N$6:$N$3271,Calendar!$K$4),"")</f>
        <v/>
      </c>
      <c r="W2540" s="44">
        <f>IF(AND(B2540=Queue!$C$4,OR(Queue!$K$4="*",N2540=Queue!$K$4)),Q2540,"")</f>
        <v/>
      </c>
    </row>
    <row r="2541">
      <c r="A2541" s="35">
        <f>IF(M2541="","",HYPERLINK("https://www.youtube.com/watch?v="&amp;M2541,"▶"))</f>
        <v/>
      </c>
      <c r="B2541" s="36">
        <f>IF(C2541&lt;&gt;"",C2541,IF(P2541&lt;=IFERROR(INDEX(tblChannels[Watched Through],MATCH(N2541,tblChannels[Channel ID],0)),0),"Watched","Unwatched"))</f>
        <v/>
      </c>
      <c r="C2541" s="37" t="n"/>
      <c r="D2541" s="38" t="n"/>
      <c r="E2541" s="39" t="n">
        <v>42761.74236111111</v>
      </c>
      <c r="F2541" s="47" t="inlineStr">
        <is>
          <t>Super Carlin Brothers</t>
        </is>
      </c>
      <c r="G2541" t="inlineStr">
        <is>
          <t>Did Pixar Confirm The Pixar Theory?!</t>
        </is>
      </c>
      <c r="H2541" s="41" t="n">
        <v>0.0046875</v>
      </c>
      <c r="I2541" s="42" t="n">
        <v>1232357</v>
      </c>
      <c r="J2541" s="42" t="n">
        <v>34137</v>
      </c>
      <c r="K2541" s="42" t="n">
        <v>2867</v>
      </c>
      <c r="L2541" s="43" t="n"/>
      <c r="M2541" s="44" t="n"/>
      <c r="N2541" s="44" t="inlineStr">
        <is>
          <t>UCKZo4N0lVPccBkSiuyVh4yg</t>
        </is>
      </c>
      <c r="O2541" s="45" t="n">
        <v>42761.95069444444</v>
      </c>
      <c r="P2541" s="46" t="n">
        <v>42761</v>
      </c>
      <c r="Q2541" s="44" t="n">
        <v>731</v>
      </c>
      <c r="R2541" s="44" t="inlineStr">
        <is>
          <t>No Video ID yet</t>
        </is>
      </c>
      <c r="S2541" s="46" t="n"/>
      <c r="T2541" s="46" t="n"/>
      <c r="U2541" s="44" t="n"/>
      <c r="V2541" s="44">
        <f>IF(AND(P2541&gt;=Calendar!$K$2,P2541&lt;EDATE(Calendar!$K$2,1),OR(Calendar!$K$4="*",N2541=Calendar!$K$4)),P2541*100+COUNTIFS($P$6:$P$3271,P2541,$Q$6:$Q$3271,"&lt;="&amp;Q2541,$N$6:$N$3271,Calendar!$K$4),"")</f>
        <v/>
      </c>
      <c r="W2541" s="44">
        <f>IF(AND(B2541=Queue!$C$4,OR(Queue!$K$4="*",N2541=Queue!$K$4)),Q2541,"")</f>
        <v/>
      </c>
    </row>
    <row r="2542">
      <c r="A2542" s="35">
        <f>IF(M2542="","",HYPERLINK("https://www.youtube.com/watch?v="&amp;M2542,"▶"))</f>
        <v/>
      </c>
      <c r="B2542" s="36">
        <f>IF(C2542&lt;&gt;"",C2542,IF(P2542&lt;=IFERROR(INDEX(tblChannels[Watched Through],MATCH(N2542,tblChannels[Channel ID],0)),0),"Watched","Unwatched"))</f>
        <v/>
      </c>
      <c r="C2542" s="37" t="n"/>
      <c r="D2542" s="38" t="n"/>
      <c r="E2542" s="39" t="n">
        <v>42760.70833333334</v>
      </c>
      <c r="F2542" s="49" t="inlineStr">
        <is>
          <t>Super Carlin Gaming</t>
        </is>
      </c>
      <c r="G2542" t="inlineStr">
        <is>
          <t>Castle Crashers #6: TEAM GIRAFFALENT!</t>
        </is>
      </c>
      <c r="H2542" s="41" t="n">
        <v>0.01461805555555556</v>
      </c>
      <c r="I2542" s="42" t="n">
        <v>5997</v>
      </c>
      <c r="J2542" s="42" t="n">
        <v>146</v>
      </c>
      <c r="K2542" s="42" t="n">
        <v>117</v>
      </c>
      <c r="L2542" s="43" t="n"/>
      <c r="M2542" s="44" t="n"/>
      <c r="N2542" s="44" t="inlineStr">
        <is>
          <t>UCor_9jRnNNZVzTuQ92PKsaQ</t>
        </is>
      </c>
      <c r="O2542" s="45" t="n">
        <v>42760.91666666666</v>
      </c>
      <c r="P2542" s="46" t="n">
        <v>42760</v>
      </c>
      <c r="Q2542" s="44" t="n">
        <v>730</v>
      </c>
      <c r="R2542" s="44" t="inlineStr">
        <is>
          <t>No Video ID yet</t>
        </is>
      </c>
      <c r="S2542" s="46" t="n"/>
      <c r="T2542" s="46" t="n"/>
      <c r="U2542" s="44" t="n"/>
      <c r="V2542" s="44">
        <f>IF(AND(P2542&gt;=Calendar!$K$2,P2542&lt;EDATE(Calendar!$K$2,1),OR(Calendar!$K$4="*",N2542=Calendar!$K$4)),P2542*100+COUNTIFS($P$6:$P$3271,P2542,$Q$6:$Q$3271,"&lt;="&amp;Q2542,$N$6:$N$3271,Calendar!$K$4),"")</f>
        <v/>
      </c>
      <c r="W2542" s="44">
        <f>IF(AND(B2542=Queue!$C$4,OR(Queue!$K$4="*",N2542=Queue!$K$4)),Q2542,"")</f>
        <v/>
      </c>
    </row>
    <row r="2543">
      <c r="A2543" s="35">
        <f>IF(M2543="","",HYPERLINK("https://www.youtube.com/watch?v="&amp;M2543,"▶"))</f>
        <v/>
      </c>
      <c r="B2543" s="36">
        <f>IF(C2543&lt;&gt;"",C2543,IF(P2543&lt;=IFERROR(INDEX(tblChannels[Watched Through],MATCH(N2543,tblChannels[Channel ID],0)),0),"Watched","Unwatched"))</f>
        <v/>
      </c>
      <c r="C2543" s="37" t="n"/>
      <c r="D2543" s="38" t="n"/>
      <c r="E2543" s="39" t="n">
        <v>42759.67638888889</v>
      </c>
      <c r="F2543" s="47" t="inlineStr">
        <is>
          <t>Super Carlin Brothers</t>
        </is>
      </c>
      <c r="G2543" t="inlineStr">
        <is>
          <t>Top 5 Snubbed Disney Princes</t>
        </is>
      </c>
      <c r="H2543" s="41" t="n">
        <v>0.006111111111111111</v>
      </c>
      <c r="I2543" s="42" t="n">
        <v>880961</v>
      </c>
      <c r="J2543" s="42" t="n">
        <v>23808</v>
      </c>
      <c r="K2543" s="42" t="n">
        <v>5516</v>
      </c>
      <c r="L2543" s="43" t="n"/>
      <c r="M2543" s="44" t="n"/>
      <c r="N2543" s="44" t="inlineStr">
        <is>
          <t>UCKZo4N0lVPccBkSiuyVh4yg</t>
        </is>
      </c>
      <c r="O2543" s="45" t="n">
        <v>42759.88472222222</v>
      </c>
      <c r="P2543" s="46" t="n">
        <v>42759</v>
      </c>
      <c r="Q2543" s="44" t="n">
        <v>729</v>
      </c>
      <c r="R2543" s="44" t="inlineStr">
        <is>
          <t>No Video ID yet</t>
        </is>
      </c>
      <c r="S2543" s="46" t="n"/>
      <c r="T2543" s="46" t="n"/>
      <c r="U2543" s="44" t="n"/>
      <c r="V2543" s="44">
        <f>IF(AND(P2543&gt;=Calendar!$K$2,P2543&lt;EDATE(Calendar!$K$2,1),OR(Calendar!$K$4="*",N2543=Calendar!$K$4)),P2543*100+COUNTIFS($P$6:$P$3271,P2543,$Q$6:$Q$3271,"&lt;="&amp;Q2543,$N$6:$N$3271,Calendar!$K$4),"")</f>
        <v/>
      </c>
      <c r="W2543" s="44">
        <f>IF(AND(B2543=Queue!$C$4,OR(Queue!$K$4="*",N2543=Queue!$K$4)),Q2543,"")</f>
        <v/>
      </c>
    </row>
    <row r="2544">
      <c r="A2544" s="35">
        <f>IF(M2544="","",HYPERLINK("https://www.youtube.com/watch?v="&amp;M2544,"▶"))</f>
        <v/>
      </c>
      <c r="B2544" s="36">
        <f>IF(C2544&lt;&gt;"",C2544,IF(P2544&lt;=IFERROR(INDEX(tblChannels[Watched Through],MATCH(N2544,tblChannels[Channel ID],0)),0),"Watched","Unwatched"))</f>
        <v/>
      </c>
      <c r="C2544" s="37" t="n"/>
      <c r="D2544" s="38" t="n"/>
      <c r="E2544" s="39" t="n">
        <v>42758.70833333334</v>
      </c>
      <c r="F2544" s="49" t="inlineStr">
        <is>
          <t>Super Carlin Gaming</t>
        </is>
      </c>
      <c r="G2544" t="inlineStr">
        <is>
          <t>Castle Crashers #5: BOOBY TRAPPED!</t>
        </is>
      </c>
      <c r="H2544" s="41" t="n">
        <v>0.01125</v>
      </c>
      <c r="I2544" s="42" t="n">
        <v>5990</v>
      </c>
      <c r="J2544" s="42" t="n">
        <v>151</v>
      </c>
      <c r="K2544" s="42" t="n">
        <v>45</v>
      </c>
      <c r="L2544" s="43" t="n"/>
      <c r="M2544" s="44" t="n"/>
      <c r="N2544" s="44" t="inlineStr">
        <is>
          <t>UCor_9jRnNNZVzTuQ92PKsaQ</t>
        </is>
      </c>
      <c r="O2544" s="45" t="n">
        <v>42758.91666666666</v>
      </c>
      <c r="P2544" s="46" t="n">
        <v>42758</v>
      </c>
      <c r="Q2544" s="44" t="n">
        <v>728</v>
      </c>
      <c r="R2544" s="44" t="inlineStr">
        <is>
          <t>No Video ID yet</t>
        </is>
      </c>
      <c r="S2544" s="46" t="n"/>
      <c r="T2544" s="46" t="n"/>
      <c r="U2544" s="44" t="n"/>
      <c r="V2544" s="44">
        <f>IF(AND(P2544&gt;=Calendar!$K$2,P2544&lt;EDATE(Calendar!$K$2,1),OR(Calendar!$K$4="*",N2544=Calendar!$K$4)),P2544*100+COUNTIFS($P$6:$P$3271,P2544,$Q$6:$Q$3271,"&lt;="&amp;Q2544,$N$6:$N$3271,Calendar!$K$4),"")</f>
        <v/>
      </c>
      <c r="W2544" s="44">
        <f>IF(AND(B2544=Queue!$C$4,OR(Queue!$K$4="*",N2544=Queue!$K$4)),Q2544,"")</f>
        <v/>
      </c>
    </row>
    <row r="2545">
      <c r="A2545" s="35">
        <f>IF(M2545="","",HYPERLINK("https://www.youtube.com/watch?v="&amp;M2545,"▶"))</f>
        <v/>
      </c>
      <c r="B2545" s="36">
        <f>IF(C2545&lt;&gt;"",C2545,IF(P2545&lt;=IFERROR(INDEX(tblChannels[Watched Through],MATCH(N2545,tblChannels[Channel ID],0)),0),"Watched","Unwatched"))</f>
        <v/>
      </c>
      <c r="C2545" s="37" t="n"/>
      <c r="D2545" s="38" t="n"/>
      <c r="E2545" s="39" t="n">
        <v>42754.81319444445</v>
      </c>
      <c r="F2545" s="47" t="inlineStr">
        <is>
          <t>Super Carlin Brothers</t>
        </is>
      </c>
      <c r="G2545" t="inlineStr">
        <is>
          <t>Star Wars Theory: The Truth About Captain Phasma</t>
        </is>
      </c>
      <c r="H2545" s="41" t="n">
        <v>0.006273148148148148</v>
      </c>
      <c r="I2545" s="42" t="n">
        <v>702201</v>
      </c>
      <c r="J2545" s="42" t="n">
        <v>18263</v>
      </c>
      <c r="K2545" s="42" t="n">
        <v>2883</v>
      </c>
      <c r="L2545" s="43" t="n"/>
      <c r="M2545" s="44" t="n"/>
      <c r="N2545" s="44" t="inlineStr">
        <is>
          <t>UCKZo4N0lVPccBkSiuyVh4yg</t>
        </is>
      </c>
      <c r="O2545" s="45" t="n">
        <v>42755.02152777778</v>
      </c>
      <c r="P2545" s="46" t="n">
        <v>42754</v>
      </c>
      <c r="Q2545" s="44" t="n">
        <v>727</v>
      </c>
      <c r="R2545" s="44" t="inlineStr">
        <is>
          <t>No Video ID yet</t>
        </is>
      </c>
      <c r="S2545" s="46" t="n"/>
      <c r="T2545" s="46" t="n"/>
      <c r="U2545" s="44" t="n"/>
      <c r="V2545" s="44">
        <f>IF(AND(P2545&gt;=Calendar!$K$2,P2545&lt;EDATE(Calendar!$K$2,1),OR(Calendar!$K$4="*",N2545=Calendar!$K$4)),P2545*100+COUNTIFS($P$6:$P$3271,P2545,$Q$6:$Q$3271,"&lt;="&amp;Q2545,$N$6:$N$3271,Calendar!$K$4),"")</f>
        <v/>
      </c>
      <c r="W2545" s="44">
        <f>IF(AND(B2545=Queue!$C$4,OR(Queue!$K$4="*",N2545=Queue!$K$4)),Q2545,"")</f>
        <v/>
      </c>
    </row>
    <row r="2546">
      <c r="A2546" s="35">
        <f>IF(M2546="","",HYPERLINK("https://www.youtube.com/watch?v="&amp;M2546,"▶"))</f>
        <v/>
      </c>
      <c r="B2546" s="36">
        <f>IF(C2546&lt;&gt;"",C2546,IF(P2546&lt;=IFERROR(INDEX(tblChannels[Watched Through],MATCH(N2546,tblChannels[Channel ID],0)),0),"Watched","Unwatched"))</f>
        <v/>
      </c>
      <c r="C2546" s="37" t="n"/>
      <c r="D2546" s="38" t="n"/>
      <c r="E2546" s="39" t="n">
        <v>42752.78333333333</v>
      </c>
      <c r="F2546" s="47" t="inlineStr">
        <is>
          <t>Super Carlin Brothers</t>
        </is>
      </c>
      <c r="G2546" t="inlineStr">
        <is>
          <t>Do I Deserve Google Autofill</t>
        </is>
      </c>
      <c r="H2546" s="41" t="n">
        <v>0.004398148148148148</v>
      </c>
      <c r="I2546" s="42" t="n">
        <v>355822</v>
      </c>
      <c r="J2546" s="42" t="n">
        <v>11614</v>
      </c>
      <c r="K2546" s="42" t="n">
        <v>2015</v>
      </c>
      <c r="L2546" s="43" t="n"/>
      <c r="M2546" s="44" t="n"/>
      <c r="N2546" s="44" t="inlineStr">
        <is>
          <t>UCKZo4N0lVPccBkSiuyVh4yg</t>
        </is>
      </c>
      <c r="O2546" s="45" t="n">
        <v>42752.99166666667</v>
      </c>
      <c r="P2546" s="46" t="n">
        <v>42752</v>
      </c>
      <c r="Q2546" s="44" t="n">
        <v>726</v>
      </c>
      <c r="R2546" s="44" t="inlineStr">
        <is>
          <t>No Video ID yet</t>
        </is>
      </c>
      <c r="S2546" s="46" t="n"/>
      <c r="T2546" s="46" t="n"/>
      <c r="U2546" s="44" t="n"/>
      <c r="V2546" s="44">
        <f>IF(AND(P2546&gt;=Calendar!$K$2,P2546&lt;EDATE(Calendar!$K$2,1),OR(Calendar!$K$4="*",N2546=Calendar!$K$4)),P2546*100+COUNTIFS($P$6:$P$3271,P2546,$Q$6:$Q$3271,"&lt;="&amp;Q2546,$N$6:$N$3271,Calendar!$K$4),"")</f>
        <v/>
      </c>
      <c r="W2546" s="44">
        <f>IF(AND(B2546=Queue!$C$4,OR(Queue!$K$4="*",N2546=Queue!$K$4)),Q2546,"")</f>
        <v/>
      </c>
    </row>
    <row r="2547">
      <c r="A2547" s="35">
        <f>IF(M2547="","",HYPERLINK("https://www.youtube.com/watch?v="&amp;M2547,"▶"))</f>
        <v/>
      </c>
      <c r="B2547" s="36">
        <f>IF(C2547&lt;&gt;"",C2547,IF(P2547&lt;=IFERROR(INDEX(tblChannels[Watched Through],MATCH(N2547,tblChannels[Channel ID],0)),0),"Watched","Unwatched"))</f>
        <v/>
      </c>
      <c r="C2547" s="37" t="n"/>
      <c r="D2547" s="38" t="n"/>
      <c r="E2547" s="39" t="n">
        <v>42747.78125</v>
      </c>
      <c r="F2547" s="47" t="inlineStr">
        <is>
          <t>Super Carlin Brothers</t>
        </is>
      </c>
      <c r="G2547" t="inlineStr">
        <is>
          <t>Will Cars 3 Be The Sequel We Deserve?</t>
        </is>
      </c>
      <c r="H2547" s="41" t="n">
        <v>0.00693287037037037</v>
      </c>
      <c r="I2547" s="42" t="n">
        <v>610863</v>
      </c>
      <c r="J2547" s="42" t="n">
        <v>14837</v>
      </c>
      <c r="K2547" s="42" t="n">
        <v>2689</v>
      </c>
      <c r="L2547" s="43" t="n"/>
      <c r="M2547" s="44" t="n"/>
      <c r="N2547" s="44" t="inlineStr">
        <is>
          <t>UCKZo4N0lVPccBkSiuyVh4yg</t>
        </is>
      </c>
      <c r="O2547" s="45" t="n">
        <v>42747.98958333334</v>
      </c>
      <c r="P2547" s="46" t="n">
        <v>42747</v>
      </c>
      <c r="Q2547" s="44" t="n">
        <v>725</v>
      </c>
      <c r="R2547" s="44" t="inlineStr">
        <is>
          <t>No Video ID yet</t>
        </is>
      </c>
      <c r="S2547" s="46" t="n"/>
      <c r="T2547" s="46" t="n"/>
      <c r="U2547" s="44" t="n"/>
      <c r="V2547" s="44">
        <f>IF(AND(P2547&gt;=Calendar!$K$2,P2547&lt;EDATE(Calendar!$K$2,1),OR(Calendar!$K$4="*",N2547=Calendar!$K$4)),P2547*100+COUNTIFS($P$6:$P$3271,P2547,$Q$6:$Q$3271,"&lt;="&amp;Q2547,$N$6:$N$3271,Calendar!$K$4),"")</f>
        <v/>
      </c>
      <c r="W2547" s="44">
        <f>IF(AND(B2547=Queue!$C$4,OR(Queue!$K$4="*",N2547=Queue!$K$4)),Q2547,"")</f>
        <v/>
      </c>
    </row>
    <row r="2548">
      <c r="A2548" s="35">
        <f>IF(M2548="","",HYPERLINK("https://www.youtube.com/watch?v="&amp;M2548,"▶"))</f>
        <v/>
      </c>
      <c r="B2548" s="36">
        <f>IF(C2548&lt;&gt;"",C2548,IF(P2548&lt;=IFERROR(INDEX(tblChannels[Watched Through],MATCH(N2548,tblChannels[Channel ID],0)),0),"Watched","Unwatched"))</f>
        <v/>
      </c>
      <c r="C2548" s="37" t="n"/>
      <c r="D2548" s="38" t="n"/>
      <c r="E2548" s="39" t="n">
        <v>42745.58888888889</v>
      </c>
      <c r="F2548" s="47" t="inlineStr">
        <is>
          <t>Super Carlin Brothers</t>
        </is>
      </c>
      <c r="G2548" t="inlineStr">
        <is>
          <t>Anna and Elsa Are NOT Disney Princesses?!</t>
        </is>
      </c>
      <c r="H2548" s="41" t="n">
        <v>0.004953703703703704</v>
      </c>
      <c r="I2548" s="42" t="n">
        <v>783795</v>
      </c>
      <c r="J2548" s="42" t="n">
        <v>21958</v>
      </c>
      <c r="K2548" s="42" t="n">
        <v>3525</v>
      </c>
      <c r="L2548" s="43" t="n"/>
      <c r="M2548" s="44" t="n"/>
      <c r="N2548" s="44" t="inlineStr">
        <is>
          <t>UCKZo4N0lVPccBkSiuyVh4yg</t>
        </is>
      </c>
      <c r="O2548" s="45" t="n">
        <v>42745.79722222222</v>
      </c>
      <c r="P2548" s="46" t="n">
        <v>42745</v>
      </c>
      <c r="Q2548" s="44" t="n">
        <v>724</v>
      </c>
      <c r="R2548" s="44" t="inlineStr">
        <is>
          <t>No Video ID yet</t>
        </is>
      </c>
      <c r="S2548" s="46" t="n"/>
      <c r="T2548" s="46" t="n"/>
      <c r="U2548" s="44" t="n"/>
      <c r="V2548" s="44">
        <f>IF(AND(P2548&gt;=Calendar!$K$2,P2548&lt;EDATE(Calendar!$K$2,1),OR(Calendar!$K$4="*",N2548=Calendar!$K$4)),P2548*100+COUNTIFS($P$6:$P$3271,P2548,$Q$6:$Q$3271,"&lt;="&amp;Q2548,$N$6:$N$3271,Calendar!$K$4),"")</f>
        <v/>
      </c>
      <c r="W2548" s="44">
        <f>IF(AND(B2548=Queue!$C$4,OR(Queue!$K$4="*",N2548=Queue!$K$4)),Q2548,"")</f>
        <v/>
      </c>
    </row>
    <row r="2549">
      <c r="A2549" s="35">
        <f>IF(M2549="","",HYPERLINK("https://www.youtube.com/watch?v="&amp;M2549,"▶"))</f>
        <v/>
      </c>
      <c r="B2549" s="36">
        <f>IF(C2549&lt;&gt;"",C2549,IF(P2549&lt;=IFERROR(INDEX(tblChannels[Watched Through],MATCH(N2549,tblChannels[Channel ID],0)),0),"Watched","Unwatched"))</f>
        <v/>
      </c>
      <c r="C2549" s="37" t="n"/>
      <c r="D2549" s="38" t="n"/>
      <c r="E2549" s="39" t="n">
        <v>42740.76736111111</v>
      </c>
      <c r="F2549" s="47" t="inlineStr">
        <is>
          <t>Super Carlin Brothers</t>
        </is>
      </c>
      <c r="G2549" t="inlineStr">
        <is>
          <t>Why Does Yoda Use A Cane?</t>
        </is>
      </c>
      <c r="H2549" s="41" t="n">
        <v>0.004467592592592592</v>
      </c>
      <c r="I2549" s="42" t="n">
        <v>906806</v>
      </c>
      <c r="J2549" s="42" t="n">
        <v>18812</v>
      </c>
      <c r="K2549" s="42" t="n">
        <v>4014</v>
      </c>
      <c r="L2549" s="43" t="n"/>
      <c r="M2549" s="44" t="n"/>
      <c r="N2549" s="44" t="inlineStr">
        <is>
          <t>UCKZo4N0lVPccBkSiuyVh4yg</t>
        </is>
      </c>
      <c r="O2549" s="45" t="n">
        <v>42740.97569444445</v>
      </c>
      <c r="P2549" s="46" t="n">
        <v>42740</v>
      </c>
      <c r="Q2549" s="44" t="n">
        <v>723</v>
      </c>
      <c r="R2549" s="44" t="inlineStr">
        <is>
          <t>No Video ID yet</t>
        </is>
      </c>
      <c r="S2549" s="46" t="n"/>
      <c r="T2549" s="46" t="n"/>
      <c r="U2549" s="44" t="n"/>
      <c r="V2549" s="44">
        <f>IF(AND(P2549&gt;=Calendar!$K$2,P2549&lt;EDATE(Calendar!$K$2,1),OR(Calendar!$K$4="*",N2549=Calendar!$K$4)),P2549*100+COUNTIFS($P$6:$P$3271,P2549,$Q$6:$Q$3271,"&lt;="&amp;Q2549,$N$6:$N$3271,Calendar!$K$4),"")</f>
        <v/>
      </c>
      <c r="W2549" s="44">
        <f>IF(AND(B2549=Queue!$C$4,OR(Queue!$K$4="*",N2549=Queue!$K$4)),Q2549,"")</f>
        <v/>
      </c>
    </row>
    <row r="2550">
      <c r="A2550" s="35">
        <f>IF(M2550="","",HYPERLINK("https://www.youtube.com/watch?v="&amp;M2550,"▶"))</f>
        <v/>
      </c>
      <c r="B2550" s="36">
        <f>IF(C2550&lt;&gt;"",C2550,IF(P2550&lt;=IFERROR(INDEX(tblChannels[Watched Through],MATCH(N2550,tblChannels[Channel ID],0)),0),"Watched","Unwatched"))</f>
        <v/>
      </c>
      <c r="C2550" s="37" t="n"/>
      <c r="D2550" s="38" t="n"/>
      <c r="E2550" s="39" t="n">
        <v>42738.66527777778</v>
      </c>
      <c r="F2550" s="47" t="inlineStr">
        <is>
          <t>Super Carlin Brothers</t>
        </is>
      </c>
      <c r="G2550" t="inlineStr">
        <is>
          <t>Should Vanellope Be A Disney Princess?</t>
        </is>
      </c>
      <c r="H2550" s="41" t="n">
        <v>0.006203703703703703</v>
      </c>
      <c r="I2550" s="42" t="n">
        <v>1472289</v>
      </c>
      <c r="J2550" s="42" t="n">
        <v>27312</v>
      </c>
      <c r="K2550" s="42" t="n">
        <v>6133</v>
      </c>
      <c r="L2550" s="43" t="n"/>
      <c r="M2550" s="44" t="n"/>
      <c r="N2550" s="44" t="inlineStr">
        <is>
          <t>UCKZo4N0lVPccBkSiuyVh4yg</t>
        </is>
      </c>
      <c r="O2550" s="45" t="n">
        <v>42738.87361111111</v>
      </c>
      <c r="P2550" s="46" t="n">
        <v>42738</v>
      </c>
      <c r="Q2550" s="44" t="n">
        <v>722</v>
      </c>
      <c r="R2550" s="44" t="inlineStr">
        <is>
          <t>No Video ID yet</t>
        </is>
      </c>
      <c r="S2550" s="46" t="n"/>
      <c r="T2550" s="46" t="n"/>
      <c r="U2550" s="44" t="n"/>
      <c r="V2550" s="44">
        <f>IF(AND(P2550&gt;=Calendar!$K$2,P2550&lt;EDATE(Calendar!$K$2,1),OR(Calendar!$K$4="*",N2550=Calendar!$K$4)),P2550*100+COUNTIFS($P$6:$P$3271,P2550,$Q$6:$Q$3271,"&lt;="&amp;Q2550,$N$6:$N$3271,Calendar!$K$4),"")</f>
        <v/>
      </c>
      <c r="W2550" s="44">
        <f>IF(AND(B2550=Queue!$C$4,OR(Queue!$K$4="*",N2550=Queue!$K$4)),Q2550,"")</f>
        <v/>
      </c>
    </row>
    <row r="2551">
      <c r="A2551" s="35">
        <f>IF(M2551="","",HYPERLINK("https://www.youtube.com/watch?v="&amp;M2551,"▶"))</f>
        <v/>
      </c>
      <c r="B2551" s="36">
        <f>IF(C2551&lt;&gt;"",C2551,IF(P2551&lt;=IFERROR(INDEX(tblChannels[Watched Through],MATCH(N2551,tblChannels[Channel ID],0)),0),"Watched","Unwatched"))</f>
        <v/>
      </c>
      <c r="C2551" s="37" t="n"/>
      <c r="D2551" s="38" t="n"/>
      <c r="E2551" s="39" t="n">
        <v>42735.53402777778</v>
      </c>
      <c r="F2551" s="47" t="inlineStr">
        <is>
          <t>Super Carlin Brothers</t>
        </is>
      </c>
      <c r="G2551" t="inlineStr">
        <is>
          <t>Loot Crate Unboxing | REVOLUTION</t>
        </is>
      </c>
      <c r="H2551" s="41" t="n">
        <v>0.005219907407407407</v>
      </c>
      <c r="I2551" s="42" t="n">
        <v>89193</v>
      </c>
      <c r="J2551" s="42" t="n">
        <v>3015</v>
      </c>
      <c r="K2551" s="42" t="n">
        <v>809</v>
      </c>
      <c r="L2551" s="43" t="n"/>
      <c r="M2551" s="44" t="n"/>
      <c r="N2551" s="44" t="inlineStr">
        <is>
          <t>UCKZo4N0lVPccBkSiuyVh4yg</t>
        </is>
      </c>
      <c r="O2551" s="45" t="n">
        <v>42735.74236111111</v>
      </c>
      <c r="P2551" s="46" t="n">
        <v>42735</v>
      </c>
      <c r="Q2551" s="44" t="n">
        <v>721</v>
      </c>
      <c r="R2551" s="44" t="inlineStr">
        <is>
          <t>No Video ID yet</t>
        </is>
      </c>
      <c r="S2551" s="46" t="n"/>
      <c r="T2551" s="46" t="n"/>
      <c r="U2551" s="44" t="n"/>
      <c r="V2551" s="44">
        <f>IF(AND(P2551&gt;=Calendar!$K$2,P2551&lt;EDATE(Calendar!$K$2,1),OR(Calendar!$K$4="*",N2551=Calendar!$K$4)),P2551*100+COUNTIFS($P$6:$P$3271,P2551,$Q$6:$Q$3271,"&lt;="&amp;Q2551,$N$6:$N$3271,Calendar!$K$4),"")</f>
        <v/>
      </c>
      <c r="W2551" s="44">
        <f>IF(AND(B2551=Queue!$C$4,OR(Queue!$K$4="*",N2551=Queue!$K$4)),Q2551,"")</f>
        <v/>
      </c>
    </row>
    <row r="2552">
      <c r="A2552" s="35">
        <f>IF(M2552="","",HYPERLINK("https://www.youtube.com/watch?v="&amp;M2552,"▶"))</f>
        <v/>
      </c>
      <c r="B2552" s="36">
        <f>IF(C2552&lt;&gt;"",C2552,IF(P2552&lt;=IFERROR(INDEX(tblChannels[Watched Through],MATCH(N2552,tblChannels[Channel ID],0)),0),"Watched","Unwatched"))</f>
        <v/>
      </c>
      <c r="C2552" s="37" t="n"/>
      <c r="D2552" s="38" t="n"/>
      <c r="E2552" s="39" t="n">
        <v>42733.73819444444</v>
      </c>
      <c r="F2552" s="47" t="inlineStr">
        <is>
          <t>Super Carlin Brothers</t>
        </is>
      </c>
      <c r="G2552" t="inlineStr">
        <is>
          <t>Harry Potter Theory: Why Harry Wasn't An Obscurial</t>
        </is>
      </c>
      <c r="H2552" s="41" t="n">
        <v>0.004282407407407408</v>
      </c>
      <c r="I2552" s="42" t="n">
        <v>2144014</v>
      </c>
      <c r="J2552" s="42" t="n">
        <v>39426</v>
      </c>
      <c r="K2552" s="42" t="n">
        <v>4794</v>
      </c>
      <c r="L2552" s="43" t="n"/>
      <c r="M2552" s="44" t="n"/>
      <c r="N2552" s="44" t="inlineStr">
        <is>
          <t>UCKZo4N0lVPccBkSiuyVh4yg</t>
        </is>
      </c>
      <c r="O2552" s="45" t="n">
        <v>42733.94652777778</v>
      </c>
      <c r="P2552" s="46" t="n">
        <v>42733</v>
      </c>
      <c r="Q2552" s="44" t="n">
        <v>720</v>
      </c>
      <c r="R2552" s="44" t="inlineStr">
        <is>
          <t>No Video ID yet</t>
        </is>
      </c>
      <c r="S2552" s="46" t="n"/>
      <c r="T2552" s="46" t="n"/>
      <c r="U2552" s="44" t="n"/>
      <c r="V2552" s="44">
        <f>IF(AND(P2552&gt;=Calendar!$K$2,P2552&lt;EDATE(Calendar!$K$2,1),OR(Calendar!$K$4="*",N2552=Calendar!$K$4)),P2552*100+COUNTIFS($P$6:$P$3271,P2552,$Q$6:$Q$3271,"&lt;="&amp;Q2552,$N$6:$N$3271,Calendar!$K$4),"")</f>
        <v/>
      </c>
      <c r="W2552" s="44">
        <f>IF(AND(B2552=Queue!$C$4,OR(Queue!$K$4="*",N2552=Queue!$K$4)),Q2552,"")</f>
        <v/>
      </c>
    </row>
    <row r="2553">
      <c r="A2553" s="35">
        <f>IF(M2553="","",HYPERLINK("https://www.youtube.com/watch?v="&amp;M2553,"▶"))</f>
        <v/>
      </c>
      <c r="B2553" s="36">
        <f>IF(C2553&lt;&gt;"",C2553,IF(P2553&lt;=IFERROR(INDEX(tblChannels[Watched Through],MATCH(N2553,tblChannels[Channel ID],0)),0),"Watched","Unwatched"))</f>
        <v/>
      </c>
      <c r="C2553" s="37" t="n"/>
      <c r="D2553" s="38" t="n"/>
      <c r="E2553" s="39" t="n">
        <v>42729.5</v>
      </c>
      <c r="F2553" s="47" t="inlineStr">
        <is>
          <t>Super Carlin Brothers</t>
        </is>
      </c>
      <c r="G2553" t="inlineStr">
        <is>
          <t>Wall-E and the Meaning of Christmas</t>
        </is>
      </c>
      <c r="H2553" s="41" t="n">
        <v>0.005891203703703704</v>
      </c>
      <c r="I2553" s="42" t="n">
        <v>266342</v>
      </c>
      <c r="J2553" s="42" t="n">
        <v>9812</v>
      </c>
      <c r="K2553" s="42" t="n">
        <v>1997</v>
      </c>
      <c r="L2553" s="43" t="n"/>
      <c r="M2553" s="44" t="n"/>
      <c r="N2553" s="44" t="inlineStr">
        <is>
          <t>UCKZo4N0lVPccBkSiuyVh4yg</t>
        </is>
      </c>
      <c r="O2553" s="45" t="n">
        <v>42729.70833333334</v>
      </c>
      <c r="P2553" s="46" t="n">
        <v>42729</v>
      </c>
      <c r="Q2553" s="44" t="n">
        <v>719</v>
      </c>
      <c r="R2553" s="44" t="inlineStr">
        <is>
          <t>No Video ID yet</t>
        </is>
      </c>
      <c r="S2553" s="46" t="n"/>
      <c r="T2553" s="46" t="n"/>
      <c r="U2553" s="44" t="n"/>
      <c r="V2553" s="44">
        <f>IF(AND(P2553&gt;=Calendar!$K$2,P2553&lt;EDATE(Calendar!$K$2,1),OR(Calendar!$K$4="*",N2553=Calendar!$K$4)),P2553*100+COUNTIFS($P$6:$P$3271,P2553,$Q$6:$Q$3271,"&lt;="&amp;Q2553,$N$6:$N$3271,Calendar!$K$4),"")</f>
        <v/>
      </c>
      <c r="W2553" s="44">
        <f>IF(AND(B2553=Queue!$C$4,OR(Queue!$K$4="*",N2553=Queue!$K$4)),Q2553,"")</f>
        <v/>
      </c>
    </row>
    <row r="2554">
      <c r="A2554" s="35">
        <f>IF(M2554="","",HYPERLINK("https://www.youtube.com/watch?v="&amp;M2554,"▶"))</f>
        <v/>
      </c>
      <c r="B2554" s="36">
        <f>IF(C2554&lt;&gt;"",C2554,IF(P2554&lt;=IFERROR(INDEX(tblChannels[Watched Through],MATCH(N2554,tblChannels[Channel ID],0)),0),"Watched","Unwatched"))</f>
        <v/>
      </c>
      <c r="C2554" s="37" t="n"/>
      <c r="D2554" s="38" t="n"/>
      <c r="E2554" s="39" t="n">
        <v>42726.6625</v>
      </c>
      <c r="F2554" s="47" t="inlineStr">
        <is>
          <t>Super Carlin Brothers</t>
        </is>
      </c>
      <c r="G2554" t="inlineStr">
        <is>
          <t>Rogue One: A Star Wars Story | REVIEW</t>
        </is>
      </c>
      <c r="H2554" s="41" t="n">
        <v>0.03587962962962963</v>
      </c>
      <c r="I2554" s="42" t="n">
        <v>271397</v>
      </c>
      <c r="J2554" s="42" t="n">
        <v>7047</v>
      </c>
      <c r="K2554" s="42" t="n">
        <v>3056</v>
      </c>
      <c r="L2554" s="43" t="n"/>
      <c r="M2554" s="44" t="n"/>
      <c r="N2554" s="44" t="inlineStr">
        <is>
          <t>UCKZo4N0lVPccBkSiuyVh4yg</t>
        </is>
      </c>
      <c r="O2554" s="45" t="n">
        <v>42726.87083333333</v>
      </c>
      <c r="P2554" s="46" t="n">
        <v>42726</v>
      </c>
      <c r="Q2554" s="44" t="n">
        <v>718</v>
      </c>
      <c r="R2554" s="44" t="inlineStr">
        <is>
          <t>No Video ID yet</t>
        </is>
      </c>
      <c r="S2554" s="46" t="n"/>
      <c r="T2554" s="46" t="n"/>
      <c r="U2554" s="44" t="n"/>
      <c r="V2554" s="44">
        <f>IF(AND(P2554&gt;=Calendar!$K$2,P2554&lt;EDATE(Calendar!$K$2,1),OR(Calendar!$K$4="*",N2554=Calendar!$K$4)),P2554*100+COUNTIFS($P$6:$P$3271,P2554,$Q$6:$Q$3271,"&lt;="&amp;Q2554,$N$6:$N$3271,Calendar!$K$4),"")</f>
        <v/>
      </c>
      <c r="W2554" s="44">
        <f>IF(AND(B2554=Queue!$C$4,OR(Queue!$K$4="*",N2554=Queue!$K$4)),Q2554,"")</f>
        <v/>
      </c>
    </row>
    <row r="2555">
      <c r="A2555" s="35">
        <f>IF(M2555="","",HYPERLINK("https://www.youtube.com/watch?v="&amp;M2555,"▶"))</f>
        <v/>
      </c>
      <c r="B2555" s="36">
        <f>IF(C2555&lt;&gt;"",C2555,IF(P2555&lt;=IFERROR(INDEX(tblChannels[Watched Through],MATCH(N2555,tblChannels[Channel ID],0)),0),"Watched","Unwatched"))</f>
        <v/>
      </c>
      <c r="C2555" s="37" t="n"/>
      <c r="D2555" s="38" t="n"/>
      <c r="E2555" s="39" t="n">
        <v>42724.83055555556</v>
      </c>
      <c r="F2555" s="47" t="inlineStr">
        <is>
          <t>Super Carlin Brothers</t>
        </is>
      </c>
      <c r="G2555" t="inlineStr">
        <is>
          <t>Star Wars: Lightsaber Colors Explained</t>
        </is>
      </c>
      <c r="H2555" s="41" t="n">
        <v>0.006643518518518518</v>
      </c>
      <c r="I2555" s="42" t="n">
        <v>5179787</v>
      </c>
      <c r="J2555" s="42" t="n">
        <v>69914</v>
      </c>
      <c r="K2555" s="42" t="n">
        <v>22850</v>
      </c>
      <c r="L2555" s="43" t="n"/>
      <c r="M2555" s="44" t="n"/>
      <c r="N2555" s="44" t="inlineStr">
        <is>
          <t>UCKZo4N0lVPccBkSiuyVh4yg</t>
        </is>
      </c>
      <c r="O2555" s="45" t="n">
        <v>42725.03888888889</v>
      </c>
      <c r="P2555" s="46" t="n">
        <v>42724</v>
      </c>
      <c r="Q2555" s="44" t="n">
        <v>717</v>
      </c>
      <c r="R2555" s="44" t="inlineStr">
        <is>
          <t>No Video ID yet</t>
        </is>
      </c>
      <c r="S2555" s="46" t="n"/>
      <c r="T2555" s="46" t="n"/>
      <c r="U2555" s="44" t="n"/>
      <c r="V2555" s="44">
        <f>IF(AND(P2555&gt;=Calendar!$K$2,P2555&lt;EDATE(Calendar!$K$2,1),OR(Calendar!$K$4="*",N2555=Calendar!$K$4)),P2555*100+COUNTIFS($P$6:$P$3271,P2555,$Q$6:$Q$3271,"&lt;="&amp;Q2555,$N$6:$N$3271,Calendar!$K$4),"")</f>
        <v/>
      </c>
      <c r="W2555" s="44">
        <f>IF(AND(B2555=Queue!$C$4,OR(Queue!$K$4="*",N2555=Queue!$K$4)),Q2555,"")</f>
        <v/>
      </c>
    </row>
    <row r="2556">
      <c r="A2556" s="35">
        <f>IF(M2556="","",HYPERLINK("https://www.youtube.com/watch?v="&amp;M2556,"▶"))</f>
        <v/>
      </c>
      <c r="B2556" s="36">
        <f>IF(C2556&lt;&gt;"",C2556,IF(P2556&lt;=IFERROR(INDEX(tblChannels[Watched Through],MATCH(N2556,tblChannels[Channel ID],0)),0),"Watched","Unwatched"))</f>
        <v/>
      </c>
      <c r="C2556" s="37" t="n"/>
      <c r="D2556" s="38" t="n"/>
      <c r="E2556" s="39" t="n">
        <v>42719.80625</v>
      </c>
      <c r="F2556" s="47" t="inlineStr">
        <is>
          <t>Super Carlin Brothers</t>
        </is>
      </c>
      <c r="G2556" t="inlineStr">
        <is>
          <t>Tamatoa is REAL?!?</t>
        </is>
      </c>
      <c r="H2556" s="41" t="n">
        <v>0.004224537037037037</v>
      </c>
      <c r="I2556" s="42" t="n">
        <v>2624082</v>
      </c>
      <c r="J2556" s="42" t="n">
        <v>36855</v>
      </c>
      <c r="K2556" s="42" t="n">
        <v>7123</v>
      </c>
      <c r="L2556" s="43" t="n"/>
      <c r="M2556" s="44" t="n"/>
      <c r="N2556" s="44" t="inlineStr">
        <is>
          <t>UCKZo4N0lVPccBkSiuyVh4yg</t>
        </is>
      </c>
      <c r="O2556" s="45" t="n">
        <v>42720.01458333333</v>
      </c>
      <c r="P2556" s="46" t="n">
        <v>42719</v>
      </c>
      <c r="Q2556" s="44" t="n">
        <v>716</v>
      </c>
      <c r="R2556" s="44" t="inlineStr">
        <is>
          <t>No Video ID yet</t>
        </is>
      </c>
      <c r="S2556" s="46" t="n"/>
      <c r="T2556" s="46" t="n"/>
      <c r="U2556" s="44" t="n"/>
      <c r="V2556" s="44">
        <f>IF(AND(P2556&gt;=Calendar!$K$2,P2556&lt;EDATE(Calendar!$K$2,1),OR(Calendar!$K$4="*",N2556=Calendar!$K$4)),P2556*100+COUNTIFS($P$6:$P$3271,P2556,$Q$6:$Q$3271,"&lt;="&amp;Q2556,$N$6:$N$3271,Calendar!$K$4),"")</f>
        <v/>
      </c>
      <c r="W2556" s="44">
        <f>IF(AND(B2556=Queue!$C$4,OR(Queue!$K$4="*",N2556=Queue!$K$4)),Q2556,"")</f>
        <v/>
      </c>
    </row>
    <row r="2557">
      <c r="A2557" s="35">
        <f>IF(M2557="","",HYPERLINK("https://www.youtube.com/watch?v="&amp;M2557,"▶"))</f>
        <v/>
      </c>
      <c r="B2557" s="36">
        <f>IF(C2557&lt;&gt;"",C2557,IF(P2557&lt;=IFERROR(INDEX(tblChannels[Watched Through],MATCH(N2557,tblChannels[Channel ID],0)),0),"Watched","Unwatched"))</f>
        <v/>
      </c>
      <c r="C2557" s="37" t="n"/>
      <c r="D2557" s="38" t="n"/>
      <c r="E2557" s="39" t="n">
        <v>42717.68472222222</v>
      </c>
      <c r="F2557" s="47" t="inlineStr">
        <is>
          <t>Super Carlin Brothers</t>
        </is>
      </c>
      <c r="G2557" t="inlineStr">
        <is>
          <t>Is Olaf Google Autofill</t>
        </is>
      </c>
      <c r="H2557" s="41" t="n">
        <v>0.004976851851851852</v>
      </c>
      <c r="I2557" s="42" t="n">
        <v>448043</v>
      </c>
      <c r="J2557" s="42" t="n">
        <v>11588</v>
      </c>
      <c r="K2557" s="42" t="n">
        <v>3045</v>
      </c>
      <c r="L2557" s="43" t="n"/>
      <c r="M2557" s="44" t="n"/>
      <c r="N2557" s="44" t="inlineStr">
        <is>
          <t>UCKZo4N0lVPccBkSiuyVh4yg</t>
        </is>
      </c>
      <c r="O2557" s="45" t="n">
        <v>42717.89305555556</v>
      </c>
      <c r="P2557" s="46" t="n">
        <v>42717</v>
      </c>
      <c r="Q2557" s="44" t="n">
        <v>715</v>
      </c>
      <c r="R2557" s="44" t="inlineStr">
        <is>
          <t>No Video ID yet</t>
        </is>
      </c>
      <c r="S2557" s="46" t="n"/>
      <c r="T2557" s="46" t="n"/>
      <c r="U2557" s="44" t="n"/>
      <c r="V2557" s="44">
        <f>IF(AND(P2557&gt;=Calendar!$K$2,P2557&lt;EDATE(Calendar!$K$2,1),OR(Calendar!$K$4="*",N2557=Calendar!$K$4)),P2557*100+COUNTIFS($P$6:$P$3271,P2557,$Q$6:$Q$3271,"&lt;="&amp;Q2557,$N$6:$N$3271,Calendar!$K$4),"")</f>
        <v/>
      </c>
      <c r="W2557" s="44">
        <f>IF(AND(B2557=Queue!$C$4,OR(Queue!$K$4="*",N2557=Queue!$K$4)),Q2557,"")</f>
        <v/>
      </c>
    </row>
    <row r="2558">
      <c r="A2558" s="35">
        <f>IF(M2558="","",HYPERLINK("https://www.youtube.com/watch?v="&amp;M2558,"▶"))</f>
        <v/>
      </c>
      <c r="B2558" s="36">
        <f>IF(C2558&lt;&gt;"",C2558,IF(P2558&lt;=IFERROR(INDEX(tblChannels[Watched Through],MATCH(N2558,tblChannels[Channel ID],0)),0),"Watched","Unwatched"))</f>
        <v/>
      </c>
      <c r="C2558" s="37" t="n"/>
      <c r="D2558" s="38" t="n"/>
      <c r="E2558" s="39" t="n">
        <v>42712.83541666667</v>
      </c>
      <c r="F2558" s="47" t="inlineStr">
        <is>
          <t>Super Carlin Brothers</t>
        </is>
      </c>
      <c r="G2558" t="inlineStr">
        <is>
          <t>Star Wars Theory: Could Jyn Be Rey's Mother?!</t>
        </is>
      </c>
      <c r="H2558" s="41" t="n">
        <v>0.005497685185185185</v>
      </c>
      <c r="I2558" s="42" t="n">
        <v>322137</v>
      </c>
      <c r="J2558" s="42" t="n">
        <v>8353</v>
      </c>
      <c r="K2558" s="42" t="n">
        <v>2601</v>
      </c>
      <c r="L2558" s="43" t="n"/>
      <c r="M2558" s="44" t="n"/>
      <c r="N2558" s="44" t="inlineStr">
        <is>
          <t>UCKZo4N0lVPccBkSiuyVh4yg</t>
        </is>
      </c>
      <c r="O2558" s="45" t="n">
        <v>42713.04375</v>
      </c>
      <c r="P2558" s="46" t="n">
        <v>42712</v>
      </c>
      <c r="Q2558" s="44" t="n">
        <v>714</v>
      </c>
      <c r="R2558" s="44" t="inlineStr">
        <is>
          <t>No Video ID yet</t>
        </is>
      </c>
      <c r="S2558" s="46" t="n"/>
      <c r="T2558" s="46" t="n"/>
      <c r="U2558" s="44" t="n"/>
      <c r="V2558" s="44">
        <f>IF(AND(P2558&gt;=Calendar!$K$2,P2558&lt;EDATE(Calendar!$K$2,1),OR(Calendar!$K$4="*",N2558=Calendar!$K$4)),P2558*100+COUNTIFS($P$6:$P$3271,P2558,$Q$6:$Q$3271,"&lt;="&amp;Q2558,$N$6:$N$3271,Calendar!$K$4),"")</f>
        <v/>
      </c>
      <c r="W2558" s="44">
        <f>IF(AND(B2558=Queue!$C$4,OR(Queue!$K$4="*",N2558=Queue!$K$4)),Q2558,"")</f>
        <v/>
      </c>
    </row>
    <row r="2559">
      <c r="A2559" s="35">
        <f>IF(M2559="","",HYPERLINK("https://www.youtube.com/watch?v="&amp;M2559,"▶"))</f>
        <v/>
      </c>
      <c r="B2559" s="36">
        <f>IF(C2559&lt;&gt;"",C2559,IF(P2559&lt;=IFERROR(INDEX(tblChannels[Watched Through],MATCH(N2559,tblChannels[Channel ID],0)),0),"Watched","Unwatched"))</f>
        <v/>
      </c>
      <c r="C2559" s="37" t="n"/>
      <c r="D2559" s="38" t="n"/>
      <c r="E2559" s="39" t="n">
        <v>42710.82013888889</v>
      </c>
      <c r="F2559" s="47" t="inlineStr">
        <is>
          <t>Super Carlin Brothers</t>
        </is>
      </c>
      <c r="G2559" t="inlineStr">
        <is>
          <t>Top 10 Things To Look For In Star Wars Rogue One</t>
        </is>
      </c>
      <c r="H2559" s="41" t="n">
        <v>0.007685185185185186</v>
      </c>
      <c r="I2559" s="42" t="n">
        <v>237029</v>
      </c>
      <c r="J2559" s="42" t="n">
        <v>6644</v>
      </c>
      <c r="K2559" s="42" t="n">
        <v>2303</v>
      </c>
      <c r="L2559" s="43" t="n"/>
      <c r="M2559" s="44" t="n"/>
      <c r="N2559" s="44" t="inlineStr">
        <is>
          <t>UCKZo4N0lVPccBkSiuyVh4yg</t>
        </is>
      </c>
      <c r="O2559" s="45" t="n">
        <v>42711.02847222222</v>
      </c>
      <c r="P2559" s="46" t="n">
        <v>42710</v>
      </c>
      <c r="Q2559" s="44" t="n">
        <v>713</v>
      </c>
      <c r="R2559" s="44" t="inlineStr">
        <is>
          <t>No Video ID yet</t>
        </is>
      </c>
      <c r="S2559" s="46" t="n"/>
      <c r="T2559" s="46" t="n"/>
      <c r="U2559" s="44" t="n"/>
      <c r="V2559" s="44">
        <f>IF(AND(P2559&gt;=Calendar!$K$2,P2559&lt;EDATE(Calendar!$K$2,1),OR(Calendar!$K$4="*",N2559=Calendar!$K$4)),P2559*100+COUNTIFS($P$6:$P$3271,P2559,$Q$6:$Q$3271,"&lt;="&amp;Q2559,$N$6:$N$3271,Calendar!$K$4),"")</f>
        <v/>
      </c>
      <c r="W2559" s="44">
        <f>IF(AND(B2559=Queue!$C$4,OR(Queue!$K$4="*",N2559=Queue!$K$4)),Q2559,"")</f>
        <v/>
      </c>
    </row>
    <row r="2560">
      <c r="A2560" s="35">
        <f>IF(M2560="","",HYPERLINK("https://www.youtube.com/watch?v="&amp;M2560,"▶"))</f>
        <v/>
      </c>
      <c r="B2560" s="36">
        <f>IF(C2560&lt;&gt;"",C2560,IF(P2560&lt;=IFERROR(INDEX(tblChannels[Watched Through],MATCH(N2560,tblChannels[Channel ID],0)),0),"Watched","Unwatched"))</f>
        <v/>
      </c>
      <c r="C2560" s="37" t="n"/>
      <c r="D2560" s="38" t="n"/>
      <c r="E2560" s="39" t="n">
        <v>42710.53194444445</v>
      </c>
      <c r="F2560" s="49" t="inlineStr">
        <is>
          <t>Super Carlin Gaming</t>
        </is>
      </c>
      <c r="G2560" t="inlineStr">
        <is>
          <t>Pokemon HeartGold Nuzlocke #31: THE FINAL BATTLE</t>
        </is>
      </c>
      <c r="H2560" s="41" t="n">
        <v>0.01260416666666667</v>
      </c>
      <c r="I2560" s="42" t="n">
        <v>26169</v>
      </c>
      <c r="J2560" s="42" t="n">
        <v>616</v>
      </c>
      <c r="K2560" s="42" t="n">
        <v>149</v>
      </c>
      <c r="L2560" s="43" t="n"/>
      <c r="M2560" s="44" t="n"/>
      <c r="N2560" s="44" t="inlineStr">
        <is>
          <t>UCor_9jRnNNZVzTuQ92PKsaQ</t>
        </is>
      </c>
      <c r="O2560" s="45" t="n">
        <v>42710.74027777778</v>
      </c>
      <c r="P2560" s="46" t="n">
        <v>42710</v>
      </c>
      <c r="Q2560" s="44" t="n">
        <v>712</v>
      </c>
      <c r="R2560" s="44" t="inlineStr">
        <is>
          <t>No Video ID yet</t>
        </is>
      </c>
      <c r="S2560" s="46" t="n"/>
      <c r="T2560" s="46" t="n"/>
      <c r="U2560" s="44" t="n"/>
      <c r="V2560" s="44">
        <f>IF(AND(P2560&gt;=Calendar!$K$2,P2560&lt;EDATE(Calendar!$K$2,1),OR(Calendar!$K$4="*",N2560=Calendar!$K$4)),P2560*100+COUNTIFS($P$6:$P$3271,P2560,$Q$6:$Q$3271,"&lt;="&amp;Q2560,$N$6:$N$3271,Calendar!$K$4),"")</f>
        <v/>
      </c>
      <c r="W2560" s="44">
        <f>IF(AND(B2560=Queue!$C$4,OR(Queue!$K$4="*",N2560=Queue!$K$4)),Q2560,"")</f>
        <v/>
      </c>
    </row>
    <row r="2561">
      <c r="A2561" s="35">
        <f>IF(M2561="","",HYPERLINK("https://www.youtube.com/watch?v="&amp;M2561,"▶"))</f>
        <v/>
      </c>
      <c r="B2561" s="36">
        <f>IF(C2561&lt;&gt;"",C2561,IF(P2561&lt;=IFERROR(INDEX(tblChannels[Watched Through],MATCH(N2561,tblChannels[Channel ID],0)),0),"Watched","Unwatched"))</f>
        <v/>
      </c>
      <c r="C2561" s="37" t="n"/>
      <c r="D2561" s="38" t="n"/>
      <c r="E2561" s="39" t="n">
        <v>42707.625</v>
      </c>
      <c r="F2561" s="47" t="inlineStr">
        <is>
          <t>Super Carlin Brothers</t>
        </is>
      </c>
      <c r="G2561" t="inlineStr">
        <is>
          <t>Loot Crate Unboxing | MAGICAL</t>
        </is>
      </c>
      <c r="H2561" s="41" t="n">
        <v>0.005011574074074074</v>
      </c>
      <c r="I2561" s="42" t="n">
        <v>152533</v>
      </c>
      <c r="J2561" s="42" t="n">
        <v>5194</v>
      </c>
      <c r="K2561" s="42" t="n">
        <v>927</v>
      </c>
      <c r="L2561" s="43" t="n"/>
      <c r="M2561" s="44" t="n"/>
      <c r="N2561" s="44" t="inlineStr">
        <is>
          <t>UCKZo4N0lVPccBkSiuyVh4yg</t>
        </is>
      </c>
      <c r="O2561" s="45" t="n">
        <v>42707.83333333334</v>
      </c>
      <c r="P2561" s="46" t="n">
        <v>42707</v>
      </c>
      <c r="Q2561" s="44" t="n">
        <v>711</v>
      </c>
      <c r="R2561" s="44" t="inlineStr">
        <is>
          <t>No Video ID yet</t>
        </is>
      </c>
      <c r="S2561" s="46" t="n"/>
      <c r="T2561" s="46" t="n"/>
      <c r="U2561" s="44" t="n"/>
      <c r="V2561" s="44">
        <f>IF(AND(P2561&gt;=Calendar!$K$2,P2561&lt;EDATE(Calendar!$K$2,1),OR(Calendar!$K$4="*",N2561=Calendar!$K$4)),P2561*100+COUNTIFS($P$6:$P$3271,P2561,$Q$6:$Q$3271,"&lt;="&amp;Q2561,$N$6:$N$3271,Calendar!$K$4),"")</f>
        <v/>
      </c>
      <c r="W2561" s="44">
        <f>IF(AND(B2561=Queue!$C$4,OR(Queue!$K$4="*",N2561=Queue!$K$4)),Q2561,"")</f>
        <v/>
      </c>
    </row>
    <row r="2562">
      <c r="A2562" s="35">
        <f>IF(M2562="","",HYPERLINK("https://www.youtube.com/watch?v="&amp;M2562,"▶"))</f>
        <v/>
      </c>
      <c r="B2562" s="36">
        <f>IF(C2562&lt;&gt;"",C2562,IF(P2562&lt;=IFERROR(INDEX(tblChannels[Watched Through],MATCH(N2562,tblChannels[Channel ID],0)),0),"Watched","Unwatched"))</f>
        <v/>
      </c>
      <c r="C2562" s="37" t="n"/>
      <c r="D2562" s="38" t="n"/>
      <c r="E2562" s="39" t="n">
        <v>42706.02013888889</v>
      </c>
      <c r="F2562" s="47" t="inlineStr">
        <is>
          <t>Super Carlin Brothers</t>
        </is>
      </c>
      <c r="G2562" t="inlineStr">
        <is>
          <t>EVERY PIXAR MOVIE RANKED</t>
        </is>
      </c>
      <c r="H2562" s="41" t="n">
        <v>0.02390046296296296</v>
      </c>
      <c r="I2562" s="42" t="n">
        <v>1761327</v>
      </c>
      <c r="J2562" s="42" t="n">
        <v>45774</v>
      </c>
      <c r="K2562" s="42" t="n">
        <v>14291</v>
      </c>
      <c r="L2562" s="43" t="n"/>
      <c r="M2562" s="44" t="n"/>
      <c r="N2562" s="44" t="inlineStr">
        <is>
          <t>UCKZo4N0lVPccBkSiuyVh4yg</t>
        </is>
      </c>
      <c r="O2562" s="45" t="n">
        <v>42706.22847222222</v>
      </c>
      <c r="P2562" s="46" t="n">
        <v>42706</v>
      </c>
      <c r="Q2562" s="44" t="n">
        <v>710</v>
      </c>
      <c r="R2562" s="44" t="inlineStr">
        <is>
          <t>No Video ID yet</t>
        </is>
      </c>
      <c r="S2562" s="46" t="n"/>
      <c r="T2562" s="46" t="n"/>
      <c r="U2562" s="44" t="n"/>
      <c r="V2562" s="44">
        <f>IF(AND(P2562&gt;=Calendar!$K$2,P2562&lt;EDATE(Calendar!$K$2,1),OR(Calendar!$K$4="*",N2562=Calendar!$K$4)),P2562*100+COUNTIFS($P$6:$P$3271,P2562,$Q$6:$Q$3271,"&lt;="&amp;Q2562,$N$6:$N$3271,Calendar!$K$4),"")</f>
        <v/>
      </c>
      <c r="W2562" s="44">
        <f>IF(AND(B2562=Queue!$C$4,OR(Queue!$K$4="*",N2562=Queue!$K$4)),Q2562,"")</f>
        <v/>
      </c>
    </row>
    <row r="2563">
      <c r="A2563" s="35">
        <f>IF(M2563="","",HYPERLINK("https://www.youtube.com/watch?v="&amp;M2563,"▶"))</f>
        <v/>
      </c>
      <c r="B2563" s="36">
        <f>IF(C2563&lt;&gt;"",C2563,IF(P2563&lt;=IFERROR(INDEX(tblChannels[Watched Through],MATCH(N2563,tblChannels[Channel ID],0)),0),"Watched","Unwatched"))</f>
        <v/>
      </c>
      <c r="C2563" s="37" t="n"/>
      <c r="D2563" s="38" t="n"/>
      <c r="E2563" s="39" t="n">
        <v>42704.86458333334</v>
      </c>
      <c r="F2563" s="49" t="inlineStr">
        <is>
          <t>Super Carlin Gaming</t>
        </is>
      </c>
      <c r="G2563" t="inlineStr">
        <is>
          <t>Pokemon HeartGold Nuzlocke #30: ELITE 4 (Part 2)</t>
        </is>
      </c>
      <c r="H2563" s="41" t="n">
        <v>0.01608796296296296</v>
      </c>
      <c r="I2563" s="42" t="n">
        <v>16958</v>
      </c>
      <c r="J2563" s="42" t="n">
        <v>431</v>
      </c>
      <c r="K2563" s="42" t="n">
        <v>104</v>
      </c>
      <c r="L2563" s="43" t="n"/>
      <c r="M2563" s="44" t="n"/>
      <c r="N2563" s="44" t="inlineStr">
        <is>
          <t>UCor_9jRnNNZVzTuQ92PKsaQ</t>
        </is>
      </c>
      <c r="O2563" s="45" t="n">
        <v>42705.07291666666</v>
      </c>
      <c r="P2563" s="46" t="n">
        <v>42704</v>
      </c>
      <c r="Q2563" s="44" t="n">
        <v>709</v>
      </c>
      <c r="R2563" s="44" t="inlineStr">
        <is>
          <t>No Video ID yet</t>
        </is>
      </c>
      <c r="S2563" s="46" t="n"/>
      <c r="T2563" s="46" t="n"/>
      <c r="U2563" s="44" t="n"/>
      <c r="V2563" s="44">
        <f>IF(AND(P2563&gt;=Calendar!$K$2,P2563&lt;EDATE(Calendar!$K$2,1),OR(Calendar!$K$4="*",N2563=Calendar!$K$4)),P2563*100+COUNTIFS($P$6:$P$3271,P2563,$Q$6:$Q$3271,"&lt;="&amp;Q2563,$N$6:$N$3271,Calendar!$K$4),"")</f>
        <v/>
      </c>
      <c r="W2563" s="44">
        <f>IF(AND(B2563=Queue!$C$4,OR(Queue!$K$4="*",N2563=Queue!$K$4)),Q2563,"")</f>
        <v/>
      </c>
    </row>
    <row r="2564">
      <c r="A2564" s="35">
        <f>IF(M2564="","",HYPERLINK("https://www.youtube.com/watch?v="&amp;M2564,"▶"))</f>
        <v/>
      </c>
      <c r="B2564" s="36">
        <f>IF(C2564&lt;&gt;"",C2564,IF(P2564&lt;=IFERROR(INDEX(tblChannels[Watched Through],MATCH(N2564,tblChannels[Channel ID],0)),0),"Watched","Unwatched"))</f>
        <v/>
      </c>
      <c r="C2564" s="37" t="n"/>
      <c r="D2564" s="38" t="n"/>
      <c r="E2564" s="39" t="n">
        <v>42704.69652777778</v>
      </c>
      <c r="F2564" s="47" t="inlineStr">
        <is>
          <t>Super Carlin Brothers</t>
        </is>
      </c>
      <c r="G2564" t="inlineStr">
        <is>
          <t>SCB December GIVE-A-THON Announcement!</t>
        </is>
      </c>
      <c r="H2564" s="41" t="n">
        <v>0.00287037037037037</v>
      </c>
      <c r="I2564" s="42" t="n">
        <v>75445</v>
      </c>
      <c r="J2564" s="42" t="n">
        <v>5340</v>
      </c>
      <c r="K2564" s="42" t="n">
        <v>1128</v>
      </c>
      <c r="L2564" s="43" t="n"/>
      <c r="M2564" s="44" t="n"/>
      <c r="N2564" s="44" t="inlineStr">
        <is>
          <t>UCKZo4N0lVPccBkSiuyVh4yg</t>
        </is>
      </c>
      <c r="O2564" s="45" t="n">
        <v>42704.90486111111</v>
      </c>
      <c r="P2564" s="46" t="n">
        <v>42704</v>
      </c>
      <c r="Q2564" s="44" t="n">
        <v>708</v>
      </c>
      <c r="R2564" s="44" t="inlineStr">
        <is>
          <t>No Video ID yet</t>
        </is>
      </c>
      <c r="S2564" s="46" t="n"/>
      <c r="T2564" s="46" t="n"/>
      <c r="U2564" s="44" t="n"/>
      <c r="V2564" s="44">
        <f>IF(AND(P2564&gt;=Calendar!$K$2,P2564&lt;EDATE(Calendar!$K$2,1),OR(Calendar!$K$4="*",N2564=Calendar!$K$4)),P2564*100+COUNTIFS($P$6:$P$3271,P2564,$Q$6:$Q$3271,"&lt;="&amp;Q2564,$N$6:$N$3271,Calendar!$K$4),"")</f>
        <v/>
      </c>
      <c r="W2564" s="44">
        <f>IF(AND(B2564=Queue!$C$4,OR(Queue!$K$4="*",N2564=Queue!$K$4)),Q2564,"")</f>
        <v/>
      </c>
    </row>
    <row r="2565">
      <c r="A2565" s="35">
        <f>IF(M2565="","",HYPERLINK("https://www.youtube.com/watch?v="&amp;M2565,"▶"))</f>
        <v/>
      </c>
      <c r="B2565" s="36">
        <f>IF(C2565&lt;&gt;"",C2565,IF(P2565&lt;=IFERROR(INDEX(tblChannels[Watched Through],MATCH(N2565,tblChannels[Channel ID],0)),0),"Watched","Unwatched"))</f>
        <v/>
      </c>
      <c r="C2565" s="37" t="n"/>
      <c r="D2565" s="38" t="n"/>
      <c r="E2565" s="39" t="n">
        <v>42703.85347222222</v>
      </c>
      <c r="F2565" s="47" t="inlineStr">
        <is>
          <t>Super Carlin Brothers</t>
        </is>
      </c>
      <c r="G2565" t="inlineStr">
        <is>
          <t>Could Cars 3 Actually Be Awesome?!</t>
        </is>
      </c>
      <c r="H2565" s="41" t="n">
        <v>0.007789351851851852</v>
      </c>
      <c r="I2565" s="42" t="n">
        <v>1086509</v>
      </c>
      <c r="J2565" s="42" t="n">
        <v>25151</v>
      </c>
      <c r="K2565" s="42" t="n">
        <v>5481</v>
      </c>
      <c r="L2565" s="43" t="n"/>
      <c r="M2565" s="44" t="n"/>
      <c r="N2565" s="44" t="inlineStr">
        <is>
          <t>UCKZo4N0lVPccBkSiuyVh4yg</t>
        </is>
      </c>
      <c r="O2565" s="45" t="n">
        <v>42704.06180555555</v>
      </c>
      <c r="P2565" s="46" t="n">
        <v>42703</v>
      </c>
      <c r="Q2565" s="44" t="n">
        <v>707</v>
      </c>
      <c r="R2565" s="44" t="inlineStr">
        <is>
          <t>No Video ID yet</t>
        </is>
      </c>
      <c r="S2565" s="46" t="n"/>
      <c r="T2565" s="46" t="n"/>
      <c r="U2565" s="44" t="n"/>
      <c r="V2565" s="44">
        <f>IF(AND(P2565&gt;=Calendar!$K$2,P2565&lt;EDATE(Calendar!$K$2,1),OR(Calendar!$K$4="*",N2565=Calendar!$K$4)),P2565*100+COUNTIFS($P$6:$P$3271,P2565,$Q$6:$Q$3271,"&lt;="&amp;Q2565,$N$6:$N$3271,Calendar!$K$4),"")</f>
        <v/>
      </c>
      <c r="W2565" s="44">
        <f>IF(AND(B2565=Queue!$C$4,OR(Queue!$K$4="*",N2565=Queue!$K$4)),Q2565,"")</f>
        <v/>
      </c>
    </row>
    <row r="2566">
      <c r="A2566" s="35">
        <f>IF(M2566="","",HYPERLINK("https://www.youtube.com/watch?v="&amp;M2566,"▶"))</f>
        <v/>
      </c>
      <c r="B2566" s="36">
        <f>IF(C2566&lt;&gt;"",C2566,IF(P2566&lt;=IFERROR(INDEX(tblChannels[Watched Through],MATCH(N2566,tblChannels[Channel ID],0)),0),"Watched","Unwatched"))</f>
        <v/>
      </c>
      <c r="C2566" s="37" t="n"/>
      <c r="D2566" s="38" t="n"/>
      <c r="E2566" s="39" t="n">
        <v>42703.66666666666</v>
      </c>
      <c r="F2566" s="49" t="inlineStr">
        <is>
          <t>Super Carlin Gaming</t>
        </is>
      </c>
      <c r="G2566" t="inlineStr">
        <is>
          <t>Pokemon HeartGold Nuzlocke #29: ENTER THE ELITE 4</t>
        </is>
      </c>
      <c r="H2566" s="41" t="n">
        <v>0.01538194444444444</v>
      </c>
      <c r="I2566" s="42" t="n">
        <v>17417</v>
      </c>
      <c r="J2566" s="42" t="n">
        <v>423</v>
      </c>
      <c r="K2566" s="42" t="n">
        <v>78</v>
      </c>
      <c r="L2566" s="43" t="n"/>
      <c r="M2566" s="44" t="n"/>
      <c r="N2566" s="44" t="inlineStr">
        <is>
          <t>UCor_9jRnNNZVzTuQ92PKsaQ</t>
        </is>
      </c>
      <c r="O2566" s="45" t="n">
        <v>42703.875</v>
      </c>
      <c r="P2566" s="46" t="n">
        <v>42703</v>
      </c>
      <c r="Q2566" s="44" t="n">
        <v>706</v>
      </c>
      <c r="R2566" s="44" t="inlineStr">
        <is>
          <t>No Video ID yet</t>
        </is>
      </c>
      <c r="S2566" s="46" t="n"/>
      <c r="T2566" s="46" t="n"/>
      <c r="U2566" s="44" t="n"/>
      <c r="V2566" s="44">
        <f>IF(AND(P2566&gt;=Calendar!$K$2,P2566&lt;EDATE(Calendar!$K$2,1),OR(Calendar!$K$4="*",N2566=Calendar!$K$4)),P2566*100+COUNTIFS($P$6:$P$3271,P2566,$Q$6:$Q$3271,"&lt;="&amp;Q2566,$N$6:$N$3271,Calendar!$K$4),"")</f>
        <v/>
      </c>
      <c r="W2566" s="44">
        <f>IF(AND(B2566=Queue!$C$4,OR(Queue!$K$4="*",N2566=Queue!$K$4)),Q2566,"")</f>
        <v/>
      </c>
    </row>
    <row r="2567">
      <c r="A2567" s="35">
        <f>IF(M2567="","",HYPERLINK("https://www.youtube.com/watch?v="&amp;M2567,"▶"))</f>
        <v/>
      </c>
      <c r="B2567" s="36">
        <f>IF(C2567&lt;&gt;"",C2567,IF(P2567&lt;=IFERROR(INDEX(tblChannels[Watched Through],MATCH(N2567,tblChannels[Channel ID],0)),0),"Watched","Unwatched"))</f>
        <v/>
      </c>
      <c r="C2567" s="37" t="n"/>
      <c r="D2567" s="38" t="n"/>
      <c r="E2567" s="39" t="n">
        <v>42698.5</v>
      </c>
      <c r="F2567" s="47" t="inlineStr">
        <is>
          <t>Super Carlin Brothers</t>
        </is>
      </c>
      <c r="G2567" t="inlineStr">
        <is>
          <t>Harry Potter Theory: Ariana Dumbledore Was An Obscurial</t>
        </is>
      </c>
      <c r="H2567" s="41" t="n">
        <v>0.005196759259259259</v>
      </c>
      <c r="I2567" s="42" t="n">
        <v>1112530</v>
      </c>
      <c r="J2567" s="42" t="n">
        <v>28015</v>
      </c>
      <c r="K2567" s="42" t="n">
        <v>2918</v>
      </c>
      <c r="L2567" s="43" t="n"/>
      <c r="M2567" s="44" t="n"/>
      <c r="N2567" s="44" t="inlineStr">
        <is>
          <t>UCKZo4N0lVPccBkSiuyVh4yg</t>
        </is>
      </c>
      <c r="O2567" s="45" t="n">
        <v>42698.70833333334</v>
      </c>
      <c r="P2567" s="46" t="n">
        <v>42698</v>
      </c>
      <c r="Q2567" s="44" t="n">
        <v>705</v>
      </c>
      <c r="R2567" s="44" t="inlineStr">
        <is>
          <t>No Video ID yet</t>
        </is>
      </c>
      <c r="S2567" s="46" t="n"/>
      <c r="T2567" s="46" t="n"/>
      <c r="U2567" s="44" t="n"/>
      <c r="V2567" s="44">
        <f>IF(AND(P2567&gt;=Calendar!$K$2,P2567&lt;EDATE(Calendar!$K$2,1),OR(Calendar!$K$4="*",N2567=Calendar!$K$4)),P2567*100+COUNTIFS($P$6:$P$3271,P2567,$Q$6:$Q$3271,"&lt;="&amp;Q2567,$N$6:$N$3271,Calendar!$K$4),"")</f>
        <v/>
      </c>
      <c r="W2567" s="44">
        <f>IF(AND(B2567=Queue!$C$4,OR(Queue!$K$4="*",N2567=Queue!$K$4)),Q2567,"")</f>
        <v/>
      </c>
    </row>
    <row r="2568">
      <c r="A2568" s="35">
        <f>IF(M2568="","",HYPERLINK("https://www.youtube.com/watch?v="&amp;M2568,"▶"))</f>
        <v/>
      </c>
      <c r="B2568" s="36">
        <f>IF(C2568&lt;&gt;"",C2568,IF(P2568&lt;=IFERROR(INDEX(tblChannels[Watched Through],MATCH(N2568,tblChannels[Channel ID],0)),0),"Watched","Unwatched"))</f>
        <v/>
      </c>
      <c r="C2568" s="37" t="n"/>
      <c r="D2568" s="38" t="n"/>
      <c r="E2568" s="39" t="n">
        <v>42696.80208333334</v>
      </c>
      <c r="F2568" s="47" t="inlineStr">
        <is>
          <t>Super Carlin Brothers</t>
        </is>
      </c>
      <c r="G2568" t="inlineStr">
        <is>
          <t>Top 7 Unanswered Questions From Fantastic Beasts</t>
        </is>
      </c>
      <c r="H2568" s="41" t="n">
        <v>0.008599537037037037</v>
      </c>
      <c r="I2568" s="42" t="n">
        <v>1636441</v>
      </c>
      <c r="J2568" s="42" t="n">
        <v>32541</v>
      </c>
      <c r="K2568" s="42" t="n">
        <v>6831</v>
      </c>
      <c r="L2568" s="43" t="n"/>
      <c r="M2568" s="44" t="n"/>
      <c r="N2568" s="44" t="inlineStr">
        <is>
          <t>UCKZo4N0lVPccBkSiuyVh4yg</t>
        </is>
      </c>
      <c r="O2568" s="45" t="n">
        <v>42697.01041666666</v>
      </c>
      <c r="P2568" s="46" t="n">
        <v>42696</v>
      </c>
      <c r="Q2568" s="44" t="n">
        <v>704</v>
      </c>
      <c r="R2568" s="44" t="inlineStr">
        <is>
          <t>No Video ID yet</t>
        </is>
      </c>
      <c r="S2568" s="46" t="n"/>
      <c r="T2568" s="46" t="n"/>
      <c r="U2568" s="44" t="n"/>
      <c r="V2568" s="44">
        <f>IF(AND(P2568&gt;=Calendar!$K$2,P2568&lt;EDATE(Calendar!$K$2,1),OR(Calendar!$K$4="*",N2568=Calendar!$K$4)),P2568*100+COUNTIFS($P$6:$P$3271,P2568,$Q$6:$Q$3271,"&lt;="&amp;Q2568,$N$6:$N$3271,Calendar!$K$4),"")</f>
        <v/>
      </c>
      <c r="W2568" s="44">
        <f>IF(AND(B2568=Queue!$C$4,OR(Queue!$K$4="*",N2568=Queue!$K$4)),Q2568,"")</f>
        <v/>
      </c>
    </row>
    <row r="2569">
      <c r="A2569" s="35">
        <f>IF(M2569="","",HYPERLINK("https://www.youtube.com/watch?v="&amp;M2569,"▶"))</f>
        <v/>
      </c>
      <c r="B2569" s="36">
        <f>IF(C2569&lt;&gt;"",C2569,IF(P2569&lt;=IFERROR(INDEX(tblChannels[Watched Through],MATCH(N2569,tblChannels[Channel ID],0)),0),"Watched","Unwatched"))</f>
        <v/>
      </c>
      <c r="C2569" s="37" t="n"/>
      <c r="D2569" s="38" t="n"/>
      <c r="E2569" s="39" t="n">
        <v>42696.57222222222</v>
      </c>
      <c r="F2569" s="49" t="inlineStr">
        <is>
          <t>Super Carlin Gaming</t>
        </is>
      </c>
      <c r="G2569" t="inlineStr">
        <is>
          <t>Castle Crashers #4: LAVA WORLD</t>
        </is>
      </c>
      <c r="H2569" s="41" t="n">
        <v>0.01534722222222222</v>
      </c>
      <c r="I2569" s="42" t="n">
        <v>8060</v>
      </c>
      <c r="J2569" s="42" t="n">
        <v>174</v>
      </c>
      <c r="K2569" s="42" t="n">
        <v>37</v>
      </c>
      <c r="L2569" s="43" t="n"/>
      <c r="M2569" s="44" t="n"/>
      <c r="N2569" s="44" t="inlineStr">
        <is>
          <t>UCor_9jRnNNZVzTuQ92PKsaQ</t>
        </is>
      </c>
      <c r="O2569" s="45" t="n">
        <v>42696.78055555555</v>
      </c>
      <c r="P2569" s="46" t="n">
        <v>42696</v>
      </c>
      <c r="Q2569" s="44" t="n">
        <v>703</v>
      </c>
      <c r="R2569" s="44" t="inlineStr">
        <is>
          <t>No Video ID yet</t>
        </is>
      </c>
      <c r="S2569" s="46" t="n"/>
      <c r="T2569" s="46" t="n"/>
      <c r="U2569" s="44" t="n"/>
      <c r="V2569" s="44">
        <f>IF(AND(P2569&gt;=Calendar!$K$2,P2569&lt;EDATE(Calendar!$K$2,1),OR(Calendar!$K$4="*",N2569=Calendar!$K$4)),P2569*100+COUNTIFS($P$6:$P$3271,P2569,$Q$6:$Q$3271,"&lt;="&amp;Q2569,$N$6:$N$3271,Calendar!$K$4),"")</f>
        <v/>
      </c>
      <c r="W2569" s="44">
        <f>IF(AND(B2569=Queue!$C$4,OR(Queue!$K$4="*",N2569=Queue!$K$4)),Q2569,"")</f>
        <v/>
      </c>
    </row>
    <row r="2570">
      <c r="A2570" s="35">
        <f>IF(M2570="","",HYPERLINK("https://www.youtube.com/watch?v="&amp;M2570,"▶"))</f>
        <v/>
      </c>
      <c r="B2570" s="36">
        <f>IF(C2570&lt;&gt;"",C2570,IF(P2570&lt;=IFERROR(INDEX(tblChannels[Watched Through],MATCH(N2570,tblChannels[Channel ID],0)),0),"Watched","Unwatched"))</f>
        <v/>
      </c>
      <c r="C2570" s="37" t="n"/>
      <c r="D2570" s="38" t="n"/>
      <c r="E2570" s="39" t="n">
        <v>42691.72013888889</v>
      </c>
      <c r="F2570" s="47" t="inlineStr">
        <is>
          <t>Super Carlin Brothers</t>
        </is>
      </c>
      <c r="G2570" t="inlineStr">
        <is>
          <t>What You Need To Know Before Seeing Fantastic Beasts And Where To Find Them</t>
        </is>
      </c>
      <c r="H2570" s="41" t="n">
        <v>0.005949074074074075</v>
      </c>
      <c r="I2570" s="42" t="n">
        <v>696196</v>
      </c>
      <c r="J2570" s="42" t="n">
        <v>15189</v>
      </c>
      <c r="K2570" s="42" t="n">
        <v>4685</v>
      </c>
      <c r="L2570" s="43" t="n"/>
      <c r="M2570" s="44" t="n"/>
      <c r="N2570" s="44" t="inlineStr">
        <is>
          <t>UCKZo4N0lVPccBkSiuyVh4yg</t>
        </is>
      </c>
      <c r="O2570" s="45" t="n">
        <v>42691.92847222222</v>
      </c>
      <c r="P2570" s="46" t="n">
        <v>42691</v>
      </c>
      <c r="Q2570" s="44" t="n">
        <v>702</v>
      </c>
      <c r="R2570" s="44" t="inlineStr">
        <is>
          <t>No Video ID yet</t>
        </is>
      </c>
      <c r="S2570" s="46" t="n"/>
      <c r="T2570" s="46" t="n"/>
      <c r="U2570" s="44" t="n"/>
      <c r="V2570" s="44">
        <f>IF(AND(P2570&gt;=Calendar!$K$2,P2570&lt;EDATE(Calendar!$K$2,1),OR(Calendar!$K$4="*",N2570=Calendar!$K$4)),P2570*100+COUNTIFS($P$6:$P$3271,P2570,$Q$6:$Q$3271,"&lt;="&amp;Q2570,$N$6:$N$3271,Calendar!$K$4),"")</f>
        <v/>
      </c>
      <c r="W2570" s="44">
        <f>IF(AND(B2570=Queue!$C$4,OR(Queue!$K$4="*",N2570=Queue!$K$4)),Q2570,"")</f>
        <v/>
      </c>
    </row>
    <row r="2571">
      <c r="A2571" s="35">
        <f>IF(M2571="","",HYPERLINK("https://www.youtube.com/watch?v="&amp;M2571,"▶"))</f>
        <v/>
      </c>
      <c r="B2571" s="36">
        <f>IF(C2571&lt;&gt;"",C2571,IF(P2571&lt;=IFERROR(INDEX(tblChannels[Watched Through],MATCH(N2571,tblChannels[Channel ID],0)),0),"Watched","Unwatched"))</f>
        <v/>
      </c>
      <c r="C2571" s="37" t="n"/>
      <c r="D2571" s="38" t="n"/>
      <c r="E2571" s="39" t="n">
        <v>42689.73055555556</v>
      </c>
      <c r="F2571" s="47" t="inlineStr">
        <is>
          <t>Super Carlin Brothers</t>
        </is>
      </c>
      <c r="G2571" t="inlineStr">
        <is>
          <t>Top 10 Things To Look For In Moana</t>
        </is>
      </c>
      <c r="H2571" s="41" t="n">
        <v>0.008206018518518519</v>
      </c>
      <c r="I2571" s="42" t="n">
        <v>699346</v>
      </c>
      <c r="J2571" s="42" t="n">
        <v>14075</v>
      </c>
      <c r="K2571" s="42" t="n">
        <v>4074</v>
      </c>
      <c r="L2571" s="43" t="n"/>
      <c r="M2571" s="44" t="n"/>
      <c r="N2571" s="44" t="inlineStr">
        <is>
          <t>UCKZo4N0lVPccBkSiuyVh4yg</t>
        </is>
      </c>
      <c r="O2571" s="45" t="n">
        <v>42689.93888888889</v>
      </c>
      <c r="P2571" s="46" t="n">
        <v>42689</v>
      </c>
      <c r="Q2571" s="44" t="n">
        <v>701</v>
      </c>
      <c r="R2571" s="44" t="inlineStr">
        <is>
          <t>No Video ID yet</t>
        </is>
      </c>
      <c r="S2571" s="46" t="n"/>
      <c r="T2571" s="46" t="n"/>
      <c r="U2571" s="44" t="n"/>
      <c r="V2571" s="44">
        <f>IF(AND(P2571&gt;=Calendar!$K$2,P2571&lt;EDATE(Calendar!$K$2,1),OR(Calendar!$K$4="*",N2571=Calendar!$K$4)),P2571*100+COUNTIFS($P$6:$P$3271,P2571,$Q$6:$Q$3271,"&lt;="&amp;Q2571,$N$6:$N$3271,Calendar!$K$4),"")</f>
        <v/>
      </c>
      <c r="W2571" s="44">
        <f>IF(AND(B2571=Queue!$C$4,OR(Queue!$K$4="*",N2571=Queue!$K$4)),Q2571,"")</f>
        <v/>
      </c>
    </row>
    <row r="2572">
      <c r="A2572" s="35">
        <f>IF(M2572="","",HYPERLINK("https://www.youtube.com/watch?v="&amp;M2572,"▶"))</f>
        <v/>
      </c>
      <c r="B2572" s="36">
        <f>IF(C2572&lt;&gt;"",C2572,IF(P2572&lt;=IFERROR(INDEX(tblChannels[Watched Through],MATCH(N2572,tblChannels[Channel ID],0)),0),"Watched","Unwatched"))</f>
        <v/>
      </c>
      <c r="C2572" s="37" t="n"/>
      <c r="D2572" s="38" t="n"/>
      <c r="E2572" s="39" t="n">
        <v>42684.89166666667</v>
      </c>
      <c r="F2572" s="47" t="inlineStr">
        <is>
          <t>Super Carlin Brothers</t>
        </is>
      </c>
      <c r="G2572" t="inlineStr">
        <is>
          <t>Everything We Know About Boo</t>
        </is>
      </c>
      <c r="H2572" s="41" t="n">
        <v>0.007199074074074074</v>
      </c>
      <c r="I2572" s="42" t="n">
        <v>1372938</v>
      </c>
      <c r="J2572" s="42" t="n">
        <v>28981</v>
      </c>
      <c r="K2572" s="42" t="n">
        <v>6501</v>
      </c>
      <c r="L2572" s="43" t="n"/>
      <c r="M2572" s="44" t="n"/>
      <c r="N2572" s="44" t="inlineStr">
        <is>
          <t>UCKZo4N0lVPccBkSiuyVh4yg</t>
        </is>
      </c>
      <c r="O2572" s="45" t="n">
        <v>42685.1</v>
      </c>
      <c r="P2572" s="46" t="n">
        <v>42684</v>
      </c>
      <c r="Q2572" s="44" t="n">
        <v>700</v>
      </c>
      <c r="R2572" s="44" t="inlineStr">
        <is>
          <t>No Video ID yet</t>
        </is>
      </c>
      <c r="S2572" s="46" t="n"/>
      <c r="T2572" s="46" t="n"/>
      <c r="U2572" s="44" t="n"/>
      <c r="V2572" s="44">
        <f>IF(AND(P2572&gt;=Calendar!$K$2,P2572&lt;EDATE(Calendar!$K$2,1),OR(Calendar!$K$4="*",N2572=Calendar!$K$4)),P2572*100+COUNTIFS($P$6:$P$3271,P2572,$Q$6:$Q$3271,"&lt;="&amp;Q2572,$N$6:$N$3271,Calendar!$K$4),"")</f>
        <v/>
      </c>
      <c r="W2572" s="44">
        <f>IF(AND(B2572=Queue!$C$4,OR(Queue!$K$4="*",N2572=Queue!$K$4)),Q2572,"")</f>
        <v/>
      </c>
    </row>
    <row r="2573">
      <c r="A2573" s="35">
        <f>IF(M2573="","",HYPERLINK("https://www.youtube.com/watch?v="&amp;M2573,"▶"))</f>
        <v/>
      </c>
      <c r="B2573" s="36">
        <f>IF(C2573&lt;&gt;"",C2573,IF(P2573&lt;=IFERROR(INDEX(tblChannels[Watched Through],MATCH(N2573,tblChannels[Channel ID],0)),0),"Watched","Unwatched"))</f>
        <v/>
      </c>
      <c r="C2573" s="37" t="n"/>
      <c r="D2573" s="38" t="n"/>
      <c r="E2573" s="39" t="n">
        <v>42682.61319444444</v>
      </c>
      <c r="F2573" s="47" t="inlineStr">
        <is>
          <t>Super Carlin Brothers</t>
        </is>
      </c>
      <c r="G2573" t="inlineStr">
        <is>
          <t>Harry Potter Theory: The True Path Of The Elder Wand</t>
        </is>
      </c>
      <c r="H2573" s="41" t="n">
        <v>0.006631944444444445</v>
      </c>
      <c r="I2573" s="42" t="n">
        <v>1941882</v>
      </c>
      <c r="J2573" s="42" t="n">
        <v>42899</v>
      </c>
      <c r="K2573" s="42" t="n">
        <v>6030</v>
      </c>
      <c r="L2573" s="43" t="n"/>
      <c r="M2573" s="44" t="n"/>
      <c r="N2573" s="44" t="inlineStr">
        <is>
          <t>UCKZo4N0lVPccBkSiuyVh4yg</t>
        </is>
      </c>
      <c r="O2573" s="45" t="n">
        <v>42682.82152777778</v>
      </c>
      <c r="P2573" s="46" t="n">
        <v>42682</v>
      </c>
      <c r="Q2573" s="44" t="n">
        <v>699</v>
      </c>
      <c r="R2573" s="44" t="inlineStr">
        <is>
          <t>No Video ID yet</t>
        </is>
      </c>
      <c r="S2573" s="46" t="n"/>
      <c r="T2573" s="46" t="n"/>
      <c r="U2573" s="44" t="n"/>
      <c r="V2573" s="44">
        <f>IF(AND(P2573&gt;=Calendar!$K$2,P2573&lt;EDATE(Calendar!$K$2,1),OR(Calendar!$K$4="*",N2573=Calendar!$K$4)),P2573*100+COUNTIFS($P$6:$P$3271,P2573,$Q$6:$Q$3271,"&lt;="&amp;Q2573,$N$6:$N$3271,Calendar!$K$4),"")</f>
        <v/>
      </c>
      <c r="W2573" s="44">
        <f>IF(AND(B2573=Queue!$C$4,OR(Queue!$K$4="*",N2573=Queue!$K$4)),Q2573,"")</f>
        <v/>
      </c>
    </row>
    <row r="2574">
      <c r="A2574" s="35">
        <f>IF(M2574="","",HYPERLINK("https://www.youtube.com/watch?v="&amp;M2574,"▶"))</f>
        <v/>
      </c>
      <c r="B2574" s="36">
        <f>IF(C2574&lt;&gt;"",C2574,IF(P2574&lt;=IFERROR(INDEX(tblChannels[Watched Through],MATCH(N2574,tblChannels[Channel ID],0)),0),"Watched","Unwatched"))</f>
        <v/>
      </c>
      <c r="C2574" s="37" t="n"/>
      <c r="D2574" s="38" t="n"/>
      <c r="E2574" s="39" t="n">
        <v>42678.00833333333</v>
      </c>
      <c r="F2574" s="47" t="inlineStr">
        <is>
          <t>Super Carlin Brothers</t>
        </is>
      </c>
      <c r="G2574" t="inlineStr">
        <is>
          <t>Harry Potter Theory: The Veil Explained</t>
        </is>
      </c>
      <c r="H2574" s="41" t="n">
        <v>0.007268518518518519</v>
      </c>
      <c r="I2574" s="42" t="n">
        <v>3281859</v>
      </c>
      <c r="J2574" s="42" t="n">
        <v>69065</v>
      </c>
      <c r="K2574" s="42" t="n">
        <v>6994</v>
      </c>
      <c r="L2574" s="43" t="n"/>
      <c r="M2574" s="44" t="n"/>
      <c r="N2574" s="44" t="inlineStr">
        <is>
          <t>UCKZo4N0lVPccBkSiuyVh4yg</t>
        </is>
      </c>
      <c r="O2574" s="45" t="n">
        <v>42678.175</v>
      </c>
      <c r="P2574" s="46" t="n">
        <v>42678</v>
      </c>
      <c r="Q2574" s="44" t="n">
        <v>698</v>
      </c>
      <c r="R2574" s="44" t="inlineStr">
        <is>
          <t>No Video ID yet</t>
        </is>
      </c>
      <c r="S2574" s="46" t="n"/>
      <c r="T2574" s="46" t="n"/>
      <c r="U2574" s="44" t="n"/>
      <c r="V2574" s="44">
        <f>IF(AND(P2574&gt;=Calendar!$K$2,P2574&lt;EDATE(Calendar!$K$2,1),OR(Calendar!$K$4="*",N2574=Calendar!$K$4)),P2574*100+COUNTIFS($P$6:$P$3271,P2574,$Q$6:$Q$3271,"&lt;="&amp;Q2574,$N$6:$N$3271,Calendar!$K$4),"")</f>
        <v/>
      </c>
      <c r="W2574" s="44">
        <f>IF(AND(B2574=Queue!$C$4,OR(Queue!$K$4="*",N2574=Queue!$K$4)),Q2574,"")</f>
        <v/>
      </c>
    </row>
    <row r="2575">
      <c r="A2575" s="35">
        <f>IF(M2575="","",HYPERLINK("https://www.youtube.com/watch?v="&amp;M2575,"▶"))</f>
        <v/>
      </c>
      <c r="B2575" s="36">
        <f>IF(C2575&lt;&gt;"",C2575,IF(P2575&lt;=IFERROR(INDEX(tblChannels[Watched Through],MATCH(N2575,tblChannels[Channel ID],0)),0),"Watched","Unwatched"))</f>
        <v/>
      </c>
      <c r="C2575" s="37" t="n"/>
      <c r="D2575" s="38" t="n"/>
      <c r="E2575" s="39" t="n">
        <v>42676.64236111111</v>
      </c>
      <c r="F2575" s="49" t="inlineStr">
        <is>
          <t>Super Carlin Gaming</t>
        </is>
      </c>
      <c r="G2575" t="inlineStr">
        <is>
          <t>Castle Crashers #3 - Bee Stings and Lightsabers</t>
        </is>
      </c>
      <c r="H2575" s="41" t="n">
        <v>0.0147337962962963</v>
      </c>
      <c r="I2575" s="42" t="n">
        <v>9742</v>
      </c>
      <c r="J2575" s="42" t="n">
        <v>253</v>
      </c>
      <c r="K2575" s="42" t="n">
        <v>36</v>
      </c>
      <c r="L2575" s="43" t="n"/>
      <c r="M2575" s="44" t="n"/>
      <c r="N2575" s="44" t="inlineStr">
        <is>
          <t>UCor_9jRnNNZVzTuQ92PKsaQ</t>
        </is>
      </c>
      <c r="O2575" s="45" t="n">
        <v>42676.80902777778</v>
      </c>
      <c r="P2575" s="46" t="n">
        <v>42676</v>
      </c>
      <c r="Q2575" s="44" t="n">
        <v>697</v>
      </c>
      <c r="R2575" s="44" t="inlineStr">
        <is>
          <t>No Video ID yet</t>
        </is>
      </c>
      <c r="S2575" s="46" t="n"/>
      <c r="T2575" s="46" t="n"/>
      <c r="U2575" s="44" t="n"/>
      <c r="V2575" s="44">
        <f>IF(AND(P2575&gt;=Calendar!$K$2,P2575&lt;EDATE(Calendar!$K$2,1),OR(Calendar!$K$4="*",N2575=Calendar!$K$4)),P2575*100+COUNTIFS($P$6:$P$3271,P2575,$Q$6:$Q$3271,"&lt;="&amp;Q2575,$N$6:$N$3271,Calendar!$K$4),"")</f>
        <v/>
      </c>
      <c r="W2575" s="44">
        <f>IF(AND(B2575=Queue!$C$4,OR(Queue!$K$4="*",N2575=Queue!$K$4)),Q2575,"")</f>
        <v/>
      </c>
    </row>
    <row r="2576">
      <c r="A2576" s="35">
        <f>IF(M2576="","",HYPERLINK("https://www.youtube.com/watch?v="&amp;M2576,"▶"))</f>
        <v/>
      </c>
      <c r="B2576" s="36">
        <f>IF(C2576&lt;&gt;"",C2576,IF(P2576&lt;=IFERROR(INDEX(tblChannels[Watched Through],MATCH(N2576,tblChannels[Channel ID],0)),0),"Watched","Unwatched"))</f>
        <v/>
      </c>
      <c r="C2576" s="37" t="n"/>
      <c r="D2576" s="38" t="n"/>
      <c r="E2576" s="39" t="n">
        <v>42675.75208333333</v>
      </c>
      <c r="F2576" s="47" t="inlineStr">
        <is>
          <t>Super Carlin Brothers</t>
        </is>
      </c>
      <c r="G2576" t="inlineStr">
        <is>
          <t>Marvel's Strange Use of the Number 12 Explained</t>
        </is>
      </c>
      <c r="H2576" s="41" t="n">
        <v>0.005659722222222222</v>
      </c>
      <c r="I2576" s="42" t="n">
        <v>634793</v>
      </c>
      <c r="J2576" s="42" t="n">
        <v>16092</v>
      </c>
      <c r="K2576" s="42" t="n">
        <v>2698</v>
      </c>
      <c r="L2576" s="43" t="n"/>
      <c r="M2576" s="44" t="n"/>
      <c r="N2576" s="44" t="inlineStr">
        <is>
          <t>UCKZo4N0lVPccBkSiuyVh4yg</t>
        </is>
      </c>
      <c r="O2576" s="45" t="n">
        <v>42675.91875</v>
      </c>
      <c r="P2576" s="46" t="n">
        <v>42675</v>
      </c>
      <c r="Q2576" s="44" t="n">
        <v>696</v>
      </c>
      <c r="R2576" s="44" t="inlineStr">
        <is>
          <t>No Video ID yet</t>
        </is>
      </c>
      <c r="S2576" s="46" t="n"/>
      <c r="T2576" s="46" t="n"/>
      <c r="U2576" s="44" t="n"/>
      <c r="V2576" s="44">
        <f>IF(AND(P2576&gt;=Calendar!$K$2,P2576&lt;EDATE(Calendar!$K$2,1),OR(Calendar!$K$4="*",N2576=Calendar!$K$4)),P2576*100+COUNTIFS($P$6:$P$3271,P2576,$Q$6:$Q$3271,"&lt;="&amp;Q2576,$N$6:$N$3271,Calendar!$K$4),"")</f>
        <v/>
      </c>
      <c r="W2576" s="44">
        <f>IF(AND(B2576=Queue!$C$4,OR(Queue!$K$4="*",N2576=Queue!$K$4)),Q2576,"")</f>
        <v/>
      </c>
    </row>
    <row r="2577">
      <c r="A2577" s="35">
        <f>IF(M2577="","",HYPERLINK("https://www.youtube.com/watch?v="&amp;M2577,"▶"))</f>
        <v/>
      </c>
      <c r="B2577" s="36">
        <f>IF(C2577&lt;&gt;"",C2577,IF(P2577&lt;=IFERROR(INDEX(tblChannels[Watched Through],MATCH(N2577,tblChannels[Channel ID],0)),0),"Watched","Unwatched"))</f>
        <v/>
      </c>
      <c r="C2577" s="37" t="n"/>
      <c r="D2577" s="38" t="n"/>
      <c r="E2577" s="39" t="n">
        <v>42670.79861111111</v>
      </c>
      <c r="F2577" s="47" t="inlineStr">
        <is>
          <t>Super Carlin Brothers</t>
        </is>
      </c>
      <c r="G2577" t="inlineStr">
        <is>
          <t>Tangled Theory: How Rapunzel Got Her Powers</t>
        </is>
      </c>
      <c r="H2577" s="41" t="n">
        <v>0.005914351851851852</v>
      </c>
      <c r="I2577" s="42" t="n">
        <v>1217578</v>
      </c>
      <c r="J2577" s="42" t="n">
        <v>44345</v>
      </c>
      <c r="K2577" s="42" t="n">
        <v>7391</v>
      </c>
      <c r="L2577" s="43" t="n"/>
      <c r="M2577" s="44" t="n"/>
      <c r="N2577" s="44" t="inlineStr">
        <is>
          <t>UCKZo4N0lVPccBkSiuyVh4yg</t>
        </is>
      </c>
      <c r="O2577" s="45" t="n">
        <v>42670.96527777778</v>
      </c>
      <c r="P2577" s="46" t="n">
        <v>42670</v>
      </c>
      <c r="Q2577" s="44" t="n">
        <v>695</v>
      </c>
      <c r="R2577" s="44" t="inlineStr">
        <is>
          <t>No Video ID yet</t>
        </is>
      </c>
      <c r="S2577" s="46" t="n"/>
      <c r="T2577" s="46" t="n"/>
      <c r="U2577" s="44" t="n"/>
      <c r="V2577" s="44">
        <f>IF(AND(P2577&gt;=Calendar!$K$2,P2577&lt;EDATE(Calendar!$K$2,1),OR(Calendar!$K$4="*",N2577=Calendar!$K$4)),P2577*100+COUNTIFS($P$6:$P$3271,P2577,$Q$6:$Q$3271,"&lt;="&amp;Q2577,$N$6:$N$3271,Calendar!$K$4),"")</f>
        <v/>
      </c>
      <c r="W2577" s="44">
        <f>IF(AND(B2577=Queue!$C$4,OR(Queue!$K$4="*",N2577=Queue!$K$4)),Q2577,"")</f>
        <v/>
      </c>
    </row>
    <row r="2578">
      <c r="A2578" s="35">
        <f>IF(M2578="","",HYPERLINK("https://www.youtube.com/watch?v="&amp;M2578,"▶"))</f>
        <v/>
      </c>
      <c r="B2578" s="36">
        <f>IF(C2578&lt;&gt;"",C2578,IF(P2578&lt;=IFERROR(INDEX(tblChannels[Watched Through],MATCH(N2578,tblChannels[Channel ID],0)),0),"Watched","Unwatched"))</f>
        <v/>
      </c>
      <c r="C2578" s="37" t="n"/>
      <c r="D2578" s="38" t="n"/>
      <c r="E2578" s="39" t="n">
        <v>42669.625</v>
      </c>
      <c r="F2578" s="49" t="inlineStr">
        <is>
          <t>Super Carlin Gaming</t>
        </is>
      </c>
      <c r="G2578" t="inlineStr">
        <is>
          <t>Castle Crashers #2 - FLAG BEAR!</t>
        </is>
      </c>
      <c r="H2578" s="41" t="n">
        <v>0.01402777777777778</v>
      </c>
      <c r="I2578" s="42" t="n">
        <v>10916</v>
      </c>
      <c r="J2578" s="42" t="n">
        <v>281</v>
      </c>
      <c r="K2578" s="42" t="n">
        <v>59</v>
      </c>
      <c r="L2578" s="43" t="n"/>
      <c r="M2578" s="44" t="n"/>
      <c r="N2578" s="44" t="inlineStr">
        <is>
          <t>UCor_9jRnNNZVzTuQ92PKsaQ</t>
        </is>
      </c>
      <c r="O2578" s="45" t="n">
        <v>42669.79166666666</v>
      </c>
      <c r="P2578" s="46" t="n">
        <v>42669</v>
      </c>
      <c r="Q2578" s="44" t="n">
        <v>694</v>
      </c>
      <c r="R2578" s="44" t="inlineStr">
        <is>
          <t>No Video ID yet</t>
        </is>
      </c>
      <c r="S2578" s="46" t="n"/>
      <c r="T2578" s="46" t="n"/>
      <c r="U2578" s="44" t="n"/>
      <c r="V2578" s="44">
        <f>IF(AND(P2578&gt;=Calendar!$K$2,P2578&lt;EDATE(Calendar!$K$2,1),OR(Calendar!$K$4="*",N2578=Calendar!$K$4)),P2578*100+COUNTIFS($P$6:$P$3271,P2578,$Q$6:$Q$3271,"&lt;="&amp;Q2578,$N$6:$N$3271,Calendar!$K$4),"")</f>
        <v/>
      </c>
      <c r="W2578" s="44">
        <f>IF(AND(B2578=Queue!$C$4,OR(Queue!$K$4="*",N2578=Queue!$K$4)),Q2578,"")</f>
        <v/>
      </c>
    </row>
    <row r="2579">
      <c r="A2579" s="35">
        <f>IF(M2579="","",HYPERLINK("https://www.youtube.com/watch?v="&amp;M2579,"▶"))</f>
        <v/>
      </c>
      <c r="B2579" s="36">
        <f>IF(C2579&lt;&gt;"",C2579,IF(P2579&lt;=IFERROR(INDEX(tblChannels[Watched Through],MATCH(N2579,tblChannels[Channel ID],0)),0),"Watched","Unwatched"))</f>
        <v/>
      </c>
      <c r="C2579" s="37" t="n"/>
      <c r="D2579" s="38" t="n"/>
      <c r="E2579" s="39" t="n">
        <v>42668.72708333333</v>
      </c>
      <c r="F2579" s="47" t="inlineStr">
        <is>
          <t>Super Carlin Brothers</t>
        </is>
      </c>
      <c r="G2579" t="inlineStr">
        <is>
          <t>How to Find A Google Autofill</t>
        </is>
      </c>
      <c r="H2579" s="41" t="n">
        <v>0.00537037037037037</v>
      </c>
      <c r="I2579" s="42" t="n">
        <v>461412</v>
      </c>
      <c r="J2579" s="42" t="n">
        <v>13054</v>
      </c>
      <c r="K2579" s="42" t="n">
        <v>4599</v>
      </c>
      <c r="L2579" s="43" t="n"/>
      <c r="M2579" s="44" t="n"/>
      <c r="N2579" s="44" t="inlineStr">
        <is>
          <t>UCKZo4N0lVPccBkSiuyVh4yg</t>
        </is>
      </c>
      <c r="O2579" s="45" t="n">
        <v>42668.89375</v>
      </c>
      <c r="P2579" s="46" t="n">
        <v>42668</v>
      </c>
      <c r="Q2579" s="44" t="n">
        <v>693</v>
      </c>
      <c r="R2579" s="44" t="inlineStr">
        <is>
          <t>No Video ID yet</t>
        </is>
      </c>
      <c r="S2579" s="46" t="n"/>
      <c r="T2579" s="46" t="n"/>
      <c r="U2579" s="44" t="n"/>
      <c r="V2579" s="44">
        <f>IF(AND(P2579&gt;=Calendar!$K$2,P2579&lt;EDATE(Calendar!$K$2,1),OR(Calendar!$K$4="*",N2579=Calendar!$K$4)),P2579*100+COUNTIFS($P$6:$P$3271,P2579,$Q$6:$Q$3271,"&lt;="&amp;Q2579,$N$6:$N$3271,Calendar!$K$4),"")</f>
        <v/>
      </c>
      <c r="W2579" s="44">
        <f>IF(AND(B2579=Queue!$C$4,OR(Queue!$K$4="*",N2579=Queue!$K$4)),Q2579,"")</f>
        <v/>
      </c>
    </row>
    <row r="2580">
      <c r="A2580" s="35">
        <f>IF(M2580="","",HYPERLINK("https://www.youtube.com/watch?v="&amp;M2580,"▶"))</f>
        <v/>
      </c>
      <c r="B2580" s="36">
        <f>IF(C2580&lt;&gt;"",C2580,IF(P2580&lt;=IFERROR(INDEX(tblChannels[Watched Through],MATCH(N2580,tblChannels[Channel ID],0)),0),"Watched","Unwatched"))</f>
        <v/>
      </c>
      <c r="C2580" s="37" t="n"/>
      <c r="D2580" s="38" t="n"/>
      <c r="E2580" s="39" t="n">
        <v>42664.70833333334</v>
      </c>
      <c r="F2580" s="49" t="inlineStr">
        <is>
          <t>Super Carlin Gaming</t>
        </is>
      </c>
      <c r="G2580" t="inlineStr">
        <is>
          <t>Castle Crashers #1 - J and the Iron Peach</t>
        </is>
      </c>
      <c r="H2580" s="41" t="n">
        <v>0.02079861111111111</v>
      </c>
      <c r="I2580" s="42" t="n">
        <v>30830</v>
      </c>
      <c r="J2580" s="42" t="n">
        <v>621</v>
      </c>
      <c r="K2580" s="42" t="n">
        <v>124</v>
      </c>
      <c r="L2580" s="43" t="n"/>
      <c r="M2580" s="44" t="n"/>
      <c r="N2580" s="44" t="inlineStr">
        <is>
          <t>UCor_9jRnNNZVzTuQ92PKsaQ</t>
        </is>
      </c>
      <c r="O2580" s="45" t="n">
        <v>42664.875</v>
      </c>
      <c r="P2580" s="46" t="n">
        <v>42664</v>
      </c>
      <c r="Q2580" s="44" t="n">
        <v>692</v>
      </c>
      <c r="R2580" s="44" t="inlineStr">
        <is>
          <t>No Video ID yet</t>
        </is>
      </c>
      <c r="S2580" s="46" t="n"/>
      <c r="T2580" s="46" t="n"/>
      <c r="U2580" s="44" t="n"/>
      <c r="V2580" s="44">
        <f>IF(AND(P2580&gt;=Calendar!$K$2,P2580&lt;EDATE(Calendar!$K$2,1),OR(Calendar!$K$4="*",N2580=Calendar!$K$4)),P2580*100+COUNTIFS($P$6:$P$3271,P2580,$Q$6:$Q$3271,"&lt;="&amp;Q2580,$N$6:$N$3271,Calendar!$K$4),"")</f>
        <v/>
      </c>
      <c r="W2580" s="44">
        <f>IF(AND(B2580=Queue!$C$4,OR(Queue!$K$4="*",N2580=Queue!$K$4)),Q2580,"")</f>
        <v/>
      </c>
    </row>
    <row r="2581">
      <c r="A2581" s="35">
        <f>IF(M2581="","",HYPERLINK("https://www.youtube.com/watch?v="&amp;M2581,"▶"))</f>
        <v/>
      </c>
      <c r="B2581" s="36">
        <f>IF(C2581&lt;&gt;"",C2581,IF(P2581&lt;=IFERROR(INDEX(tblChannels[Watched Through],MATCH(N2581,tblChannels[Channel ID],0)),0),"Watched","Unwatched"))</f>
        <v/>
      </c>
      <c r="C2581" s="37" t="n"/>
      <c r="D2581" s="38" t="n"/>
      <c r="E2581" s="39" t="n">
        <v>42663.64375</v>
      </c>
      <c r="F2581" s="47" t="inlineStr">
        <is>
          <t>Super Carlin Brothers</t>
        </is>
      </c>
      <c r="G2581" t="inlineStr">
        <is>
          <t>Frozen's Wood Stacking Scene Explained</t>
        </is>
      </c>
      <c r="H2581" s="41" t="n">
        <v>0.004780092592592593</v>
      </c>
      <c r="I2581" s="42" t="n">
        <v>953364</v>
      </c>
      <c r="J2581" s="42" t="n">
        <v>24851</v>
      </c>
      <c r="K2581" s="42" t="n">
        <v>3875</v>
      </c>
      <c r="L2581" s="43" t="n"/>
      <c r="M2581" s="44" t="n"/>
      <c r="N2581" s="44" t="inlineStr">
        <is>
          <t>UCKZo4N0lVPccBkSiuyVh4yg</t>
        </is>
      </c>
      <c r="O2581" s="45" t="n">
        <v>42663.81041666667</v>
      </c>
      <c r="P2581" s="46" t="n">
        <v>42663</v>
      </c>
      <c r="Q2581" s="44" t="n">
        <v>691</v>
      </c>
      <c r="R2581" s="44" t="inlineStr">
        <is>
          <t>No Video ID yet</t>
        </is>
      </c>
      <c r="S2581" s="46" t="n"/>
      <c r="T2581" s="46" t="n"/>
      <c r="U2581" s="44" t="n"/>
      <c r="V2581" s="44">
        <f>IF(AND(P2581&gt;=Calendar!$K$2,P2581&lt;EDATE(Calendar!$K$2,1),OR(Calendar!$K$4="*",N2581=Calendar!$K$4)),P2581*100+COUNTIFS($P$6:$P$3271,P2581,$Q$6:$Q$3271,"&lt;="&amp;Q2581,$N$6:$N$3271,Calendar!$K$4),"")</f>
        <v/>
      </c>
      <c r="W2581" s="44">
        <f>IF(AND(B2581=Queue!$C$4,OR(Queue!$K$4="*",N2581=Queue!$K$4)),Q2581,"")</f>
        <v/>
      </c>
    </row>
    <row r="2582">
      <c r="A2582" s="35">
        <f>IF(M2582="","",HYPERLINK("https://www.youtube.com/watch?v="&amp;M2582,"▶"))</f>
        <v/>
      </c>
      <c r="B2582" s="36">
        <f>IF(C2582&lt;&gt;"",C2582,IF(P2582&lt;=IFERROR(INDEX(tblChannels[Watched Through],MATCH(N2582,tblChannels[Channel ID],0)),0),"Watched","Unwatched"))</f>
        <v/>
      </c>
      <c r="C2582" s="37" t="n"/>
      <c r="D2582" s="38" t="n"/>
      <c r="E2582" s="39" t="n">
        <v>42661.72777777778</v>
      </c>
      <c r="F2582" s="47" t="inlineStr">
        <is>
          <t>Super Carlin Brothers</t>
        </is>
      </c>
      <c r="G2582" t="inlineStr">
        <is>
          <t>Goofy vs Pluto Explained</t>
        </is>
      </c>
      <c r="H2582" s="41" t="n">
        <v>0.005949074074074075</v>
      </c>
      <c r="I2582" s="42" t="n">
        <v>1419559</v>
      </c>
      <c r="J2582" s="42" t="n">
        <v>35448</v>
      </c>
      <c r="K2582" s="42" t="n">
        <v>5660</v>
      </c>
      <c r="L2582" s="43" t="n"/>
      <c r="M2582" s="44" t="n"/>
      <c r="N2582" s="44" t="inlineStr">
        <is>
          <t>UCKZo4N0lVPccBkSiuyVh4yg</t>
        </is>
      </c>
      <c r="O2582" s="45" t="n">
        <v>42661.89444444444</v>
      </c>
      <c r="P2582" s="46" t="n">
        <v>42661</v>
      </c>
      <c r="Q2582" s="44" t="n">
        <v>690</v>
      </c>
      <c r="R2582" s="44" t="inlineStr">
        <is>
          <t>No Video ID yet</t>
        </is>
      </c>
      <c r="S2582" s="46" t="n"/>
      <c r="T2582" s="46" t="n"/>
      <c r="U2582" s="44" t="n"/>
      <c r="V2582" s="44">
        <f>IF(AND(P2582&gt;=Calendar!$K$2,P2582&lt;EDATE(Calendar!$K$2,1),OR(Calendar!$K$4="*",N2582=Calendar!$K$4)),P2582*100+COUNTIFS($P$6:$P$3271,P2582,$Q$6:$Q$3271,"&lt;="&amp;Q2582,$N$6:$N$3271,Calendar!$K$4),"")</f>
        <v/>
      </c>
      <c r="W2582" s="44">
        <f>IF(AND(B2582=Queue!$C$4,OR(Queue!$K$4="*",N2582=Queue!$K$4)),Q2582,"")</f>
        <v/>
      </c>
    </row>
    <row r="2583">
      <c r="A2583" s="35">
        <f>IF(M2583="","",HYPERLINK("https://www.youtube.com/watch?v="&amp;M2583,"▶"))</f>
        <v/>
      </c>
      <c r="B2583" s="36">
        <f>IF(C2583&lt;&gt;"",C2583,IF(P2583&lt;=IFERROR(INDEX(tblChannels[Watched Through],MATCH(N2583,tblChannels[Channel ID],0)),0),"Watched","Unwatched"))</f>
        <v/>
      </c>
      <c r="C2583" s="37" t="n"/>
      <c r="D2583" s="38" t="n"/>
      <c r="E2583" s="39" t="n">
        <v>42656.69097222222</v>
      </c>
      <c r="F2583" s="47" t="inlineStr">
        <is>
          <t>Super Carlin Brothers</t>
        </is>
      </c>
      <c r="G2583" t="inlineStr">
        <is>
          <t>Frozen Theory:  Hans Is A Mirror</t>
        </is>
      </c>
      <c r="H2583" s="41" t="n">
        <v>0.005474537037037037</v>
      </c>
      <c r="I2583" s="42" t="n">
        <v>2517951</v>
      </c>
      <c r="J2583" s="42" t="n">
        <v>60319</v>
      </c>
      <c r="K2583" s="42" t="n">
        <v>7293</v>
      </c>
      <c r="L2583" s="43" t="n"/>
      <c r="M2583" s="44" t="n"/>
      <c r="N2583" s="44" t="inlineStr">
        <is>
          <t>UCKZo4N0lVPccBkSiuyVh4yg</t>
        </is>
      </c>
      <c r="O2583" s="45" t="n">
        <v>42656.85763888889</v>
      </c>
      <c r="P2583" s="46" t="n">
        <v>42656</v>
      </c>
      <c r="Q2583" s="44" t="n">
        <v>689</v>
      </c>
      <c r="R2583" s="44" t="inlineStr">
        <is>
          <t>No Video ID yet</t>
        </is>
      </c>
      <c r="S2583" s="46" t="n"/>
      <c r="T2583" s="46" t="n"/>
      <c r="U2583" s="44" t="n"/>
      <c r="V2583" s="44">
        <f>IF(AND(P2583&gt;=Calendar!$K$2,P2583&lt;EDATE(Calendar!$K$2,1),OR(Calendar!$K$4="*",N2583=Calendar!$K$4)),P2583*100+COUNTIFS($P$6:$P$3271,P2583,$Q$6:$Q$3271,"&lt;="&amp;Q2583,$N$6:$N$3271,Calendar!$K$4),"")</f>
        <v/>
      </c>
      <c r="W2583" s="44">
        <f>IF(AND(B2583=Queue!$C$4,OR(Queue!$K$4="*",N2583=Queue!$K$4)),Q2583,"")</f>
        <v/>
      </c>
    </row>
    <row r="2584">
      <c r="A2584" s="35">
        <f>IF(M2584="","",HYPERLINK("https://www.youtube.com/watch?v="&amp;M2584,"▶"))</f>
        <v/>
      </c>
      <c r="B2584" s="36">
        <f>IF(C2584&lt;&gt;"",C2584,IF(P2584&lt;=IFERROR(INDEX(tblChannels[Watched Through],MATCH(N2584,tblChannels[Channel ID],0)),0),"Watched","Unwatched"))</f>
        <v/>
      </c>
      <c r="C2584" s="37" t="n"/>
      <c r="D2584" s="38" t="n"/>
      <c r="E2584" s="39" t="n">
        <v>42654.71805555555</v>
      </c>
      <c r="F2584" s="47" t="inlineStr">
        <is>
          <t>Super Carlin Brothers</t>
        </is>
      </c>
      <c r="G2584" t="inlineStr">
        <is>
          <t>Wizard Money Makes No Sense! | Harry Potter Film Theory</t>
        </is>
      </c>
      <c r="H2584" s="41" t="n">
        <v>0.006087962962962963</v>
      </c>
      <c r="I2584" s="42" t="n">
        <v>4389121</v>
      </c>
      <c r="J2584" s="42" t="n">
        <v>66940</v>
      </c>
      <c r="K2584" s="42" t="n">
        <v>8995</v>
      </c>
      <c r="L2584" s="43" t="n"/>
      <c r="M2584" s="44" t="n"/>
      <c r="N2584" s="44" t="inlineStr">
        <is>
          <t>UCKZo4N0lVPccBkSiuyVh4yg</t>
        </is>
      </c>
      <c r="O2584" s="45" t="n">
        <v>42654.88472222222</v>
      </c>
      <c r="P2584" s="46" t="n">
        <v>42654</v>
      </c>
      <c r="Q2584" s="44" t="n">
        <v>688</v>
      </c>
      <c r="R2584" s="44" t="inlineStr">
        <is>
          <t>No Video ID yet</t>
        </is>
      </c>
      <c r="S2584" s="46" t="n"/>
      <c r="T2584" s="46" t="n"/>
      <c r="U2584" s="44" t="n"/>
      <c r="V2584" s="44">
        <f>IF(AND(P2584&gt;=Calendar!$K$2,P2584&lt;EDATE(Calendar!$K$2,1),OR(Calendar!$K$4="*",N2584=Calendar!$K$4)),P2584*100+COUNTIFS($P$6:$P$3271,P2584,$Q$6:$Q$3271,"&lt;="&amp;Q2584,$N$6:$N$3271,Calendar!$K$4),"")</f>
        <v/>
      </c>
      <c r="W2584" s="44">
        <f>IF(AND(B2584=Queue!$C$4,OR(Queue!$K$4="*",N2584=Queue!$K$4)),Q2584,"")</f>
        <v/>
      </c>
    </row>
    <row r="2585">
      <c r="A2585" s="35">
        <f>IF(M2585="","",HYPERLINK("https://www.youtube.com/watch?v="&amp;M2585,"▶"))</f>
        <v/>
      </c>
      <c r="B2585" s="36">
        <f>IF(C2585&lt;&gt;"",C2585,IF(P2585&lt;=IFERROR(INDEX(tblChannels[Watched Through],MATCH(N2585,tblChannels[Channel ID],0)),0),"Watched","Unwatched"))</f>
        <v/>
      </c>
      <c r="C2585" s="37" t="n"/>
      <c r="D2585" s="38" t="n"/>
      <c r="E2585" s="39" t="n">
        <v>42649.77152777778</v>
      </c>
      <c r="F2585" s="47" t="inlineStr">
        <is>
          <t>Super Carlin Brothers</t>
        </is>
      </c>
      <c r="G2585" t="inlineStr">
        <is>
          <t>Who Performed Frozen's Act of True Love?</t>
        </is>
      </c>
      <c r="H2585" s="41" t="n">
        <v>0.004270833333333333</v>
      </c>
      <c r="I2585" s="42" t="n">
        <v>1330929</v>
      </c>
      <c r="J2585" s="42" t="n">
        <v>27624</v>
      </c>
      <c r="K2585" s="42" t="n">
        <v>7412</v>
      </c>
      <c r="L2585" s="43" t="n"/>
      <c r="M2585" s="44" t="n"/>
      <c r="N2585" s="44" t="inlineStr">
        <is>
          <t>UCKZo4N0lVPccBkSiuyVh4yg</t>
        </is>
      </c>
      <c r="O2585" s="45" t="n">
        <v>42649.93819444445</v>
      </c>
      <c r="P2585" s="46" t="n">
        <v>42649</v>
      </c>
      <c r="Q2585" s="44" t="n">
        <v>687</v>
      </c>
      <c r="R2585" s="44" t="inlineStr">
        <is>
          <t>No Video ID yet</t>
        </is>
      </c>
      <c r="S2585" s="46" t="n"/>
      <c r="T2585" s="46" t="n"/>
      <c r="U2585" s="44" t="n"/>
      <c r="V2585" s="44">
        <f>IF(AND(P2585&gt;=Calendar!$K$2,P2585&lt;EDATE(Calendar!$K$2,1),OR(Calendar!$K$4="*",N2585=Calendar!$K$4)),P2585*100+COUNTIFS($P$6:$P$3271,P2585,$Q$6:$Q$3271,"&lt;="&amp;Q2585,$N$6:$N$3271,Calendar!$K$4),"")</f>
        <v/>
      </c>
      <c r="W2585" s="44">
        <f>IF(AND(B2585=Queue!$C$4,OR(Queue!$K$4="*",N2585=Queue!$K$4)),Q2585,"")</f>
        <v/>
      </c>
    </row>
    <row r="2586">
      <c r="A2586" s="35">
        <f>IF(M2586="","",HYPERLINK("https://www.youtube.com/watch?v="&amp;M2586,"▶"))</f>
        <v/>
      </c>
      <c r="B2586" s="36">
        <f>IF(C2586&lt;&gt;"",C2586,IF(P2586&lt;=IFERROR(INDEX(tblChannels[Watched Through],MATCH(N2586,tblChannels[Channel ID],0)),0),"Watched","Unwatched"))</f>
        <v/>
      </c>
      <c r="C2586" s="37" t="n"/>
      <c r="D2586" s="38" t="n"/>
      <c r="E2586" s="39" t="n">
        <v>42647.625</v>
      </c>
      <c r="F2586" s="47" t="inlineStr">
        <is>
          <t>Super Carlin Brothers</t>
        </is>
      </c>
      <c r="G2586" t="inlineStr">
        <is>
          <t>Aladdin Theory: Genie Owes Aladdin A Wish</t>
        </is>
      </c>
      <c r="H2586" s="41" t="n">
        <v>0.005474537037037037</v>
      </c>
      <c r="I2586" s="42" t="n">
        <v>3318886</v>
      </c>
      <c r="J2586" s="42" t="n">
        <v>56684</v>
      </c>
      <c r="K2586" s="42" t="n">
        <v>11448</v>
      </c>
      <c r="L2586" s="43" t="n"/>
      <c r="M2586" s="44" t="n"/>
      <c r="N2586" s="44" t="inlineStr">
        <is>
          <t>UCKZo4N0lVPccBkSiuyVh4yg</t>
        </is>
      </c>
      <c r="O2586" s="45" t="n">
        <v>42647.79166666666</v>
      </c>
      <c r="P2586" s="46" t="n">
        <v>42647</v>
      </c>
      <c r="Q2586" s="44" t="n">
        <v>686</v>
      </c>
      <c r="R2586" s="44" t="inlineStr">
        <is>
          <t>No Video ID yet</t>
        </is>
      </c>
      <c r="S2586" s="46" t="n"/>
      <c r="T2586" s="46" t="n"/>
      <c r="U2586" s="44" t="n"/>
      <c r="V2586" s="44">
        <f>IF(AND(P2586&gt;=Calendar!$K$2,P2586&lt;EDATE(Calendar!$K$2,1),OR(Calendar!$K$4="*",N2586=Calendar!$K$4)),P2586*100+COUNTIFS($P$6:$P$3271,P2586,$Q$6:$Q$3271,"&lt;="&amp;Q2586,$N$6:$N$3271,Calendar!$K$4),"")</f>
        <v/>
      </c>
      <c r="W2586" s="44">
        <f>IF(AND(B2586=Queue!$C$4,OR(Queue!$K$4="*",N2586=Queue!$K$4)),Q2586,"")</f>
        <v/>
      </c>
    </row>
    <row r="2587">
      <c r="A2587" s="35">
        <f>IF(M2587="","",HYPERLINK("https://www.youtube.com/watch?v="&amp;M2587,"▶"))</f>
        <v/>
      </c>
      <c r="B2587" s="36">
        <f>IF(C2587&lt;&gt;"",C2587,IF(P2587&lt;=IFERROR(INDEX(tblChannels[Watched Through],MATCH(N2587,tblChannels[Channel ID],0)),0),"Watched","Unwatched"))</f>
        <v/>
      </c>
      <c r="C2587" s="37" t="n"/>
      <c r="D2587" s="38" t="n"/>
      <c r="E2587" s="39" t="n">
        <v>42642.78333333333</v>
      </c>
      <c r="F2587" s="47" t="inlineStr">
        <is>
          <t>Super Carlin Brothers</t>
        </is>
      </c>
      <c r="G2587" t="inlineStr">
        <is>
          <t>Is The Live-Action Lion King A Good Idea?</t>
        </is>
      </c>
      <c r="H2587" s="41" t="n">
        <v>0.005011574074074074</v>
      </c>
      <c r="I2587" s="42" t="n">
        <v>607095</v>
      </c>
      <c r="J2587" s="42" t="n">
        <v>15625</v>
      </c>
      <c r="K2587" s="42" t="n">
        <v>3273</v>
      </c>
      <c r="L2587" s="43" t="n"/>
      <c r="M2587" s="44" t="n"/>
      <c r="N2587" s="44" t="inlineStr">
        <is>
          <t>UCKZo4N0lVPccBkSiuyVh4yg</t>
        </is>
      </c>
      <c r="O2587" s="45" t="n">
        <v>42642.95</v>
      </c>
      <c r="P2587" s="46" t="n">
        <v>42642</v>
      </c>
      <c r="Q2587" s="44" t="n">
        <v>685</v>
      </c>
      <c r="R2587" s="44" t="inlineStr">
        <is>
          <t>No Video ID yet</t>
        </is>
      </c>
      <c r="S2587" s="46" t="n"/>
      <c r="T2587" s="46" t="n"/>
      <c r="U2587" s="44" t="n"/>
      <c r="V2587" s="44">
        <f>IF(AND(P2587&gt;=Calendar!$K$2,P2587&lt;EDATE(Calendar!$K$2,1),OR(Calendar!$K$4="*",N2587=Calendar!$K$4)),P2587*100+COUNTIFS($P$6:$P$3271,P2587,$Q$6:$Q$3271,"&lt;="&amp;Q2587,$N$6:$N$3271,Calendar!$K$4),"")</f>
        <v/>
      </c>
      <c r="W2587" s="44">
        <f>IF(AND(B2587=Queue!$C$4,OR(Queue!$K$4="*",N2587=Queue!$K$4)),Q2587,"")</f>
        <v/>
      </c>
    </row>
    <row r="2588">
      <c r="A2588" s="35">
        <f>IF(M2588="","",HYPERLINK("https://www.youtube.com/watch?v="&amp;M2588,"▶"))</f>
        <v/>
      </c>
      <c r="B2588" s="36">
        <f>IF(C2588&lt;&gt;"",C2588,IF(P2588&lt;=IFERROR(INDEX(tblChannels[Watched Through],MATCH(N2588,tblChannels[Channel ID],0)),0),"Watched","Unwatched"))</f>
        <v/>
      </c>
      <c r="C2588" s="37" t="n"/>
      <c r="D2588" s="38" t="n"/>
      <c r="E2588" s="39" t="n">
        <v>42640.74791666667</v>
      </c>
      <c r="F2588" s="47" t="inlineStr">
        <is>
          <t>Super Carlin Brothers</t>
        </is>
      </c>
      <c r="G2588" t="inlineStr">
        <is>
          <t>The Mouse Who Saved Disney</t>
        </is>
      </c>
      <c r="H2588" s="41" t="n">
        <v>0.006516203703703704</v>
      </c>
      <c r="I2588" s="42" t="n">
        <v>1290454</v>
      </c>
      <c r="J2588" s="42" t="n">
        <v>22329</v>
      </c>
      <c r="K2588" s="42" t="n">
        <v>6416</v>
      </c>
      <c r="L2588" s="43" t="n"/>
      <c r="M2588" s="44" t="n"/>
      <c r="N2588" s="44" t="inlineStr">
        <is>
          <t>UCKZo4N0lVPccBkSiuyVh4yg</t>
        </is>
      </c>
      <c r="O2588" s="45" t="n">
        <v>42640.91458333333</v>
      </c>
      <c r="P2588" s="46" t="n">
        <v>42640</v>
      </c>
      <c r="Q2588" s="44" t="n">
        <v>684</v>
      </c>
      <c r="R2588" s="44" t="inlineStr">
        <is>
          <t>No Video ID yet</t>
        </is>
      </c>
      <c r="S2588" s="46" t="n"/>
      <c r="T2588" s="46" t="n"/>
      <c r="U2588" s="44" t="n"/>
      <c r="V2588" s="44">
        <f>IF(AND(P2588&gt;=Calendar!$K$2,P2588&lt;EDATE(Calendar!$K$2,1),OR(Calendar!$K$4="*",N2588=Calendar!$K$4)),P2588*100+COUNTIFS($P$6:$P$3271,P2588,$Q$6:$Q$3271,"&lt;="&amp;Q2588,$N$6:$N$3271,Calendar!$K$4),"")</f>
        <v/>
      </c>
      <c r="W2588" s="44">
        <f>IF(AND(B2588=Queue!$C$4,OR(Queue!$K$4="*",N2588=Queue!$K$4)),Q2588,"")</f>
        <v/>
      </c>
    </row>
    <row r="2589">
      <c r="A2589" s="35">
        <f>IF(M2589="","",HYPERLINK("https://www.youtube.com/watch?v="&amp;M2589,"▶"))</f>
        <v/>
      </c>
      <c r="B2589" s="36">
        <f>IF(C2589&lt;&gt;"",C2589,IF(P2589&lt;=IFERROR(INDEX(tblChannels[Watched Through],MATCH(N2589,tblChannels[Channel ID],0)),0),"Watched","Unwatched"))</f>
        <v/>
      </c>
      <c r="C2589" s="37" t="n"/>
      <c r="D2589" s="38" t="n"/>
      <c r="E2589" s="39" t="n">
        <v>42635.79930555556</v>
      </c>
      <c r="F2589" s="47" t="inlineStr">
        <is>
          <t>Super Carlin Brothers</t>
        </is>
      </c>
      <c r="G2589" t="inlineStr">
        <is>
          <t>The Real Threat To Zootopia</t>
        </is>
      </c>
      <c r="H2589" s="41" t="n">
        <v>0.005324074074074074</v>
      </c>
      <c r="I2589" s="42" t="n">
        <v>989029</v>
      </c>
      <c r="J2589" s="42" t="n">
        <v>23458</v>
      </c>
      <c r="K2589" s="42" t="n">
        <v>3133</v>
      </c>
      <c r="L2589" s="43" t="n"/>
      <c r="M2589" s="44" t="n"/>
      <c r="N2589" s="44" t="inlineStr">
        <is>
          <t>UCKZo4N0lVPccBkSiuyVh4yg</t>
        </is>
      </c>
      <c r="O2589" s="45" t="n">
        <v>42635.96597222222</v>
      </c>
      <c r="P2589" s="46" t="n">
        <v>42635</v>
      </c>
      <c r="Q2589" s="44" t="n">
        <v>683</v>
      </c>
      <c r="R2589" s="44" t="inlineStr">
        <is>
          <t>No Video ID yet</t>
        </is>
      </c>
      <c r="S2589" s="46" t="n"/>
      <c r="T2589" s="46" t="n"/>
      <c r="U2589" s="44" t="n"/>
      <c r="V2589" s="44">
        <f>IF(AND(P2589&gt;=Calendar!$K$2,P2589&lt;EDATE(Calendar!$K$2,1),OR(Calendar!$K$4="*",N2589=Calendar!$K$4)),P2589*100+COUNTIFS($P$6:$P$3271,P2589,$Q$6:$Q$3271,"&lt;="&amp;Q2589,$N$6:$N$3271,Calendar!$K$4),"")</f>
        <v/>
      </c>
      <c r="W2589" s="44">
        <f>IF(AND(B2589=Queue!$C$4,OR(Queue!$K$4="*",N2589=Queue!$K$4)),Q2589,"")</f>
        <v/>
      </c>
    </row>
    <row r="2590">
      <c r="A2590" s="35">
        <f>IF(M2590="","",HYPERLINK("https://www.youtube.com/watch?v="&amp;M2590,"▶"))</f>
        <v/>
      </c>
      <c r="B2590" s="36">
        <f>IF(C2590&lt;&gt;"",C2590,IF(P2590&lt;=IFERROR(INDEX(tblChannels[Watched Through],MATCH(N2590,tblChannels[Channel ID],0)),0),"Watched","Unwatched"))</f>
        <v/>
      </c>
      <c r="C2590" s="37" t="n"/>
      <c r="D2590" s="38" t="n"/>
      <c r="E2590" s="39" t="n">
        <v>42634.38472222222</v>
      </c>
      <c r="F2590" s="49" t="inlineStr">
        <is>
          <t>Super Carlin Gaming</t>
        </is>
      </c>
      <c r="G2590" t="inlineStr">
        <is>
          <t>Pokemon HeartGold Nuzlocke #28: Celery's Final Stand</t>
        </is>
      </c>
      <c r="H2590" s="41" t="n">
        <v>0.01863425925925926</v>
      </c>
      <c r="I2590" s="42" t="n">
        <v>19433</v>
      </c>
      <c r="J2590" s="42" t="n">
        <v>465</v>
      </c>
      <c r="K2590" s="42" t="n">
        <v>154</v>
      </c>
      <c r="L2590" s="43" t="n"/>
      <c r="M2590" s="44" t="n"/>
      <c r="N2590" s="44" t="inlineStr">
        <is>
          <t>UCor_9jRnNNZVzTuQ92PKsaQ</t>
        </is>
      </c>
      <c r="O2590" s="45" t="n">
        <v>42634.55138888889</v>
      </c>
      <c r="P2590" s="46" t="n">
        <v>42634</v>
      </c>
      <c r="Q2590" s="44" t="n">
        <v>682</v>
      </c>
      <c r="R2590" s="44" t="inlineStr">
        <is>
          <t>No Video ID yet</t>
        </is>
      </c>
      <c r="S2590" s="46" t="n"/>
      <c r="T2590" s="46" t="n"/>
      <c r="U2590" s="44" t="n"/>
      <c r="V2590" s="44">
        <f>IF(AND(P2590&gt;=Calendar!$K$2,P2590&lt;EDATE(Calendar!$K$2,1),OR(Calendar!$K$4="*",N2590=Calendar!$K$4)),P2590*100+COUNTIFS($P$6:$P$3271,P2590,$Q$6:$Q$3271,"&lt;="&amp;Q2590,$N$6:$N$3271,Calendar!$K$4),"")</f>
        <v/>
      </c>
      <c r="W2590" s="44">
        <f>IF(AND(B2590=Queue!$C$4,OR(Queue!$K$4="*",N2590=Queue!$K$4)),Q2590,"")</f>
        <v/>
      </c>
    </row>
    <row r="2591">
      <c r="A2591" s="35">
        <f>IF(M2591="","",HYPERLINK("https://www.youtube.com/watch?v="&amp;M2591,"▶"))</f>
        <v/>
      </c>
      <c r="B2591" s="36">
        <f>IF(C2591&lt;&gt;"",C2591,IF(P2591&lt;=IFERROR(INDEX(tblChannels[Watched Through],MATCH(N2591,tblChannels[Channel ID],0)),0),"Watched","Unwatched"))</f>
        <v/>
      </c>
      <c r="C2591" s="37" t="n"/>
      <c r="D2591" s="38" t="n"/>
      <c r="E2591" s="39" t="n">
        <v>42633.625</v>
      </c>
      <c r="F2591" s="47" t="inlineStr">
        <is>
          <t>Super Carlin Brothers</t>
        </is>
      </c>
      <c r="G2591" t="inlineStr">
        <is>
          <t>Do Monsters Google Autofill</t>
        </is>
      </c>
      <c r="H2591" s="41" t="n">
        <v>0.004988425925925926</v>
      </c>
      <c r="I2591" s="42" t="n">
        <v>347986</v>
      </c>
      <c r="J2591" s="42" t="n">
        <v>8976</v>
      </c>
      <c r="K2591" s="42" t="n">
        <v>1569</v>
      </c>
      <c r="L2591" s="43" t="n"/>
      <c r="M2591" s="44" t="n"/>
      <c r="N2591" s="44" t="inlineStr">
        <is>
          <t>UCKZo4N0lVPccBkSiuyVh4yg</t>
        </is>
      </c>
      <c r="O2591" s="45" t="n">
        <v>42633.79166666666</v>
      </c>
      <c r="P2591" s="46" t="n">
        <v>42633</v>
      </c>
      <c r="Q2591" s="44" t="n">
        <v>681</v>
      </c>
      <c r="R2591" s="44" t="inlineStr">
        <is>
          <t>No Video ID yet</t>
        </is>
      </c>
      <c r="S2591" s="46" t="n"/>
      <c r="T2591" s="46" t="n"/>
      <c r="U2591" s="44" t="n"/>
      <c r="V2591" s="44">
        <f>IF(AND(P2591&gt;=Calendar!$K$2,P2591&lt;EDATE(Calendar!$K$2,1),OR(Calendar!$K$4="*",N2591=Calendar!$K$4)),P2591*100+COUNTIFS($P$6:$P$3271,P2591,$Q$6:$Q$3271,"&lt;="&amp;Q2591,$N$6:$N$3271,Calendar!$K$4),"")</f>
        <v/>
      </c>
      <c r="W2591" s="44">
        <f>IF(AND(B2591=Queue!$C$4,OR(Queue!$K$4="*",N2591=Queue!$K$4)),Q2591,"")</f>
        <v/>
      </c>
    </row>
    <row r="2592">
      <c r="A2592" s="35">
        <f>IF(M2592="","",HYPERLINK("https://www.youtube.com/watch?v="&amp;M2592,"▶"))</f>
        <v/>
      </c>
      <c r="B2592" s="36">
        <f>IF(C2592&lt;&gt;"",C2592,IF(P2592&lt;=IFERROR(INDEX(tblChannels[Watched Through],MATCH(N2592,tblChannels[Channel ID],0)),0),"Watched","Unwatched"))</f>
        <v/>
      </c>
      <c r="C2592" s="37" t="n"/>
      <c r="D2592" s="38" t="n"/>
      <c r="E2592" s="39" t="n">
        <v>42628.81527777778</v>
      </c>
      <c r="F2592" s="47" t="inlineStr">
        <is>
          <t>Super Carlin Brothers</t>
        </is>
      </c>
      <c r="G2592" t="inlineStr">
        <is>
          <t>Moana Trailer Review, Analysis &amp; Predictions</t>
        </is>
      </c>
      <c r="H2592" s="41" t="n">
        <v>0.006354166666666667</v>
      </c>
      <c r="I2592" s="42" t="n">
        <v>655592</v>
      </c>
      <c r="J2592" s="42" t="n">
        <v>10579</v>
      </c>
      <c r="K2592" s="42" t="n">
        <v>1931</v>
      </c>
      <c r="L2592" s="43" t="n"/>
      <c r="M2592" s="44" t="n"/>
      <c r="N2592" s="44" t="inlineStr">
        <is>
          <t>UCKZo4N0lVPccBkSiuyVh4yg</t>
        </is>
      </c>
      <c r="O2592" s="45" t="n">
        <v>42628.98194444444</v>
      </c>
      <c r="P2592" s="46" t="n">
        <v>42628</v>
      </c>
      <c r="Q2592" s="44" t="n">
        <v>680</v>
      </c>
      <c r="R2592" s="44" t="inlineStr">
        <is>
          <t>No Video ID yet</t>
        </is>
      </c>
      <c r="S2592" s="46" t="n"/>
      <c r="T2592" s="46" t="n"/>
      <c r="U2592" s="44" t="n"/>
      <c r="V2592" s="44">
        <f>IF(AND(P2592&gt;=Calendar!$K$2,P2592&lt;EDATE(Calendar!$K$2,1),OR(Calendar!$K$4="*",N2592=Calendar!$K$4)),P2592*100+COUNTIFS($P$6:$P$3271,P2592,$Q$6:$Q$3271,"&lt;="&amp;Q2592,$N$6:$N$3271,Calendar!$K$4),"")</f>
        <v/>
      </c>
      <c r="W2592" s="44">
        <f>IF(AND(B2592=Queue!$C$4,OR(Queue!$K$4="*",N2592=Queue!$K$4)),Q2592,"")</f>
        <v/>
      </c>
    </row>
    <row r="2593">
      <c r="A2593" s="35">
        <f>IF(M2593="","",HYPERLINK("https://www.youtube.com/watch?v="&amp;M2593,"▶"))</f>
        <v/>
      </c>
      <c r="B2593" s="36">
        <f>IF(C2593&lt;&gt;"",C2593,IF(P2593&lt;=IFERROR(INDEX(tblChannels[Watched Through],MATCH(N2593,tblChannels[Channel ID],0)),0),"Watched","Unwatched"))</f>
        <v/>
      </c>
      <c r="C2593" s="37" t="n"/>
      <c r="D2593" s="38" t="n"/>
      <c r="E2593" s="39" t="n">
        <v>42626.70625</v>
      </c>
      <c r="F2593" s="47" t="inlineStr">
        <is>
          <t>Super Carlin Brothers</t>
        </is>
      </c>
      <c r="G2593" t="inlineStr">
        <is>
          <t>Who is Simba's Grandfather?</t>
        </is>
      </c>
      <c r="H2593" s="41" t="n">
        <v>0.004594907407407408</v>
      </c>
      <c r="I2593" s="42" t="n">
        <v>2100996</v>
      </c>
      <c r="J2593" s="42" t="n">
        <v>36083</v>
      </c>
      <c r="K2593" s="42" t="n">
        <v>6173</v>
      </c>
      <c r="L2593" s="43" t="n"/>
      <c r="M2593" s="44" t="n"/>
      <c r="N2593" s="44" t="inlineStr">
        <is>
          <t>UCKZo4N0lVPccBkSiuyVh4yg</t>
        </is>
      </c>
      <c r="O2593" s="45" t="n">
        <v>42626.87291666667</v>
      </c>
      <c r="P2593" s="46" t="n">
        <v>42626</v>
      </c>
      <c r="Q2593" s="44" t="n">
        <v>679</v>
      </c>
      <c r="R2593" s="44" t="inlineStr">
        <is>
          <t>No Video ID yet</t>
        </is>
      </c>
      <c r="S2593" s="46" t="n"/>
      <c r="T2593" s="46" t="n"/>
      <c r="U2593" s="44" t="n"/>
      <c r="V2593" s="44">
        <f>IF(AND(P2593&gt;=Calendar!$K$2,P2593&lt;EDATE(Calendar!$K$2,1),OR(Calendar!$K$4="*",N2593=Calendar!$K$4)),P2593*100+COUNTIFS($P$6:$P$3271,P2593,$Q$6:$Q$3271,"&lt;="&amp;Q2593,$N$6:$N$3271,Calendar!$K$4),"")</f>
        <v/>
      </c>
      <c r="W2593" s="44">
        <f>IF(AND(B2593=Queue!$C$4,OR(Queue!$K$4="*",N2593=Queue!$K$4)),Q2593,"")</f>
        <v/>
      </c>
    </row>
    <row r="2594">
      <c r="A2594" s="35">
        <f>IF(M2594="","",HYPERLINK("https://www.youtube.com/watch?v="&amp;M2594,"▶"))</f>
        <v/>
      </c>
      <c r="B2594" s="36">
        <f>IF(C2594&lt;&gt;"",C2594,IF(P2594&lt;=IFERROR(INDEX(tblChannels[Watched Through],MATCH(N2594,tblChannels[Channel ID],0)),0),"Watched","Unwatched"))</f>
        <v/>
      </c>
      <c r="C2594" s="37" t="n"/>
      <c r="D2594" s="38" t="n"/>
      <c r="E2594" s="39" t="n">
        <v>42621.625</v>
      </c>
      <c r="F2594" s="47" t="inlineStr">
        <is>
          <t>Super Carlin Brothers</t>
        </is>
      </c>
      <c r="G2594" t="inlineStr">
        <is>
          <t>How To Fix Quidditch</t>
        </is>
      </c>
      <c r="H2594" s="41" t="n">
        <v>0.004467592592592592</v>
      </c>
      <c r="I2594" s="42" t="n">
        <v>1276940</v>
      </c>
      <c r="J2594" s="42" t="n">
        <v>26709</v>
      </c>
      <c r="K2594" s="42" t="n">
        <v>3760</v>
      </c>
      <c r="L2594" s="43" t="n"/>
      <c r="M2594" s="44" t="n"/>
      <c r="N2594" s="44" t="inlineStr">
        <is>
          <t>UCKZo4N0lVPccBkSiuyVh4yg</t>
        </is>
      </c>
      <c r="O2594" s="45" t="n">
        <v>42621.79166666666</v>
      </c>
      <c r="P2594" s="46" t="n">
        <v>42621</v>
      </c>
      <c r="Q2594" s="44" t="n">
        <v>678</v>
      </c>
      <c r="R2594" s="44" t="inlineStr">
        <is>
          <t>No Video ID yet</t>
        </is>
      </c>
      <c r="S2594" s="46" t="n"/>
      <c r="T2594" s="46" t="n"/>
      <c r="U2594" s="44" t="n"/>
      <c r="V2594" s="44">
        <f>IF(AND(P2594&gt;=Calendar!$K$2,P2594&lt;EDATE(Calendar!$K$2,1),OR(Calendar!$K$4="*",N2594=Calendar!$K$4)),P2594*100+COUNTIFS($P$6:$P$3271,P2594,$Q$6:$Q$3271,"&lt;="&amp;Q2594,$N$6:$N$3271,Calendar!$K$4),"")</f>
        <v/>
      </c>
      <c r="W2594" s="44">
        <f>IF(AND(B2594=Queue!$C$4,OR(Queue!$K$4="*",N2594=Queue!$K$4)),Q2594,"")</f>
        <v/>
      </c>
    </row>
    <row r="2595">
      <c r="A2595" s="35">
        <f>IF(M2595="","",HYPERLINK("https://www.youtube.com/watch?v="&amp;M2595,"▶"))</f>
        <v/>
      </c>
      <c r="B2595" s="36">
        <f>IF(C2595&lt;&gt;"",C2595,IF(P2595&lt;=IFERROR(INDEX(tblChannels[Watched Through],MATCH(N2595,tblChannels[Channel ID],0)),0),"Watched","Unwatched"))</f>
        <v/>
      </c>
      <c r="C2595" s="37" t="n"/>
      <c r="D2595" s="38" t="n"/>
      <c r="E2595" s="39" t="n">
        <v>42619.82013888889</v>
      </c>
      <c r="F2595" s="47" t="inlineStr">
        <is>
          <t>Super Carlin Brothers</t>
        </is>
      </c>
      <c r="G2595" t="inlineStr">
        <is>
          <t>Why Kevin Is Actually Mickey Mouse</t>
        </is>
      </c>
      <c r="H2595" s="41" t="n">
        <v>0.005092592592592593</v>
      </c>
      <c r="I2595" s="42" t="n">
        <v>1881269</v>
      </c>
      <c r="J2595" s="42" t="n">
        <v>35275</v>
      </c>
      <c r="K2595" s="42" t="n">
        <v>5292</v>
      </c>
      <c r="L2595" s="43" t="n"/>
      <c r="M2595" s="44" t="n"/>
      <c r="N2595" s="44" t="inlineStr">
        <is>
          <t>UCKZo4N0lVPccBkSiuyVh4yg</t>
        </is>
      </c>
      <c r="O2595" s="45" t="n">
        <v>42619.98680555556</v>
      </c>
      <c r="P2595" s="46" t="n">
        <v>42619</v>
      </c>
      <c r="Q2595" s="44" t="n">
        <v>677</v>
      </c>
      <c r="R2595" s="44" t="inlineStr">
        <is>
          <t>No Video ID yet</t>
        </is>
      </c>
      <c r="S2595" s="46" t="n"/>
      <c r="T2595" s="46" t="n"/>
      <c r="U2595" s="44" t="n"/>
      <c r="V2595" s="44">
        <f>IF(AND(P2595&gt;=Calendar!$K$2,P2595&lt;EDATE(Calendar!$K$2,1),OR(Calendar!$K$4="*",N2595=Calendar!$K$4)),P2595*100+COUNTIFS($P$6:$P$3271,P2595,$Q$6:$Q$3271,"&lt;="&amp;Q2595,$N$6:$N$3271,Calendar!$K$4),"")</f>
        <v/>
      </c>
      <c r="W2595" s="44">
        <f>IF(AND(B2595=Queue!$C$4,OR(Queue!$K$4="*",N2595=Queue!$K$4)),Q2595,"")</f>
        <v/>
      </c>
    </row>
    <row r="2596">
      <c r="A2596" s="35">
        <f>IF(M2596="","",HYPERLINK("https://www.youtube.com/watch?v="&amp;M2596,"▶"))</f>
        <v/>
      </c>
      <c r="B2596" s="36">
        <f>IF(C2596&lt;&gt;"",C2596,IF(P2596&lt;=IFERROR(INDEX(tblChannels[Watched Through],MATCH(N2596,tblChannels[Channel ID],0)),0),"Watched","Unwatched"))</f>
        <v/>
      </c>
      <c r="C2596" s="37" t="n"/>
      <c r="D2596" s="38" t="n"/>
      <c r="E2596" s="39" t="n">
        <v>42615.46875</v>
      </c>
      <c r="F2596" s="49" t="inlineStr">
        <is>
          <t>Super Carlin Gaming</t>
        </is>
      </c>
      <c r="G2596" t="inlineStr">
        <is>
          <t>Pokemon HeartGold Nuzlocke #27: Raikou Returns!</t>
        </is>
      </c>
      <c r="H2596" s="41" t="n">
        <v>0.0237037037037037</v>
      </c>
      <c r="I2596" s="42" t="n">
        <v>20290</v>
      </c>
      <c r="J2596" s="42" t="n">
        <v>502</v>
      </c>
      <c r="K2596" s="42" t="n">
        <v>345</v>
      </c>
      <c r="L2596" s="43" t="n"/>
      <c r="M2596" s="44" t="n"/>
      <c r="N2596" s="44" t="inlineStr">
        <is>
          <t>UCor_9jRnNNZVzTuQ92PKsaQ</t>
        </is>
      </c>
      <c r="O2596" s="45" t="n">
        <v>42615.63541666666</v>
      </c>
      <c r="P2596" s="46" t="n">
        <v>42615</v>
      </c>
      <c r="Q2596" s="44" t="n">
        <v>676</v>
      </c>
      <c r="R2596" s="44" t="inlineStr">
        <is>
          <t>No Video ID yet</t>
        </is>
      </c>
      <c r="S2596" s="46" t="n"/>
      <c r="T2596" s="46" t="n"/>
      <c r="U2596" s="44" t="n"/>
      <c r="V2596" s="44">
        <f>IF(AND(P2596&gt;=Calendar!$K$2,P2596&lt;EDATE(Calendar!$K$2,1),OR(Calendar!$K$4="*",N2596=Calendar!$K$4)),P2596*100+COUNTIFS($P$6:$P$3271,P2596,$Q$6:$Q$3271,"&lt;="&amp;Q2596,$N$6:$N$3271,Calendar!$K$4),"")</f>
        <v/>
      </c>
      <c r="W2596" s="44">
        <f>IF(AND(B2596=Queue!$C$4,OR(Queue!$K$4="*",N2596=Queue!$K$4)),Q2596,"")</f>
        <v/>
      </c>
    </row>
    <row r="2597">
      <c r="A2597" s="35">
        <f>IF(M2597="","",HYPERLINK("https://www.youtube.com/watch?v="&amp;M2597,"▶"))</f>
        <v/>
      </c>
      <c r="B2597" s="36">
        <f>IF(C2597&lt;&gt;"",C2597,IF(P2597&lt;=IFERROR(INDEX(tblChannels[Watched Through],MATCH(N2597,tblChannels[Channel ID],0)),0),"Watched","Unwatched"))</f>
        <v/>
      </c>
      <c r="C2597" s="37" t="n"/>
      <c r="D2597" s="38" t="n"/>
      <c r="E2597" s="39" t="n">
        <v>42614.75347222222</v>
      </c>
      <c r="F2597" s="47" t="inlineStr">
        <is>
          <t>Super Carlin Brothers</t>
        </is>
      </c>
      <c r="G2597" t="inlineStr">
        <is>
          <t>Finding Dory's Gerald Explained</t>
        </is>
      </c>
      <c r="H2597" s="41" t="n">
        <v>0.003854166666666667</v>
      </c>
      <c r="I2597" s="42" t="n">
        <v>1942283</v>
      </c>
      <c r="J2597" s="42" t="n">
        <v>31458</v>
      </c>
      <c r="K2597" s="42" t="n">
        <v>6258</v>
      </c>
      <c r="L2597" s="43" t="n"/>
      <c r="M2597" s="44" t="n"/>
      <c r="N2597" s="44" t="inlineStr">
        <is>
          <t>UCKZo4N0lVPccBkSiuyVh4yg</t>
        </is>
      </c>
      <c r="O2597" s="45" t="n">
        <v>42614.92013888889</v>
      </c>
      <c r="P2597" s="46" t="n">
        <v>42614</v>
      </c>
      <c r="Q2597" s="44" t="n">
        <v>675</v>
      </c>
      <c r="R2597" s="44" t="inlineStr">
        <is>
          <t>No Video ID yet</t>
        </is>
      </c>
      <c r="S2597" s="46" t="n"/>
      <c r="T2597" s="46" t="n"/>
      <c r="U2597" s="44" t="n"/>
      <c r="V2597" s="44">
        <f>IF(AND(P2597&gt;=Calendar!$K$2,P2597&lt;EDATE(Calendar!$K$2,1),OR(Calendar!$K$4="*",N2597=Calendar!$K$4)),P2597*100+COUNTIFS($P$6:$P$3271,P2597,$Q$6:$Q$3271,"&lt;="&amp;Q2597,$N$6:$N$3271,Calendar!$K$4),"")</f>
        <v/>
      </c>
      <c r="W2597" s="44">
        <f>IF(AND(B2597=Queue!$C$4,OR(Queue!$K$4="*",N2597=Queue!$K$4)),Q2597,"")</f>
        <v/>
      </c>
    </row>
    <row r="2598">
      <c r="A2598" s="35">
        <f>IF(M2598="","",HYPERLINK("https://www.youtube.com/watch?v="&amp;M2598,"▶"))</f>
        <v/>
      </c>
      <c r="B2598" s="36">
        <f>IF(C2598&lt;&gt;"",C2598,IF(P2598&lt;=IFERROR(INDEX(tblChannels[Watched Through],MATCH(N2598,tblChannels[Channel ID],0)),0),"Watched","Unwatched"))</f>
        <v/>
      </c>
      <c r="C2598" s="37" t="n"/>
      <c r="D2598" s="38" t="n"/>
      <c r="E2598" s="39" t="n">
        <v>42613.66875</v>
      </c>
      <c r="F2598" s="49" t="inlineStr">
        <is>
          <t>Super Carlin Gaming</t>
        </is>
      </c>
      <c r="G2598" t="inlineStr">
        <is>
          <t>Pokemon HeartGold Nuzlocke #26: The Phoenix Returns</t>
        </is>
      </c>
      <c r="H2598" s="41" t="n">
        <v>0.01641203703703704</v>
      </c>
      <c r="I2598" s="42" t="n">
        <v>18827</v>
      </c>
      <c r="J2598" s="42" t="n">
        <v>608</v>
      </c>
      <c r="K2598" s="42" t="n">
        <v>329</v>
      </c>
      <c r="L2598" s="43" t="n"/>
      <c r="M2598" s="44" t="n"/>
      <c r="N2598" s="44" t="inlineStr">
        <is>
          <t>UCor_9jRnNNZVzTuQ92PKsaQ</t>
        </is>
      </c>
      <c r="O2598" s="45" t="n">
        <v>42613.83541666667</v>
      </c>
      <c r="P2598" s="46" t="n">
        <v>42613</v>
      </c>
      <c r="Q2598" s="44" t="n">
        <v>674</v>
      </c>
      <c r="R2598" s="44" t="inlineStr">
        <is>
          <t>No Video ID yet</t>
        </is>
      </c>
      <c r="S2598" s="46" t="n"/>
      <c r="T2598" s="46" t="n"/>
      <c r="U2598" s="44" t="n"/>
      <c r="V2598" s="44">
        <f>IF(AND(P2598&gt;=Calendar!$K$2,P2598&lt;EDATE(Calendar!$K$2,1),OR(Calendar!$K$4="*",N2598=Calendar!$K$4)),P2598*100+COUNTIFS($P$6:$P$3271,P2598,$Q$6:$Q$3271,"&lt;="&amp;Q2598,$N$6:$N$3271,Calendar!$K$4),"")</f>
        <v/>
      </c>
      <c r="W2598" s="44">
        <f>IF(AND(B2598=Queue!$C$4,OR(Queue!$K$4="*",N2598=Queue!$K$4)),Q2598,"")</f>
        <v/>
      </c>
    </row>
    <row r="2599">
      <c r="A2599" s="35">
        <f>IF(M2599="","",HYPERLINK("https://www.youtube.com/watch?v="&amp;M2599,"▶"))</f>
        <v/>
      </c>
      <c r="B2599" s="36">
        <f>IF(C2599&lt;&gt;"",C2599,IF(P2599&lt;=IFERROR(INDEX(tblChannels[Watched Through],MATCH(N2599,tblChannels[Channel ID],0)),0),"Watched","Unwatched"))</f>
        <v/>
      </c>
      <c r="C2599" s="37" t="n"/>
      <c r="D2599" s="38" t="n"/>
      <c r="E2599" s="39" t="n">
        <v>42612.59027777778</v>
      </c>
      <c r="F2599" s="47" t="inlineStr">
        <is>
          <t>Super Carlin Brothers</t>
        </is>
      </c>
      <c r="G2599" t="inlineStr">
        <is>
          <t>Pixar Theory: Anton Ego's Origins</t>
        </is>
      </c>
      <c r="H2599" s="41" t="n">
        <v>0.006469907407407408</v>
      </c>
      <c r="I2599" s="42" t="n">
        <v>1069260</v>
      </c>
      <c r="J2599" s="42" t="n">
        <v>30170</v>
      </c>
      <c r="K2599" s="42" t="n">
        <v>2926</v>
      </c>
      <c r="L2599" s="43" t="n"/>
      <c r="M2599" s="44" t="n"/>
      <c r="N2599" s="44" t="inlineStr">
        <is>
          <t>UCKZo4N0lVPccBkSiuyVh4yg</t>
        </is>
      </c>
      <c r="O2599" s="45" t="n">
        <v>42612.75694444445</v>
      </c>
      <c r="P2599" s="46" t="n">
        <v>42612</v>
      </c>
      <c r="Q2599" s="44" t="n">
        <v>673</v>
      </c>
      <c r="R2599" s="44" t="inlineStr">
        <is>
          <t>No Video ID yet</t>
        </is>
      </c>
      <c r="S2599" s="46" t="n"/>
      <c r="T2599" s="46" t="n"/>
      <c r="U2599" s="44" t="n"/>
      <c r="V2599" s="44">
        <f>IF(AND(P2599&gt;=Calendar!$K$2,P2599&lt;EDATE(Calendar!$K$2,1),OR(Calendar!$K$4="*",N2599=Calendar!$K$4)),P2599*100+COUNTIFS($P$6:$P$3271,P2599,$Q$6:$Q$3271,"&lt;="&amp;Q2599,$N$6:$N$3271,Calendar!$K$4),"")</f>
        <v/>
      </c>
      <c r="W2599" s="44">
        <f>IF(AND(B2599=Queue!$C$4,OR(Queue!$K$4="*",N2599=Queue!$K$4)),Q2599,"")</f>
        <v/>
      </c>
    </row>
    <row r="2600">
      <c r="A2600" s="35">
        <f>IF(M2600="","",HYPERLINK("https://www.youtube.com/watch?v="&amp;M2600,"▶"))</f>
        <v/>
      </c>
      <c r="B2600" s="36">
        <f>IF(C2600&lt;&gt;"",C2600,IF(P2600&lt;=IFERROR(INDEX(tblChannels[Watched Through],MATCH(N2600,tblChannels[Channel ID],0)),0),"Watched","Unwatched"))</f>
        <v/>
      </c>
      <c r="C2600" s="37" t="n"/>
      <c r="D2600" s="38" t="n"/>
      <c r="E2600" s="39" t="n">
        <v>42607.79305555556</v>
      </c>
      <c r="F2600" s="47" t="inlineStr">
        <is>
          <t>Super Carlin Brothers</t>
        </is>
      </c>
      <c r="G2600" t="inlineStr">
        <is>
          <t>Pixar Theory: Toy Story's True Villain</t>
        </is>
      </c>
      <c r="H2600" s="41" t="n">
        <v>0.004236111111111112</v>
      </c>
      <c r="I2600" s="42" t="n">
        <v>1232377</v>
      </c>
      <c r="J2600" s="42" t="n">
        <v>27906</v>
      </c>
      <c r="K2600" s="42" t="n">
        <v>2925</v>
      </c>
      <c r="L2600" s="43" t="n"/>
      <c r="M2600" s="44" t="n"/>
      <c r="N2600" s="44" t="inlineStr">
        <is>
          <t>UCKZo4N0lVPccBkSiuyVh4yg</t>
        </is>
      </c>
      <c r="O2600" s="45" t="n">
        <v>42607.95972222222</v>
      </c>
      <c r="P2600" s="46" t="n">
        <v>42607</v>
      </c>
      <c r="Q2600" s="44" t="n">
        <v>672</v>
      </c>
      <c r="R2600" s="44" t="inlineStr">
        <is>
          <t>No Video ID yet</t>
        </is>
      </c>
      <c r="S2600" s="46" t="n"/>
      <c r="T2600" s="46" t="n"/>
      <c r="U2600" s="44" t="n"/>
      <c r="V2600" s="44">
        <f>IF(AND(P2600&gt;=Calendar!$K$2,P2600&lt;EDATE(Calendar!$K$2,1),OR(Calendar!$K$4="*",N2600=Calendar!$K$4)),P2600*100+COUNTIFS($P$6:$P$3271,P2600,$Q$6:$Q$3271,"&lt;="&amp;Q2600,$N$6:$N$3271,Calendar!$K$4),"")</f>
        <v/>
      </c>
      <c r="W2600" s="44">
        <f>IF(AND(B2600=Queue!$C$4,OR(Queue!$K$4="*",N2600=Queue!$K$4)),Q2600,"")</f>
        <v/>
      </c>
    </row>
    <row r="2601">
      <c r="A2601" s="35">
        <f>IF(M2601="","",HYPERLINK("https://www.youtube.com/watch?v="&amp;M2601,"▶"))</f>
        <v/>
      </c>
      <c r="B2601" s="36">
        <f>IF(C2601&lt;&gt;"",C2601,IF(P2601&lt;=IFERROR(INDEX(tblChannels[Watched Through],MATCH(N2601,tblChannels[Channel ID],0)),0),"Watched","Unwatched"))</f>
        <v/>
      </c>
      <c r="C2601" s="37" t="n"/>
      <c r="D2601" s="38" t="n"/>
      <c r="E2601" s="39" t="n">
        <v>42605.69305555556</v>
      </c>
      <c r="F2601" s="47" t="inlineStr">
        <is>
          <t>Super Carlin Brothers</t>
        </is>
      </c>
      <c r="G2601" t="inlineStr">
        <is>
          <t>Harry Potter Theory: Who Is The Cursed Child?</t>
        </is>
      </c>
      <c r="H2601" s="41" t="n">
        <v>0.007858796296296296</v>
      </c>
      <c r="I2601" s="42" t="n">
        <v>1810620</v>
      </c>
      <c r="J2601" s="42" t="n">
        <v>34314</v>
      </c>
      <c r="K2601" s="42" t="n">
        <v>8648</v>
      </c>
      <c r="L2601" s="43" t="n"/>
      <c r="M2601" s="44" t="n"/>
      <c r="N2601" s="44" t="inlineStr">
        <is>
          <t>UCKZo4N0lVPccBkSiuyVh4yg</t>
        </is>
      </c>
      <c r="O2601" s="45" t="n">
        <v>42605.85972222222</v>
      </c>
      <c r="P2601" s="46" t="n">
        <v>42605</v>
      </c>
      <c r="Q2601" s="44" t="n">
        <v>671</v>
      </c>
      <c r="R2601" s="44" t="inlineStr">
        <is>
          <t>No Video ID yet</t>
        </is>
      </c>
      <c r="S2601" s="46" t="n"/>
      <c r="T2601" s="46" t="n"/>
      <c r="U2601" s="44" t="n"/>
      <c r="V2601" s="44">
        <f>IF(AND(P2601&gt;=Calendar!$K$2,P2601&lt;EDATE(Calendar!$K$2,1),OR(Calendar!$K$4="*",N2601=Calendar!$K$4)),P2601*100+COUNTIFS($P$6:$P$3271,P2601,$Q$6:$Q$3271,"&lt;="&amp;Q2601,$N$6:$N$3271,Calendar!$K$4),"")</f>
        <v/>
      </c>
      <c r="W2601" s="44">
        <f>IF(AND(B2601=Queue!$C$4,OR(Queue!$K$4="*",N2601=Queue!$K$4)),Q2601,"")</f>
        <v/>
      </c>
    </row>
    <row r="2602">
      <c r="A2602" s="35">
        <f>IF(M2602="","",HYPERLINK("https://www.youtube.com/watch?v="&amp;M2602,"▶"))</f>
        <v/>
      </c>
      <c r="B2602" s="36">
        <f>IF(C2602&lt;&gt;"",C2602,IF(P2602&lt;=IFERROR(INDEX(tblChannels[Watched Through],MATCH(N2602,tblChannels[Channel ID],0)),0),"Watched","Unwatched"))</f>
        <v/>
      </c>
      <c r="C2602" s="37" t="n"/>
      <c r="D2602" s="38" t="n"/>
      <c r="E2602" s="39" t="n">
        <v>42600.79236111111</v>
      </c>
      <c r="F2602" s="47" t="inlineStr">
        <is>
          <t>Super Carlin Brothers</t>
        </is>
      </c>
      <c r="G2602" t="inlineStr">
        <is>
          <t>Voldemort's Horcruxes Ranked</t>
        </is>
      </c>
      <c r="H2602" s="41" t="n">
        <v>0.005567129629629629</v>
      </c>
      <c r="I2602" s="42" t="n">
        <v>2000959</v>
      </c>
      <c r="J2602" s="42" t="n">
        <v>35918</v>
      </c>
      <c r="K2602" s="42" t="n">
        <v>5471</v>
      </c>
      <c r="L2602" s="43" t="n"/>
      <c r="M2602" s="44" t="n"/>
      <c r="N2602" s="44" t="inlineStr">
        <is>
          <t>UCKZo4N0lVPccBkSiuyVh4yg</t>
        </is>
      </c>
      <c r="O2602" s="45" t="n">
        <v>42600.95902777778</v>
      </c>
      <c r="P2602" s="46" t="n">
        <v>42600</v>
      </c>
      <c r="Q2602" s="44" t="n">
        <v>670</v>
      </c>
      <c r="R2602" s="44" t="inlineStr">
        <is>
          <t>No Video ID yet</t>
        </is>
      </c>
      <c r="S2602" s="46" t="n"/>
      <c r="T2602" s="46" t="n"/>
      <c r="U2602" s="44" t="n"/>
      <c r="V2602" s="44">
        <f>IF(AND(P2602&gt;=Calendar!$K$2,P2602&lt;EDATE(Calendar!$K$2,1),OR(Calendar!$K$4="*",N2602=Calendar!$K$4)),P2602*100+COUNTIFS($P$6:$P$3271,P2602,$Q$6:$Q$3271,"&lt;="&amp;Q2602,$N$6:$N$3271,Calendar!$K$4),"")</f>
        <v/>
      </c>
      <c r="W2602" s="44">
        <f>IF(AND(B2602=Queue!$C$4,OR(Queue!$K$4="*",N2602=Queue!$K$4)),Q2602,"")</f>
        <v/>
      </c>
    </row>
    <row r="2603">
      <c r="A2603" s="35">
        <f>IF(M2603="","",HYPERLINK("https://www.youtube.com/watch?v="&amp;M2603,"▶"))</f>
        <v/>
      </c>
      <c r="B2603" s="36">
        <f>IF(C2603&lt;&gt;"",C2603,IF(P2603&lt;=IFERROR(INDEX(tblChannels[Watched Through],MATCH(N2603,tblChannels[Channel ID],0)),0),"Watched","Unwatched"))</f>
        <v/>
      </c>
      <c r="C2603" s="37" t="n"/>
      <c r="D2603" s="38" t="n"/>
      <c r="E2603" s="39" t="n">
        <v>42598.8375</v>
      </c>
      <c r="F2603" s="47" t="inlineStr">
        <is>
          <t>Super Carlin Brothers</t>
        </is>
      </c>
      <c r="G2603" t="inlineStr">
        <is>
          <t>Are Pokemon Google Autofill</t>
        </is>
      </c>
      <c r="H2603" s="41" t="n">
        <v>0.006481481481481481</v>
      </c>
      <c r="I2603" s="42" t="n">
        <v>375612</v>
      </c>
      <c r="J2603" s="42" t="n">
        <v>9986</v>
      </c>
      <c r="K2603" s="42" t="n">
        <v>5062</v>
      </c>
      <c r="L2603" s="43" t="n"/>
      <c r="M2603" s="44" t="n"/>
      <c r="N2603" s="44" t="inlineStr">
        <is>
          <t>UCKZo4N0lVPccBkSiuyVh4yg</t>
        </is>
      </c>
      <c r="O2603" s="45" t="n">
        <v>42599.00416666667</v>
      </c>
      <c r="P2603" s="46" t="n">
        <v>42598</v>
      </c>
      <c r="Q2603" s="44" t="n">
        <v>669</v>
      </c>
      <c r="R2603" s="44" t="inlineStr">
        <is>
          <t>No Video ID yet</t>
        </is>
      </c>
      <c r="S2603" s="46" t="n"/>
      <c r="T2603" s="46" t="n"/>
      <c r="U2603" s="44" t="n"/>
      <c r="V2603" s="44">
        <f>IF(AND(P2603&gt;=Calendar!$K$2,P2603&lt;EDATE(Calendar!$K$2,1),OR(Calendar!$K$4="*",N2603=Calendar!$K$4)),P2603*100+COUNTIFS($P$6:$P$3271,P2603,$Q$6:$Q$3271,"&lt;="&amp;Q2603,$N$6:$N$3271,Calendar!$K$4),"")</f>
        <v/>
      </c>
      <c r="W2603" s="44">
        <f>IF(AND(B2603=Queue!$C$4,OR(Queue!$K$4="*",N2603=Queue!$K$4)),Q2603,"")</f>
        <v/>
      </c>
    </row>
    <row r="2604">
      <c r="A2604" s="35">
        <f>IF(M2604="","",HYPERLINK("https://www.youtube.com/watch?v="&amp;M2604,"▶"))</f>
        <v/>
      </c>
      <c r="B2604" s="36">
        <f>IF(C2604&lt;&gt;"",C2604,IF(P2604&lt;=IFERROR(INDEX(tblChannels[Watched Through],MATCH(N2604,tblChannels[Channel ID],0)),0),"Watched","Unwatched"))</f>
        <v/>
      </c>
      <c r="C2604" s="37" t="n"/>
      <c r="D2604" s="38" t="n"/>
      <c r="E2604" s="39" t="n">
        <v>42593.56180555555</v>
      </c>
      <c r="F2604" s="47" t="inlineStr">
        <is>
          <t>Super Carlin Brothers</t>
        </is>
      </c>
      <c r="G2604" t="inlineStr">
        <is>
          <t>100 LAYERS of Clothes Challenge!</t>
        </is>
      </c>
      <c r="H2604" s="41" t="n">
        <v>0.008113425925925927</v>
      </c>
      <c r="I2604" s="42" t="n">
        <v>655286</v>
      </c>
      <c r="J2604" s="42" t="n">
        <v>23623</v>
      </c>
      <c r="K2604" s="42" t="n">
        <v>2732</v>
      </c>
      <c r="L2604" s="43" t="n"/>
      <c r="M2604" s="44" t="n"/>
      <c r="N2604" s="44" t="inlineStr">
        <is>
          <t>UCKZo4N0lVPccBkSiuyVh4yg</t>
        </is>
      </c>
      <c r="O2604" s="45" t="n">
        <v>42593.72847222222</v>
      </c>
      <c r="P2604" s="46" t="n">
        <v>42593</v>
      </c>
      <c r="Q2604" s="44" t="n">
        <v>668</v>
      </c>
      <c r="R2604" s="44" t="inlineStr">
        <is>
          <t>No Video ID yet</t>
        </is>
      </c>
      <c r="S2604" s="46" t="n"/>
      <c r="T2604" s="46" t="n"/>
      <c r="U2604" s="44" t="n"/>
      <c r="V2604" s="44">
        <f>IF(AND(P2604&gt;=Calendar!$K$2,P2604&lt;EDATE(Calendar!$K$2,1),OR(Calendar!$K$4="*",N2604=Calendar!$K$4)),P2604*100+COUNTIFS($P$6:$P$3271,P2604,$Q$6:$Q$3271,"&lt;="&amp;Q2604,$N$6:$N$3271,Calendar!$K$4),"")</f>
        <v/>
      </c>
      <c r="W2604" s="44">
        <f>IF(AND(B2604=Queue!$C$4,OR(Queue!$K$4="*",N2604=Queue!$K$4)),Q2604,"")</f>
        <v/>
      </c>
    </row>
    <row r="2605">
      <c r="A2605" s="35">
        <f>IF(M2605="","",HYPERLINK("https://www.youtube.com/watch?v="&amp;M2605,"▶"))</f>
        <v/>
      </c>
      <c r="B2605" s="36">
        <f>IF(C2605&lt;&gt;"",C2605,IF(P2605&lt;=IFERROR(INDEX(tblChannels[Watched Through],MATCH(N2605,tblChannels[Channel ID],0)),0),"Watched","Unwatched"))</f>
        <v/>
      </c>
      <c r="C2605" s="37" t="n"/>
      <c r="D2605" s="38" t="n"/>
      <c r="E2605" s="39" t="n">
        <v>42591.41666666666</v>
      </c>
      <c r="F2605" s="47" t="inlineStr">
        <is>
          <t>Super Carlin Brothers</t>
        </is>
      </c>
      <c r="G2605" t="inlineStr">
        <is>
          <t>Why Does Woody Have A Holster?</t>
        </is>
      </c>
      <c r="H2605" s="41" t="n">
        <v>0.004930555555555555</v>
      </c>
      <c r="I2605" s="42" t="n">
        <v>4112978</v>
      </c>
      <c r="J2605" s="42" t="n">
        <v>63533</v>
      </c>
      <c r="K2605" s="42" t="n">
        <v>12002</v>
      </c>
      <c r="L2605" s="43" t="n"/>
      <c r="M2605" s="44" t="n"/>
      <c r="N2605" s="44" t="inlineStr">
        <is>
          <t>UCKZo4N0lVPccBkSiuyVh4yg</t>
        </is>
      </c>
      <c r="O2605" s="45" t="n">
        <v>42591.58333333334</v>
      </c>
      <c r="P2605" s="46" t="n">
        <v>42591</v>
      </c>
      <c r="Q2605" s="44" t="n">
        <v>667</v>
      </c>
      <c r="R2605" s="44" t="inlineStr">
        <is>
          <t>No Video ID yet</t>
        </is>
      </c>
      <c r="S2605" s="46" t="n"/>
      <c r="T2605" s="46" t="n"/>
      <c r="U2605" s="44" t="n"/>
      <c r="V2605" s="44">
        <f>IF(AND(P2605&gt;=Calendar!$K$2,P2605&lt;EDATE(Calendar!$K$2,1),OR(Calendar!$K$4="*",N2605=Calendar!$K$4)),P2605*100+COUNTIFS($P$6:$P$3271,P2605,$Q$6:$Q$3271,"&lt;="&amp;Q2605,$N$6:$N$3271,Calendar!$K$4),"")</f>
        <v/>
      </c>
      <c r="W2605" s="44">
        <f>IF(AND(B2605=Queue!$C$4,OR(Queue!$K$4="*",N2605=Queue!$K$4)),Q2605,"")</f>
        <v/>
      </c>
    </row>
    <row r="2606">
      <c r="A2606" s="35">
        <f>IF(M2606="","",HYPERLINK("https://www.youtube.com/watch?v="&amp;M2606,"▶"))</f>
        <v/>
      </c>
      <c r="B2606" s="36">
        <f>IF(C2606&lt;&gt;"",C2606,IF(P2606&lt;=IFERROR(INDEX(tblChannels[Watched Through],MATCH(N2606,tblChannels[Channel ID],0)),0),"Watched","Unwatched"))</f>
        <v/>
      </c>
      <c r="C2606" s="37" t="n"/>
      <c r="D2606" s="38" t="n"/>
      <c r="E2606" s="39" t="n">
        <v>42586.67013888889</v>
      </c>
      <c r="F2606" s="47" t="inlineStr">
        <is>
          <t>Super Carlin Brothers</t>
        </is>
      </c>
      <c r="G2606" t="inlineStr">
        <is>
          <t>Do Emotions Have Emotions?</t>
        </is>
      </c>
      <c r="H2606" s="41" t="n">
        <v>0.00337962962962963</v>
      </c>
      <c r="I2606" s="42" t="n">
        <v>3614213</v>
      </c>
      <c r="J2606" s="42" t="n">
        <v>45902</v>
      </c>
      <c r="K2606" s="42" t="n">
        <v>11236</v>
      </c>
      <c r="L2606" s="43" t="n"/>
      <c r="M2606" s="44" t="n"/>
      <c r="N2606" s="44" t="inlineStr">
        <is>
          <t>UCKZo4N0lVPccBkSiuyVh4yg</t>
        </is>
      </c>
      <c r="O2606" s="45" t="n">
        <v>42586.83680555555</v>
      </c>
      <c r="P2606" s="46" t="n">
        <v>42586</v>
      </c>
      <c r="Q2606" s="44" t="n">
        <v>666</v>
      </c>
      <c r="R2606" s="44" t="inlineStr">
        <is>
          <t>No Video ID yet</t>
        </is>
      </c>
      <c r="S2606" s="46" t="n"/>
      <c r="T2606" s="46" t="n"/>
      <c r="U2606" s="44" t="n"/>
      <c r="V2606" s="44">
        <f>IF(AND(P2606&gt;=Calendar!$K$2,P2606&lt;EDATE(Calendar!$K$2,1),OR(Calendar!$K$4="*",N2606=Calendar!$K$4)),P2606*100+COUNTIFS($P$6:$P$3271,P2606,$Q$6:$Q$3271,"&lt;="&amp;Q2606,$N$6:$N$3271,Calendar!$K$4),"")</f>
        <v/>
      </c>
      <c r="W2606" s="44">
        <f>IF(AND(B2606=Queue!$C$4,OR(Queue!$K$4="*",N2606=Queue!$K$4)),Q2606,"")</f>
        <v/>
      </c>
    </row>
    <row r="2607">
      <c r="A2607" s="35">
        <f>IF(M2607="","",HYPERLINK("https://www.youtube.com/watch?v="&amp;M2607,"▶"))</f>
        <v/>
      </c>
      <c r="B2607" s="36">
        <f>IF(C2607&lt;&gt;"",C2607,IF(P2607&lt;=IFERROR(INDEX(tblChannels[Watched Through],MATCH(N2607,tblChannels[Channel ID],0)),0),"Watched","Unwatched"))</f>
        <v/>
      </c>
      <c r="C2607" s="37" t="n"/>
      <c r="D2607" s="38" t="n"/>
      <c r="E2607" s="39" t="n">
        <v>42584.80208333334</v>
      </c>
      <c r="F2607" s="47" t="inlineStr">
        <is>
          <t>Super Carlin Brothers</t>
        </is>
      </c>
      <c r="G2607" t="inlineStr">
        <is>
          <t>Pixar Theory: Cars Are Alive?</t>
        </is>
      </c>
      <c r="H2607" s="41" t="n">
        <v>0.006608796296296297</v>
      </c>
      <c r="I2607" s="42" t="n">
        <v>3555966</v>
      </c>
      <c r="J2607" s="42" t="n">
        <v>51664</v>
      </c>
      <c r="K2607" s="42" t="n">
        <v>11275</v>
      </c>
      <c r="L2607" s="43" t="n"/>
      <c r="M2607" s="44" t="n"/>
      <c r="N2607" s="44" t="inlineStr">
        <is>
          <t>UCKZo4N0lVPccBkSiuyVh4yg</t>
        </is>
      </c>
      <c r="O2607" s="45" t="n">
        <v>42584.96875</v>
      </c>
      <c r="P2607" s="46" t="n">
        <v>42584</v>
      </c>
      <c r="Q2607" s="44" t="n">
        <v>665</v>
      </c>
      <c r="R2607" s="44" t="inlineStr">
        <is>
          <t>No Video ID yet</t>
        </is>
      </c>
      <c r="S2607" s="46" t="n"/>
      <c r="T2607" s="46" t="n"/>
      <c r="U2607" s="44" t="n"/>
      <c r="V2607" s="44">
        <f>IF(AND(P2607&gt;=Calendar!$K$2,P2607&lt;EDATE(Calendar!$K$2,1),OR(Calendar!$K$4="*",N2607=Calendar!$K$4)),P2607*100+COUNTIFS($P$6:$P$3271,P2607,$Q$6:$Q$3271,"&lt;="&amp;Q2607,$N$6:$N$3271,Calendar!$K$4),"")</f>
        <v/>
      </c>
      <c r="W2607" s="44">
        <f>IF(AND(B2607=Queue!$C$4,OR(Queue!$K$4="*",N2607=Queue!$K$4)),Q2607,"")</f>
        <v/>
      </c>
    </row>
    <row r="2608">
      <c r="A2608" s="35">
        <f>IF(M2608="","",HYPERLINK("https://www.youtube.com/watch?v="&amp;M2608,"▶"))</f>
        <v/>
      </c>
      <c r="B2608" s="36">
        <f>IF(C2608&lt;&gt;"",C2608,IF(P2608&lt;=IFERROR(INDEX(tblChannels[Watched Through],MATCH(N2608,tblChannels[Channel ID],0)),0),"Watched","Unwatched"))</f>
        <v/>
      </c>
      <c r="C2608" s="37" t="n"/>
      <c r="D2608" s="38" t="n"/>
      <c r="E2608" s="39" t="n">
        <v>42579.85138888889</v>
      </c>
      <c r="F2608" s="47" t="inlineStr">
        <is>
          <t>Super Carlin Brothers</t>
        </is>
      </c>
      <c r="G2608" t="inlineStr">
        <is>
          <t>Top 10 Saddest Moments in Pixar Movies</t>
        </is>
      </c>
      <c r="H2608" s="41" t="n">
        <v>0.007395833333333333</v>
      </c>
      <c r="I2608" s="42" t="n">
        <v>1471313</v>
      </c>
      <c r="J2608" s="42" t="n">
        <v>31420</v>
      </c>
      <c r="K2608" s="42" t="n">
        <v>8369</v>
      </c>
      <c r="L2608" s="43" t="n"/>
      <c r="M2608" s="44" t="n"/>
      <c r="N2608" s="44" t="inlineStr">
        <is>
          <t>UCKZo4N0lVPccBkSiuyVh4yg</t>
        </is>
      </c>
      <c r="O2608" s="45" t="n">
        <v>42580.01805555556</v>
      </c>
      <c r="P2608" s="46" t="n">
        <v>42579</v>
      </c>
      <c r="Q2608" s="44" t="n">
        <v>664</v>
      </c>
      <c r="R2608" s="44" t="inlineStr">
        <is>
          <t>No Video ID yet</t>
        </is>
      </c>
      <c r="S2608" s="46" t="n"/>
      <c r="T2608" s="46" t="n"/>
      <c r="U2608" s="44" t="n"/>
      <c r="V2608" s="44">
        <f>IF(AND(P2608&gt;=Calendar!$K$2,P2608&lt;EDATE(Calendar!$K$2,1),OR(Calendar!$K$4="*",N2608=Calendar!$K$4)),P2608*100+COUNTIFS($P$6:$P$3271,P2608,$Q$6:$Q$3271,"&lt;="&amp;Q2608,$N$6:$N$3271,Calendar!$K$4),"")</f>
        <v/>
      </c>
      <c r="W2608" s="44">
        <f>IF(AND(B2608=Queue!$C$4,OR(Queue!$K$4="*",N2608=Queue!$K$4)),Q2608,"")</f>
        <v/>
      </c>
    </row>
    <row r="2609">
      <c r="A2609" s="35">
        <f>IF(M2609="","",HYPERLINK("https://www.youtube.com/watch?v="&amp;M2609,"▶"))</f>
        <v/>
      </c>
      <c r="B2609" s="36">
        <f>IF(C2609&lt;&gt;"",C2609,IF(P2609&lt;=IFERROR(INDEX(tblChannels[Watched Through],MATCH(N2609,tblChannels[Channel ID],0)),0),"Watched","Unwatched"))</f>
        <v/>
      </c>
      <c r="C2609" s="37" t="n"/>
      <c r="D2609" s="38" t="n"/>
      <c r="E2609" s="39" t="n">
        <v>42577.75208333333</v>
      </c>
      <c r="F2609" s="47" t="inlineStr">
        <is>
          <t>Super Carlin Brothers</t>
        </is>
      </c>
      <c r="G2609" t="inlineStr">
        <is>
          <t>Ilvermorny Houses Explained</t>
        </is>
      </c>
      <c r="H2609" s="41" t="n">
        <v>0.007199074074074074</v>
      </c>
      <c r="I2609" s="42" t="n">
        <v>2971653</v>
      </c>
      <c r="J2609" s="42" t="n">
        <v>60980</v>
      </c>
      <c r="K2609" s="42" t="n">
        <v>26950</v>
      </c>
      <c r="L2609" s="43" t="n"/>
      <c r="M2609" s="44" t="n"/>
      <c r="N2609" s="44" t="inlineStr">
        <is>
          <t>UCKZo4N0lVPccBkSiuyVh4yg</t>
        </is>
      </c>
      <c r="O2609" s="45" t="n">
        <v>42577.91875</v>
      </c>
      <c r="P2609" s="46" t="n">
        <v>42577</v>
      </c>
      <c r="Q2609" s="44" t="n">
        <v>663</v>
      </c>
      <c r="R2609" s="44" t="inlineStr">
        <is>
          <t>No Video ID yet</t>
        </is>
      </c>
      <c r="S2609" s="46" t="n"/>
      <c r="T2609" s="46" t="n"/>
      <c r="U2609" s="44" t="n"/>
      <c r="V2609" s="44">
        <f>IF(AND(P2609&gt;=Calendar!$K$2,P2609&lt;EDATE(Calendar!$K$2,1),OR(Calendar!$K$4="*",N2609=Calendar!$K$4)),P2609*100+COUNTIFS($P$6:$P$3271,P2609,$Q$6:$Q$3271,"&lt;="&amp;Q2609,$N$6:$N$3271,Calendar!$K$4),"")</f>
        <v/>
      </c>
      <c r="W2609" s="44">
        <f>IF(AND(B2609=Queue!$C$4,OR(Queue!$K$4="*",N2609=Queue!$K$4)),Q2609,"")</f>
        <v/>
      </c>
    </row>
    <row r="2610">
      <c r="A2610" s="35">
        <f>IF(M2610="","",HYPERLINK("https://www.youtube.com/watch?v="&amp;M2610,"▶"))</f>
        <v/>
      </c>
      <c r="B2610" s="36">
        <f>IF(C2610&lt;&gt;"",C2610,IF(P2610&lt;=IFERROR(INDEX(tblChannels[Watched Through],MATCH(N2610,tblChannels[Channel ID],0)),0),"Watched","Unwatched"))</f>
        <v/>
      </c>
      <c r="C2610" s="37" t="n"/>
      <c r="D2610" s="38" t="n"/>
      <c r="E2610" s="39" t="n">
        <v>42572.71736111111</v>
      </c>
      <c r="F2610" s="47" t="inlineStr">
        <is>
          <t>Super Carlin Brothers</t>
        </is>
      </c>
      <c r="G2610" t="inlineStr">
        <is>
          <t>Super Carlin Brothers Channel Trailer</t>
        </is>
      </c>
      <c r="H2610" s="41" t="n">
        <v>0.001342592592592592</v>
      </c>
      <c r="I2610" s="42" t="n">
        <v>728549</v>
      </c>
      <c r="J2610" s="42" t="n">
        <v>11809</v>
      </c>
      <c r="K2610" s="42" t="n">
        <v>1859</v>
      </c>
      <c r="L2610" s="43" t="n"/>
      <c r="M2610" s="44" t="n"/>
      <c r="N2610" s="44" t="inlineStr">
        <is>
          <t>UCKZo4N0lVPccBkSiuyVh4yg</t>
        </is>
      </c>
      <c r="O2610" s="45" t="n">
        <v>42572.88402777778</v>
      </c>
      <c r="P2610" s="46" t="n">
        <v>42572</v>
      </c>
      <c r="Q2610" s="44" t="n">
        <v>662</v>
      </c>
      <c r="R2610" s="44" t="inlineStr">
        <is>
          <t>No Video ID yet</t>
        </is>
      </c>
      <c r="S2610" s="46" t="n"/>
      <c r="T2610" s="46" t="n"/>
      <c r="U2610" s="44" t="n"/>
      <c r="V2610" s="44">
        <f>IF(AND(P2610&gt;=Calendar!$K$2,P2610&lt;EDATE(Calendar!$K$2,1),OR(Calendar!$K$4="*",N2610=Calendar!$K$4)),P2610*100+COUNTIFS($P$6:$P$3271,P2610,$Q$6:$Q$3271,"&lt;="&amp;Q2610,$N$6:$N$3271,Calendar!$K$4),"")</f>
        <v/>
      </c>
      <c r="W2610" s="44">
        <f>IF(AND(B2610=Queue!$C$4,OR(Queue!$K$4="*",N2610=Queue!$K$4)),Q2610,"")</f>
        <v/>
      </c>
    </row>
    <row r="2611">
      <c r="A2611" s="35">
        <f>IF(M2611="","",HYPERLINK("https://www.youtube.com/watch?v="&amp;M2611,"▶"))</f>
        <v/>
      </c>
      <c r="B2611" s="36">
        <f>IF(C2611&lt;&gt;"",C2611,IF(P2611&lt;=IFERROR(INDEX(tblChannels[Watched Through],MATCH(N2611,tblChannels[Channel ID],0)),0),"Watched","Unwatched"))</f>
        <v/>
      </c>
      <c r="C2611" s="37" t="n"/>
      <c r="D2611" s="38" t="n"/>
      <c r="E2611" s="39" t="n">
        <v>42570.78611111111</v>
      </c>
      <c r="F2611" s="47" t="inlineStr">
        <is>
          <t>Super Carlin Brothers</t>
        </is>
      </c>
      <c r="G2611" t="inlineStr">
        <is>
          <t>A Message For Pokemon GO Haters</t>
        </is>
      </c>
      <c r="H2611" s="41" t="n">
        <v>0.00775462962962963</v>
      </c>
      <c r="I2611" s="42" t="n">
        <v>362265</v>
      </c>
      <c r="J2611" s="42" t="n">
        <v>16825</v>
      </c>
      <c r="K2611" s="42" t="n">
        <v>11163</v>
      </c>
      <c r="L2611" s="43" t="n"/>
      <c r="M2611" s="44" t="n"/>
      <c r="N2611" s="44" t="inlineStr">
        <is>
          <t>UCKZo4N0lVPccBkSiuyVh4yg</t>
        </is>
      </c>
      <c r="O2611" s="45" t="n">
        <v>42570.95277777778</v>
      </c>
      <c r="P2611" s="46" t="n">
        <v>42570</v>
      </c>
      <c r="Q2611" s="44" t="n">
        <v>661</v>
      </c>
      <c r="R2611" s="44" t="inlineStr">
        <is>
          <t>No Video ID yet</t>
        </is>
      </c>
      <c r="S2611" s="46" t="n"/>
      <c r="T2611" s="46" t="n"/>
      <c r="U2611" s="44" t="n"/>
      <c r="V2611" s="44">
        <f>IF(AND(P2611&gt;=Calendar!$K$2,P2611&lt;EDATE(Calendar!$K$2,1),OR(Calendar!$K$4="*",N2611=Calendar!$K$4)),P2611*100+COUNTIFS($P$6:$P$3271,P2611,$Q$6:$Q$3271,"&lt;="&amp;Q2611,$N$6:$N$3271,Calendar!$K$4),"")</f>
        <v/>
      </c>
      <c r="W2611" s="44">
        <f>IF(AND(B2611=Queue!$C$4,OR(Queue!$K$4="*",N2611=Queue!$K$4)),Q2611,"")</f>
        <v/>
      </c>
    </row>
    <row r="2612">
      <c r="A2612" s="35">
        <f>IF(M2612="","",HYPERLINK("https://www.youtube.com/watch?v="&amp;M2612,"▶"))</f>
        <v/>
      </c>
      <c r="B2612" s="36">
        <f>IF(C2612&lt;&gt;"",C2612,IF(P2612&lt;=IFERROR(INDEX(tblChannels[Watched Through],MATCH(N2612,tblChannels[Channel ID],0)),0),"Watched","Unwatched"))</f>
        <v/>
      </c>
      <c r="C2612" s="37" t="n"/>
      <c r="D2612" s="38" t="n"/>
      <c r="E2612" s="39" t="n">
        <v>42567.86319444444</v>
      </c>
      <c r="F2612" s="49" t="inlineStr">
        <is>
          <t>Super Carlin Gaming</t>
        </is>
      </c>
      <c r="G2612" t="inlineStr">
        <is>
          <t>Knights of the Old Republic #30 - LOL BYE BASTILICIA</t>
        </is>
      </c>
      <c r="H2612" s="41" t="n">
        <v>0.04096064814814815</v>
      </c>
      <c r="I2612" s="42" t="n">
        <v>5403</v>
      </c>
      <c r="J2612" s="42" t="n">
        <v>79</v>
      </c>
      <c r="K2612" s="42" t="n">
        <v>56</v>
      </c>
      <c r="L2612" s="43" t="n"/>
      <c r="M2612" s="44" t="n"/>
      <c r="N2612" s="44" t="inlineStr">
        <is>
          <t>UCor_9jRnNNZVzTuQ92PKsaQ</t>
        </is>
      </c>
      <c r="O2612" s="45" t="n">
        <v>42568.02986111111</v>
      </c>
      <c r="P2612" s="46" t="n">
        <v>42567</v>
      </c>
      <c r="Q2612" s="44" t="n">
        <v>660</v>
      </c>
      <c r="R2612" s="44" t="inlineStr">
        <is>
          <t>No Video ID yet</t>
        </is>
      </c>
      <c r="S2612" s="46" t="n"/>
      <c r="T2612" s="46" t="n"/>
      <c r="U2612" s="44" t="n"/>
      <c r="V2612" s="44">
        <f>IF(AND(P2612&gt;=Calendar!$K$2,P2612&lt;EDATE(Calendar!$K$2,1),OR(Calendar!$K$4="*",N2612=Calendar!$K$4)),P2612*100+COUNTIFS($P$6:$P$3271,P2612,$Q$6:$Q$3271,"&lt;="&amp;Q2612,$N$6:$N$3271,Calendar!$K$4),"")</f>
        <v/>
      </c>
      <c r="W2612" s="44">
        <f>IF(AND(B2612=Queue!$C$4,OR(Queue!$K$4="*",N2612=Queue!$K$4)),Q2612,"")</f>
        <v/>
      </c>
    </row>
    <row r="2613">
      <c r="A2613" s="35">
        <f>IF(M2613="","",HYPERLINK("https://www.youtube.com/watch?v="&amp;M2613,"▶"))</f>
        <v/>
      </c>
      <c r="B2613" s="36">
        <f>IF(C2613&lt;&gt;"",C2613,IF(P2613&lt;=IFERROR(INDEX(tblChannels[Watched Through],MATCH(N2613,tblChannels[Channel ID],0)),0),"Watched","Unwatched"))</f>
        <v/>
      </c>
      <c r="C2613" s="37" t="n"/>
      <c r="D2613" s="38" t="n"/>
      <c r="E2613" s="39" t="n">
        <v>42565.79375</v>
      </c>
      <c r="F2613" s="47" t="inlineStr">
        <is>
          <t>Super Carlin Brothers</t>
        </is>
      </c>
      <c r="G2613" t="inlineStr">
        <is>
          <t>Top 5 Potential Villains for The Incredibles 2</t>
        </is>
      </c>
      <c r="H2613" s="41" t="n">
        <v>0.007048611111111111</v>
      </c>
      <c r="I2613" s="42" t="n">
        <v>1403576</v>
      </c>
      <c r="J2613" s="42" t="n">
        <v>27893</v>
      </c>
      <c r="K2613" s="42" t="n">
        <v>5593</v>
      </c>
      <c r="L2613" s="43" t="n"/>
      <c r="M2613" s="44" t="n"/>
      <c r="N2613" s="44" t="inlineStr">
        <is>
          <t>UCKZo4N0lVPccBkSiuyVh4yg</t>
        </is>
      </c>
      <c r="O2613" s="45" t="n">
        <v>42565.96041666667</v>
      </c>
      <c r="P2613" s="46" t="n">
        <v>42565</v>
      </c>
      <c r="Q2613" s="44" t="n">
        <v>659</v>
      </c>
      <c r="R2613" s="44" t="inlineStr">
        <is>
          <t>No Video ID yet</t>
        </is>
      </c>
      <c r="S2613" s="46" t="n"/>
      <c r="T2613" s="46" t="n"/>
      <c r="U2613" s="44" t="n"/>
      <c r="V2613" s="44">
        <f>IF(AND(P2613&gt;=Calendar!$K$2,P2613&lt;EDATE(Calendar!$K$2,1),OR(Calendar!$K$4="*",N2613=Calendar!$K$4)),P2613*100+COUNTIFS($P$6:$P$3271,P2613,$Q$6:$Q$3271,"&lt;="&amp;Q2613,$N$6:$N$3271,Calendar!$K$4),"")</f>
        <v/>
      </c>
      <c r="W2613" s="44">
        <f>IF(AND(B2613=Queue!$C$4,OR(Queue!$K$4="*",N2613=Queue!$K$4)),Q2613,"")</f>
        <v/>
      </c>
    </row>
    <row r="2614">
      <c r="A2614" s="35">
        <f>IF(M2614="","",HYPERLINK("https://www.youtube.com/watch?v="&amp;M2614,"▶"))</f>
        <v/>
      </c>
      <c r="B2614" s="36">
        <f>IF(C2614&lt;&gt;"",C2614,IF(P2614&lt;=IFERROR(INDEX(tblChannels[Watched Through],MATCH(N2614,tblChannels[Channel ID],0)),0),"Watched","Unwatched"))</f>
        <v/>
      </c>
      <c r="C2614" s="37" t="n"/>
      <c r="D2614" s="38" t="n"/>
      <c r="E2614" s="39" t="n">
        <v>42563.7875</v>
      </c>
      <c r="F2614" s="47" t="inlineStr">
        <is>
          <t>Super Carlin Brothers</t>
        </is>
      </c>
      <c r="G2614" t="inlineStr">
        <is>
          <t>Top 10 Reasons Syndrome Is The Best Pixar Villain Ever</t>
        </is>
      </c>
      <c r="H2614" s="41" t="n">
        <v>0.007627314814814815</v>
      </c>
      <c r="I2614" s="42" t="n">
        <v>1099660</v>
      </c>
      <c r="J2614" s="42" t="n">
        <v>26094</v>
      </c>
      <c r="K2614" s="42" t="n">
        <v>3265</v>
      </c>
      <c r="L2614" s="43" t="n"/>
      <c r="M2614" s="44" t="n"/>
      <c r="N2614" s="44" t="inlineStr">
        <is>
          <t>UCKZo4N0lVPccBkSiuyVh4yg</t>
        </is>
      </c>
      <c r="O2614" s="45" t="n">
        <v>42563.95416666667</v>
      </c>
      <c r="P2614" s="46" t="n">
        <v>42563</v>
      </c>
      <c r="Q2614" s="44" t="n">
        <v>658</v>
      </c>
      <c r="R2614" s="44" t="inlineStr">
        <is>
          <t>No Video ID yet</t>
        </is>
      </c>
      <c r="S2614" s="46" t="n"/>
      <c r="T2614" s="46" t="n"/>
      <c r="U2614" s="44" t="n"/>
      <c r="V2614" s="44">
        <f>IF(AND(P2614&gt;=Calendar!$K$2,P2614&lt;EDATE(Calendar!$K$2,1),OR(Calendar!$K$4="*",N2614=Calendar!$K$4)),P2614*100+COUNTIFS($P$6:$P$3271,P2614,$Q$6:$Q$3271,"&lt;="&amp;Q2614,$N$6:$N$3271,Calendar!$K$4),"")</f>
        <v/>
      </c>
      <c r="W2614" s="44">
        <f>IF(AND(B2614=Queue!$C$4,OR(Queue!$K$4="*",N2614=Queue!$K$4)),Q2614,"")</f>
        <v/>
      </c>
    </row>
    <row r="2615">
      <c r="A2615" s="35">
        <f>IF(M2615="","",HYPERLINK("https://www.youtube.com/watch?v="&amp;M2615,"▶"))</f>
        <v/>
      </c>
      <c r="B2615" s="36">
        <f>IF(C2615&lt;&gt;"",C2615,IF(P2615&lt;=IFERROR(INDEX(tblChannels[Watched Through],MATCH(N2615,tblChannels[Channel ID],0)),0),"Watched","Unwatched"))</f>
        <v/>
      </c>
      <c r="C2615" s="37" t="n"/>
      <c r="D2615" s="38" t="n"/>
      <c r="E2615" s="39" t="n">
        <v>42560.59722222222</v>
      </c>
      <c r="F2615" s="49" t="inlineStr">
        <is>
          <t>Super Carlin Gaming</t>
        </is>
      </c>
      <c r="G2615" t="inlineStr">
        <is>
          <t>Knights of the Old Republic #29 - TO WHERE?!</t>
        </is>
      </c>
      <c r="H2615" s="41" t="n">
        <v>0.02895833333333333</v>
      </c>
      <c r="I2615" s="42" t="n">
        <v>1614</v>
      </c>
      <c r="J2615" s="42" t="n">
        <v>42</v>
      </c>
      <c r="K2615" s="42" t="n">
        <v>18</v>
      </c>
      <c r="L2615" s="43" t="n"/>
      <c r="M2615" s="44" t="n"/>
      <c r="N2615" s="44" t="inlineStr">
        <is>
          <t>UCor_9jRnNNZVzTuQ92PKsaQ</t>
        </is>
      </c>
      <c r="O2615" s="45" t="n">
        <v>42560.76388888889</v>
      </c>
      <c r="P2615" s="46" t="n">
        <v>42560</v>
      </c>
      <c r="Q2615" s="44" t="n">
        <v>657</v>
      </c>
      <c r="R2615" s="44" t="inlineStr">
        <is>
          <t>No Video ID yet</t>
        </is>
      </c>
      <c r="S2615" s="46" t="n"/>
      <c r="T2615" s="46" t="n"/>
      <c r="U2615" s="44" t="n"/>
      <c r="V2615" s="44">
        <f>IF(AND(P2615&gt;=Calendar!$K$2,P2615&lt;EDATE(Calendar!$K$2,1),OR(Calendar!$K$4="*",N2615=Calendar!$K$4)),P2615*100+COUNTIFS($P$6:$P$3271,P2615,$Q$6:$Q$3271,"&lt;="&amp;Q2615,$N$6:$N$3271,Calendar!$K$4),"")</f>
        <v/>
      </c>
      <c r="W2615" s="44">
        <f>IF(AND(B2615=Queue!$C$4,OR(Queue!$K$4="*",N2615=Queue!$K$4)),Q2615,"")</f>
        <v/>
      </c>
    </row>
    <row r="2616">
      <c r="A2616" s="35">
        <f>IF(M2616="","",HYPERLINK("https://www.youtube.com/watch?v="&amp;M2616,"▶"))</f>
        <v/>
      </c>
      <c r="B2616" s="36">
        <f>IF(C2616&lt;&gt;"",C2616,IF(P2616&lt;=IFERROR(INDEX(tblChannels[Watched Through],MATCH(N2616,tblChannels[Channel ID],0)),0),"Watched","Unwatched"))</f>
        <v/>
      </c>
      <c r="C2616" s="37" t="n"/>
      <c r="D2616" s="38" t="n"/>
      <c r="E2616" s="39" t="n">
        <v>42559.50347222222</v>
      </c>
      <c r="F2616" s="47" t="inlineStr">
        <is>
          <t>Super Carlin Brothers</t>
        </is>
      </c>
      <c r="G2616" t="inlineStr">
        <is>
          <t>Should Dory Be A Disney Princess?</t>
        </is>
      </c>
      <c r="H2616" s="41" t="n">
        <v>0.005694444444444445</v>
      </c>
      <c r="I2616" s="42" t="n">
        <v>790642</v>
      </c>
      <c r="J2616" s="42" t="n">
        <v>19999</v>
      </c>
      <c r="K2616" s="42" t="n">
        <v>6192</v>
      </c>
      <c r="L2616" s="43" t="n"/>
      <c r="M2616" s="44" t="n"/>
      <c r="N2616" s="44" t="inlineStr">
        <is>
          <t>UCKZo4N0lVPccBkSiuyVh4yg</t>
        </is>
      </c>
      <c r="O2616" s="45" t="n">
        <v>42559.67013888889</v>
      </c>
      <c r="P2616" s="46" t="n">
        <v>42559</v>
      </c>
      <c r="Q2616" s="44" t="n">
        <v>656</v>
      </c>
      <c r="R2616" s="44" t="inlineStr">
        <is>
          <t>No Video ID yet</t>
        </is>
      </c>
      <c r="S2616" s="46" t="n"/>
      <c r="T2616" s="46" t="n"/>
      <c r="U2616" s="44" t="n"/>
      <c r="V2616" s="44">
        <f>IF(AND(P2616&gt;=Calendar!$K$2,P2616&lt;EDATE(Calendar!$K$2,1),OR(Calendar!$K$4="*",N2616=Calendar!$K$4)),P2616*100+COUNTIFS($P$6:$P$3271,P2616,$Q$6:$Q$3271,"&lt;="&amp;Q2616,$N$6:$N$3271,Calendar!$K$4),"")</f>
        <v/>
      </c>
      <c r="W2616" s="44">
        <f>IF(AND(B2616=Queue!$C$4,OR(Queue!$K$4="*",N2616=Queue!$K$4)),Q2616,"")</f>
        <v/>
      </c>
    </row>
    <row r="2617">
      <c r="A2617" s="35">
        <f>IF(M2617="","",HYPERLINK("https://www.youtube.com/watch?v="&amp;M2617,"▶"))</f>
        <v/>
      </c>
      <c r="B2617" s="36">
        <f>IF(C2617&lt;&gt;"",C2617,IF(P2617&lt;=IFERROR(INDEX(tblChannels[Watched Through],MATCH(N2617,tblChannels[Channel ID],0)),0),"Watched","Unwatched"))</f>
        <v/>
      </c>
      <c r="C2617" s="37" t="n"/>
      <c r="D2617" s="38" t="n"/>
      <c r="E2617" s="39" t="n">
        <v>42556.87291666667</v>
      </c>
      <c r="F2617" s="47" t="inlineStr">
        <is>
          <t>Super Carlin Brothers</t>
        </is>
      </c>
      <c r="G2617" t="inlineStr">
        <is>
          <t>Are Hamburgers Google Autofill</t>
        </is>
      </c>
      <c r="H2617" s="41" t="n">
        <v>0.005173611111111111</v>
      </c>
      <c r="I2617" s="42" t="n">
        <v>325420</v>
      </c>
      <c r="J2617" s="42" t="n">
        <v>9337</v>
      </c>
      <c r="K2617" s="42" t="n">
        <v>3066</v>
      </c>
      <c r="L2617" s="43" t="n"/>
      <c r="M2617" s="44" t="n"/>
      <c r="N2617" s="44" t="inlineStr">
        <is>
          <t>UCKZo4N0lVPccBkSiuyVh4yg</t>
        </is>
      </c>
      <c r="O2617" s="45" t="n">
        <v>42557.03958333333</v>
      </c>
      <c r="P2617" s="46" t="n">
        <v>42556</v>
      </c>
      <c r="Q2617" s="44" t="n">
        <v>655</v>
      </c>
      <c r="R2617" s="44" t="inlineStr">
        <is>
          <t>No Video ID yet</t>
        </is>
      </c>
      <c r="S2617" s="46" t="n"/>
      <c r="T2617" s="46" t="n"/>
      <c r="U2617" s="44" t="n"/>
      <c r="V2617" s="44">
        <f>IF(AND(P2617&gt;=Calendar!$K$2,P2617&lt;EDATE(Calendar!$K$2,1),OR(Calendar!$K$4="*",N2617=Calendar!$K$4)),P2617*100+COUNTIFS($P$6:$P$3271,P2617,$Q$6:$Q$3271,"&lt;="&amp;Q2617,$N$6:$N$3271,Calendar!$K$4),"")</f>
        <v/>
      </c>
      <c r="W2617" s="44">
        <f>IF(AND(B2617=Queue!$C$4,OR(Queue!$K$4="*",N2617=Queue!$K$4)),Q2617,"")</f>
        <v/>
      </c>
    </row>
    <row r="2618">
      <c r="A2618" s="35">
        <f>IF(M2618="","",HYPERLINK("https://www.youtube.com/watch?v="&amp;M2618,"▶"))</f>
        <v/>
      </c>
      <c r="B2618" s="36">
        <f>IF(C2618&lt;&gt;"",C2618,IF(P2618&lt;=IFERROR(INDEX(tblChannels[Watched Through],MATCH(N2618,tblChannels[Channel ID],0)),0),"Watched","Unwatched"))</f>
        <v/>
      </c>
      <c r="C2618" s="37" t="n"/>
      <c r="D2618" s="38" t="n"/>
      <c r="E2618" s="39" t="n">
        <v>42555.975</v>
      </c>
      <c r="F2618" s="49" t="inlineStr">
        <is>
          <t>Super Carlin Gaming</t>
        </is>
      </c>
      <c r="G2618" t="inlineStr">
        <is>
          <t>Knights of the Old Republic #28 - Dragons and Star Wars</t>
        </is>
      </c>
      <c r="H2618" s="41" t="n">
        <v>0.01993055555555556</v>
      </c>
      <c r="I2618" s="42" t="n">
        <v>1756</v>
      </c>
      <c r="J2618" s="42" t="n">
        <v>54</v>
      </c>
      <c r="K2618" s="42" t="n">
        <v>15</v>
      </c>
      <c r="L2618" s="43" t="n"/>
      <c r="M2618" s="44" t="n"/>
      <c r="N2618" s="44" t="inlineStr">
        <is>
          <t>UCor_9jRnNNZVzTuQ92PKsaQ</t>
        </is>
      </c>
      <c r="O2618" s="45" t="n">
        <v>42556.14166666667</v>
      </c>
      <c r="P2618" s="46" t="n">
        <v>42555</v>
      </c>
      <c r="Q2618" s="44" t="n">
        <v>654</v>
      </c>
      <c r="R2618" s="44" t="inlineStr">
        <is>
          <t>No Video ID yet</t>
        </is>
      </c>
      <c r="S2618" s="46" t="n"/>
      <c r="T2618" s="46" t="n"/>
      <c r="U2618" s="44" t="n"/>
      <c r="V2618" s="44">
        <f>IF(AND(P2618&gt;=Calendar!$K$2,P2618&lt;EDATE(Calendar!$K$2,1),OR(Calendar!$K$4="*",N2618=Calendar!$K$4)),P2618*100+COUNTIFS($P$6:$P$3271,P2618,$Q$6:$Q$3271,"&lt;="&amp;Q2618,$N$6:$N$3271,Calendar!$K$4),"")</f>
        <v/>
      </c>
      <c r="W2618" s="44">
        <f>IF(AND(B2618=Queue!$C$4,OR(Queue!$K$4="*",N2618=Queue!$K$4)),Q2618,"")</f>
        <v/>
      </c>
    </row>
    <row r="2619">
      <c r="A2619" s="35">
        <f>IF(M2619="","",HYPERLINK("https://www.youtube.com/watch?v="&amp;M2619,"▶"))</f>
        <v/>
      </c>
      <c r="B2619" s="36">
        <f>IF(C2619&lt;&gt;"",C2619,IF(P2619&lt;=IFERROR(INDEX(tblChannels[Watched Through],MATCH(N2619,tblChannels[Channel ID],0)),0),"Watched","Unwatched"))</f>
        <v/>
      </c>
      <c r="C2619" s="37" t="n"/>
      <c r="D2619" s="38" t="n"/>
      <c r="E2619" s="39" t="n">
        <v>42551.77152777778</v>
      </c>
      <c r="F2619" s="47" t="inlineStr">
        <is>
          <t>Super Carlin Brothers</t>
        </is>
      </c>
      <c r="G2619" t="inlineStr">
        <is>
          <t>Dory's Memory Loss Explained</t>
        </is>
      </c>
      <c r="H2619" s="41" t="n">
        <v>0.005115740740740741</v>
      </c>
      <c r="I2619" s="42" t="n">
        <v>1455399</v>
      </c>
      <c r="J2619" s="42" t="n">
        <v>33218</v>
      </c>
      <c r="K2619" s="42" t="n">
        <v>4300</v>
      </c>
      <c r="L2619" s="43" t="n"/>
      <c r="M2619" s="44" t="n"/>
      <c r="N2619" s="44" t="inlineStr">
        <is>
          <t>UCKZo4N0lVPccBkSiuyVh4yg</t>
        </is>
      </c>
      <c r="O2619" s="45" t="n">
        <v>42551.93819444445</v>
      </c>
      <c r="P2619" s="46" t="n">
        <v>42551</v>
      </c>
      <c r="Q2619" s="44" t="n">
        <v>653</v>
      </c>
      <c r="R2619" s="44" t="inlineStr">
        <is>
          <t>No Video ID yet</t>
        </is>
      </c>
      <c r="S2619" s="46" t="n"/>
      <c r="T2619" s="46" t="n"/>
      <c r="U2619" s="44" t="n"/>
      <c r="V2619" s="44">
        <f>IF(AND(P2619&gt;=Calendar!$K$2,P2619&lt;EDATE(Calendar!$K$2,1),OR(Calendar!$K$4="*",N2619=Calendar!$K$4)),P2619*100+COUNTIFS($P$6:$P$3271,P2619,$Q$6:$Q$3271,"&lt;="&amp;Q2619,$N$6:$N$3271,Calendar!$K$4),"")</f>
        <v/>
      </c>
      <c r="W2619" s="44">
        <f>IF(AND(B2619=Queue!$C$4,OR(Queue!$K$4="*",N2619=Queue!$K$4)),Q2619,"")</f>
        <v/>
      </c>
    </row>
    <row r="2620">
      <c r="A2620" s="35">
        <f>IF(M2620="","",HYPERLINK("https://www.youtube.com/watch?v="&amp;M2620,"▶"))</f>
        <v/>
      </c>
      <c r="B2620" s="36">
        <f>IF(C2620&lt;&gt;"",C2620,IF(P2620&lt;=IFERROR(INDEX(tblChannels[Watched Through],MATCH(N2620,tblChannels[Channel ID],0)),0),"Watched","Unwatched"))</f>
        <v/>
      </c>
      <c r="C2620" s="37" t="n"/>
      <c r="D2620" s="38" t="n"/>
      <c r="E2620" s="39" t="n">
        <v>42549.84930555556</v>
      </c>
      <c r="F2620" s="47" t="inlineStr">
        <is>
          <t>Super Carlin Brothers</t>
        </is>
      </c>
      <c r="G2620" t="inlineStr">
        <is>
          <t>Pixar Theory: Darla's Origin</t>
        </is>
      </c>
      <c r="H2620" s="41" t="n">
        <v>0.006168981481481482</v>
      </c>
      <c r="I2620" s="42" t="n">
        <v>3906758</v>
      </c>
      <c r="J2620" s="42" t="n">
        <v>45691</v>
      </c>
      <c r="K2620" s="42" t="n">
        <v>6232</v>
      </c>
      <c r="L2620" s="43" t="n"/>
      <c r="M2620" s="44" t="n"/>
      <c r="N2620" s="44" t="inlineStr">
        <is>
          <t>UCKZo4N0lVPccBkSiuyVh4yg</t>
        </is>
      </c>
      <c r="O2620" s="45" t="n">
        <v>42550.01597222222</v>
      </c>
      <c r="P2620" s="46" t="n">
        <v>42549</v>
      </c>
      <c r="Q2620" s="44" t="n">
        <v>652</v>
      </c>
      <c r="R2620" s="44" t="inlineStr">
        <is>
          <t>No Video ID yet</t>
        </is>
      </c>
      <c r="S2620" s="46" t="n"/>
      <c r="T2620" s="46" t="n"/>
      <c r="U2620" s="44" t="n"/>
      <c r="V2620" s="44">
        <f>IF(AND(P2620&gt;=Calendar!$K$2,P2620&lt;EDATE(Calendar!$K$2,1),OR(Calendar!$K$4="*",N2620=Calendar!$K$4)),P2620*100+COUNTIFS($P$6:$P$3271,P2620,$Q$6:$Q$3271,"&lt;="&amp;Q2620,$N$6:$N$3271,Calendar!$K$4),"")</f>
        <v/>
      </c>
      <c r="W2620" s="44">
        <f>IF(AND(B2620=Queue!$C$4,OR(Queue!$K$4="*",N2620=Queue!$K$4)),Q2620,"")</f>
        <v/>
      </c>
    </row>
    <row r="2621">
      <c r="A2621" s="35">
        <f>IF(M2621="","",HYPERLINK("https://www.youtube.com/watch?v="&amp;M2621,"▶"))</f>
        <v/>
      </c>
      <c r="B2621" s="36">
        <f>IF(C2621&lt;&gt;"",C2621,IF(P2621&lt;=IFERROR(INDEX(tblChannels[Watched Through],MATCH(N2621,tblChannels[Channel ID],0)),0),"Watched","Unwatched"))</f>
        <v/>
      </c>
      <c r="C2621" s="37" t="n"/>
      <c r="D2621" s="38" t="n"/>
      <c r="E2621" s="39" t="n">
        <v>42544.625</v>
      </c>
      <c r="F2621" s="47" t="inlineStr">
        <is>
          <t>Super Carlin Brothers</t>
        </is>
      </c>
      <c r="G2621" t="inlineStr">
        <is>
          <t>Can Toys DIE?!</t>
        </is>
      </c>
      <c r="H2621" s="41" t="n">
        <v>0.004270833333333333</v>
      </c>
      <c r="I2621" s="42" t="n">
        <v>1383420</v>
      </c>
      <c r="J2621" s="42" t="n">
        <v>26569</v>
      </c>
      <c r="K2621" s="42" t="n">
        <v>3914</v>
      </c>
      <c r="L2621" s="43" t="n"/>
      <c r="M2621" s="44" t="n"/>
      <c r="N2621" s="44" t="inlineStr">
        <is>
          <t>UCKZo4N0lVPccBkSiuyVh4yg</t>
        </is>
      </c>
      <c r="O2621" s="45" t="n">
        <v>42544.79166666666</v>
      </c>
      <c r="P2621" s="46" t="n">
        <v>42544</v>
      </c>
      <c r="Q2621" s="44" t="n">
        <v>651</v>
      </c>
      <c r="R2621" s="44" t="inlineStr">
        <is>
          <t>No Video ID yet</t>
        </is>
      </c>
      <c r="S2621" s="46" t="n"/>
      <c r="T2621" s="46" t="n"/>
      <c r="U2621" s="44" t="n"/>
      <c r="V2621" s="44">
        <f>IF(AND(P2621&gt;=Calendar!$K$2,P2621&lt;EDATE(Calendar!$K$2,1),OR(Calendar!$K$4="*",N2621=Calendar!$K$4)),P2621*100+COUNTIFS($P$6:$P$3271,P2621,$Q$6:$Q$3271,"&lt;="&amp;Q2621,$N$6:$N$3271,Calendar!$K$4),"")</f>
        <v/>
      </c>
      <c r="W2621" s="44">
        <f>IF(AND(B2621=Queue!$C$4,OR(Queue!$K$4="*",N2621=Queue!$K$4)),Q2621,"")</f>
        <v/>
      </c>
    </row>
    <row r="2622">
      <c r="A2622" s="35">
        <f>IF(M2622="","",HYPERLINK("https://www.youtube.com/watch?v="&amp;M2622,"▶"))</f>
        <v/>
      </c>
      <c r="B2622" s="36">
        <f>IF(C2622&lt;&gt;"",C2622,IF(P2622&lt;=IFERROR(INDEX(tblChannels[Watched Through],MATCH(N2622,tblChannels[Channel ID],0)),0),"Watched","Unwatched"))</f>
        <v/>
      </c>
      <c r="C2622" s="37" t="n"/>
      <c r="D2622" s="38" t="n"/>
      <c r="E2622" s="39" t="n">
        <v>42542.625</v>
      </c>
      <c r="F2622" s="47" t="inlineStr">
        <is>
          <t>Super Carlin Brothers</t>
        </is>
      </c>
      <c r="G2622" t="inlineStr">
        <is>
          <t>How Finding Dory Fits Into The Pixar Theory</t>
        </is>
      </c>
      <c r="H2622" s="41" t="n">
        <v>0.005960648148148148</v>
      </c>
      <c r="I2622" s="42" t="n">
        <v>2689269</v>
      </c>
      <c r="J2622" s="42" t="n">
        <v>37865</v>
      </c>
      <c r="K2622" s="42" t="n">
        <v>6686</v>
      </c>
      <c r="L2622" s="43" t="n"/>
      <c r="M2622" s="44" t="n"/>
      <c r="N2622" s="44" t="inlineStr">
        <is>
          <t>UCKZo4N0lVPccBkSiuyVh4yg</t>
        </is>
      </c>
      <c r="O2622" s="45" t="n">
        <v>42542.79166666666</v>
      </c>
      <c r="P2622" s="46" t="n">
        <v>42542</v>
      </c>
      <c r="Q2622" s="44" t="n">
        <v>650</v>
      </c>
      <c r="R2622" s="44" t="inlineStr">
        <is>
          <t>No Video ID yet</t>
        </is>
      </c>
      <c r="S2622" s="46" t="n"/>
      <c r="T2622" s="46" t="n"/>
      <c r="U2622" s="44" t="n"/>
      <c r="V2622" s="44">
        <f>IF(AND(P2622&gt;=Calendar!$K$2,P2622&lt;EDATE(Calendar!$K$2,1),OR(Calendar!$K$4="*",N2622=Calendar!$K$4)),P2622*100+COUNTIFS($P$6:$P$3271,P2622,$Q$6:$Q$3271,"&lt;="&amp;Q2622,$N$6:$N$3271,Calendar!$K$4),"")</f>
        <v/>
      </c>
      <c r="W2622" s="44">
        <f>IF(AND(B2622=Queue!$C$4,OR(Queue!$K$4="*",N2622=Queue!$K$4)),Q2622,"")</f>
        <v/>
      </c>
    </row>
    <row r="2623">
      <c r="A2623" s="35">
        <f>IF(M2623="","",HYPERLINK("https://www.youtube.com/watch?v="&amp;M2623,"▶"))</f>
        <v/>
      </c>
      <c r="B2623" s="36">
        <f>IF(C2623&lt;&gt;"",C2623,IF(P2623&lt;=IFERROR(INDEX(tblChannels[Watched Through],MATCH(N2623,tblChannels[Channel ID],0)),0),"Watched","Unwatched"))</f>
        <v/>
      </c>
      <c r="C2623" s="37" t="n"/>
      <c r="D2623" s="38" t="n"/>
      <c r="E2623" s="39" t="n">
        <v>42537.625</v>
      </c>
      <c r="F2623" s="47" t="inlineStr">
        <is>
          <t>Super Carlin Brothers</t>
        </is>
      </c>
      <c r="G2623" t="inlineStr">
        <is>
          <t>Saving Dory</t>
        </is>
      </c>
      <c r="H2623" s="41" t="n">
        <v>0.002569444444444445</v>
      </c>
      <c r="I2623" s="42" t="n">
        <v>371401</v>
      </c>
      <c r="J2623" s="42" t="n">
        <v>10505</v>
      </c>
      <c r="K2623" s="42" t="n">
        <v>2061</v>
      </c>
      <c r="L2623" s="43" t="n"/>
      <c r="M2623" s="44" t="n"/>
      <c r="N2623" s="44" t="inlineStr">
        <is>
          <t>UCKZo4N0lVPccBkSiuyVh4yg</t>
        </is>
      </c>
      <c r="O2623" s="45" t="n">
        <v>42537.79166666666</v>
      </c>
      <c r="P2623" s="46" t="n">
        <v>42537</v>
      </c>
      <c r="Q2623" s="44" t="n">
        <v>649</v>
      </c>
      <c r="R2623" s="44" t="inlineStr">
        <is>
          <t>No Video ID yet</t>
        </is>
      </c>
      <c r="S2623" s="46" t="n"/>
      <c r="T2623" s="46" t="n"/>
      <c r="U2623" s="44" t="n"/>
      <c r="V2623" s="44">
        <f>IF(AND(P2623&gt;=Calendar!$K$2,P2623&lt;EDATE(Calendar!$K$2,1),OR(Calendar!$K$4="*",N2623=Calendar!$K$4)),P2623*100+COUNTIFS($P$6:$P$3271,P2623,$Q$6:$Q$3271,"&lt;="&amp;Q2623,$N$6:$N$3271,Calendar!$K$4),"")</f>
        <v/>
      </c>
      <c r="W2623" s="44">
        <f>IF(AND(B2623=Queue!$C$4,OR(Queue!$K$4="*",N2623=Queue!$K$4)),Q2623,"")</f>
        <v/>
      </c>
    </row>
    <row r="2624">
      <c r="A2624" s="35">
        <f>IF(M2624="","",HYPERLINK("https://www.youtube.com/watch?v="&amp;M2624,"▶"))</f>
        <v/>
      </c>
      <c r="B2624" s="36">
        <f>IF(C2624&lt;&gt;"",C2624,IF(P2624&lt;=IFERROR(INDEX(tblChannels[Watched Through],MATCH(N2624,tblChannels[Channel ID],0)),0),"Watched","Unwatched"))</f>
        <v/>
      </c>
      <c r="C2624" s="37" t="n"/>
      <c r="D2624" s="38" t="n"/>
      <c r="E2624" s="39" t="n">
        <v>42535.625</v>
      </c>
      <c r="F2624" s="47" t="inlineStr">
        <is>
          <t>Super Carlin Brothers</t>
        </is>
      </c>
      <c r="G2624" t="inlineStr">
        <is>
          <t>Simba's Magic Roar Explained</t>
        </is>
      </c>
      <c r="H2624" s="41" t="n">
        <v>0.005208333333333333</v>
      </c>
      <c r="I2624" s="42" t="n">
        <v>1478884</v>
      </c>
      <c r="J2624" s="42" t="n">
        <v>30324</v>
      </c>
      <c r="K2624" s="42" t="n">
        <v>5533</v>
      </c>
      <c r="L2624" s="43" t="n"/>
      <c r="M2624" s="44" t="n"/>
      <c r="N2624" s="44" t="inlineStr">
        <is>
          <t>UCKZo4N0lVPccBkSiuyVh4yg</t>
        </is>
      </c>
      <c r="O2624" s="45" t="n">
        <v>42535.79166666666</v>
      </c>
      <c r="P2624" s="46" t="n">
        <v>42535</v>
      </c>
      <c r="Q2624" s="44" t="n">
        <v>648</v>
      </c>
      <c r="R2624" s="44" t="inlineStr">
        <is>
          <t>No Video ID yet</t>
        </is>
      </c>
      <c r="S2624" s="46" t="n"/>
      <c r="T2624" s="46" t="n"/>
      <c r="U2624" s="44" t="n"/>
      <c r="V2624" s="44">
        <f>IF(AND(P2624&gt;=Calendar!$K$2,P2624&lt;EDATE(Calendar!$K$2,1),OR(Calendar!$K$4="*",N2624=Calendar!$K$4)),P2624*100+COUNTIFS($P$6:$P$3271,P2624,$Q$6:$Q$3271,"&lt;="&amp;Q2624,$N$6:$N$3271,Calendar!$K$4),"")</f>
        <v/>
      </c>
      <c r="W2624" s="44">
        <f>IF(AND(B2624=Queue!$C$4,OR(Queue!$K$4="*",N2624=Queue!$K$4)),Q2624,"")</f>
        <v/>
      </c>
    </row>
    <row r="2625">
      <c r="A2625" s="35">
        <f>IF(M2625="","",HYPERLINK("https://www.youtube.com/watch?v="&amp;M2625,"▶"))</f>
        <v/>
      </c>
      <c r="B2625" s="36">
        <f>IF(C2625&lt;&gt;"",C2625,IF(P2625&lt;=IFERROR(INDEX(tblChannels[Watched Through],MATCH(N2625,tblChannels[Channel ID],0)),0),"Watched","Unwatched"))</f>
        <v/>
      </c>
      <c r="C2625" s="37" t="n"/>
      <c r="D2625" s="38" t="n"/>
      <c r="E2625" s="39" t="n">
        <v>42530.77152777778</v>
      </c>
      <c r="F2625" s="47" t="inlineStr">
        <is>
          <t>Super Carlin Brothers</t>
        </is>
      </c>
      <c r="G2625" t="inlineStr">
        <is>
          <t>The Truth About: A Bugs Life &amp; ANTZ</t>
        </is>
      </c>
      <c r="H2625" s="41" t="n">
        <v>0.004594907407407408</v>
      </c>
      <c r="I2625" s="42" t="n">
        <v>1668259</v>
      </c>
      <c r="J2625" s="42" t="n">
        <v>27901</v>
      </c>
      <c r="K2625" s="42" t="n">
        <v>9368</v>
      </c>
      <c r="L2625" s="43" t="n"/>
      <c r="M2625" s="44" t="n"/>
      <c r="N2625" s="44" t="inlineStr">
        <is>
          <t>UCKZo4N0lVPccBkSiuyVh4yg</t>
        </is>
      </c>
      <c r="O2625" s="45" t="n">
        <v>42530.93819444445</v>
      </c>
      <c r="P2625" s="46" t="n">
        <v>42530</v>
      </c>
      <c r="Q2625" s="44" t="n">
        <v>647</v>
      </c>
      <c r="R2625" s="44" t="inlineStr">
        <is>
          <t>No Video ID yet</t>
        </is>
      </c>
      <c r="S2625" s="46" t="n"/>
      <c r="T2625" s="46" t="n"/>
      <c r="U2625" s="44" t="n"/>
      <c r="V2625" s="44">
        <f>IF(AND(P2625&gt;=Calendar!$K$2,P2625&lt;EDATE(Calendar!$K$2,1),OR(Calendar!$K$4="*",N2625=Calendar!$K$4)),P2625*100+COUNTIFS($P$6:$P$3271,P2625,$Q$6:$Q$3271,"&lt;="&amp;Q2625,$N$6:$N$3271,Calendar!$K$4),"")</f>
        <v/>
      </c>
      <c r="W2625" s="44">
        <f>IF(AND(B2625=Queue!$C$4,OR(Queue!$K$4="*",N2625=Queue!$K$4)),Q2625,"")</f>
        <v/>
      </c>
    </row>
    <row r="2626">
      <c r="A2626" s="35">
        <f>IF(M2626="","",HYPERLINK("https://www.youtube.com/watch?v="&amp;M2626,"▶"))</f>
        <v/>
      </c>
      <c r="B2626" s="36">
        <f>IF(C2626&lt;&gt;"",C2626,IF(P2626&lt;=IFERROR(INDEX(tblChannels[Watched Through],MATCH(N2626,tblChannels[Channel ID],0)),0),"Watched","Unwatched"))</f>
        <v/>
      </c>
      <c r="C2626" s="37" t="n"/>
      <c r="D2626" s="38" t="n"/>
      <c r="E2626" s="39" t="n">
        <v>42528.625</v>
      </c>
      <c r="F2626" s="47" t="inlineStr">
        <is>
          <t>Super Carlin Brothers</t>
        </is>
      </c>
      <c r="G2626" t="inlineStr">
        <is>
          <t>Does Dumbledore Google Autofill</t>
        </is>
      </c>
      <c r="H2626" s="41" t="n">
        <v>0.006145833333333333</v>
      </c>
      <c r="I2626" s="42" t="n">
        <v>858022</v>
      </c>
      <c r="J2626" s="42" t="n">
        <v>16492</v>
      </c>
      <c r="K2626" s="42" t="n">
        <v>5914</v>
      </c>
      <c r="L2626" s="43" t="n"/>
      <c r="M2626" s="44" t="n"/>
      <c r="N2626" s="44" t="inlineStr">
        <is>
          <t>UCKZo4N0lVPccBkSiuyVh4yg</t>
        </is>
      </c>
      <c r="O2626" s="45" t="n">
        <v>42528.79166666666</v>
      </c>
      <c r="P2626" s="46" t="n">
        <v>42528</v>
      </c>
      <c r="Q2626" s="44" t="n">
        <v>646</v>
      </c>
      <c r="R2626" s="44" t="inlineStr">
        <is>
          <t>No Video ID yet</t>
        </is>
      </c>
      <c r="S2626" s="46" t="n"/>
      <c r="T2626" s="46" t="n"/>
      <c r="U2626" s="44" t="n"/>
      <c r="V2626" s="44">
        <f>IF(AND(P2626&gt;=Calendar!$K$2,P2626&lt;EDATE(Calendar!$K$2,1),OR(Calendar!$K$4="*",N2626=Calendar!$K$4)),P2626*100+COUNTIFS($P$6:$P$3271,P2626,$Q$6:$Q$3271,"&lt;="&amp;Q2626,$N$6:$N$3271,Calendar!$K$4),"")</f>
        <v/>
      </c>
      <c r="W2626" s="44">
        <f>IF(AND(B2626=Queue!$C$4,OR(Queue!$K$4="*",N2626=Queue!$K$4)),Q2626,"")</f>
        <v/>
      </c>
    </row>
    <row r="2627">
      <c r="A2627" s="35">
        <f>IF(M2627="","",HYPERLINK("https://www.youtube.com/watch?v="&amp;M2627,"▶"))</f>
        <v/>
      </c>
      <c r="B2627" s="36">
        <f>IF(C2627&lt;&gt;"",C2627,IF(P2627&lt;=IFERROR(INDEX(tblChannels[Watched Through],MATCH(N2627,tblChannels[Channel ID],0)),0),"Watched","Unwatched"))</f>
        <v/>
      </c>
      <c r="C2627" s="37" t="n"/>
      <c r="D2627" s="38" t="n"/>
      <c r="E2627" s="39" t="n">
        <v>42526.66736111111</v>
      </c>
      <c r="F2627" s="49" t="inlineStr">
        <is>
          <t>Super Carlin Gaming</t>
        </is>
      </c>
      <c r="G2627" t="inlineStr">
        <is>
          <t>Knights of the Old Republic #27 - Anakin would have been so proud of me</t>
        </is>
      </c>
      <c r="H2627" s="41" t="n">
        <v>0.01756944444444444</v>
      </c>
      <c r="I2627" s="42" t="n">
        <v>2288</v>
      </c>
      <c r="J2627" s="42" t="n">
        <v>45</v>
      </c>
      <c r="K2627" s="42" t="n">
        <v>18</v>
      </c>
      <c r="L2627" s="43" t="n"/>
      <c r="M2627" s="44" t="n"/>
      <c r="N2627" s="44" t="inlineStr">
        <is>
          <t>UCor_9jRnNNZVzTuQ92PKsaQ</t>
        </is>
      </c>
      <c r="O2627" s="45" t="n">
        <v>42526.83402777778</v>
      </c>
      <c r="P2627" s="46" t="n">
        <v>42526</v>
      </c>
      <c r="Q2627" s="44" t="n">
        <v>645</v>
      </c>
      <c r="R2627" s="44" t="inlineStr">
        <is>
          <t>No Video ID yet</t>
        </is>
      </c>
      <c r="S2627" s="46" t="n"/>
      <c r="T2627" s="46" t="n"/>
      <c r="U2627" s="44" t="n"/>
      <c r="V2627" s="44">
        <f>IF(AND(P2627&gt;=Calendar!$K$2,P2627&lt;EDATE(Calendar!$K$2,1),OR(Calendar!$K$4="*",N2627=Calendar!$K$4)),P2627*100+COUNTIFS($P$6:$P$3271,P2627,$Q$6:$Q$3271,"&lt;="&amp;Q2627,$N$6:$N$3271,Calendar!$K$4),"")</f>
        <v/>
      </c>
      <c r="W2627" s="44">
        <f>IF(AND(B2627=Queue!$C$4,OR(Queue!$K$4="*",N2627=Queue!$K$4)),Q2627,"")</f>
        <v/>
      </c>
    </row>
    <row r="2628">
      <c r="A2628" s="35">
        <f>IF(M2628="","",HYPERLINK("https://www.youtube.com/watch?v="&amp;M2628,"▶"))</f>
        <v/>
      </c>
      <c r="B2628" s="36">
        <f>IF(C2628&lt;&gt;"",C2628,IF(P2628&lt;=IFERROR(INDEX(tblChannels[Watched Through],MATCH(N2628,tblChannels[Channel ID],0)),0),"Watched","Unwatched"))</f>
        <v/>
      </c>
      <c r="C2628" s="37" t="n"/>
      <c r="D2628" s="38" t="n"/>
      <c r="E2628" s="39" t="n">
        <v>42523.82083333333</v>
      </c>
      <c r="F2628" s="49" t="inlineStr">
        <is>
          <t>Super Carlin Gaming</t>
        </is>
      </c>
      <c r="G2628" t="inlineStr">
        <is>
          <t>Knights of the Old Republic #26 - HK-47, TOO BAATTTLEEEE</t>
        </is>
      </c>
      <c r="H2628" s="41" t="n">
        <v>0.0231712962962963</v>
      </c>
      <c r="I2628" s="42" t="n">
        <v>1381</v>
      </c>
      <c r="J2628" s="42" t="n">
        <v>41</v>
      </c>
      <c r="K2628" s="42" t="n">
        <v>18</v>
      </c>
      <c r="L2628" s="43" t="n"/>
      <c r="M2628" s="44" t="n"/>
      <c r="N2628" s="44" t="inlineStr">
        <is>
          <t>UCor_9jRnNNZVzTuQ92PKsaQ</t>
        </is>
      </c>
      <c r="O2628" s="45" t="n">
        <v>42523.9875</v>
      </c>
      <c r="P2628" s="46" t="n">
        <v>42523</v>
      </c>
      <c r="Q2628" s="44" t="n">
        <v>644</v>
      </c>
      <c r="R2628" s="44" t="inlineStr">
        <is>
          <t>No Video ID yet</t>
        </is>
      </c>
      <c r="S2628" s="46" t="n"/>
      <c r="T2628" s="46" t="n"/>
      <c r="U2628" s="44" t="n"/>
      <c r="V2628" s="44">
        <f>IF(AND(P2628&gt;=Calendar!$K$2,P2628&lt;EDATE(Calendar!$K$2,1),OR(Calendar!$K$4="*",N2628=Calendar!$K$4)),P2628*100+COUNTIFS($P$6:$P$3271,P2628,$Q$6:$Q$3271,"&lt;="&amp;Q2628,$N$6:$N$3271,Calendar!$K$4),"")</f>
        <v/>
      </c>
      <c r="W2628" s="44">
        <f>IF(AND(B2628=Queue!$C$4,OR(Queue!$K$4="*",N2628=Queue!$K$4)),Q2628,"")</f>
        <v/>
      </c>
    </row>
    <row r="2629">
      <c r="A2629" s="35">
        <f>IF(M2629="","",HYPERLINK("https://www.youtube.com/watch?v="&amp;M2629,"▶"))</f>
        <v/>
      </c>
      <c r="B2629" s="36">
        <f>IF(C2629&lt;&gt;"",C2629,IF(P2629&lt;=IFERROR(INDEX(tblChannels[Watched Through],MATCH(N2629,tblChannels[Channel ID],0)),0),"Watched","Unwatched"))</f>
        <v/>
      </c>
      <c r="C2629" s="37" t="n"/>
      <c r="D2629" s="38" t="n"/>
      <c r="E2629" s="39" t="n">
        <v>42523.74861111111</v>
      </c>
      <c r="F2629" s="47" t="inlineStr">
        <is>
          <t>Super Carlin Brothers</t>
        </is>
      </c>
      <c r="G2629" t="inlineStr">
        <is>
          <t>The Wilhelm Scream Explained</t>
        </is>
      </c>
      <c r="H2629" s="41" t="n">
        <v>0.003784722222222222</v>
      </c>
      <c r="I2629" s="42" t="n">
        <v>1453578</v>
      </c>
      <c r="J2629" s="42" t="n">
        <v>31937</v>
      </c>
      <c r="K2629" s="42" t="n">
        <v>7273</v>
      </c>
      <c r="L2629" s="43" t="n"/>
      <c r="M2629" s="44" t="n"/>
      <c r="N2629" s="44" t="inlineStr">
        <is>
          <t>UCKZo4N0lVPccBkSiuyVh4yg</t>
        </is>
      </c>
      <c r="O2629" s="45" t="n">
        <v>42523.91527777778</v>
      </c>
      <c r="P2629" s="46" t="n">
        <v>42523</v>
      </c>
      <c r="Q2629" s="44" t="n">
        <v>643</v>
      </c>
      <c r="R2629" s="44" t="inlineStr">
        <is>
          <t>No Video ID yet</t>
        </is>
      </c>
      <c r="S2629" s="46" t="n"/>
      <c r="T2629" s="46" t="n"/>
      <c r="U2629" s="44" t="n"/>
      <c r="V2629" s="44">
        <f>IF(AND(P2629&gt;=Calendar!$K$2,P2629&lt;EDATE(Calendar!$K$2,1),OR(Calendar!$K$4="*",N2629=Calendar!$K$4)),P2629*100+COUNTIFS($P$6:$P$3271,P2629,$Q$6:$Q$3271,"&lt;="&amp;Q2629,$N$6:$N$3271,Calendar!$K$4),"")</f>
        <v/>
      </c>
      <c r="W2629" s="44">
        <f>IF(AND(B2629=Queue!$C$4,OR(Queue!$K$4="*",N2629=Queue!$K$4)),Q2629,"")</f>
        <v/>
      </c>
    </row>
    <row r="2630">
      <c r="A2630" s="35">
        <f>IF(M2630="","",HYPERLINK("https://www.youtube.com/watch?v="&amp;M2630,"▶"))</f>
        <v/>
      </c>
      <c r="B2630" s="36">
        <f>IF(C2630&lt;&gt;"",C2630,IF(P2630&lt;=IFERROR(INDEX(tblChannels[Watched Through],MATCH(N2630,tblChannels[Channel ID],0)),0),"Watched","Unwatched"))</f>
        <v/>
      </c>
      <c r="C2630" s="37" t="n"/>
      <c r="D2630" s="38" t="n"/>
      <c r="E2630" s="39" t="n">
        <v>42521.625</v>
      </c>
      <c r="F2630" s="47" t="inlineStr">
        <is>
          <t>Super Carlin Brothers</t>
        </is>
      </c>
      <c r="G2630" t="inlineStr">
        <is>
          <t>Top 10 Things To Look For In Finding Dory</t>
        </is>
      </c>
      <c r="H2630" s="41" t="n">
        <v>0.006087962962962963</v>
      </c>
      <c r="I2630" s="42" t="n">
        <v>692344</v>
      </c>
      <c r="J2630" s="42" t="n">
        <v>12159</v>
      </c>
      <c r="K2630" s="42" t="n">
        <v>2301</v>
      </c>
      <c r="L2630" s="43" t="n"/>
      <c r="M2630" s="44" t="n"/>
      <c r="N2630" s="44" t="inlineStr">
        <is>
          <t>UCKZo4N0lVPccBkSiuyVh4yg</t>
        </is>
      </c>
      <c r="O2630" s="45" t="n">
        <v>42521.79166666666</v>
      </c>
      <c r="P2630" s="46" t="n">
        <v>42521</v>
      </c>
      <c r="Q2630" s="44" t="n">
        <v>642</v>
      </c>
      <c r="R2630" s="44" t="inlineStr">
        <is>
          <t>No Video ID yet</t>
        </is>
      </c>
      <c r="S2630" s="46" t="n"/>
      <c r="T2630" s="46" t="n"/>
      <c r="U2630" s="44" t="n"/>
      <c r="V2630" s="44">
        <f>IF(AND(P2630&gt;=Calendar!$K$2,P2630&lt;EDATE(Calendar!$K$2,1),OR(Calendar!$K$4="*",N2630=Calendar!$K$4)),P2630*100+COUNTIFS($P$6:$P$3271,P2630,$Q$6:$Q$3271,"&lt;="&amp;Q2630,$N$6:$N$3271,Calendar!$K$4),"")</f>
        <v/>
      </c>
      <c r="W2630" s="44">
        <f>IF(AND(B2630=Queue!$C$4,OR(Queue!$K$4="*",N2630=Queue!$K$4)),Q2630,"")</f>
        <v/>
      </c>
    </row>
    <row r="2631">
      <c r="A2631" s="35">
        <f>IF(M2631="","",HYPERLINK("https://www.youtube.com/watch?v="&amp;M2631,"▶"))</f>
        <v/>
      </c>
      <c r="B2631" s="36">
        <f>IF(C2631&lt;&gt;"",C2631,IF(P2631&lt;=IFERROR(INDEX(tblChannels[Watched Through],MATCH(N2631,tblChannels[Channel ID],0)),0),"Watched","Unwatched"))</f>
        <v/>
      </c>
      <c r="C2631" s="37" t="n"/>
      <c r="D2631" s="38" t="n"/>
      <c r="E2631" s="39" t="n">
        <v>42520.81458333333</v>
      </c>
      <c r="F2631" s="49" t="inlineStr">
        <is>
          <t>Super Carlin Gaming</t>
        </is>
      </c>
      <c r="G2631" t="inlineStr">
        <is>
          <t>Knights of the Old Republic #25 - Tatooine here we come!</t>
        </is>
      </c>
      <c r="H2631" s="41" t="n">
        <v>0.02244212962962963</v>
      </c>
      <c r="I2631" s="42" t="n">
        <v>1333</v>
      </c>
      <c r="J2631" s="42" t="n">
        <v>48</v>
      </c>
      <c r="K2631" s="42" t="n">
        <v>12</v>
      </c>
      <c r="L2631" s="43" t="n"/>
      <c r="M2631" s="44" t="n"/>
      <c r="N2631" s="44" t="inlineStr">
        <is>
          <t>UCor_9jRnNNZVzTuQ92PKsaQ</t>
        </is>
      </c>
      <c r="O2631" s="45" t="n">
        <v>42520.98125</v>
      </c>
      <c r="P2631" s="46" t="n">
        <v>42520</v>
      </c>
      <c r="Q2631" s="44" t="n">
        <v>641</v>
      </c>
      <c r="R2631" s="44" t="inlineStr">
        <is>
          <t>No Video ID yet</t>
        </is>
      </c>
      <c r="S2631" s="46" t="n"/>
      <c r="T2631" s="46" t="n"/>
      <c r="U2631" s="44" t="n"/>
      <c r="V2631" s="44">
        <f>IF(AND(P2631&gt;=Calendar!$K$2,P2631&lt;EDATE(Calendar!$K$2,1),OR(Calendar!$K$4="*",N2631=Calendar!$K$4)),P2631*100+COUNTIFS($P$6:$P$3271,P2631,$Q$6:$Q$3271,"&lt;="&amp;Q2631,$N$6:$N$3271,Calendar!$K$4),"")</f>
        <v/>
      </c>
      <c r="W2631" s="44">
        <f>IF(AND(B2631=Queue!$C$4,OR(Queue!$K$4="*",N2631=Queue!$K$4)),Q2631,"")</f>
        <v/>
      </c>
    </row>
    <row r="2632">
      <c r="A2632" s="35">
        <f>IF(M2632="","",HYPERLINK("https://www.youtube.com/watch?v="&amp;M2632,"▶"))</f>
        <v/>
      </c>
      <c r="B2632" s="36">
        <f>IF(C2632&lt;&gt;"",C2632,IF(P2632&lt;=IFERROR(INDEX(tblChannels[Watched Through],MATCH(N2632,tblChannels[Channel ID],0)),0),"Watched","Unwatched"))</f>
        <v/>
      </c>
      <c r="C2632" s="37" t="n"/>
      <c r="D2632" s="38" t="n"/>
      <c r="E2632" s="39" t="n">
        <v>42516.78402777778</v>
      </c>
      <c r="F2632" s="47" t="inlineStr">
        <is>
          <t>Super Carlin Brothers</t>
        </is>
      </c>
      <c r="G2632" t="inlineStr">
        <is>
          <t>Finding Dory Trailer 3 | Review, Analysis &amp; Predictions</t>
        </is>
      </c>
      <c r="H2632" s="41" t="n">
        <v>0.007210648148148148</v>
      </c>
      <c r="I2632" s="42" t="n">
        <v>328952</v>
      </c>
      <c r="J2632" s="42" t="n">
        <v>6602</v>
      </c>
      <c r="K2632" s="42" t="n">
        <v>1707</v>
      </c>
      <c r="L2632" s="43" t="n"/>
      <c r="M2632" s="44" t="n"/>
      <c r="N2632" s="44" t="inlineStr">
        <is>
          <t>UCKZo4N0lVPccBkSiuyVh4yg</t>
        </is>
      </c>
      <c r="O2632" s="45" t="n">
        <v>42516.95069444444</v>
      </c>
      <c r="P2632" s="46" t="n">
        <v>42516</v>
      </c>
      <c r="Q2632" s="44" t="n">
        <v>640</v>
      </c>
      <c r="R2632" s="44" t="inlineStr">
        <is>
          <t>No Video ID yet</t>
        </is>
      </c>
      <c r="S2632" s="46" t="n"/>
      <c r="T2632" s="46" t="n"/>
      <c r="U2632" s="44" t="n"/>
      <c r="V2632" s="44">
        <f>IF(AND(P2632&gt;=Calendar!$K$2,P2632&lt;EDATE(Calendar!$K$2,1),OR(Calendar!$K$4="*",N2632=Calendar!$K$4)),P2632*100+COUNTIFS($P$6:$P$3271,P2632,$Q$6:$Q$3271,"&lt;="&amp;Q2632,$N$6:$N$3271,Calendar!$K$4),"")</f>
        <v/>
      </c>
      <c r="W2632" s="44">
        <f>IF(AND(B2632=Queue!$C$4,OR(Queue!$K$4="*",N2632=Queue!$K$4)),Q2632,"")</f>
        <v/>
      </c>
    </row>
    <row r="2633">
      <c r="A2633" s="35">
        <f>IF(M2633="","",HYPERLINK("https://www.youtube.com/watch?v="&amp;M2633,"▶"))</f>
        <v/>
      </c>
      <c r="B2633" s="36">
        <f>IF(C2633&lt;&gt;"",C2633,IF(P2633&lt;=IFERROR(INDEX(tblChannels[Watched Through],MATCH(N2633,tblChannels[Channel ID],0)),0),"Watched","Unwatched"))</f>
        <v/>
      </c>
      <c r="C2633" s="37" t="n"/>
      <c r="D2633" s="38" t="n"/>
      <c r="E2633" s="39" t="n">
        <v>42514.63263888889</v>
      </c>
      <c r="F2633" s="47" t="inlineStr">
        <is>
          <t>Super Carlin Brothers</t>
        </is>
      </c>
      <c r="G2633" t="inlineStr">
        <is>
          <t>Bing Bong Was Almost Bad?!</t>
        </is>
      </c>
      <c r="H2633" s="41" t="n">
        <v>0.004456018518518519</v>
      </c>
      <c r="I2633" s="42" t="n">
        <v>1985071</v>
      </c>
      <c r="J2633" s="42" t="n">
        <v>32304</v>
      </c>
      <c r="K2633" s="42" t="n">
        <v>5330</v>
      </c>
      <c r="L2633" s="43" t="n"/>
      <c r="M2633" s="44" t="n"/>
      <c r="N2633" s="44" t="inlineStr">
        <is>
          <t>UCKZo4N0lVPccBkSiuyVh4yg</t>
        </is>
      </c>
      <c r="O2633" s="45" t="n">
        <v>42514.79930555556</v>
      </c>
      <c r="P2633" s="46" t="n">
        <v>42514</v>
      </c>
      <c r="Q2633" s="44" t="n">
        <v>639</v>
      </c>
      <c r="R2633" s="44" t="inlineStr">
        <is>
          <t>No Video ID yet</t>
        </is>
      </c>
      <c r="S2633" s="46" t="n"/>
      <c r="T2633" s="46" t="n"/>
      <c r="U2633" s="44" t="n"/>
      <c r="V2633" s="44">
        <f>IF(AND(P2633&gt;=Calendar!$K$2,P2633&lt;EDATE(Calendar!$K$2,1),OR(Calendar!$K$4="*",N2633=Calendar!$K$4)),P2633*100+COUNTIFS($P$6:$P$3271,P2633,$Q$6:$Q$3271,"&lt;="&amp;Q2633,$N$6:$N$3271,Calendar!$K$4),"")</f>
        <v/>
      </c>
      <c r="W2633" s="44">
        <f>IF(AND(B2633=Queue!$C$4,OR(Queue!$K$4="*",N2633=Queue!$K$4)),Q2633,"")</f>
        <v/>
      </c>
    </row>
    <row r="2634">
      <c r="A2634" s="35">
        <f>IF(M2634="","",HYPERLINK("https://www.youtube.com/watch?v="&amp;M2634,"▶"))</f>
        <v/>
      </c>
      <c r="B2634" s="36">
        <f>IF(C2634&lt;&gt;"",C2634,IF(P2634&lt;=IFERROR(INDEX(tblChannels[Watched Through],MATCH(N2634,tblChannels[Channel ID],0)),0),"Watched","Unwatched"))</f>
        <v/>
      </c>
      <c r="C2634" s="37" t="n"/>
      <c r="D2634" s="38" t="n"/>
      <c r="E2634" s="39" t="n">
        <v>42509.77708333333</v>
      </c>
      <c r="F2634" s="47" t="inlineStr">
        <is>
          <t>Super Carlin Brothers</t>
        </is>
      </c>
      <c r="G2634" t="inlineStr">
        <is>
          <t>How Imaginary Friends Work</t>
        </is>
      </c>
      <c r="H2634" s="41" t="n">
        <v>0.004328703703703704</v>
      </c>
      <c r="I2634" s="42" t="n">
        <v>1125932</v>
      </c>
      <c r="J2634" s="42" t="n">
        <v>22556</v>
      </c>
      <c r="K2634" s="42" t="n">
        <v>11686</v>
      </c>
      <c r="L2634" s="43" t="n"/>
      <c r="M2634" s="44" t="n"/>
      <c r="N2634" s="44" t="inlineStr">
        <is>
          <t>UCKZo4N0lVPccBkSiuyVh4yg</t>
        </is>
      </c>
      <c r="O2634" s="45" t="n">
        <v>42509.94375</v>
      </c>
      <c r="P2634" s="46" t="n">
        <v>42509</v>
      </c>
      <c r="Q2634" s="44" t="n">
        <v>638</v>
      </c>
      <c r="R2634" s="44" t="inlineStr">
        <is>
          <t>No Video ID yet</t>
        </is>
      </c>
      <c r="S2634" s="46" t="n"/>
      <c r="T2634" s="46" t="n"/>
      <c r="U2634" s="44" t="n"/>
      <c r="V2634" s="44">
        <f>IF(AND(P2634&gt;=Calendar!$K$2,P2634&lt;EDATE(Calendar!$K$2,1),OR(Calendar!$K$4="*",N2634=Calendar!$K$4)),P2634*100+COUNTIFS($P$6:$P$3271,P2634,$Q$6:$Q$3271,"&lt;="&amp;Q2634,$N$6:$N$3271,Calendar!$K$4),"")</f>
        <v/>
      </c>
      <c r="W2634" s="44">
        <f>IF(AND(B2634=Queue!$C$4,OR(Queue!$K$4="*",N2634=Queue!$K$4)),Q2634,"")</f>
        <v/>
      </c>
    </row>
    <row r="2635">
      <c r="A2635" s="35">
        <f>IF(M2635="","",HYPERLINK("https://www.youtube.com/watch?v="&amp;M2635,"▶"))</f>
        <v/>
      </c>
      <c r="B2635" s="36">
        <f>IF(C2635&lt;&gt;"",C2635,IF(P2635&lt;=IFERROR(INDEX(tblChannels[Watched Through],MATCH(N2635,tblChannels[Channel ID],0)),0),"Watched","Unwatched"))</f>
        <v/>
      </c>
      <c r="C2635" s="37" t="n"/>
      <c r="D2635" s="38" t="n"/>
      <c r="E2635" s="39" t="n">
        <v>42507.88055555556</v>
      </c>
      <c r="F2635" s="47" t="inlineStr">
        <is>
          <t>Super Carlin Brothers</t>
        </is>
      </c>
      <c r="G2635" t="inlineStr">
        <is>
          <t>Mulan Theory: The Great Stone Dragon</t>
        </is>
      </c>
      <c r="H2635" s="41" t="n">
        <v>0.005300925925925926</v>
      </c>
      <c r="I2635" s="42" t="n">
        <v>1744114</v>
      </c>
      <c r="J2635" s="42" t="n">
        <v>42757</v>
      </c>
      <c r="K2635" s="42" t="n">
        <v>4337</v>
      </c>
      <c r="L2635" s="43" t="n"/>
      <c r="M2635" s="44" t="n"/>
      <c r="N2635" s="44" t="inlineStr">
        <is>
          <t>UCKZo4N0lVPccBkSiuyVh4yg</t>
        </is>
      </c>
      <c r="O2635" s="45" t="n">
        <v>42508.04722222222</v>
      </c>
      <c r="P2635" s="46" t="n">
        <v>42507</v>
      </c>
      <c r="Q2635" s="44" t="n">
        <v>637</v>
      </c>
      <c r="R2635" s="44" t="inlineStr">
        <is>
          <t>No Video ID yet</t>
        </is>
      </c>
      <c r="S2635" s="46" t="n"/>
      <c r="T2635" s="46" t="n"/>
      <c r="U2635" s="44" t="n"/>
      <c r="V2635" s="44">
        <f>IF(AND(P2635&gt;=Calendar!$K$2,P2635&lt;EDATE(Calendar!$K$2,1),OR(Calendar!$K$4="*",N2635=Calendar!$K$4)),P2635*100+COUNTIFS($P$6:$P$3271,P2635,$Q$6:$Q$3271,"&lt;="&amp;Q2635,$N$6:$N$3271,Calendar!$K$4),"")</f>
        <v/>
      </c>
      <c r="W2635" s="44">
        <f>IF(AND(B2635=Queue!$C$4,OR(Queue!$K$4="*",N2635=Queue!$K$4)),Q2635,"")</f>
        <v/>
      </c>
    </row>
    <row r="2636">
      <c r="A2636" s="35">
        <f>IF(M2636="","",HYPERLINK("https://www.youtube.com/watch?v="&amp;M2636,"▶"))</f>
        <v/>
      </c>
      <c r="B2636" s="36">
        <f>IF(C2636&lt;&gt;"",C2636,IF(P2636&lt;=IFERROR(INDEX(tblChannels[Watched Through],MATCH(N2636,tblChannels[Channel ID],0)),0),"Watched","Unwatched"))</f>
        <v/>
      </c>
      <c r="C2636" s="37" t="n"/>
      <c r="D2636" s="38" t="n"/>
      <c r="E2636" s="39" t="n">
        <v>42507.30347222222</v>
      </c>
      <c r="F2636" s="49" t="inlineStr">
        <is>
          <t>Super Carlin Gaming</t>
        </is>
      </c>
      <c r="G2636" t="inlineStr">
        <is>
          <t>Knights of the Old Republic #24 - The End of the Sith Trials</t>
        </is>
      </c>
      <c r="H2636" s="41" t="n">
        <v>0.02762731481481482</v>
      </c>
      <c r="I2636" s="42" t="n">
        <v>2099</v>
      </c>
      <c r="J2636" s="42" t="n">
        <v>52</v>
      </c>
      <c r="K2636" s="42" t="n">
        <v>36</v>
      </c>
      <c r="L2636" s="43" t="n"/>
      <c r="M2636" s="44" t="n"/>
      <c r="N2636" s="44" t="inlineStr">
        <is>
          <t>UCor_9jRnNNZVzTuQ92PKsaQ</t>
        </is>
      </c>
      <c r="O2636" s="45" t="n">
        <v>42507.47013888889</v>
      </c>
      <c r="P2636" s="46" t="n">
        <v>42507</v>
      </c>
      <c r="Q2636" s="44" t="n">
        <v>636</v>
      </c>
      <c r="R2636" s="44" t="inlineStr">
        <is>
          <t>No Video ID yet</t>
        </is>
      </c>
      <c r="S2636" s="46" t="n"/>
      <c r="T2636" s="46" t="n"/>
      <c r="U2636" s="44" t="n"/>
      <c r="V2636" s="44">
        <f>IF(AND(P2636&gt;=Calendar!$K$2,P2636&lt;EDATE(Calendar!$K$2,1),OR(Calendar!$K$4="*",N2636=Calendar!$K$4)),P2636*100+COUNTIFS($P$6:$P$3271,P2636,$Q$6:$Q$3271,"&lt;="&amp;Q2636,$N$6:$N$3271,Calendar!$K$4),"")</f>
        <v/>
      </c>
      <c r="W2636" s="44">
        <f>IF(AND(B2636=Queue!$C$4,OR(Queue!$K$4="*",N2636=Queue!$K$4)),Q2636,"")</f>
        <v/>
      </c>
    </row>
    <row r="2637">
      <c r="A2637" s="35">
        <f>IF(M2637="","",HYPERLINK("https://www.youtube.com/watch?v="&amp;M2637,"▶"))</f>
        <v/>
      </c>
      <c r="B2637" s="36">
        <f>IF(C2637&lt;&gt;"",C2637,IF(P2637&lt;=IFERROR(INDEX(tblChannels[Watched Through],MATCH(N2637,tblChannels[Channel ID],0)),0),"Watched","Unwatched"))</f>
        <v/>
      </c>
      <c r="C2637" s="37" t="n"/>
      <c r="D2637" s="38" t="n"/>
      <c r="E2637" s="39" t="n">
        <v>42505.91041666667</v>
      </c>
      <c r="F2637" s="49" t="inlineStr">
        <is>
          <t>Super Carlin Gaming</t>
        </is>
      </c>
      <c r="G2637" t="inlineStr">
        <is>
          <t>Knights of the Old Republic #23 - SPELUNKING (part 2!)</t>
        </is>
      </c>
      <c r="H2637" s="41" t="n">
        <v>0.01988425925925926</v>
      </c>
      <c r="I2637" s="42" t="n">
        <v>1195</v>
      </c>
      <c r="J2637" s="42" t="n">
        <v>55</v>
      </c>
      <c r="K2637" s="42" t="n">
        <v>32</v>
      </c>
      <c r="L2637" s="43" t="n"/>
      <c r="M2637" s="44" t="n"/>
      <c r="N2637" s="44" t="inlineStr">
        <is>
          <t>UCor_9jRnNNZVzTuQ92PKsaQ</t>
        </is>
      </c>
      <c r="O2637" s="45" t="n">
        <v>42506.07708333333</v>
      </c>
      <c r="P2637" s="46" t="n">
        <v>42505</v>
      </c>
      <c r="Q2637" s="44" t="n">
        <v>635</v>
      </c>
      <c r="R2637" s="44" t="inlineStr">
        <is>
          <t>No Video ID yet</t>
        </is>
      </c>
      <c r="S2637" s="46" t="n"/>
      <c r="T2637" s="46" t="n"/>
      <c r="U2637" s="44" t="n"/>
      <c r="V2637" s="44">
        <f>IF(AND(P2637&gt;=Calendar!$K$2,P2637&lt;EDATE(Calendar!$K$2,1),OR(Calendar!$K$4="*",N2637=Calendar!$K$4)),P2637*100+COUNTIFS($P$6:$P$3271,P2637,$Q$6:$Q$3271,"&lt;="&amp;Q2637,$N$6:$N$3271,Calendar!$K$4),"")</f>
        <v/>
      </c>
      <c r="W2637" s="44">
        <f>IF(AND(B2637=Queue!$C$4,OR(Queue!$K$4="*",N2637=Queue!$K$4)),Q2637,"")</f>
        <v/>
      </c>
    </row>
    <row r="2638">
      <c r="A2638" s="35">
        <f>IF(M2638="","",HYPERLINK("https://www.youtube.com/watch?v="&amp;M2638,"▶"))</f>
        <v/>
      </c>
      <c r="B2638" s="36">
        <f>IF(C2638&lt;&gt;"",C2638,IF(P2638&lt;=IFERROR(INDEX(tblChannels[Watched Through],MATCH(N2638,tblChannels[Channel ID],0)),0),"Watched","Unwatched"))</f>
        <v/>
      </c>
      <c r="C2638" s="37" t="n"/>
      <c r="D2638" s="38" t="n"/>
      <c r="E2638" s="39" t="n">
        <v>42503.54166666666</v>
      </c>
      <c r="F2638" s="49" t="inlineStr">
        <is>
          <t>Super Carlin Gaming</t>
        </is>
      </c>
      <c r="G2638" t="inlineStr">
        <is>
          <t>Knights of the Old Republic #22 - SPELUNKING</t>
        </is>
      </c>
      <c r="H2638" s="41" t="n">
        <v>0.02553240740740741</v>
      </c>
      <c r="I2638" s="42" t="n">
        <v>1237</v>
      </c>
      <c r="J2638" s="42" t="n">
        <v>53</v>
      </c>
      <c r="K2638" s="42" t="n">
        <v>18</v>
      </c>
      <c r="L2638" s="43" t="n"/>
      <c r="M2638" s="44" t="n"/>
      <c r="N2638" s="44" t="inlineStr">
        <is>
          <t>UCor_9jRnNNZVzTuQ92PKsaQ</t>
        </is>
      </c>
      <c r="O2638" s="45" t="n">
        <v>42503.70833333334</v>
      </c>
      <c r="P2638" s="46" t="n">
        <v>42503</v>
      </c>
      <c r="Q2638" s="44" t="n">
        <v>634</v>
      </c>
      <c r="R2638" s="44" t="inlineStr">
        <is>
          <t>No Video ID yet</t>
        </is>
      </c>
      <c r="S2638" s="46" t="n"/>
      <c r="T2638" s="46" t="n"/>
      <c r="U2638" s="44" t="n"/>
      <c r="V2638" s="44">
        <f>IF(AND(P2638&gt;=Calendar!$K$2,P2638&lt;EDATE(Calendar!$K$2,1),OR(Calendar!$K$4="*",N2638=Calendar!$K$4)),P2638*100+COUNTIFS($P$6:$P$3271,P2638,$Q$6:$Q$3271,"&lt;="&amp;Q2638,$N$6:$N$3271,Calendar!$K$4),"")</f>
        <v/>
      </c>
      <c r="W2638" s="44">
        <f>IF(AND(B2638=Queue!$C$4,OR(Queue!$K$4="*",N2638=Queue!$K$4)),Q2638,"")</f>
        <v/>
      </c>
    </row>
    <row r="2639">
      <c r="A2639" s="35">
        <f>IF(M2639="","",HYPERLINK("https://www.youtube.com/watch?v="&amp;M2639,"▶"))</f>
        <v/>
      </c>
      <c r="B2639" s="36">
        <f>IF(C2639&lt;&gt;"",C2639,IF(P2639&lt;=IFERROR(INDEX(tblChannels[Watched Through],MATCH(N2639,tblChannels[Channel ID],0)),0),"Watched","Unwatched"))</f>
        <v/>
      </c>
      <c r="C2639" s="37" t="n"/>
      <c r="D2639" s="38" t="n"/>
      <c r="E2639" s="39" t="n">
        <v>42502.81180555555</v>
      </c>
      <c r="F2639" s="47" t="inlineStr">
        <is>
          <t>Super Carlin Brothers</t>
        </is>
      </c>
      <c r="G2639" t="inlineStr">
        <is>
          <t>Is Wall-E Alive? - Ship of Theseus Paradox</t>
        </is>
      </c>
      <c r="H2639" s="41" t="n">
        <v>0.004895833333333334</v>
      </c>
      <c r="I2639" s="42" t="n">
        <v>546166</v>
      </c>
      <c r="J2639" s="42" t="n">
        <v>14311</v>
      </c>
      <c r="K2639" s="42" t="n">
        <v>2092</v>
      </c>
      <c r="L2639" s="43" t="n"/>
      <c r="M2639" s="44" t="n"/>
      <c r="N2639" s="44" t="inlineStr">
        <is>
          <t>UCKZo4N0lVPccBkSiuyVh4yg</t>
        </is>
      </c>
      <c r="O2639" s="45" t="n">
        <v>42502.97847222222</v>
      </c>
      <c r="P2639" s="46" t="n">
        <v>42502</v>
      </c>
      <c r="Q2639" s="44" t="n">
        <v>633</v>
      </c>
      <c r="R2639" s="44" t="inlineStr">
        <is>
          <t>No Video ID yet</t>
        </is>
      </c>
      <c r="S2639" s="46" t="n"/>
      <c r="T2639" s="46" t="n"/>
      <c r="U2639" s="44" t="n"/>
      <c r="V2639" s="44">
        <f>IF(AND(P2639&gt;=Calendar!$K$2,P2639&lt;EDATE(Calendar!$K$2,1),OR(Calendar!$K$4="*",N2639=Calendar!$K$4)),P2639*100+COUNTIFS($P$6:$P$3271,P2639,$Q$6:$Q$3271,"&lt;="&amp;Q2639,$N$6:$N$3271,Calendar!$K$4),"")</f>
        <v/>
      </c>
      <c r="W2639" s="44">
        <f>IF(AND(B2639=Queue!$C$4,OR(Queue!$K$4="*",N2639=Queue!$K$4)),Q2639,"")</f>
        <v/>
      </c>
    </row>
    <row r="2640">
      <c r="A2640" s="35">
        <f>IF(M2640="","",HYPERLINK("https://www.youtube.com/watch?v="&amp;M2640,"▶"))</f>
        <v/>
      </c>
      <c r="B2640" s="36">
        <f>IF(C2640&lt;&gt;"",C2640,IF(P2640&lt;=IFERROR(INDEX(tblChannels[Watched Through],MATCH(N2640,tblChannels[Channel ID],0)),0),"Watched","Unwatched"))</f>
        <v/>
      </c>
      <c r="C2640" s="37" t="n"/>
      <c r="D2640" s="38" t="n"/>
      <c r="E2640" s="39" t="n">
        <v>42500.71180555555</v>
      </c>
      <c r="F2640" s="47" t="inlineStr">
        <is>
          <t>Super Carlin Brothers</t>
        </is>
      </c>
      <c r="G2640" t="inlineStr">
        <is>
          <t>Who is Black Panther?</t>
        </is>
      </c>
      <c r="H2640" s="41" t="n">
        <v>0.005173611111111111</v>
      </c>
      <c r="I2640" s="42" t="n">
        <v>341524</v>
      </c>
      <c r="J2640" s="42" t="n">
        <v>8738</v>
      </c>
      <c r="K2640" s="42" t="n">
        <v>2283</v>
      </c>
      <c r="L2640" s="43" t="n"/>
      <c r="M2640" s="44" t="n"/>
      <c r="N2640" s="44" t="inlineStr">
        <is>
          <t>UCKZo4N0lVPccBkSiuyVh4yg</t>
        </is>
      </c>
      <c r="O2640" s="45" t="n">
        <v>42500.87847222222</v>
      </c>
      <c r="P2640" s="46" t="n">
        <v>42500</v>
      </c>
      <c r="Q2640" s="44" t="n">
        <v>632</v>
      </c>
      <c r="R2640" s="44" t="inlineStr">
        <is>
          <t>No Video ID yet</t>
        </is>
      </c>
      <c r="S2640" s="46" t="n"/>
      <c r="T2640" s="46" t="n"/>
      <c r="U2640" s="44" t="n"/>
      <c r="V2640" s="44">
        <f>IF(AND(P2640&gt;=Calendar!$K$2,P2640&lt;EDATE(Calendar!$K$2,1),OR(Calendar!$K$4="*",N2640=Calendar!$K$4)),P2640*100+COUNTIFS($P$6:$P$3271,P2640,$Q$6:$Q$3271,"&lt;="&amp;Q2640,$N$6:$N$3271,Calendar!$K$4),"")</f>
        <v/>
      </c>
      <c r="W2640" s="44">
        <f>IF(AND(B2640=Queue!$C$4,OR(Queue!$K$4="*",N2640=Queue!$K$4)),Q2640,"")</f>
        <v/>
      </c>
    </row>
    <row r="2641">
      <c r="A2641" s="35">
        <f>IF(M2641="","",HYPERLINK("https://www.youtube.com/watch?v="&amp;M2641,"▶"))</f>
        <v/>
      </c>
      <c r="B2641" s="36">
        <f>IF(C2641&lt;&gt;"",C2641,IF(P2641&lt;=IFERROR(INDEX(tblChannels[Watched Through],MATCH(N2641,tblChannels[Channel ID],0)),0),"Watched","Unwatched"))</f>
        <v/>
      </c>
      <c r="C2641" s="37" t="n"/>
      <c r="D2641" s="38" t="n"/>
      <c r="E2641" s="39" t="n">
        <v>42498.75833333333</v>
      </c>
      <c r="F2641" s="49" t="inlineStr">
        <is>
          <t>Super Carlin Gaming</t>
        </is>
      </c>
      <c r="G2641" t="inlineStr">
        <is>
          <t>Knights of the Old Republic #21 - The Pledge, The Turn, The PRESTIGE</t>
        </is>
      </c>
      <c r="H2641" s="41" t="n">
        <v>0.0308912037037037</v>
      </c>
      <c r="I2641" s="42" t="n">
        <v>1607</v>
      </c>
      <c r="J2641" s="42" t="n">
        <v>56</v>
      </c>
      <c r="K2641" s="42" t="n">
        <v>22</v>
      </c>
      <c r="L2641" s="43" t="n"/>
      <c r="M2641" s="44" t="n"/>
      <c r="N2641" s="44" t="inlineStr">
        <is>
          <t>UCor_9jRnNNZVzTuQ92PKsaQ</t>
        </is>
      </c>
      <c r="O2641" s="45" t="n">
        <v>42498.925</v>
      </c>
      <c r="P2641" s="46" t="n">
        <v>42498</v>
      </c>
      <c r="Q2641" s="44" t="n">
        <v>631</v>
      </c>
      <c r="R2641" s="44" t="inlineStr">
        <is>
          <t>No Video ID yet</t>
        </is>
      </c>
      <c r="S2641" s="46" t="n"/>
      <c r="T2641" s="46" t="n"/>
      <c r="U2641" s="44" t="n"/>
      <c r="V2641" s="44">
        <f>IF(AND(P2641&gt;=Calendar!$K$2,P2641&lt;EDATE(Calendar!$K$2,1),OR(Calendar!$K$4="*",N2641=Calendar!$K$4)),P2641*100+COUNTIFS($P$6:$P$3271,P2641,$Q$6:$Q$3271,"&lt;="&amp;Q2641,$N$6:$N$3271,Calendar!$K$4),"")</f>
        <v/>
      </c>
      <c r="W2641" s="44">
        <f>IF(AND(B2641=Queue!$C$4,OR(Queue!$K$4="*",N2641=Queue!$K$4)),Q2641,"")</f>
        <v/>
      </c>
    </row>
    <row r="2642">
      <c r="A2642" s="35">
        <f>IF(M2642="","",HYPERLINK("https://www.youtube.com/watch?v="&amp;M2642,"▶"))</f>
        <v/>
      </c>
      <c r="B2642" s="36">
        <f>IF(C2642&lt;&gt;"",C2642,IF(P2642&lt;=IFERROR(INDEX(tblChannels[Watched Through],MATCH(N2642,tblChannels[Channel ID],0)),0),"Watched","Unwatched"))</f>
        <v/>
      </c>
      <c r="C2642" s="37" t="n"/>
      <c r="D2642" s="38" t="n"/>
      <c r="E2642" s="39" t="n">
        <v>42495.66597222222</v>
      </c>
      <c r="F2642" s="47" t="inlineStr">
        <is>
          <t>Super Carlin Brothers</t>
        </is>
      </c>
      <c r="G2642" t="inlineStr">
        <is>
          <t>Loot Crate Unboxing | QUEST</t>
        </is>
      </c>
      <c r="H2642" s="41" t="n">
        <v>0.005</v>
      </c>
      <c r="I2642" s="42" t="n">
        <v>146209</v>
      </c>
      <c r="J2642" s="42" t="n">
        <v>3601</v>
      </c>
      <c r="K2642" s="42" t="n">
        <v>1115</v>
      </c>
      <c r="L2642" s="43" t="n"/>
      <c r="M2642" s="44" t="n"/>
      <c r="N2642" s="44" t="inlineStr">
        <is>
          <t>UCKZo4N0lVPccBkSiuyVh4yg</t>
        </is>
      </c>
      <c r="O2642" s="45" t="n">
        <v>42495.83263888889</v>
      </c>
      <c r="P2642" s="46" t="n">
        <v>42495</v>
      </c>
      <c r="Q2642" s="44" t="n">
        <v>630</v>
      </c>
      <c r="R2642" s="44" t="inlineStr">
        <is>
          <t>No Video ID yet</t>
        </is>
      </c>
      <c r="S2642" s="46" t="n"/>
      <c r="T2642" s="46" t="n"/>
      <c r="U2642" s="44" t="n"/>
      <c r="V2642" s="44">
        <f>IF(AND(P2642&gt;=Calendar!$K$2,P2642&lt;EDATE(Calendar!$K$2,1),OR(Calendar!$K$4="*",N2642=Calendar!$K$4)),P2642*100+COUNTIFS($P$6:$P$3271,P2642,$Q$6:$Q$3271,"&lt;="&amp;Q2642,$N$6:$N$3271,Calendar!$K$4),"")</f>
        <v/>
      </c>
      <c r="W2642" s="44">
        <f>IF(AND(B2642=Queue!$C$4,OR(Queue!$K$4="*",N2642=Queue!$K$4)),Q2642,"")</f>
        <v/>
      </c>
    </row>
    <row r="2643">
      <c r="A2643" s="35">
        <f>IF(M2643="","",HYPERLINK("https://www.youtube.com/watch?v="&amp;M2643,"▶"))</f>
        <v/>
      </c>
      <c r="B2643" s="36">
        <f>IF(C2643&lt;&gt;"",C2643,IF(P2643&lt;=IFERROR(INDEX(tblChannels[Watched Through],MATCH(N2643,tblChannels[Channel ID],0)),0),"Watched","Unwatched"))</f>
        <v/>
      </c>
      <c r="C2643" s="37" t="n"/>
      <c r="D2643" s="38" t="n"/>
      <c r="E2643" s="39" t="n">
        <v>42493.78055555555</v>
      </c>
      <c r="F2643" s="47" t="inlineStr">
        <is>
          <t>Super Carlin Brothers</t>
        </is>
      </c>
      <c r="G2643" t="inlineStr">
        <is>
          <t>Harry Potter Theory: Dumbledore's Horcrux</t>
        </is>
      </c>
      <c r="H2643" s="41" t="n">
        <v>0.01243055555555556</v>
      </c>
      <c r="I2643" s="42" t="n">
        <v>6012859</v>
      </c>
      <c r="J2643" s="42" t="n">
        <v>120892</v>
      </c>
      <c r="K2643" s="42" t="n">
        <v>20211</v>
      </c>
      <c r="L2643" s="43" t="n"/>
      <c r="M2643" s="44" t="n"/>
      <c r="N2643" s="44" t="inlineStr">
        <is>
          <t>UCKZo4N0lVPccBkSiuyVh4yg</t>
        </is>
      </c>
      <c r="O2643" s="45" t="n">
        <v>42493.94722222222</v>
      </c>
      <c r="P2643" s="46" t="n">
        <v>42493</v>
      </c>
      <c r="Q2643" s="44" t="n">
        <v>629</v>
      </c>
      <c r="R2643" s="44" t="inlineStr">
        <is>
          <t>No Video ID yet</t>
        </is>
      </c>
      <c r="S2643" s="46" t="n"/>
      <c r="T2643" s="46" t="n"/>
      <c r="U2643" s="44" t="n"/>
      <c r="V2643" s="44">
        <f>IF(AND(P2643&gt;=Calendar!$K$2,P2643&lt;EDATE(Calendar!$K$2,1),OR(Calendar!$K$4="*",N2643=Calendar!$K$4)),P2643*100+COUNTIFS($P$6:$P$3271,P2643,$Q$6:$Q$3271,"&lt;="&amp;Q2643,$N$6:$N$3271,Calendar!$K$4),"")</f>
        <v/>
      </c>
      <c r="W2643" s="44">
        <f>IF(AND(B2643=Queue!$C$4,OR(Queue!$K$4="*",N2643=Queue!$K$4)),Q2643,"")</f>
        <v/>
      </c>
    </row>
    <row r="2644">
      <c r="A2644" s="35">
        <f>IF(M2644="","",HYPERLINK("https://www.youtube.com/watch?v="&amp;M2644,"▶"))</f>
        <v/>
      </c>
      <c r="B2644" s="36">
        <f>IF(C2644&lt;&gt;"",C2644,IF(P2644&lt;=IFERROR(INDEX(tblChannels[Watched Through],MATCH(N2644,tblChannels[Channel ID],0)),0),"Watched","Unwatched"))</f>
        <v/>
      </c>
      <c r="C2644" s="37" t="n"/>
      <c r="D2644" s="38" t="n"/>
      <c r="E2644" s="39" t="n">
        <v>42488.83541666667</v>
      </c>
      <c r="F2644" s="47" t="inlineStr">
        <is>
          <t>Super Carlin Brothers</t>
        </is>
      </c>
      <c r="G2644" t="inlineStr">
        <is>
          <t>Frozen's Ice Harvesting Scene Explained</t>
        </is>
      </c>
      <c r="H2644" s="41" t="n">
        <v>0.005231481481481481</v>
      </c>
      <c r="I2644" s="42" t="n">
        <v>1942505</v>
      </c>
      <c r="J2644" s="42" t="n">
        <v>34734</v>
      </c>
      <c r="K2644" s="42" t="n">
        <v>5912</v>
      </c>
      <c r="L2644" s="43" t="n"/>
      <c r="M2644" s="44" t="n"/>
      <c r="N2644" s="44" t="inlineStr">
        <is>
          <t>UCKZo4N0lVPccBkSiuyVh4yg</t>
        </is>
      </c>
      <c r="O2644" s="45" t="n">
        <v>42489.00208333333</v>
      </c>
      <c r="P2644" s="46" t="n">
        <v>42488</v>
      </c>
      <c r="Q2644" s="44" t="n">
        <v>628</v>
      </c>
      <c r="R2644" s="44" t="inlineStr">
        <is>
          <t>No Video ID yet</t>
        </is>
      </c>
      <c r="S2644" s="46" t="n"/>
      <c r="T2644" s="46" t="n"/>
      <c r="U2644" s="44" t="n"/>
      <c r="V2644" s="44">
        <f>IF(AND(P2644&gt;=Calendar!$K$2,P2644&lt;EDATE(Calendar!$K$2,1),OR(Calendar!$K$4="*",N2644=Calendar!$K$4)),P2644*100+COUNTIFS($P$6:$P$3271,P2644,$Q$6:$Q$3271,"&lt;="&amp;Q2644,$N$6:$N$3271,Calendar!$K$4),"")</f>
        <v/>
      </c>
      <c r="W2644" s="44">
        <f>IF(AND(B2644=Queue!$C$4,OR(Queue!$K$4="*",N2644=Queue!$K$4)),Q2644,"")</f>
        <v/>
      </c>
    </row>
    <row r="2645">
      <c r="A2645" s="35">
        <f>IF(M2645="","",HYPERLINK("https://www.youtube.com/watch?v="&amp;M2645,"▶"))</f>
        <v/>
      </c>
      <c r="B2645" s="36">
        <f>IF(C2645&lt;&gt;"",C2645,IF(P2645&lt;=IFERROR(INDEX(tblChannels[Watched Through],MATCH(N2645,tblChannels[Channel ID],0)),0),"Watched","Unwatched"))</f>
        <v/>
      </c>
      <c r="C2645" s="37" t="n"/>
      <c r="D2645" s="38" t="n"/>
      <c r="E2645" s="39" t="n">
        <v>42486.70625</v>
      </c>
      <c r="F2645" s="47" t="inlineStr">
        <is>
          <t>Super Carlin Brothers</t>
        </is>
      </c>
      <c r="G2645" t="inlineStr">
        <is>
          <t>How To Get Away With Google Autofill</t>
        </is>
      </c>
      <c r="H2645" s="41" t="n">
        <v>0.004861111111111111</v>
      </c>
      <c r="I2645" s="42" t="n">
        <v>457118</v>
      </c>
      <c r="J2645" s="42" t="n">
        <v>10196</v>
      </c>
      <c r="K2645" s="42" t="n">
        <v>2405</v>
      </c>
      <c r="L2645" s="43" t="n"/>
      <c r="M2645" s="44" t="n"/>
      <c r="N2645" s="44" t="inlineStr">
        <is>
          <t>UCKZo4N0lVPccBkSiuyVh4yg</t>
        </is>
      </c>
      <c r="O2645" s="45" t="n">
        <v>42486.87291666667</v>
      </c>
      <c r="P2645" s="46" t="n">
        <v>42486</v>
      </c>
      <c r="Q2645" s="44" t="n">
        <v>627</v>
      </c>
      <c r="R2645" s="44" t="inlineStr">
        <is>
          <t>No Video ID yet</t>
        </is>
      </c>
      <c r="S2645" s="46" t="n"/>
      <c r="T2645" s="46" t="n"/>
      <c r="U2645" s="44" t="n"/>
      <c r="V2645" s="44">
        <f>IF(AND(P2645&gt;=Calendar!$K$2,P2645&lt;EDATE(Calendar!$K$2,1),OR(Calendar!$K$4="*",N2645=Calendar!$K$4)),P2645*100+COUNTIFS($P$6:$P$3271,P2645,$Q$6:$Q$3271,"&lt;="&amp;Q2645,$N$6:$N$3271,Calendar!$K$4),"")</f>
        <v/>
      </c>
      <c r="W2645" s="44">
        <f>IF(AND(B2645=Queue!$C$4,OR(Queue!$K$4="*",N2645=Queue!$K$4)),Q2645,"")</f>
        <v/>
      </c>
    </row>
    <row r="2646">
      <c r="A2646" s="35">
        <f>IF(M2646="","",HYPERLINK("https://www.youtube.com/watch?v="&amp;M2646,"▶"))</f>
        <v/>
      </c>
      <c r="B2646" s="36">
        <f>IF(C2646&lt;&gt;"",C2646,IF(P2646&lt;=IFERROR(INDEX(tblChannels[Watched Through],MATCH(N2646,tblChannels[Channel ID],0)),0),"Watched","Unwatched"))</f>
        <v/>
      </c>
      <c r="C2646" s="37" t="n"/>
      <c r="D2646" s="38" t="n"/>
      <c r="E2646" s="39" t="n">
        <v>42481.83680555555</v>
      </c>
      <c r="F2646" s="47" t="inlineStr">
        <is>
          <t>Super Carlin Brothers</t>
        </is>
      </c>
      <c r="G2646" t="inlineStr">
        <is>
          <t>Pixar Theory: Why Does Buzz Lightyear Freeze?</t>
        </is>
      </c>
      <c r="H2646" s="41" t="n">
        <v>0.004826388888888889</v>
      </c>
      <c r="I2646" s="42" t="n">
        <v>2504802</v>
      </c>
      <c r="J2646" s="42" t="n">
        <v>41111</v>
      </c>
      <c r="K2646" s="42" t="n">
        <v>4364</v>
      </c>
      <c r="L2646" s="43" t="n"/>
      <c r="M2646" s="44" t="n"/>
      <c r="N2646" s="44" t="inlineStr">
        <is>
          <t>UCKZo4N0lVPccBkSiuyVh4yg</t>
        </is>
      </c>
      <c r="O2646" s="45" t="n">
        <v>42482.00347222222</v>
      </c>
      <c r="P2646" s="46" t="n">
        <v>42481</v>
      </c>
      <c r="Q2646" s="44" t="n">
        <v>626</v>
      </c>
      <c r="R2646" s="44" t="inlineStr">
        <is>
          <t>No Video ID yet</t>
        </is>
      </c>
      <c r="S2646" s="46" t="n"/>
      <c r="T2646" s="46" t="n"/>
      <c r="U2646" s="44" t="n"/>
      <c r="V2646" s="44">
        <f>IF(AND(P2646&gt;=Calendar!$K$2,P2646&lt;EDATE(Calendar!$K$2,1),OR(Calendar!$K$4="*",N2646=Calendar!$K$4)),P2646*100+COUNTIFS($P$6:$P$3271,P2646,$Q$6:$Q$3271,"&lt;="&amp;Q2646,$N$6:$N$3271,Calendar!$K$4),"")</f>
        <v/>
      </c>
      <c r="W2646" s="44">
        <f>IF(AND(B2646=Queue!$C$4,OR(Queue!$K$4="*",N2646=Queue!$K$4)),Q2646,"")</f>
        <v/>
      </c>
    </row>
    <row r="2647">
      <c r="A2647" s="35">
        <f>IF(M2647="","",HYPERLINK("https://www.youtube.com/watch?v="&amp;M2647,"▶"))</f>
        <v/>
      </c>
      <c r="B2647" s="36">
        <f>IF(C2647&lt;&gt;"",C2647,IF(P2647&lt;=IFERROR(INDEX(tblChannels[Watched Through],MATCH(N2647,tblChannels[Channel ID],0)),0),"Watched","Unwatched"))</f>
        <v/>
      </c>
      <c r="C2647" s="37" t="n"/>
      <c r="D2647" s="38" t="n"/>
      <c r="E2647" s="39" t="n">
        <v>42479.625</v>
      </c>
      <c r="F2647" s="47" t="inlineStr">
        <is>
          <t>Super Carlin Brothers</t>
        </is>
      </c>
      <c r="G2647" t="inlineStr">
        <is>
          <t>Is Toy Story's Sid Actually A Bad Kid?</t>
        </is>
      </c>
      <c r="H2647" s="41" t="n">
        <v>0.0059375</v>
      </c>
      <c r="I2647" s="42" t="n">
        <v>1932452</v>
      </c>
      <c r="J2647" s="42" t="n">
        <v>34809</v>
      </c>
      <c r="K2647" s="42" t="n">
        <v>5966</v>
      </c>
      <c r="L2647" s="43" t="n"/>
      <c r="M2647" s="44" t="n"/>
      <c r="N2647" s="44" t="inlineStr">
        <is>
          <t>UCKZo4N0lVPccBkSiuyVh4yg</t>
        </is>
      </c>
      <c r="O2647" s="45" t="n">
        <v>42479.79166666666</v>
      </c>
      <c r="P2647" s="46" t="n">
        <v>42479</v>
      </c>
      <c r="Q2647" s="44" t="n">
        <v>625</v>
      </c>
      <c r="R2647" s="44" t="inlineStr">
        <is>
          <t>No Video ID yet</t>
        </is>
      </c>
      <c r="S2647" s="46" t="n"/>
      <c r="T2647" s="46" t="n"/>
      <c r="U2647" s="44" t="n"/>
      <c r="V2647" s="44">
        <f>IF(AND(P2647&gt;=Calendar!$K$2,P2647&lt;EDATE(Calendar!$K$2,1),OR(Calendar!$K$4="*",N2647=Calendar!$K$4)),P2647*100+COUNTIFS($P$6:$P$3271,P2647,$Q$6:$Q$3271,"&lt;="&amp;Q2647,$N$6:$N$3271,Calendar!$K$4),"")</f>
        <v/>
      </c>
      <c r="W2647" s="44">
        <f>IF(AND(B2647=Queue!$C$4,OR(Queue!$K$4="*",N2647=Queue!$K$4)),Q2647,"")</f>
        <v/>
      </c>
    </row>
    <row r="2648">
      <c r="A2648" s="35">
        <f>IF(M2648="","",HYPERLINK("https://www.youtube.com/watch?v="&amp;M2648,"▶"))</f>
        <v/>
      </c>
      <c r="B2648" s="36">
        <f>IF(C2648&lt;&gt;"",C2648,IF(P2648&lt;=IFERROR(INDEX(tblChannels[Watched Through],MATCH(N2648,tblChannels[Channel ID],0)),0),"Watched","Unwatched"))</f>
        <v/>
      </c>
      <c r="C2648" s="37" t="n"/>
      <c r="D2648" s="38" t="n"/>
      <c r="E2648" s="39" t="n">
        <v>42474.625</v>
      </c>
      <c r="F2648" s="47" t="inlineStr">
        <is>
          <t>Super Carlin Brothers</t>
        </is>
      </c>
      <c r="G2648" t="inlineStr">
        <is>
          <t>Pixar Theory: Wall-E is a Villain?! (feat. T. Michael Martin)</t>
        </is>
      </c>
      <c r="H2648" s="41" t="n">
        <v>0.005138888888888889</v>
      </c>
      <c r="I2648" s="42" t="n">
        <v>1291111</v>
      </c>
      <c r="J2648" s="42" t="n">
        <v>22670</v>
      </c>
      <c r="K2648" s="42" t="n">
        <v>2684</v>
      </c>
      <c r="L2648" s="43" t="n"/>
      <c r="M2648" s="44" t="n"/>
      <c r="N2648" s="44" t="inlineStr">
        <is>
          <t>UCKZo4N0lVPccBkSiuyVh4yg</t>
        </is>
      </c>
      <c r="O2648" s="45" t="n">
        <v>42474.79166666666</v>
      </c>
      <c r="P2648" s="46" t="n">
        <v>42474</v>
      </c>
      <c r="Q2648" s="44" t="n">
        <v>624</v>
      </c>
      <c r="R2648" s="44" t="inlineStr">
        <is>
          <t>No Video ID yet</t>
        </is>
      </c>
      <c r="S2648" s="46" t="n"/>
      <c r="T2648" s="46" t="n"/>
      <c r="U2648" s="44" t="n"/>
      <c r="V2648" s="44">
        <f>IF(AND(P2648&gt;=Calendar!$K$2,P2648&lt;EDATE(Calendar!$K$2,1),OR(Calendar!$K$4="*",N2648=Calendar!$K$4)),P2648*100+COUNTIFS($P$6:$P$3271,P2648,$Q$6:$Q$3271,"&lt;="&amp;Q2648,$N$6:$N$3271,Calendar!$K$4),"")</f>
        <v/>
      </c>
      <c r="W2648" s="44">
        <f>IF(AND(B2648=Queue!$C$4,OR(Queue!$K$4="*",N2648=Queue!$K$4)),Q2648,"")</f>
        <v/>
      </c>
    </row>
    <row r="2649">
      <c r="A2649" s="35">
        <f>IF(M2649="","",HYPERLINK("https://www.youtube.com/watch?v="&amp;M2649,"▶"))</f>
        <v/>
      </c>
      <c r="B2649" s="36">
        <f>IF(C2649&lt;&gt;"",C2649,IF(P2649&lt;=IFERROR(INDEX(tblChannels[Watched Through],MATCH(N2649,tblChannels[Channel ID],0)),0),"Watched","Unwatched"))</f>
        <v/>
      </c>
      <c r="C2649" s="37" t="n"/>
      <c r="D2649" s="38" t="n"/>
      <c r="E2649" s="39" t="n">
        <v>42473.74027777778</v>
      </c>
      <c r="F2649" s="49" t="inlineStr">
        <is>
          <t>Super Carlin Gaming</t>
        </is>
      </c>
      <c r="G2649" t="inlineStr">
        <is>
          <t>Knights of the Old Republic #20 - T3-M4? More like T3-M80, Right?</t>
        </is>
      </c>
      <c r="H2649" s="41" t="n">
        <v>0.01474537037037037</v>
      </c>
      <c r="I2649" s="42" t="n">
        <v>1828</v>
      </c>
      <c r="J2649" s="42" t="n">
        <v>41</v>
      </c>
      <c r="K2649" s="42" t="n">
        <v>11</v>
      </c>
      <c r="L2649" s="43" t="n"/>
      <c r="M2649" s="44" t="n"/>
      <c r="N2649" s="44" t="inlineStr">
        <is>
          <t>UCor_9jRnNNZVzTuQ92PKsaQ</t>
        </is>
      </c>
      <c r="O2649" s="45" t="n">
        <v>42473.90694444445</v>
      </c>
      <c r="P2649" s="46" t="n">
        <v>42473</v>
      </c>
      <c r="Q2649" s="44" t="n">
        <v>623</v>
      </c>
      <c r="R2649" s="44" t="inlineStr">
        <is>
          <t>No Video ID yet</t>
        </is>
      </c>
      <c r="S2649" s="46" t="n"/>
      <c r="T2649" s="46" t="n"/>
      <c r="U2649" s="44" t="n"/>
      <c r="V2649" s="44">
        <f>IF(AND(P2649&gt;=Calendar!$K$2,P2649&lt;EDATE(Calendar!$K$2,1),OR(Calendar!$K$4="*",N2649=Calendar!$K$4)),P2649*100+COUNTIFS($P$6:$P$3271,P2649,$Q$6:$Q$3271,"&lt;="&amp;Q2649,$N$6:$N$3271,Calendar!$K$4),"")</f>
        <v/>
      </c>
      <c r="W2649" s="44">
        <f>IF(AND(B2649=Queue!$C$4,OR(Queue!$K$4="*",N2649=Queue!$K$4)),Q2649,"")</f>
        <v/>
      </c>
    </row>
    <row r="2650">
      <c r="A2650" s="35">
        <f>IF(M2650="","",HYPERLINK("https://www.youtube.com/watch?v="&amp;M2650,"▶"))</f>
        <v/>
      </c>
      <c r="B2650" s="36">
        <f>IF(C2650&lt;&gt;"",C2650,IF(P2650&lt;=IFERROR(INDEX(tblChannels[Watched Through],MATCH(N2650,tblChannels[Channel ID],0)),0),"Watched","Unwatched"))</f>
        <v/>
      </c>
      <c r="C2650" s="37" t="n"/>
      <c r="D2650" s="38" t="n"/>
      <c r="E2650" s="39" t="n">
        <v>42472.64583333334</v>
      </c>
      <c r="F2650" s="47" t="inlineStr">
        <is>
          <t>Super Carlin Brothers</t>
        </is>
      </c>
      <c r="G2650" t="inlineStr">
        <is>
          <t>LootCrate Unboxing | VERSUS</t>
        </is>
      </c>
      <c r="H2650" s="41" t="n">
        <v>0.005740740740740741</v>
      </c>
      <c r="I2650" s="42" t="n">
        <v>116470</v>
      </c>
      <c r="J2650" s="42" t="n">
        <v>3129</v>
      </c>
      <c r="K2650" s="42" t="n">
        <v>844</v>
      </c>
      <c r="L2650" s="43" t="n"/>
      <c r="M2650" s="44" t="n"/>
      <c r="N2650" s="44" t="inlineStr">
        <is>
          <t>UCKZo4N0lVPccBkSiuyVh4yg</t>
        </is>
      </c>
      <c r="O2650" s="45" t="n">
        <v>42472.8125</v>
      </c>
      <c r="P2650" s="46" t="n">
        <v>42472</v>
      </c>
      <c r="Q2650" s="44" t="n">
        <v>622</v>
      </c>
      <c r="R2650" s="44" t="inlineStr">
        <is>
          <t>No Video ID yet</t>
        </is>
      </c>
      <c r="S2650" s="46" t="n"/>
      <c r="T2650" s="46" t="n"/>
      <c r="U2650" s="44" t="n"/>
      <c r="V2650" s="44">
        <f>IF(AND(P2650&gt;=Calendar!$K$2,P2650&lt;EDATE(Calendar!$K$2,1),OR(Calendar!$K$4="*",N2650=Calendar!$K$4)),P2650*100+COUNTIFS($P$6:$P$3271,P2650,$Q$6:$Q$3271,"&lt;="&amp;Q2650,$N$6:$N$3271,Calendar!$K$4),"")</f>
        <v/>
      </c>
      <c r="W2650" s="44">
        <f>IF(AND(B2650=Queue!$C$4,OR(Queue!$K$4="*",N2650=Queue!$K$4)),Q2650,"")</f>
        <v/>
      </c>
    </row>
    <row r="2651">
      <c r="A2651" s="35">
        <f>IF(M2651="","",HYPERLINK("https://www.youtube.com/watch?v="&amp;M2651,"▶"))</f>
        <v/>
      </c>
      <c r="B2651" s="36">
        <f>IF(C2651&lt;&gt;"",C2651,IF(P2651&lt;=IFERROR(INDEX(tblChannels[Watched Through],MATCH(N2651,tblChannels[Channel ID],0)),0),"Watched","Unwatched"))</f>
        <v/>
      </c>
      <c r="C2651" s="37" t="n"/>
      <c r="D2651" s="38" t="n"/>
      <c r="E2651" s="39" t="n">
        <v>42470.79027777778</v>
      </c>
      <c r="F2651" s="49" t="inlineStr">
        <is>
          <t>Super Carlin Gaming</t>
        </is>
      </c>
      <c r="G2651" t="inlineStr">
        <is>
          <t>Knights of the Old Republic #19 - Peaches McClain, the Smuggler? no, the War Hero!</t>
        </is>
      </c>
      <c r="H2651" s="41" t="n">
        <v>0.02157407407407408</v>
      </c>
      <c r="I2651" s="42" t="n">
        <v>1375</v>
      </c>
      <c r="J2651" s="42" t="n">
        <v>50</v>
      </c>
      <c r="K2651" s="42" t="n">
        <v>15</v>
      </c>
      <c r="L2651" s="43" t="n"/>
      <c r="M2651" s="44" t="n"/>
      <c r="N2651" s="44" t="inlineStr">
        <is>
          <t>UCor_9jRnNNZVzTuQ92PKsaQ</t>
        </is>
      </c>
      <c r="O2651" s="45" t="n">
        <v>42470.95694444444</v>
      </c>
      <c r="P2651" s="46" t="n">
        <v>42470</v>
      </c>
      <c r="Q2651" s="44" t="n">
        <v>621</v>
      </c>
      <c r="R2651" s="44" t="inlineStr">
        <is>
          <t>No Video ID yet</t>
        </is>
      </c>
      <c r="S2651" s="46" t="n"/>
      <c r="T2651" s="46" t="n"/>
      <c r="U2651" s="44" t="n"/>
      <c r="V2651" s="44">
        <f>IF(AND(P2651&gt;=Calendar!$K$2,P2651&lt;EDATE(Calendar!$K$2,1),OR(Calendar!$K$4="*",N2651=Calendar!$K$4)),P2651*100+COUNTIFS($P$6:$P$3271,P2651,$Q$6:$Q$3271,"&lt;="&amp;Q2651,$N$6:$N$3271,Calendar!$K$4),"")</f>
        <v/>
      </c>
      <c r="W2651" s="44">
        <f>IF(AND(B2651=Queue!$C$4,OR(Queue!$K$4="*",N2651=Queue!$K$4)),Q2651,"")</f>
        <v/>
      </c>
    </row>
    <row r="2652">
      <c r="A2652" s="35">
        <f>IF(M2652="","",HYPERLINK("https://www.youtube.com/watch?v="&amp;M2652,"▶"))</f>
        <v/>
      </c>
      <c r="B2652" s="36">
        <f>IF(C2652&lt;&gt;"",C2652,IF(P2652&lt;=IFERROR(INDEX(tblChannels[Watched Through],MATCH(N2652,tblChannels[Channel ID],0)),0),"Watched","Unwatched"))</f>
        <v/>
      </c>
      <c r="C2652" s="37" t="n"/>
      <c r="D2652" s="38" t="n"/>
      <c r="E2652" s="39" t="n">
        <v>42467.88263888889</v>
      </c>
      <c r="F2652" s="47" t="inlineStr">
        <is>
          <t>Super Carlin Brothers</t>
        </is>
      </c>
      <c r="G2652" t="inlineStr">
        <is>
          <t>Rogue One Trailer | Review, Analysis and Predictions</t>
        </is>
      </c>
      <c r="H2652" s="41" t="n">
        <v>0.005138888888888889</v>
      </c>
      <c r="I2652" s="42" t="n">
        <v>157323</v>
      </c>
      <c r="J2652" s="42" t="n">
        <v>4015</v>
      </c>
      <c r="K2652" s="42" t="n">
        <v>1188</v>
      </c>
      <c r="L2652" s="43" t="n"/>
      <c r="M2652" s="44" t="n"/>
      <c r="N2652" s="44" t="inlineStr">
        <is>
          <t>UCKZo4N0lVPccBkSiuyVh4yg</t>
        </is>
      </c>
      <c r="O2652" s="45" t="n">
        <v>42468.04930555556</v>
      </c>
      <c r="P2652" s="46" t="n">
        <v>42467</v>
      </c>
      <c r="Q2652" s="44" t="n">
        <v>620</v>
      </c>
      <c r="R2652" s="44" t="inlineStr">
        <is>
          <t>No Video ID yet</t>
        </is>
      </c>
      <c r="S2652" s="46" t="n"/>
      <c r="T2652" s="46" t="n"/>
      <c r="U2652" s="44" t="n"/>
      <c r="V2652" s="44">
        <f>IF(AND(P2652&gt;=Calendar!$K$2,P2652&lt;EDATE(Calendar!$K$2,1),OR(Calendar!$K$4="*",N2652=Calendar!$K$4)),P2652*100+COUNTIFS($P$6:$P$3271,P2652,$Q$6:$Q$3271,"&lt;="&amp;Q2652,$N$6:$N$3271,Calendar!$K$4),"")</f>
        <v/>
      </c>
      <c r="W2652" s="44">
        <f>IF(AND(B2652=Queue!$C$4,OR(Queue!$K$4="*",N2652=Queue!$K$4)),Q2652,"")</f>
        <v/>
      </c>
    </row>
    <row r="2653">
      <c r="A2653" s="35">
        <f>IF(M2653="","",HYPERLINK("https://www.youtube.com/watch?v="&amp;M2653,"▶"))</f>
        <v/>
      </c>
      <c r="B2653" s="36">
        <f>IF(C2653&lt;&gt;"",C2653,IF(P2653&lt;=IFERROR(INDEX(tblChannels[Watched Through],MATCH(N2653,tblChannels[Channel ID],0)),0),"Watched","Unwatched"))</f>
        <v/>
      </c>
      <c r="C2653" s="37" t="n"/>
      <c r="D2653" s="38" t="n"/>
      <c r="E2653" s="39" t="n">
        <v>42466.39652777778</v>
      </c>
      <c r="F2653" s="49" t="inlineStr">
        <is>
          <t>Super Carlin Gaming</t>
        </is>
      </c>
      <c r="G2653" t="inlineStr">
        <is>
          <t>Knights of the Old Republic #18 - Canderous You're My Hero</t>
        </is>
      </c>
      <c r="H2653" s="41" t="n">
        <v>0.02115740740740741</v>
      </c>
      <c r="I2653" s="42" t="n">
        <v>1438</v>
      </c>
      <c r="J2653" s="42" t="n">
        <v>52</v>
      </c>
      <c r="K2653" s="42" t="n">
        <v>16</v>
      </c>
      <c r="L2653" s="43" t="n"/>
      <c r="M2653" s="44" t="n"/>
      <c r="N2653" s="44" t="inlineStr">
        <is>
          <t>UCor_9jRnNNZVzTuQ92PKsaQ</t>
        </is>
      </c>
      <c r="O2653" s="45" t="n">
        <v>42466.56319444445</v>
      </c>
      <c r="P2653" s="46" t="n">
        <v>42466</v>
      </c>
      <c r="Q2653" s="44" t="n">
        <v>619</v>
      </c>
      <c r="R2653" s="44" t="inlineStr">
        <is>
          <t>No Video ID yet</t>
        </is>
      </c>
      <c r="S2653" s="46" t="n"/>
      <c r="T2653" s="46" t="n"/>
      <c r="U2653" s="44" t="n"/>
      <c r="V2653" s="44">
        <f>IF(AND(P2653&gt;=Calendar!$K$2,P2653&lt;EDATE(Calendar!$K$2,1),OR(Calendar!$K$4="*",N2653=Calendar!$K$4)),P2653*100+COUNTIFS($P$6:$P$3271,P2653,$Q$6:$Q$3271,"&lt;="&amp;Q2653,$N$6:$N$3271,Calendar!$K$4),"")</f>
        <v/>
      </c>
      <c r="W2653" s="44">
        <f>IF(AND(B2653=Queue!$C$4,OR(Queue!$K$4="*",N2653=Queue!$K$4)),Q2653,"")</f>
        <v/>
      </c>
    </row>
    <row r="2654">
      <c r="A2654" s="35">
        <f>IF(M2654="","",HYPERLINK("https://www.youtube.com/watch?v="&amp;M2654,"▶"))</f>
        <v/>
      </c>
      <c r="B2654" s="36">
        <f>IF(C2654&lt;&gt;"",C2654,IF(P2654&lt;=IFERROR(INDEX(tblChannels[Watched Through],MATCH(N2654,tblChannels[Channel ID],0)),0),"Watched","Unwatched"))</f>
        <v/>
      </c>
      <c r="C2654" s="37" t="n"/>
      <c r="D2654" s="38" t="n"/>
      <c r="E2654" s="39" t="n">
        <v>42465.80972222222</v>
      </c>
      <c r="F2654" s="47" t="inlineStr">
        <is>
          <t>Super Carlin Brothers</t>
        </is>
      </c>
      <c r="G2654" t="inlineStr">
        <is>
          <t>Draw My Life | Super Carlin Brothers</t>
        </is>
      </c>
      <c r="H2654" s="41" t="n">
        <v>0.008460648148148148</v>
      </c>
      <c r="I2654" s="42" t="n">
        <v>729222</v>
      </c>
      <c r="J2654" s="42" t="n">
        <v>19571</v>
      </c>
      <c r="K2654" s="42" t="n">
        <v>2046</v>
      </c>
      <c r="L2654" s="43" t="n"/>
      <c r="M2654" s="44" t="n"/>
      <c r="N2654" s="44" t="inlineStr">
        <is>
          <t>UCKZo4N0lVPccBkSiuyVh4yg</t>
        </is>
      </c>
      <c r="O2654" s="45" t="n">
        <v>42465.97638888889</v>
      </c>
      <c r="P2654" s="46" t="n">
        <v>42465</v>
      </c>
      <c r="Q2654" s="44" t="n">
        <v>618</v>
      </c>
      <c r="R2654" s="44" t="inlineStr">
        <is>
          <t>No Video ID yet</t>
        </is>
      </c>
      <c r="S2654" s="46" t="n"/>
      <c r="T2654" s="46" t="n"/>
      <c r="U2654" s="44" t="n"/>
      <c r="V2654" s="44">
        <f>IF(AND(P2654&gt;=Calendar!$K$2,P2654&lt;EDATE(Calendar!$K$2,1),OR(Calendar!$K$4="*",N2654=Calendar!$K$4)),P2654*100+COUNTIFS($P$6:$P$3271,P2654,$Q$6:$Q$3271,"&lt;="&amp;Q2654,$N$6:$N$3271,Calendar!$K$4),"")</f>
        <v/>
      </c>
      <c r="W2654" s="44">
        <f>IF(AND(B2654=Queue!$C$4,OR(Queue!$K$4="*",N2654=Queue!$K$4)),Q2654,"")</f>
        <v/>
      </c>
    </row>
    <row r="2655">
      <c r="A2655" s="35">
        <f>IF(M2655="","",HYPERLINK("https://www.youtube.com/watch?v="&amp;M2655,"▶"))</f>
        <v/>
      </c>
      <c r="B2655" s="36">
        <f>IF(C2655&lt;&gt;"",C2655,IF(P2655&lt;=IFERROR(INDEX(tblChannels[Watched Through],MATCH(N2655,tblChannels[Channel ID],0)),0),"Watched","Unwatched"))</f>
        <v/>
      </c>
      <c r="C2655" s="37" t="n"/>
      <c r="D2655" s="38" t="n"/>
      <c r="E2655" s="39" t="n">
        <v>42460.84375</v>
      </c>
      <c r="F2655" s="47" t="inlineStr">
        <is>
          <t>Super Carlin Brothers</t>
        </is>
      </c>
      <c r="G2655" t="inlineStr">
        <is>
          <t>Finding Nemo and The Five Stages of Grief</t>
        </is>
      </c>
      <c r="H2655" s="41" t="n">
        <v>0.004479166666666667</v>
      </c>
      <c r="I2655" s="42" t="n">
        <v>471104</v>
      </c>
      <c r="J2655" s="42" t="n">
        <v>11221</v>
      </c>
      <c r="K2655" s="42" t="n">
        <v>1321</v>
      </c>
      <c r="L2655" s="43" t="n"/>
      <c r="M2655" s="44" t="n"/>
      <c r="N2655" s="44" t="inlineStr">
        <is>
          <t>UCKZo4N0lVPccBkSiuyVh4yg</t>
        </is>
      </c>
      <c r="O2655" s="45" t="n">
        <v>42461.01041666666</v>
      </c>
      <c r="P2655" s="46" t="n">
        <v>42460</v>
      </c>
      <c r="Q2655" s="44" t="n">
        <v>617</v>
      </c>
      <c r="R2655" s="44" t="inlineStr">
        <is>
          <t>No Video ID yet</t>
        </is>
      </c>
      <c r="S2655" s="46" t="n"/>
      <c r="T2655" s="46" t="n"/>
      <c r="U2655" s="44" t="n"/>
      <c r="V2655" s="44">
        <f>IF(AND(P2655&gt;=Calendar!$K$2,P2655&lt;EDATE(Calendar!$K$2,1),OR(Calendar!$K$4="*",N2655=Calendar!$K$4)),P2655*100+COUNTIFS($P$6:$P$3271,P2655,$Q$6:$Q$3271,"&lt;="&amp;Q2655,$N$6:$N$3271,Calendar!$K$4),"")</f>
        <v/>
      </c>
      <c r="W2655" s="44">
        <f>IF(AND(B2655=Queue!$C$4,OR(Queue!$K$4="*",N2655=Queue!$K$4)),Q2655,"")</f>
        <v/>
      </c>
    </row>
    <row r="2656">
      <c r="A2656" s="35">
        <f>IF(M2656="","",HYPERLINK("https://www.youtube.com/watch?v="&amp;M2656,"▶"))</f>
        <v/>
      </c>
      <c r="B2656" s="36">
        <f>IF(C2656&lt;&gt;"",C2656,IF(P2656&lt;=IFERROR(INDEX(tblChannels[Watched Through],MATCH(N2656,tblChannels[Channel ID],0)),0),"Watched","Unwatched"))</f>
        <v/>
      </c>
      <c r="C2656" s="37" t="n"/>
      <c r="D2656" s="38" t="n"/>
      <c r="E2656" s="39" t="n">
        <v>42460.68888888889</v>
      </c>
      <c r="F2656" s="49" t="inlineStr">
        <is>
          <t>Super Carlin Gaming</t>
        </is>
      </c>
      <c r="G2656" t="inlineStr">
        <is>
          <t>Knights of the Old Republic #17 - Jedi on Kashyyyk?</t>
        </is>
      </c>
      <c r="H2656" s="41" t="n">
        <v>0.03229166666666667</v>
      </c>
      <c r="I2656" s="42" t="n">
        <v>1803</v>
      </c>
      <c r="J2656" s="42" t="n">
        <v>54</v>
      </c>
      <c r="K2656" s="42" t="n">
        <v>19</v>
      </c>
      <c r="L2656" s="43" t="n"/>
      <c r="M2656" s="44" t="n"/>
      <c r="N2656" s="44" t="inlineStr">
        <is>
          <t>UCor_9jRnNNZVzTuQ92PKsaQ</t>
        </is>
      </c>
      <c r="O2656" s="45" t="n">
        <v>42460.85555555556</v>
      </c>
      <c r="P2656" s="46" t="n">
        <v>42460</v>
      </c>
      <c r="Q2656" s="44" t="n">
        <v>616</v>
      </c>
      <c r="R2656" s="44" t="inlineStr">
        <is>
          <t>No Video ID yet</t>
        </is>
      </c>
      <c r="S2656" s="46" t="n"/>
      <c r="T2656" s="46" t="n"/>
      <c r="U2656" s="44" t="n"/>
      <c r="V2656" s="44">
        <f>IF(AND(P2656&gt;=Calendar!$K$2,P2656&lt;EDATE(Calendar!$K$2,1),OR(Calendar!$K$4="*",N2656=Calendar!$K$4)),P2656*100+COUNTIFS($P$6:$P$3271,P2656,$Q$6:$Q$3271,"&lt;="&amp;Q2656,$N$6:$N$3271,Calendar!$K$4),"")</f>
        <v/>
      </c>
      <c r="W2656" s="44">
        <f>IF(AND(B2656=Queue!$C$4,OR(Queue!$K$4="*",N2656=Queue!$K$4)),Q2656,"")</f>
        <v/>
      </c>
    </row>
    <row r="2657">
      <c r="A2657" s="35">
        <f>IF(M2657="","",HYPERLINK("https://www.youtube.com/watch?v="&amp;M2657,"▶"))</f>
        <v/>
      </c>
      <c r="B2657" s="36">
        <f>IF(C2657&lt;&gt;"",C2657,IF(P2657&lt;=IFERROR(INDEX(tblChannels[Watched Through],MATCH(N2657,tblChannels[Channel ID],0)),0),"Watched","Unwatched"))</f>
        <v/>
      </c>
      <c r="C2657" s="37" t="n"/>
      <c r="D2657" s="38" t="n"/>
      <c r="E2657" s="39" t="n">
        <v>42459.68958333333</v>
      </c>
      <c r="F2657" s="49" t="inlineStr">
        <is>
          <t>Super Carlin Gaming</t>
        </is>
      </c>
      <c r="G2657" t="inlineStr">
        <is>
          <t>Knights of the Old Republic #16 - Kashyyyk Explorations!</t>
        </is>
      </c>
      <c r="H2657" s="41" t="n">
        <v>0.02490740740740741</v>
      </c>
      <c r="I2657" s="42" t="n">
        <v>1609</v>
      </c>
      <c r="J2657" s="42" t="n">
        <v>54</v>
      </c>
      <c r="K2657" s="42" t="n">
        <v>16</v>
      </c>
      <c r="L2657" s="43" t="n"/>
      <c r="M2657" s="44" t="n"/>
      <c r="N2657" s="44" t="inlineStr">
        <is>
          <t>UCor_9jRnNNZVzTuQ92PKsaQ</t>
        </is>
      </c>
      <c r="O2657" s="45" t="n">
        <v>42459.85625</v>
      </c>
      <c r="P2657" s="46" t="n">
        <v>42459</v>
      </c>
      <c r="Q2657" s="44" t="n">
        <v>615</v>
      </c>
      <c r="R2657" s="44" t="inlineStr">
        <is>
          <t>No Video ID yet</t>
        </is>
      </c>
      <c r="S2657" s="46" t="n"/>
      <c r="T2657" s="46" t="n"/>
      <c r="U2657" s="44" t="n"/>
      <c r="V2657" s="44">
        <f>IF(AND(P2657&gt;=Calendar!$K$2,P2657&lt;EDATE(Calendar!$K$2,1),OR(Calendar!$K$4="*",N2657=Calendar!$K$4)),P2657*100+COUNTIFS($P$6:$P$3271,P2657,$Q$6:$Q$3271,"&lt;="&amp;Q2657,$N$6:$N$3271,Calendar!$K$4),"")</f>
        <v/>
      </c>
      <c r="W2657" s="44">
        <f>IF(AND(B2657=Queue!$C$4,OR(Queue!$K$4="*",N2657=Queue!$K$4)),Q2657,"")</f>
        <v/>
      </c>
    </row>
    <row r="2658">
      <c r="A2658" s="35">
        <f>IF(M2658="","",HYPERLINK("https://www.youtube.com/watch?v="&amp;M2658,"▶"))</f>
        <v/>
      </c>
      <c r="B2658" s="36">
        <f>IF(C2658&lt;&gt;"",C2658,IF(P2658&lt;=IFERROR(INDEX(tblChannels[Watched Through],MATCH(N2658,tblChannels[Channel ID],0)),0),"Watched","Unwatched"))</f>
        <v/>
      </c>
      <c r="C2658" s="37" t="n"/>
      <c r="D2658" s="38" t="n"/>
      <c r="E2658" s="39" t="n">
        <v>42458.68680555555</v>
      </c>
      <c r="F2658" s="47" t="inlineStr">
        <is>
          <t>Super Carlin Brothers</t>
        </is>
      </c>
      <c r="G2658" t="inlineStr">
        <is>
          <t>The Truth About Finding Nemo</t>
        </is>
      </c>
      <c r="H2658" s="41" t="n">
        <v>0.003645833333333333</v>
      </c>
      <c r="I2658" s="42" t="n">
        <v>820038</v>
      </c>
      <c r="J2658" s="42" t="n">
        <v>17924</v>
      </c>
      <c r="K2658" s="42" t="n">
        <v>3616</v>
      </c>
      <c r="L2658" s="43" t="n"/>
      <c r="M2658" s="44" t="n"/>
      <c r="N2658" s="44" t="inlineStr">
        <is>
          <t>UCKZo4N0lVPccBkSiuyVh4yg</t>
        </is>
      </c>
      <c r="O2658" s="45" t="n">
        <v>42458.85347222222</v>
      </c>
      <c r="P2658" s="46" t="n">
        <v>42458</v>
      </c>
      <c r="Q2658" s="44" t="n">
        <v>614</v>
      </c>
      <c r="R2658" s="44" t="inlineStr">
        <is>
          <t>No Video ID yet</t>
        </is>
      </c>
      <c r="S2658" s="46" t="n"/>
      <c r="T2658" s="46" t="n"/>
      <c r="U2658" s="44" t="n"/>
      <c r="V2658" s="44">
        <f>IF(AND(P2658&gt;=Calendar!$K$2,P2658&lt;EDATE(Calendar!$K$2,1),OR(Calendar!$K$4="*",N2658=Calendar!$K$4)),P2658*100+COUNTIFS($P$6:$P$3271,P2658,$Q$6:$Q$3271,"&lt;="&amp;Q2658,$N$6:$N$3271,Calendar!$K$4),"")</f>
        <v/>
      </c>
      <c r="W2658" s="44">
        <f>IF(AND(B2658=Queue!$C$4,OR(Queue!$K$4="*",N2658=Queue!$K$4)),Q2658,"")</f>
        <v/>
      </c>
    </row>
    <row r="2659">
      <c r="A2659" s="35">
        <f>IF(M2659="","",HYPERLINK("https://www.youtube.com/watch?v="&amp;M2659,"▶"))</f>
        <v/>
      </c>
      <c r="B2659" s="36">
        <f>IF(C2659&lt;&gt;"",C2659,IF(P2659&lt;=IFERROR(INDEX(tblChannels[Watched Through],MATCH(N2659,tblChannels[Channel ID],0)),0),"Watched","Unwatched"))</f>
        <v/>
      </c>
      <c r="C2659" s="37" t="n"/>
      <c r="D2659" s="38" t="n"/>
      <c r="E2659" s="39" t="n">
        <v>42458.66805555556</v>
      </c>
      <c r="F2659" s="49" t="inlineStr">
        <is>
          <t>Super Carlin Gaming</t>
        </is>
      </c>
      <c r="G2659" t="inlineStr">
        <is>
          <t>Knights of the Old Republic #15 - To Kashyyyk!</t>
        </is>
      </c>
      <c r="H2659" s="41" t="n">
        <v>0.02512731481481481</v>
      </c>
      <c r="I2659" s="42" t="n">
        <v>1832</v>
      </c>
      <c r="J2659" s="42" t="n">
        <v>68</v>
      </c>
      <c r="K2659" s="42" t="n">
        <v>13</v>
      </c>
      <c r="L2659" s="43" t="n"/>
      <c r="M2659" s="44" t="n"/>
      <c r="N2659" s="44" t="inlineStr">
        <is>
          <t>UCor_9jRnNNZVzTuQ92PKsaQ</t>
        </is>
      </c>
      <c r="O2659" s="45" t="n">
        <v>42458.83472222222</v>
      </c>
      <c r="P2659" s="46" t="n">
        <v>42458</v>
      </c>
      <c r="Q2659" s="44" t="n">
        <v>613</v>
      </c>
      <c r="R2659" s="44" t="inlineStr">
        <is>
          <t>No Video ID yet</t>
        </is>
      </c>
      <c r="S2659" s="46" t="n"/>
      <c r="T2659" s="46" t="n"/>
      <c r="U2659" s="44" t="n"/>
      <c r="V2659" s="44">
        <f>IF(AND(P2659&gt;=Calendar!$K$2,P2659&lt;EDATE(Calendar!$K$2,1),OR(Calendar!$K$4="*",N2659=Calendar!$K$4)),P2659*100+COUNTIFS($P$6:$P$3271,P2659,$Q$6:$Q$3271,"&lt;="&amp;Q2659,$N$6:$N$3271,Calendar!$K$4),"")</f>
        <v/>
      </c>
      <c r="W2659" s="44">
        <f>IF(AND(B2659=Queue!$C$4,OR(Queue!$K$4="*",N2659=Queue!$K$4)),Q2659,"")</f>
        <v/>
      </c>
    </row>
    <row r="2660">
      <c r="A2660" s="35">
        <f>IF(M2660="","",HYPERLINK("https://www.youtube.com/watch?v="&amp;M2660,"▶"))</f>
        <v/>
      </c>
      <c r="B2660" s="36">
        <f>IF(C2660&lt;&gt;"",C2660,IF(P2660&lt;=IFERROR(INDEX(tblChannels[Watched Through],MATCH(N2660,tblChannels[Channel ID],0)),0),"Watched","Unwatched"))</f>
        <v/>
      </c>
      <c r="C2660" s="37" t="n"/>
      <c r="D2660" s="38" t="n"/>
      <c r="E2660" s="39" t="n">
        <v>42454.64652777778</v>
      </c>
      <c r="F2660" s="49" t="inlineStr">
        <is>
          <t>Super Carlin Gaming</t>
        </is>
      </c>
      <c r="G2660" t="inlineStr">
        <is>
          <t>Knights of the Old Republic #14 - The Hunt for the Star Forge</t>
        </is>
      </c>
      <c r="H2660" s="41" t="n">
        <v>0.0253125</v>
      </c>
      <c r="I2660" s="42" t="n">
        <v>1952</v>
      </c>
      <c r="J2660" s="42" t="n">
        <v>60</v>
      </c>
      <c r="K2660" s="42" t="n">
        <v>32</v>
      </c>
      <c r="L2660" s="43" t="n"/>
      <c r="M2660" s="44" t="n"/>
      <c r="N2660" s="44" t="inlineStr">
        <is>
          <t>UCor_9jRnNNZVzTuQ92PKsaQ</t>
        </is>
      </c>
      <c r="O2660" s="45" t="n">
        <v>42454.81319444445</v>
      </c>
      <c r="P2660" s="46" t="n">
        <v>42454</v>
      </c>
      <c r="Q2660" s="44" t="n">
        <v>612</v>
      </c>
      <c r="R2660" s="44" t="inlineStr">
        <is>
          <t>No Video ID yet</t>
        </is>
      </c>
      <c r="S2660" s="46" t="n"/>
      <c r="T2660" s="46" t="n"/>
      <c r="U2660" s="44" t="n"/>
      <c r="V2660" s="44">
        <f>IF(AND(P2660&gt;=Calendar!$K$2,P2660&lt;EDATE(Calendar!$K$2,1),OR(Calendar!$K$4="*",N2660=Calendar!$K$4)),P2660*100+COUNTIFS($P$6:$P$3271,P2660,$Q$6:$Q$3271,"&lt;="&amp;Q2660,$N$6:$N$3271,Calendar!$K$4),"")</f>
        <v/>
      </c>
      <c r="W2660" s="44">
        <f>IF(AND(B2660=Queue!$C$4,OR(Queue!$K$4="*",N2660=Queue!$K$4)),Q2660,"")</f>
        <v/>
      </c>
    </row>
    <row r="2661">
      <c r="A2661" s="35">
        <f>IF(M2661="","",HYPERLINK("https://www.youtube.com/watch?v="&amp;M2661,"▶"))</f>
        <v/>
      </c>
      <c r="B2661" s="36">
        <f>IF(C2661&lt;&gt;"",C2661,IF(P2661&lt;=IFERROR(INDEX(tblChannels[Watched Through],MATCH(N2661,tblChannels[Channel ID],0)),0),"Watched","Unwatched"))</f>
        <v/>
      </c>
      <c r="C2661" s="37" t="n"/>
      <c r="D2661" s="38" t="n"/>
      <c r="E2661" s="39" t="n">
        <v>42454.55625</v>
      </c>
      <c r="F2661" s="49" t="inlineStr">
        <is>
          <t>Super Carlin Gaming</t>
        </is>
      </c>
      <c r="G2661" t="inlineStr">
        <is>
          <t>Knights of the Old Republic #13 - Juhani Battle and More</t>
        </is>
      </c>
      <c r="H2661" s="41" t="n">
        <v>0.02538194444444444</v>
      </c>
      <c r="I2661" s="42" t="n">
        <v>1949</v>
      </c>
      <c r="J2661" s="42" t="n">
        <v>46</v>
      </c>
      <c r="K2661" s="42" t="n">
        <v>12</v>
      </c>
      <c r="L2661" s="43" t="n"/>
      <c r="M2661" s="44" t="n"/>
      <c r="N2661" s="44" t="inlineStr">
        <is>
          <t>UCor_9jRnNNZVzTuQ92PKsaQ</t>
        </is>
      </c>
      <c r="O2661" s="45" t="n">
        <v>42454.72291666667</v>
      </c>
      <c r="P2661" s="46" t="n">
        <v>42454</v>
      </c>
      <c r="Q2661" s="44" t="n">
        <v>611</v>
      </c>
      <c r="R2661" s="44" t="inlineStr">
        <is>
          <t>No Video ID yet</t>
        </is>
      </c>
      <c r="S2661" s="46" t="n"/>
      <c r="T2661" s="46" t="n"/>
      <c r="U2661" s="44" t="n"/>
      <c r="V2661" s="44">
        <f>IF(AND(P2661&gt;=Calendar!$K$2,P2661&lt;EDATE(Calendar!$K$2,1),OR(Calendar!$K$4="*",N2661=Calendar!$K$4)),P2661*100+COUNTIFS($P$6:$P$3271,P2661,$Q$6:$Q$3271,"&lt;="&amp;Q2661,$N$6:$N$3271,Calendar!$K$4),"")</f>
        <v/>
      </c>
      <c r="W2661" s="44">
        <f>IF(AND(B2661=Queue!$C$4,OR(Queue!$K$4="*",N2661=Queue!$K$4)),Q2661,"")</f>
        <v/>
      </c>
    </row>
    <row r="2662">
      <c r="A2662" s="35">
        <f>IF(M2662="","",HYPERLINK("https://www.youtube.com/watch?v="&amp;M2662,"▶"))</f>
        <v/>
      </c>
      <c r="B2662" s="36">
        <f>IF(C2662&lt;&gt;"",C2662,IF(P2662&lt;=IFERROR(INDEX(tblChannels[Watched Through],MATCH(N2662,tblChannels[Channel ID],0)),0),"Watched","Unwatched"))</f>
        <v/>
      </c>
      <c r="C2662" s="37" t="n"/>
      <c r="D2662" s="38" t="n"/>
      <c r="E2662" s="39" t="n">
        <v>42453.71666666667</v>
      </c>
      <c r="F2662" s="47" t="inlineStr">
        <is>
          <t>Super Carlin Brothers</t>
        </is>
      </c>
      <c r="G2662" t="inlineStr">
        <is>
          <t>Can Batman vs Superman: Dawn of Justice be good?</t>
        </is>
      </c>
      <c r="H2662" s="41" t="n">
        <v>0.0034375</v>
      </c>
      <c r="I2662" s="42" t="n">
        <v>160169</v>
      </c>
      <c r="J2662" s="42" t="n">
        <v>4003</v>
      </c>
      <c r="K2662" s="42" t="n">
        <v>1546</v>
      </c>
      <c r="L2662" s="43" t="n"/>
      <c r="M2662" s="44" t="n"/>
      <c r="N2662" s="44" t="inlineStr">
        <is>
          <t>UCKZo4N0lVPccBkSiuyVh4yg</t>
        </is>
      </c>
      <c r="O2662" s="45" t="n">
        <v>42453.88333333333</v>
      </c>
      <c r="P2662" s="46" t="n">
        <v>42453</v>
      </c>
      <c r="Q2662" s="44" t="n">
        <v>610</v>
      </c>
      <c r="R2662" s="44" t="inlineStr">
        <is>
          <t>No Video ID yet</t>
        </is>
      </c>
      <c r="S2662" s="46" t="n"/>
      <c r="T2662" s="46" t="n"/>
      <c r="U2662" s="44" t="n"/>
      <c r="V2662" s="44">
        <f>IF(AND(P2662&gt;=Calendar!$K$2,P2662&lt;EDATE(Calendar!$K$2,1),OR(Calendar!$K$4="*",N2662=Calendar!$K$4)),P2662*100+COUNTIFS($P$6:$P$3271,P2662,$Q$6:$Q$3271,"&lt;="&amp;Q2662,$N$6:$N$3271,Calendar!$K$4),"")</f>
        <v/>
      </c>
      <c r="W2662" s="44">
        <f>IF(AND(B2662=Queue!$C$4,OR(Queue!$K$4="*",N2662=Queue!$K$4)),Q2662,"")</f>
        <v/>
      </c>
    </row>
    <row r="2663">
      <c r="A2663" s="35">
        <f>IF(M2663="","",HYPERLINK("https://www.youtube.com/watch?v="&amp;M2663,"▶"))</f>
        <v/>
      </c>
      <c r="B2663" s="36">
        <f>IF(C2663&lt;&gt;"",C2663,IF(P2663&lt;=IFERROR(INDEX(tblChannels[Watched Through],MATCH(N2663,tblChannels[Channel ID],0)),0),"Watched","Unwatched"))</f>
        <v/>
      </c>
      <c r="C2663" s="37" t="n"/>
      <c r="D2663" s="38" t="n"/>
      <c r="E2663" s="39" t="n">
        <v>42453.56666666667</v>
      </c>
      <c r="F2663" s="49" t="inlineStr">
        <is>
          <t>Super Carlin Gaming</t>
        </is>
      </c>
      <c r="G2663" t="inlineStr">
        <is>
          <t>Knights of the Old Republic #12 - Exploring Dantooine</t>
        </is>
      </c>
      <c r="H2663" s="41" t="n">
        <v>0.04293981481481481</v>
      </c>
      <c r="I2663" s="42" t="n">
        <v>2782</v>
      </c>
      <c r="J2663" s="42" t="n">
        <v>58</v>
      </c>
      <c r="K2663" s="42" t="n">
        <v>14</v>
      </c>
      <c r="L2663" s="43" t="n"/>
      <c r="M2663" s="44" t="n"/>
      <c r="N2663" s="44" t="inlineStr">
        <is>
          <t>UCor_9jRnNNZVzTuQ92PKsaQ</t>
        </is>
      </c>
      <c r="O2663" s="45" t="n">
        <v>42453.73333333333</v>
      </c>
      <c r="P2663" s="46" t="n">
        <v>42453</v>
      </c>
      <c r="Q2663" s="44" t="n">
        <v>609</v>
      </c>
      <c r="R2663" s="44" t="inlineStr">
        <is>
          <t>No Video ID yet</t>
        </is>
      </c>
      <c r="S2663" s="46" t="n"/>
      <c r="T2663" s="46" t="n"/>
      <c r="U2663" s="44" t="n"/>
      <c r="V2663" s="44">
        <f>IF(AND(P2663&gt;=Calendar!$K$2,P2663&lt;EDATE(Calendar!$K$2,1),OR(Calendar!$K$4="*",N2663=Calendar!$K$4)),P2663*100+COUNTIFS($P$6:$P$3271,P2663,$Q$6:$Q$3271,"&lt;="&amp;Q2663,$N$6:$N$3271,Calendar!$K$4),"")</f>
        <v/>
      </c>
      <c r="W2663" s="44">
        <f>IF(AND(B2663=Queue!$C$4,OR(Queue!$K$4="*",N2663=Queue!$K$4)),Q2663,"")</f>
        <v/>
      </c>
    </row>
    <row r="2664">
      <c r="A2664" s="35">
        <f>IF(M2664="","",HYPERLINK("https://www.youtube.com/watch?v="&amp;M2664,"▶"))</f>
        <v/>
      </c>
      <c r="B2664" s="36">
        <f>IF(C2664&lt;&gt;"",C2664,IF(P2664&lt;=IFERROR(INDEX(tblChannels[Watched Through],MATCH(N2664,tblChannels[Channel ID],0)),0),"Watched","Unwatched"))</f>
        <v/>
      </c>
      <c r="C2664" s="37" t="n"/>
      <c r="D2664" s="38" t="n"/>
      <c r="E2664" s="39" t="n">
        <v>42452.60486111111</v>
      </c>
      <c r="F2664" s="49" t="inlineStr">
        <is>
          <t>Super Carlin Gaming</t>
        </is>
      </c>
      <c r="G2664" t="inlineStr">
        <is>
          <t>Knights of the Old Republic #11 - The Long Escape off Taris</t>
        </is>
      </c>
      <c r="H2664" s="41" t="n">
        <v>0.02711805555555555</v>
      </c>
      <c r="I2664" s="42" t="n">
        <v>2474</v>
      </c>
      <c r="J2664" s="42" t="n">
        <v>63</v>
      </c>
      <c r="K2664" s="42" t="n">
        <v>11</v>
      </c>
      <c r="L2664" s="43" t="n"/>
      <c r="M2664" s="44" t="n"/>
      <c r="N2664" s="44" t="inlineStr">
        <is>
          <t>UCor_9jRnNNZVzTuQ92PKsaQ</t>
        </is>
      </c>
      <c r="O2664" s="45" t="n">
        <v>42452.77152777778</v>
      </c>
      <c r="P2664" s="46" t="n">
        <v>42452</v>
      </c>
      <c r="Q2664" s="44" t="n">
        <v>608</v>
      </c>
      <c r="R2664" s="44" t="inlineStr">
        <is>
          <t>No Video ID yet</t>
        </is>
      </c>
      <c r="S2664" s="46" t="n"/>
      <c r="T2664" s="46" t="n"/>
      <c r="U2664" s="44" t="n"/>
      <c r="V2664" s="44">
        <f>IF(AND(P2664&gt;=Calendar!$K$2,P2664&lt;EDATE(Calendar!$K$2,1),OR(Calendar!$K$4="*",N2664=Calendar!$K$4)),P2664*100+COUNTIFS($P$6:$P$3271,P2664,$Q$6:$Q$3271,"&lt;="&amp;Q2664,$N$6:$N$3271,Calendar!$K$4),"")</f>
        <v/>
      </c>
      <c r="W2664" s="44">
        <f>IF(AND(B2664=Queue!$C$4,OR(Queue!$K$4="*",N2664=Queue!$K$4)),Q2664,"")</f>
        <v/>
      </c>
    </row>
    <row r="2665">
      <c r="A2665" s="35">
        <f>IF(M2665="","",HYPERLINK("https://www.youtube.com/watch?v="&amp;M2665,"▶"))</f>
        <v/>
      </c>
      <c r="B2665" s="36">
        <f>IF(C2665&lt;&gt;"",C2665,IF(P2665&lt;=IFERROR(INDEX(tblChannels[Watched Through],MATCH(N2665,tblChannels[Channel ID],0)),0),"Watched","Unwatched"))</f>
        <v/>
      </c>
      <c r="C2665" s="37" t="n"/>
      <c r="D2665" s="38" t="n"/>
      <c r="E2665" s="39" t="n">
        <v>42451.85208333333</v>
      </c>
      <c r="F2665" s="47" t="inlineStr">
        <is>
          <t>Super Carlin Brothers</t>
        </is>
      </c>
      <c r="G2665" t="inlineStr">
        <is>
          <t>Zootopia and Racism</t>
        </is>
      </c>
      <c r="H2665" s="41" t="n">
        <v>0.004733796296296297</v>
      </c>
      <c r="I2665" s="42" t="n">
        <v>1554804</v>
      </c>
      <c r="J2665" s="42" t="n">
        <v>33317</v>
      </c>
      <c r="K2665" s="42" t="n">
        <v>6633</v>
      </c>
      <c r="L2665" s="43" t="n"/>
      <c r="M2665" s="44" t="n"/>
      <c r="N2665" s="44" t="inlineStr">
        <is>
          <t>UCKZo4N0lVPccBkSiuyVh4yg</t>
        </is>
      </c>
      <c r="O2665" s="45" t="n">
        <v>42452.01875</v>
      </c>
      <c r="P2665" s="46" t="n">
        <v>42451</v>
      </c>
      <c r="Q2665" s="44" t="n">
        <v>607</v>
      </c>
      <c r="R2665" s="44" t="inlineStr">
        <is>
          <t>No Video ID yet</t>
        </is>
      </c>
      <c r="S2665" s="46" t="n"/>
      <c r="T2665" s="46" t="n"/>
      <c r="U2665" s="44" t="n"/>
      <c r="V2665" s="44">
        <f>IF(AND(P2665&gt;=Calendar!$K$2,P2665&lt;EDATE(Calendar!$K$2,1),OR(Calendar!$K$4="*",N2665=Calendar!$K$4)),P2665*100+COUNTIFS($P$6:$P$3271,P2665,$Q$6:$Q$3271,"&lt;="&amp;Q2665,$N$6:$N$3271,Calendar!$K$4),"")</f>
        <v/>
      </c>
      <c r="W2665" s="44">
        <f>IF(AND(B2665=Queue!$C$4,OR(Queue!$K$4="*",N2665=Queue!$K$4)),Q2665,"")</f>
        <v/>
      </c>
    </row>
    <row r="2666">
      <c r="A2666" s="35">
        <f>IF(M2666="","",HYPERLINK("https://www.youtube.com/watch?v="&amp;M2666,"▶"))</f>
        <v/>
      </c>
      <c r="B2666" s="36">
        <f>IF(C2666&lt;&gt;"",C2666,IF(P2666&lt;=IFERROR(INDEX(tblChannels[Watched Through],MATCH(N2666,tblChannels[Channel ID],0)),0),"Watched","Unwatched"))</f>
        <v/>
      </c>
      <c r="C2666" s="37" t="n"/>
      <c r="D2666" s="38" t="n"/>
      <c r="E2666" s="39" t="n">
        <v>42447.53888888889</v>
      </c>
      <c r="F2666" s="49" t="inlineStr">
        <is>
          <t>Super Carlin Gaming</t>
        </is>
      </c>
      <c r="G2666" t="inlineStr">
        <is>
          <t>Knights of The Old Republic #10: Infiltrating the Sith Base</t>
        </is>
      </c>
      <c r="H2666" s="41" t="n">
        <v>0.02820601851851852</v>
      </c>
      <c r="I2666" s="42" t="n">
        <v>2565</v>
      </c>
      <c r="J2666" s="42" t="n">
        <v>64</v>
      </c>
      <c r="K2666" s="42" t="n">
        <v>21</v>
      </c>
      <c r="L2666" s="43" t="n"/>
      <c r="M2666" s="44" t="n"/>
      <c r="N2666" s="44" t="inlineStr">
        <is>
          <t>UCor_9jRnNNZVzTuQ92PKsaQ</t>
        </is>
      </c>
      <c r="O2666" s="45" t="n">
        <v>42447.70555555556</v>
      </c>
      <c r="P2666" s="46" t="n">
        <v>42447</v>
      </c>
      <c r="Q2666" s="44" t="n">
        <v>606</v>
      </c>
      <c r="R2666" s="44" t="inlineStr">
        <is>
          <t>No Video ID yet</t>
        </is>
      </c>
      <c r="S2666" s="46" t="n"/>
      <c r="T2666" s="46" t="n"/>
      <c r="U2666" s="44" t="n"/>
      <c r="V2666" s="44">
        <f>IF(AND(P2666&gt;=Calendar!$K$2,P2666&lt;EDATE(Calendar!$K$2,1),OR(Calendar!$K$4="*",N2666=Calendar!$K$4)),P2666*100+COUNTIFS($P$6:$P$3271,P2666,$Q$6:$Q$3271,"&lt;="&amp;Q2666,$N$6:$N$3271,Calendar!$K$4),"")</f>
        <v/>
      </c>
      <c r="W2666" s="44">
        <f>IF(AND(B2666=Queue!$C$4,OR(Queue!$K$4="*",N2666=Queue!$K$4)),Q2666,"")</f>
        <v/>
      </c>
    </row>
    <row r="2667">
      <c r="A2667" s="35">
        <f>IF(M2667="","",HYPERLINK("https://www.youtube.com/watch?v="&amp;M2667,"▶"))</f>
        <v/>
      </c>
      <c r="B2667" s="36">
        <f>IF(C2667&lt;&gt;"",C2667,IF(P2667&lt;=IFERROR(INDEX(tblChannels[Watched Through],MATCH(N2667,tblChannels[Channel ID],0)),0),"Watched","Unwatched"))</f>
        <v/>
      </c>
      <c r="C2667" s="37" t="n"/>
      <c r="D2667" s="38" t="n"/>
      <c r="E2667" s="39" t="n">
        <v>42446.89791666667</v>
      </c>
      <c r="F2667" s="47" t="inlineStr">
        <is>
          <t>Super Carlin Brothers</t>
        </is>
      </c>
      <c r="G2667" t="inlineStr">
        <is>
          <t>Loot Crate Unboxing | DEAD</t>
        </is>
      </c>
      <c r="H2667" s="41" t="n">
        <v>0.005104166666666667</v>
      </c>
      <c r="I2667" s="42" t="n">
        <v>109034</v>
      </c>
      <c r="J2667" s="42" t="n">
        <v>3034</v>
      </c>
      <c r="K2667" s="42" t="n">
        <v>900</v>
      </c>
      <c r="L2667" s="43" t="n"/>
      <c r="M2667" s="44" t="n"/>
      <c r="N2667" s="44" t="inlineStr">
        <is>
          <t>UCKZo4N0lVPccBkSiuyVh4yg</t>
        </is>
      </c>
      <c r="O2667" s="45" t="n">
        <v>42447.06458333333</v>
      </c>
      <c r="P2667" s="46" t="n">
        <v>42446</v>
      </c>
      <c r="Q2667" s="44" t="n">
        <v>605</v>
      </c>
      <c r="R2667" s="44" t="inlineStr">
        <is>
          <t>No Video ID yet</t>
        </is>
      </c>
      <c r="S2667" s="46" t="n"/>
      <c r="T2667" s="46" t="n"/>
      <c r="U2667" s="44" t="n"/>
      <c r="V2667" s="44">
        <f>IF(AND(P2667&gt;=Calendar!$K$2,P2667&lt;EDATE(Calendar!$K$2,1),OR(Calendar!$K$4="*",N2667=Calendar!$K$4)),P2667*100+COUNTIFS($P$6:$P$3271,P2667,$Q$6:$Q$3271,"&lt;="&amp;Q2667,$N$6:$N$3271,Calendar!$K$4),"")</f>
        <v/>
      </c>
      <c r="W2667" s="44">
        <f>IF(AND(B2667=Queue!$C$4,OR(Queue!$K$4="*",N2667=Queue!$K$4)),Q2667,"")</f>
        <v/>
      </c>
    </row>
    <row r="2668">
      <c r="A2668" s="35">
        <f>IF(M2668="","",HYPERLINK("https://www.youtube.com/watch?v="&amp;M2668,"▶"))</f>
        <v/>
      </c>
      <c r="B2668" s="36">
        <f>IF(C2668&lt;&gt;"",C2668,IF(P2668&lt;=IFERROR(INDEX(tblChannels[Watched Through],MATCH(N2668,tblChannels[Channel ID],0)),0),"Watched","Unwatched"))</f>
        <v/>
      </c>
      <c r="C2668" s="37" t="n"/>
      <c r="D2668" s="38" t="n"/>
      <c r="E2668" s="39" t="n">
        <v>42446.55763888889</v>
      </c>
      <c r="F2668" s="49" t="inlineStr">
        <is>
          <t>Super Carlin Gaming</t>
        </is>
      </c>
      <c r="G2668" t="inlineStr">
        <is>
          <t>Knights of the Old Republic #9 - Another New Team Member</t>
        </is>
      </c>
      <c r="H2668" s="41" t="n">
        <v>0.01895833333333333</v>
      </c>
      <c r="I2668" s="42" t="n">
        <v>2103</v>
      </c>
      <c r="J2668" s="42" t="n">
        <v>60</v>
      </c>
      <c r="K2668" s="42" t="n">
        <v>18</v>
      </c>
      <c r="L2668" s="43" t="n"/>
      <c r="M2668" s="44" t="n"/>
      <c r="N2668" s="44" t="inlineStr">
        <is>
          <t>UCor_9jRnNNZVzTuQ92PKsaQ</t>
        </is>
      </c>
      <c r="O2668" s="45" t="n">
        <v>42446.72430555556</v>
      </c>
      <c r="P2668" s="46" t="n">
        <v>42446</v>
      </c>
      <c r="Q2668" s="44" t="n">
        <v>604</v>
      </c>
      <c r="R2668" s="44" t="inlineStr">
        <is>
          <t>No Video ID yet</t>
        </is>
      </c>
      <c r="S2668" s="46" t="n"/>
      <c r="T2668" s="46" t="n"/>
      <c r="U2668" s="44" t="n"/>
      <c r="V2668" s="44">
        <f>IF(AND(P2668&gt;=Calendar!$K$2,P2668&lt;EDATE(Calendar!$K$2,1),OR(Calendar!$K$4="*",N2668=Calendar!$K$4)),P2668*100+COUNTIFS($P$6:$P$3271,P2668,$Q$6:$Q$3271,"&lt;="&amp;Q2668,$N$6:$N$3271,Calendar!$K$4),"")</f>
        <v/>
      </c>
      <c r="W2668" s="44">
        <f>IF(AND(B2668=Queue!$C$4,OR(Queue!$K$4="*",N2668=Queue!$K$4)),Q2668,"")</f>
        <v/>
      </c>
    </row>
    <row r="2669">
      <c r="A2669" s="35">
        <f>IF(M2669="","",HYPERLINK("https://www.youtube.com/watch?v="&amp;M2669,"▶"))</f>
        <v/>
      </c>
      <c r="B2669" s="36">
        <f>IF(C2669&lt;&gt;"",C2669,IF(P2669&lt;=IFERROR(INDEX(tblChannels[Watched Through],MATCH(N2669,tblChannels[Channel ID],0)),0),"Watched","Unwatched"))</f>
        <v/>
      </c>
      <c r="C2669" s="37" t="n"/>
      <c r="D2669" s="38" t="n"/>
      <c r="E2669" s="39" t="n">
        <v>42444.83263888889</v>
      </c>
      <c r="F2669" s="49" t="inlineStr">
        <is>
          <t>Super Carlin Gaming</t>
        </is>
      </c>
      <c r="G2669" t="inlineStr">
        <is>
          <t>Knights of the Old Republic #8 - Bastila's Rescue</t>
        </is>
      </c>
      <c r="H2669" s="41" t="n">
        <v>0.0328125</v>
      </c>
      <c r="I2669" s="42" t="n">
        <v>2853</v>
      </c>
      <c r="J2669" s="42" t="n">
        <v>70</v>
      </c>
      <c r="K2669" s="42" t="n">
        <v>22</v>
      </c>
      <c r="L2669" s="43" t="n"/>
      <c r="M2669" s="44" t="n"/>
      <c r="N2669" s="44" t="inlineStr">
        <is>
          <t>UCor_9jRnNNZVzTuQ92PKsaQ</t>
        </is>
      </c>
      <c r="O2669" s="45" t="n">
        <v>42444.99930555555</v>
      </c>
      <c r="P2669" s="46" t="n">
        <v>42444</v>
      </c>
      <c r="Q2669" s="44" t="n">
        <v>603</v>
      </c>
      <c r="R2669" s="44" t="inlineStr">
        <is>
          <t>No Video ID yet</t>
        </is>
      </c>
      <c r="S2669" s="46" t="n"/>
      <c r="T2669" s="46" t="n"/>
      <c r="U2669" s="44" t="n"/>
      <c r="V2669" s="44">
        <f>IF(AND(P2669&gt;=Calendar!$K$2,P2669&lt;EDATE(Calendar!$K$2,1),OR(Calendar!$K$4="*",N2669=Calendar!$K$4)),P2669*100+COUNTIFS($P$6:$P$3271,P2669,$Q$6:$Q$3271,"&lt;="&amp;Q2669,$N$6:$N$3271,Calendar!$K$4),"")</f>
        <v/>
      </c>
      <c r="W2669" s="44">
        <f>IF(AND(B2669=Queue!$C$4,OR(Queue!$K$4="*",N2669=Queue!$K$4)),Q2669,"")</f>
        <v/>
      </c>
    </row>
    <row r="2670">
      <c r="A2670" s="35">
        <f>IF(M2670="","",HYPERLINK("https://www.youtube.com/watch?v="&amp;M2670,"▶"))</f>
        <v/>
      </c>
      <c r="B2670" s="36">
        <f>IF(C2670&lt;&gt;"",C2670,IF(P2670&lt;=IFERROR(INDEX(tblChannels[Watched Through],MATCH(N2670,tblChannels[Channel ID],0)),0),"Watched","Unwatched"))</f>
        <v/>
      </c>
      <c r="C2670" s="37" t="n"/>
      <c r="D2670" s="38" t="n"/>
      <c r="E2670" s="39" t="n">
        <v>42444.70347222222</v>
      </c>
      <c r="F2670" s="47" t="inlineStr">
        <is>
          <t>Super Carlin Brothers</t>
        </is>
      </c>
      <c r="G2670" t="inlineStr">
        <is>
          <t>Why Do They Call It... Google Autofill</t>
        </is>
      </c>
      <c r="H2670" s="41" t="n">
        <v>0.005196759259259259</v>
      </c>
      <c r="I2670" s="42" t="n">
        <v>505179</v>
      </c>
      <c r="J2670" s="42" t="n">
        <v>10443</v>
      </c>
      <c r="K2670" s="42" t="n">
        <v>2196</v>
      </c>
      <c r="L2670" s="43" t="n"/>
      <c r="M2670" s="44" t="n"/>
      <c r="N2670" s="44" t="inlineStr">
        <is>
          <t>UCKZo4N0lVPccBkSiuyVh4yg</t>
        </is>
      </c>
      <c r="O2670" s="45" t="n">
        <v>42444.87013888889</v>
      </c>
      <c r="P2670" s="46" t="n">
        <v>42444</v>
      </c>
      <c r="Q2670" s="44" t="n">
        <v>602</v>
      </c>
      <c r="R2670" s="44" t="inlineStr">
        <is>
          <t>No Video ID yet</t>
        </is>
      </c>
      <c r="S2670" s="46" t="n"/>
      <c r="T2670" s="46" t="n"/>
      <c r="U2670" s="44" t="n"/>
      <c r="V2670" s="44">
        <f>IF(AND(P2670&gt;=Calendar!$K$2,P2670&lt;EDATE(Calendar!$K$2,1),OR(Calendar!$K$4="*",N2670=Calendar!$K$4)),P2670*100+COUNTIFS($P$6:$P$3271,P2670,$Q$6:$Q$3271,"&lt;="&amp;Q2670,$N$6:$N$3271,Calendar!$K$4),"")</f>
        <v/>
      </c>
      <c r="W2670" s="44">
        <f>IF(AND(B2670=Queue!$C$4,OR(Queue!$K$4="*",N2670=Queue!$K$4)),Q2670,"")</f>
        <v/>
      </c>
    </row>
    <row r="2671">
      <c r="A2671" s="35">
        <f>IF(M2671="","",HYPERLINK("https://www.youtube.com/watch?v="&amp;M2671,"▶"))</f>
        <v/>
      </c>
      <c r="B2671" s="36">
        <f>IF(C2671&lt;&gt;"",C2671,IF(P2671&lt;=IFERROR(INDEX(tblChannels[Watched Through],MATCH(N2671,tblChannels[Channel ID],0)),0),"Watched","Unwatched"))</f>
        <v/>
      </c>
      <c r="C2671" s="37" t="n"/>
      <c r="D2671" s="38" t="n"/>
      <c r="E2671" s="39" t="n">
        <v>42443.6875</v>
      </c>
      <c r="F2671" s="49" t="inlineStr">
        <is>
          <t>Super Carlin Gaming</t>
        </is>
      </c>
      <c r="G2671" t="inlineStr">
        <is>
          <t>Star Wars Knights of The Old Republic #7 - Cantina Duels</t>
        </is>
      </c>
      <c r="H2671" s="41" t="n">
        <v>0.01543981481481481</v>
      </c>
      <c r="I2671" s="42" t="n">
        <v>2223</v>
      </c>
      <c r="J2671" s="42" t="n">
        <v>62</v>
      </c>
      <c r="K2671" s="42" t="n">
        <v>6</v>
      </c>
      <c r="L2671" s="43" t="n"/>
      <c r="M2671" s="44" t="n"/>
      <c r="N2671" s="44" t="inlineStr">
        <is>
          <t>UCor_9jRnNNZVzTuQ92PKsaQ</t>
        </is>
      </c>
      <c r="O2671" s="45" t="n">
        <v>42443.85416666666</v>
      </c>
      <c r="P2671" s="46" t="n">
        <v>42443</v>
      </c>
      <c r="Q2671" s="44" t="n">
        <v>601</v>
      </c>
      <c r="R2671" s="44" t="inlineStr">
        <is>
          <t>No Video ID yet</t>
        </is>
      </c>
      <c r="S2671" s="46" t="n"/>
      <c r="T2671" s="46" t="n"/>
      <c r="U2671" s="44" t="n"/>
      <c r="V2671" s="44">
        <f>IF(AND(P2671&gt;=Calendar!$K$2,P2671&lt;EDATE(Calendar!$K$2,1),OR(Calendar!$K$4="*",N2671=Calendar!$K$4)),P2671*100+COUNTIFS($P$6:$P$3271,P2671,$Q$6:$Q$3271,"&lt;="&amp;Q2671,$N$6:$N$3271,Calendar!$K$4),"")</f>
        <v/>
      </c>
      <c r="W2671" s="44">
        <f>IF(AND(B2671=Queue!$C$4,OR(Queue!$K$4="*",N2671=Queue!$K$4)),Q2671,"")</f>
        <v/>
      </c>
    </row>
    <row r="2672">
      <c r="A2672" s="35">
        <f>IF(M2672="","",HYPERLINK("https://www.youtube.com/watch?v="&amp;M2672,"▶"))</f>
        <v/>
      </c>
      <c r="B2672" s="36">
        <f>IF(C2672&lt;&gt;"",C2672,IF(P2672&lt;=IFERROR(INDEX(tblChannels[Watched Through],MATCH(N2672,tblChannels[Channel ID],0)),0),"Watched","Unwatched"))</f>
        <v/>
      </c>
      <c r="C2672" s="37" t="n"/>
      <c r="D2672" s="38" t="n"/>
      <c r="E2672" s="39" t="n">
        <v>42439.8875</v>
      </c>
      <c r="F2672" s="47" t="inlineStr">
        <is>
          <t>Super Carlin Brothers</t>
        </is>
      </c>
      <c r="G2672" t="inlineStr">
        <is>
          <t>Everything You Need To Know About American Wizards</t>
        </is>
      </c>
      <c r="H2672" s="41" t="n">
        <v>0.004664351851851852</v>
      </c>
      <c r="I2672" s="42" t="n">
        <v>1410448</v>
      </c>
      <c r="J2672" s="42" t="n">
        <v>27287</v>
      </c>
      <c r="K2672" s="42" t="n">
        <v>4447</v>
      </c>
      <c r="L2672" s="43" t="n"/>
      <c r="M2672" s="44" t="n"/>
      <c r="N2672" s="44" t="inlineStr">
        <is>
          <t>UCKZo4N0lVPccBkSiuyVh4yg</t>
        </is>
      </c>
      <c r="O2672" s="45" t="n">
        <v>42440.09583333333</v>
      </c>
      <c r="P2672" s="46" t="n">
        <v>42439</v>
      </c>
      <c r="Q2672" s="44" t="n">
        <v>600</v>
      </c>
      <c r="R2672" s="44" t="inlineStr">
        <is>
          <t>No Video ID yet</t>
        </is>
      </c>
      <c r="S2672" s="46" t="n"/>
      <c r="T2672" s="46" t="n"/>
      <c r="U2672" s="44" t="n"/>
      <c r="V2672" s="44">
        <f>IF(AND(P2672&gt;=Calendar!$K$2,P2672&lt;EDATE(Calendar!$K$2,1),OR(Calendar!$K$4="*",N2672=Calendar!$K$4)),P2672*100+COUNTIFS($P$6:$P$3271,P2672,$Q$6:$Q$3271,"&lt;="&amp;Q2672,$N$6:$N$3271,Calendar!$K$4),"")</f>
        <v/>
      </c>
      <c r="W2672" s="44">
        <f>IF(AND(B2672=Queue!$C$4,OR(Queue!$K$4="*",N2672=Queue!$K$4)),Q2672,"")</f>
        <v/>
      </c>
    </row>
    <row r="2673">
      <c r="A2673" s="35">
        <f>IF(M2673="","",HYPERLINK("https://www.youtube.com/watch?v="&amp;M2673,"▶"))</f>
        <v/>
      </c>
      <c r="B2673" s="36">
        <f>IF(C2673&lt;&gt;"",C2673,IF(P2673&lt;=IFERROR(INDEX(tblChannels[Watched Through],MATCH(N2673,tblChannels[Channel ID],0)),0),"Watched","Unwatched"))</f>
        <v/>
      </c>
      <c r="C2673" s="37" t="n"/>
      <c r="D2673" s="38" t="n"/>
      <c r="E2673" s="39" t="n">
        <v>42439.46388888889</v>
      </c>
      <c r="F2673" s="49" t="inlineStr">
        <is>
          <t>Super Carlin Gaming</t>
        </is>
      </c>
      <c r="G2673" t="inlineStr">
        <is>
          <t>Knights of the Old Republic #6 - Dia's Distinguished Demise</t>
        </is>
      </c>
      <c r="H2673" s="41" t="n">
        <v>0.02208333333333333</v>
      </c>
      <c r="I2673" s="42" t="n">
        <v>2553</v>
      </c>
      <c r="J2673" s="42" t="n">
        <v>59</v>
      </c>
      <c r="K2673" s="42" t="n">
        <v>11</v>
      </c>
      <c r="L2673" s="43" t="n"/>
      <c r="M2673" s="44" t="n"/>
      <c r="N2673" s="44" t="inlineStr">
        <is>
          <t>UCor_9jRnNNZVzTuQ92PKsaQ</t>
        </is>
      </c>
      <c r="O2673" s="45" t="n">
        <v>42439.67222222222</v>
      </c>
      <c r="P2673" s="46" t="n">
        <v>42439</v>
      </c>
      <c r="Q2673" s="44" t="n">
        <v>599</v>
      </c>
      <c r="R2673" s="44" t="inlineStr">
        <is>
          <t>No Video ID yet</t>
        </is>
      </c>
      <c r="S2673" s="46" t="n"/>
      <c r="T2673" s="46" t="n"/>
      <c r="U2673" s="44" t="n"/>
      <c r="V2673" s="44">
        <f>IF(AND(P2673&gt;=Calendar!$K$2,P2673&lt;EDATE(Calendar!$K$2,1),OR(Calendar!$K$4="*",N2673=Calendar!$K$4)),P2673*100+COUNTIFS($P$6:$P$3271,P2673,$Q$6:$Q$3271,"&lt;="&amp;Q2673,$N$6:$N$3271,Calendar!$K$4),"")</f>
        <v/>
      </c>
      <c r="W2673" s="44">
        <f>IF(AND(B2673=Queue!$C$4,OR(Queue!$K$4="*",N2673=Queue!$K$4)),Q2673,"")</f>
        <v/>
      </c>
    </row>
    <row r="2674">
      <c r="A2674" s="35">
        <f>IF(M2674="","",HYPERLINK("https://www.youtube.com/watch?v="&amp;M2674,"▶"))</f>
        <v/>
      </c>
      <c r="B2674" s="36">
        <f>IF(C2674&lt;&gt;"",C2674,IF(P2674&lt;=IFERROR(INDEX(tblChannels[Watched Through],MATCH(N2674,tblChannels[Channel ID],0)),0),"Watched","Unwatched"))</f>
        <v/>
      </c>
      <c r="C2674" s="37" t="n"/>
      <c r="D2674" s="38" t="n"/>
      <c r="E2674" s="39" t="n">
        <v>42438.61875</v>
      </c>
      <c r="F2674" s="49" t="inlineStr">
        <is>
          <t>Super Carlin Gaming</t>
        </is>
      </c>
      <c r="G2674" t="inlineStr">
        <is>
          <t>Knights of the Old Republic #5 - The Black Vulkar Base.</t>
        </is>
      </c>
      <c r="H2674" s="41" t="n">
        <v>0.02732638888888889</v>
      </c>
      <c r="I2674" s="42" t="n">
        <v>3597</v>
      </c>
      <c r="J2674" s="42" t="n">
        <v>72</v>
      </c>
      <c r="K2674" s="42" t="n">
        <v>23</v>
      </c>
      <c r="L2674" s="43" t="n"/>
      <c r="M2674" s="44" t="n"/>
      <c r="N2674" s="44" t="inlineStr">
        <is>
          <t>UCor_9jRnNNZVzTuQ92PKsaQ</t>
        </is>
      </c>
      <c r="O2674" s="45" t="n">
        <v>42438.82708333333</v>
      </c>
      <c r="P2674" s="46" t="n">
        <v>42438</v>
      </c>
      <c r="Q2674" s="44" t="n">
        <v>598</v>
      </c>
      <c r="R2674" s="44" t="inlineStr">
        <is>
          <t>No Video ID yet</t>
        </is>
      </c>
      <c r="S2674" s="46" t="n"/>
      <c r="T2674" s="46" t="n"/>
      <c r="U2674" s="44" t="n"/>
      <c r="V2674" s="44">
        <f>IF(AND(P2674&gt;=Calendar!$K$2,P2674&lt;EDATE(Calendar!$K$2,1),OR(Calendar!$K$4="*",N2674=Calendar!$K$4)),P2674*100+COUNTIFS($P$6:$P$3271,P2674,$Q$6:$Q$3271,"&lt;="&amp;Q2674,$N$6:$N$3271,Calendar!$K$4),"")</f>
        <v/>
      </c>
      <c r="W2674" s="44">
        <f>IF(AND(B2674=Queue!$C$4,OR(Queue!$K$4="*",N2674=Queue!$K$4)),Q2674,"")</f>
        <v/>
      </c>
    </row>
    <row r="2675">
      <c r="A2675" s="35">
        <f>IF(M2675="","",HYPERLINK("https://www.youtube.com/watch?v="&amp;M2675,"▶"))</f>
        <v/>
      </c>
      <c r="B2675" s="36">
        <f>IF(C2675&lt;&gt;"",C2675,IF(P2675&lt;=IFERROR(INDEX(tblChannels[Watched Through],MATCH(N2675,tblChannels[Channel ID],0)),0),"Watched","Unwatched"))</f>
        <v/>
      </c>
      <c r="C2675" s="37" t="n"/>
      <c r="D2675" s="38" t="n"/>
      <c r="E2675" s="39" t="n">
        <v>42438.00208333333</v>
      </c>
      <c r="F2675" s="49" t="inlineStr">
        <is>
          <t>Super Carlin Gaming</t>
        </is>
      </c>
      <c r="G2675" t="inlineStr">
        <is>
          <t>Knights of the Old Republic #4 - Mission and Zaalbar Join the Team!</t>
        </is>
      </c>
      <c r="H2675" s="41" t="n">
        <v>0.03390046296296297</v>
      </c>
      <c r="I2675" s="42" t="n">
        <v>4360</v>
      </c>
      <c r="J2675" s="42" t="n">
        <v>81</v>
      </c>
      <c r="K2675" s="42" t="n">
        <v>17</v>
      </c>
      <c r="L2675" s="43" t="n"/>
      <c r="M2675" s="44" t="n"/>
      <c r="N2675" s="44" t="inlineStr">
        <is>
          <t>UCor_9jRnNNZVzTuQ92PKsaQ</t>
        </is>
      </c>
      <c r="O2675" s="45" t="n">
        <v>42438.21041666667</v>
      </c>
      <c r="P2675" s="46" t="n">
        <v>42438</v>
      </c>
      <c r="Q2675" s="44" t="n">
        <v>597</v>
      </c>
      <c r="R2675" s="44" t="inlineStr">
        <is>
          <t>No Video ID yet</t>
        </is>
      </c>
      <c r="S2675" s="46" t="n"/>
      <c r="T2675" s="46" t="n"/>
      <c r="U2675" s="44" t="n"/>
      <c r="V2675" s="44">
        <f>IF(AND(P2675&gt;=Calendar!$K$2,P2675&lt;EDATE(Calendar!$K$2,1),OR(Calendar!$K$4="*",N2675=Calendar!$K$4)),P2675*100+COUNTIFS($P$6:$P$3271,P2675,$Q$6:$Q$3271,"&lt;="&amp;Q2675,$N$6:$N$3271,Calendar!$K$4),"")</f>
        <v/>
      </c>
      <c r="W2675" s="44">
        <f>IF(AND(B2675=Queue!$C$4,OR(Queue!$K$4="*",N2675=Queue!$K$4)),Q2675,"")</f>
        <v/>
      </c>
    </row>
    <row r="2676">
      <c r="A2676" s="35">
        <f>IF(M2676="","",HYPERLINK("https://www.youtube.com/watch?v="&amp;M2676,"▶"))</f>
        <v/>
      </c>
      <c r="B2676" s="36">
        <f>IF(C2676&lt;&gt;"",C2676,IF(P2676&lt;=IFERROR(INDEX(tblChannels[Watched Through],MATCH(N2676,tblChannels[Channel ID],0)),0),"Watched","Unwatched"))</f>
        <v/>
      </c>
      <c r="C2676" s="37" t="n"/>
      <c r="D2676" s="38" t="n"/>
      <c r="E2676" s="39" t="n">
        <v>42437.625</v>
      </c>
      <c r="F2676" s="47" t="inlineStr">
        <is>
          <t>Super Carlin Brothers</t>
        </is>
      </c>
      <c r="G2676" t="inlineStr">
        <is>
          <t>Is Arkham Asylum Real?</t>
        </is>
      </c>
      <c r="H2676" s="41" t="n">
        <v>0.005763888888888889</v>
      </c>
      <c r="I2676" s="42" t="n">
        <v>439732</v>
      </c>
      <c r="J2676" s="42" t="n">
        <v>12683</v>
      </c>
      <c r="K2676" s="42" t="n">
        <v>2200</v>
      </c>
      <c r="L2676" s="43" t="n"/>
      <c r="M2676" s="44" t="n"/>
      <c r="N2676" s="44" t="inlineStr">
        <is>
          <t>UCKZo4N0lVPccBkSiuyVh4yg</t>
        </is>
      </c>
      <c r="O2676" s="45" t="n">
        <v>42437.83333333334</v>
      </c>
      <c r="P2676" s="46" t="n">
        <v>42437</v>
      </c>
      <c r="Q2676" s="44" t="n">
        <v>596</v>
      </c>
      <c r="R2676" s="44" t="inlineStr">
        <is>
          <t>No Video ID yet</t>
        </is>
      </c>
      <c r="S2676" s="46" t="n"/>
      <c r="T2676" s="46" t="n"/>
      <c r="U2676" s="44" t="n"/>
      <c r="V2676" s="44">
        <f>IF(AND(P2676&gt;=Calendar!$K$2,P2676&lt;EDATE(Calendar!$K$2,1),OR(Calendar!$K$4="*",N2676=Calendar!$K$4)),P2676*100+COUNTIFS($P$6:$P$3271,P2676,$Q$6:$Q$3271,"&lt;="&amp;Q2676,$N$6:$N$3271,Calendar!$K$4),"")</f>
        <v/>
      </c>
      <c r="W2676" s="44">
        <f>IF(AND(B2676=Queue!$C$4,OR(Queue!$K$4="*",N2676=Queue!$K$4)),Q2676,"")</f>
        <v/>
      </c>
    </row>
    <row r="2677">
      <c r="A2677" s="35">
        <f>IF(M2677="","",HYPERLINK("https://www.youtube.com/watch?v="&amp;M2677,"▶"))</f>
        <v/>
      </c>
      <c r="B2677" s="36">
        <f>IF(C2677&lt;&gt;"",C2677,IF(P2677&lt;=IFERROR(INDEX(tblChannels[Watched Through],MATCH(N2677,tblChannels[Channel ID],0)),0),"Watched","Unwatched"))</f>
        <v/>
      </c>
      <c r="C2677" s="37" t="n"/>
      <c r="D2677" s="38" t="n"/>
      <c r="E2677" s="39" t="n">
        <v>42436.65833333333</v>
      </c>
      <c r="F2677" s="49" t="inlineStr">
        <is>
          <t>Super Carlin Gaming</t>
        </is>
      </c>
      <c r="G2677" t="inlineStr">
        <is>
          <t>Knight of the Old Republic # 3 - Peaches explores the lower city</t>
        </is>
      </c>
      <c r="H2677" s="41" t="n">
        <v>0.02251157407407407</v>
      </c>
      <c r="I2677" s="42" t="n">
        <v>5057</v>
      </c>
      <c r="J2677" s="42" t="n">
        <v>122</v>
      </c>
      <c r="K2677" s="42" t="n">
        <v>12</v>
      </c>
      <c r="L2677" s="43" t="n"/>
      <c r="M2677" s="44" t="n"/>
      <c r="N2677" s="44" t="inlineStr">
        <is>
          <t>UCor_9jRnNNZVzTuQ92PKsaQ</t>
        </is>
      </c>
      <c r="O2677" s="45" t="n">
        <v>42436.86666666667</v>
      </c>
      <c r="P2677" s="46" t="n">
        <v>42436</v>
      </c>
      <c r="Q2677" s="44" t="n">
        <v>595</v>
      </c>
      <c r="R2677" s="44" t="inlineStr">
        <is>
          <t>No Video ID yet</t>
        </is>
      </c>
      <c r="S2677" s="46" t="n"/>
      <c r="T2677" s="46" t="n"/>
      <c r="U2677" s="44" t="n"/>
      <c r="V2677" s="44">
        <f>IF(AND(P2677&gt;=Calendar!$K$2,P2677&lt;EDATE(Calendar!$K$2,1),OR(Calendar!$K$4="*",N2677=Calendar!$K$4)),P2677*100+COUNTIFS($P$6:$P$3271,P2677,$Q$6:$Q$3271,"&lt;="&amp;Q2677,$N$6:$N$3271,Calendar!$K$4),"")</f>
        <v/>
      </c>
      <c r="W2677" s="44">
        <f>IF(AND(B2677=Queue!$C$4,OR(Queue!$K$4="*",N2677=Queue!$K$4)),Q2677,"")</f>
        <v/>
      </c>
    </row>
    <row r="2678">
      <c r="A2678" s="35">
        <f>IF(M2678="","",HYPERLINK("https://www.youtube.com/watch?v="&amp;M2678,"▶"))</f>
        <v/>
      </c>
      <c r="B2678" s="36">
        <f>IF(C2678&lt;&gt;"",C2678,IF(P2678&lt;=IFERROR(INDEX(tblChannels[Watched Through],MATCH(N2678,tblChannels[Channel ID],0)),0),"Watched","Unwatched"))</f>
        <v/>
      </c>
      <c r="C2678" s="37" t="n"/>
      <c r="D2678" s="38" t="n"/>
      <c r="E2678" s="39" t="n">
        <v>42432.85555555556</v>
      </c>
      <c r="F2678" s="47" t="inlineStr">
        <is>
          <t>Super Carlin Brothers</t>
        </is>
      </c>
      <c r="G2678" t="inlineStr">
        <is>
          <t>Finding Dory Trailer 2 | Review, Analysis and Predictions</t>
        </is>
      </c>
      <c r="H2678" s="41" t="n">
        <v>0.006782407407407407</v>
      </c>
      <c r="I2678" s="42" t="n">
        <v>402137</v>
      </c>
      <c r="J2678" s="42" t="n">
        <v>8065</v>
      </c>
      <c r="K2678" s="42" t="n">
        <v>1124</v>
      </c>
      <c r="L2678" s="43" t="n"/>
      <c r="M2678" s="44" t="n"/>
      <c r="N2678" s="44" t="inlineStr">
        <is>
          <t>UCKZo4N0lVPccBkSiuyVh4yg</t>
        </is>
      </c>
      <c r="O2678" s="45" t="n">
        <v>42433.06388888889</v>
      </c>
      <c r="P2678" s="46" t="n">
        <v>42432</v>
      </c>
      <c r="Q2678" s="44" t="n">
        <v>594</v>
      </c>
      <c r="R2678" s="44" t="inlineStr">
        <is>
          <t>No Video ID yet</t>
        </is>
      </c>
      <c r="S2678" s="46" t="n"/>
      <c r="T2678" s="46" t="n"/>
      <c r="U2678" s="44" t="n"/>
      <c r="V2678" s="44">
        <f>IF(AND(P2678&gt;=Calendar!$K$2,P2678&lt;EDATE(Calendar!$K$2,1),OR(Calendar!$K$4="*",N2678=Calendar!$K$4)),P2678*100+COUNTIFS($P$6:$P$3271,P2678,$Q$6:$Q$3271,"&lt;="&amp;Q2678,$N$6:$N$3271,Calendar!$K$4),"")</f>
        <v/>
      </c>
      <c r="W2678" s="44">
        <f>IF(AND(B2678=Queue!$C$4,OR(Queue!$K$4="*",N2678=Queue!$K$4)),Q2678,"")</f>
        <v/>
      </c>
    </row>
    <row r="2679">
      <c r="A2679" s="35">
        <f>IF(M2679="","",HYPERLINK("https://www.youtube.com/watch?v="&amp;M2679,"▶"))</f>
        <v/>
      </c>
      <c r="B2679" s="36">
        <f>IF(C2679&lt;&gt;"",C2679,IF(P2679&lt;=IFERROR(INDEX(tblChannels[Watched Through],MATCH(N2679,tblChannels[Channel ID],0)),0),"Watched","Unwatched"))</f>
        <v/>
      </c>
      <c r="C2679" s="37" t="n"/>
      <c r="D2679" s="38" t="n"/>
      <c r="E2679" s="39" t="n">
        <v>42431.66041666667</v>
      </c>
      <c r="F2679" s="49" t="inlineStr">
        <is>
          <t>Super Carlin Gaming</t>
        </is>
      </c>
      <c r="G2679" t="inlineStr">
        <is>
          <t>Knights of the Old Republic # 2 - Turning to the Peach Side</t>
        </is>
      </c>
      <c r="H2679" s="41" t="n">
        <v>0.02092592592592592</v>
      </c>
      <c r="I2679" s="42" t="n">
        <v>7696</v>
      </c>
      <c r="J2679" s="42" t="n">
        <v>145</v>
      </c>
      <c r="K2679" s="42" t="n">
        <v>28</v>
      </c>
      <c r="L2679" s="43" t="n"/>
      <c r="M2679" s="44" t="n"/>
      <c r="N2679" s="44" t="inlineStr">
        <is>
          <t>UCor_9jRnNNZVzTuQ92PKsaQ</t>
        </is>
      </c>
      <c r="O2679" s="45" t="n">
        <v>42431.86875</v>
      </c>
      <c r="P2679" s="46" t="n">
        <v>42431</v>
      </c>
      <c r="Q2679" s="44" t="n">
        <v>593</v>
      </c>
      <c r="R2679" s="44" t="inlineStr">
        <is>
          <t>No Video ID yet</t>
        </is>
      </c>
      <c r="S2679" s="46" t="n"/>
      <c r="T2679" s="46" t="n"/>
      <c r="U2679" s="44" t="n"/>
      <c r="V2679" s="44">
        <f>IF(AND(P2679&gt;=Calendar!$K$2,P2679&lt;EDATE(Calendar!$K$2,1),OR(Calendar!$K$4="*",N2679=Calendar!$K$4)),P2679*100+COUNTIFS($P$6:$P$3271,P2679,$Q$6:$Q$3271,"&lt;="&amp;Q2679,$N$6:$N$3271,Calendar!$K$4),"")</f>
        <v/>
      </c>
      <c r="W2679" s="44">
        <f>IF(AND(B2679=Queue!$C$4,OR(Queue!$K$4="*",N2679=Queue!$K$4)),Q2679,"")</f>
        <v/>
      </c>
    </row>
    <row r="2680">
      <c r="A2680" s="35">
        <f>IF(M2680="","",HYPERLINK("https://www.youtube.com/watch?v="&amp;M2680,"▶"))</f>
        <v/>
      </c>
      <c r="B2680" s="36">
        <f>IF(C2680&lt;&gt;"",C2680,IF(P2680&lt;=IFERROR(INDEX(tblChannels[Watched Through],MATCH(N2680,tblChannels[Channel ID],0)),0),"Watched","Unwatched"))</f>
        <v/>
      </c>
      <c r="C2680" s="37" t="n"/>
      <c r="D2680" s="38" t="n"/>
      <c r="E2680" s="39" t="n">
        <v>42429.625</v>
      </c>
      <c r="F2680" s="47" t="inlineStr">
        <is>
          <t>Super Carlin Brothers</t>
        </is>
      </c>
      <c r="G2680" t="inlineStr">
        <is>
          <t>Pixar Theory: How The Incredibles Got Their Powers</t>
        </is>
      </c>
      <c r="H2680" s="41" t="n">
        <v>0.006631944444444445</v>
      </c>
      <c r="I2680" s="42" t="n">
        <v>3257718</v>
      </c>
      <c r="J2680" s="42" t="n">
        <v>58754</v>
      </c>
      <c r="K2680" s="42" t="n">
        <v>5622</v>
      </c>
      <c r="L2680" s="43" t="n"/>
      <c r="M2680" s="44" t="n"/>
      <c r="N2680" s="44" t="inlineStr">
        <is>
          <t>UCKZo4N0lVPccBkSiuyVh4yg</t>
        </is>
      </c>
      <c r="O2680" s="45" t="n">
        <v>42429.83333333334</v>
      </c>
      <c r="P2680" s="46" t="n">
        <v>42429</v>
      </c>
      <c r="Q2680" s="44" t="n">
        <v>592</v>
      </c>
      <c r="R2680" s="44" t="inlineStr">
        <is>
          <t>No Video ID yet</t>
        </is>
      </c>
      <c r="S2680" s="46" t="n"/>
      <c r="T2680" s="46" t="n"/>
      <c r="U2680" s="44" t="n"/>
      <c r="V2680" s="44">
        <f>IF(AND(P2680&gt;=Calendar!$K$2,P2680&lt;EDATE(Calendar!$K$2,1),OR(Calendar!$K$4="*",N2680=Calendar!$K$4)),P2680*100+COUNTIFS($P$6:$P$3271,P2680,$Q$6:$Q$3271,"&lt;="&amp;Q2680,$N$6:$N$3271,Calendar!$K$4),"")</f>
        <v/>
      </c>
      <c r="W2680" s="44">
        <f>IF(AND(B2680=Queue!$C$4,OR(Queue!$K$4="*",N2680=Queue!$K$4)),Q2680,"")</f>
        <v/>
      </c>
    </row>
    <row r="2681">
      <c r="A2681" s="35">
        <f>IF(M2681="","",HYPERLINK("https://www.youtube.com/watch?v="&amp;M2681,"▶"))</f>
        <v/>
      </c>
      <c r="B2681" s="36">
        <f>IF(C2681&lt;&gt;"",C2681,IF(P2681&lt;=IFERROR(INDEX(tblChannels[Watched Through],MATCH(N2681,tblChannels[Channel ID],0)),0),"Watched","Unwatched"))</f>
        <v/>
      </c>
      <c r="C2681" s="37" t="n"/>
      <c r="D2681" s="38" t="n"/>
      <c r="E2681" s="39" t="n">
        <v>42425.87847222222</v>
      </c>
      <c r="F2681" s="47" t="inlineStr">
        <is>
          <t>Super Carlin Brothers</t>
        </is>
      </c>
      <c r="G2681" t="inlineStr">
        <is>
          <t>Fast Facts: The Dark Knight</t>
        </is>
      </c>
      <c r="H2681" s="41" t="n">
        <v>0.001990740740740741</v>
      </c>
      <c r="I2681" s="42" t="n">
        <v>67906</v>
      </c>
      <c r="J2681" s="42" t="n">
        <v>2388</v>
      </c>
      <c r="K2681" s="42" t="n">
        <v>155</v>
      </c>
      <c r="L2681" s="43" t="n"/>
      <c r="M2681" s="44" t="n"/>
      <c r="N2681" s="44" t="inlineStr">
        <is>
          <t>UCKZo4N0lVPccBkSiuyVh4yg</t>
        </is>
      </c>
      <c r="O2681" s="45" t="n">
        <v>42426.08680555555</v>
      </c>
      <c r="P2681" s="46" t="n">
        <v>42425</v>
      </c>
      <c r="Q2681" s="44" t="n">
        <v>591</v>
      </c>
      <c r="R2681" s="44" t="inlineStr">
        <is>
          <t>No Video ID yet</t>
        </is>
      </c>
      <c r="S2681" s="46" t="n"/>
      <c r="T2681" s="46" t="n"/>
      <c r="U2681" s="44" t="n"/>
      <c r="V2681" s="44">
        <f>IF(AND(P2681&gt;=Calendar!$K$2,P2681&lt;EDATE(Calendar!$K$2,1),OR(Calendar!$K$4="*",N2681=Calendar!$K$4)),P2681*100+COUNTIFS($P$6:$P$3271,P2681,$Q$6:$Q$3271,"&lt;="&amp;Q2681,$N$6:$N$3271,Calendar!$K$4),"")</f>
        <v/>
      </c>
      <c r="W2681" s="44">
        <f>IF(AND(B2681=Queue!$C$4,OR(Queue!$K$4="*",N2681=Queue!$K$4)),Q2681,"")</f>
        <v/>
      </c>
    </row>
    <row r="2682">
      <c r="A2682" s="35">
        <f>IF(M2682="","",HYPERLINK("https://www.youtube.com/watch?v="&amp;M2682,"▶"))</f>
        <v/>
      </c>
      <c r="B2682" s="36">
        <f>IF(C2682&lt;&gt;"",C2682,IF(P2682&lt;=IFERROR(INDEX(tblChannels[Watched Through],MATCH(N2682,tblChannels[Channel ID],0)),0),"Watched","Unwatched"))</f>
        <v/>
      </c>
      <c r="C2682" s="37" t="n"/>
      <c r="D2682" s="38" t="n"/>
      <c r="E2682" s="39" t="n">
        <v>42423.70416666667</v>
      </c>
      <c r="F2682" s="49" t="inlineStr">
        <is>
          <t>Super Carlin Gaming</t>
        </is>
      </c>
      <c r="G2682" t="inlineStr">
        <is>
          <t>Knights of the Old Republic #1 - Peaches McClain</t>
        </is>
      </c>
      <c r="H2682" s="41" t="n">
        <v>0.01702546296296296</v>
      </c>
      <c r="I2682" s="42" t="n">
        <v>33794</v>
      </c>
      <c r="J2682" s="42" t="n">
        <v>590</v>
      </c>
      <c r="K2682" s="42" t="n">
        <v>169</v>
      </c>
      <c r="L2682" s="43" t="n"/>
      <c r="M2682" s="44" t="n"/>
      <c r="N2682" s="44" t="inlineStr">
        <is>
          <t>UCor_9jRnNNZVzTuQ92PKsaQ</t>
        </is>
      </c>
      <c r="O2682" s="45" t="n">
        <v>42423.9125</v>
      </c>
      <c r="P2682" s="46" t="n">
        <v>42423</v>
      </c>
      <c r="Q2682" s="44" t="n">
        <v>590</v>
      </c>
      <c r="R2682" s="44" t="inlineStr">
        <is>
          <t>No Video ID yet</t>
        </is>
      </c>
      <c r="S2682" s="46" t="n"/>
      <c r="T2682" s="46" t="n"/>
      <c r="U2682" s="44" t="n"/>
      <c r="V2682" s="44">
        <f>IF(AND(P2682&gt;=Calendar!$K$2,P2682&lt;EDATE(Calendar!$K$2,1),OR(Calendar!$K$4="*",N2682=Calendar!$K$4)),P2682*100+COUNTIFS($P$6:$P$3271,P2682,$Q$6:$Q$3271,"&lt;="&amp;Q2682,$N$6:$N$3271,Calendar!$K$4),"")</f>
        <v/>
      </c>
      <c r="W2682" s="44">
        <f>IF(AND(B2682=Queue!$C$4,OR(Queue!$K$4="*",N2682=Queue!$K$4)),Q2682,"")</f>
        <v/>
      </c>
    </row>
    <row r="2683">
      <c r="A2683" s="35">
        <f>IF(M2683="","",HYPERLINK("https://www.youtube.com/watch?v="&amp;M2683,"▶"))</f>
        <v/>
      </c>
      <c r="B2683" s="36">
        <f>IF(C2683&lt;&gt;"",C2683,IF(P2683&lt;=IFERROR(INDEX(tblChannels[Watched Through],MATCH(N2683,tblChannels[Channel ID],0)),0),"Watched","Unwatched"))</f>
        <v/>
      </c>
      <c r="C2683" s="37" t="n"/>
      <c r="D2683" s="38" t="n"/>
      <c r="E2683" s="39" t="n">
        <v>42423.67847222222</v>
      </c>
      <c r="F2683" s="47" t="inlineStr">
        <is>
          <t>Super Carlin Brothers</t>
        </is>
      </c>
      <c r="G2683" t="inlineStr">
        <is>
          <t>Is Jane a Descendant of Belle??</t>
        </is>
      </c>
      <c r="H2683" s="41" t="n">
        <v>0.00449074074074074</v>
      </c>
      <c r="I2683" s="42" t="n">
        <v>1819001</v>
      </c>
      <c r="J2683" s="42" t="n">
        <v>33428</v>
      </c>
      <c r="K2683" s="42" t="n">
        <v>5319</v>
      </c>
      <c r="L2683" s="43" t="n"/>
      <c r="M2683" s="44" t="n"/>
      <c r="N2683" s="44" t="inlineStr">
        <is>
          <t>UCKZo4N0lVPccBkSiuyVh4yg</t>
        </is>
      </c>
      <c r="O2683" s="45" t="n">
        <v>42423.88680555556</v>
      </c>
      <c r="P2683" s="46" t="n">
        <v>42423</v>
      </c>
      <c r="Q2683" s="44" t="n">
        <v>589</v>
      </c>
      <c r="R2683" s="44" t="inlineStr">
        <is>
          <t>No Video ID yet</t>
        </is>
      </c>
      <c r="S2683" s="46" t="n"/>
      <c r="T2683" s="46" t="n"/>
      <c r="U2683" s="44" t="n"/>
      <c r="V2683" s="44">
        <f>IF(AND(P2683&gt;=Calendar!$K$2,P2683&lt;EDATE(Calendar!$K$2,1),OR(Calendar!$K$4="*",N2683=Calendar!$K$4)),P2683*100+COUNTIFS($P$6:$P$3271,P2683,$Q$6:$Q$3271,"&lt;="&amp;Q2683,$N$6:$N$3271,Calendar!$K$4),"")</f>
        <v/>
      </c>
      <c r="W2683" s="44">
        <f>IF(AND(B2683=Queue!$C$4,OR(Queue!$K$4="*",N2683=Queue!$K$4)),Q2683,"")</f>
        <v/>
      </c>
    </row>
    <row r="2684">
      <c r="A2684" s="35">
        <f>IF(M2684="","",HYPERLINK("https://www.youtube.com/watch?v="&amp;M2684,"▶"))</f>
        <v/>
      </c>
      <c r="B2684" s="36">
        <f>IF(C2684&lt;&gt;"",C2684,IF(P2684&lt;=IFERROR(INDEX(tblChannels[Watched Through],MATCH(N2684,tblChannels[Channel ID],0)),0),"Watched","Unwatched"))</f>
        <v/>
      </c>
      <c r="C2684" s="37" t="n"/>
      <c r="D2684" s="38" t="n"/>
      <c r="E2684" s="39" t="n">
        <v>42418.95069444444</v>
      </c>
      <c r="F2684" s="47" t="inlineStr">
        <is>
          <t>Super Carlin Brothers</t>
        </is>
      </c>
      <c r="G2684" t="inlineStr">
        <is>
          <t>Fast Facts: Batman Begins</t>
        </is>
      </c>
      <c r="H2684" s="41" t="n">
        <v>0.001689814814814815</v>
      </c>
      <c r="I2684" s="42" t="n">
        <v>66171</v>
      </c>
      <c r="J2684" s="42" t="n">
        <v>2101</v>
      </c>
      <c r="K2684" s="42" t="n">
        <v>185</v>
      </c>
      <c r="L2684" s="43" t="n"/>
      <c r="M2684" s="44" t="n"/>
      <c r="N2684" s="44" t="inlineStr">
        <is>
          <t>UCKZo4N0lVPccBkSiuyVh4yg</t>
        </is>
      </c>
      <c r="O2684" s="45" t="n">
        <v>42419.15902777778</v>
      </c>
      <c r="P2684" s="46" t="n">
        <v>42418</v>
      </c>
      <c r="Q2684" s="44" t="n">
        <v>588</v>
      </c>
      <c r="R2684" s="44" t="inlineStr">
        <is>
          <t>No Video ID yet</t>
        </is>
      </c>
      <c r="S2684" s="46" t="n"/>
      <c r="T2684" s="46" t="n"/>
      <c r="U2684" s="44" t="n"/>
      <c r="V2684" s="44">
        <f>IF(AND(P2684&gt;=Calendar!$K$2,P2684&lt;EDATE(Calendar!$K$2,1),OR(Calendar!$K$4="*",N2684=Calendar!$K$4)),P2684*100+COUNTIFS($P$6:$P$3271,P2684,$Q$6:$Q$3271,"&lt;="&amp;Q2684,$N$6:$N$3271,Calendar!$K$4),"")</f>
        <v/>
      </c>
      <c r="W2684" s="44">
        <f>IF(AND(B2684=Queue!$C$4,OR(Queue!$K$4="*",N2684=Queue!$K$4)),Q2684,"")</f>
        <v/>
      </c>
    </row>
    <row r="2685">
      <c r="A2685" s="35">
        <f>IF(M2685="","",HYPERLINK("https://www.youtube.com/watch?v="&amp;M2685,"▶"))</f>
        <v/>
      </c>
      <c r="B2685" s="36">
        <f>IF(C2685&lt;&gt;"",C2685,IF(P2685&lt;=IFERROR(INDEX(tblChannels[Watched Through],MATCH(N2685,tblChannels[Channel ID],0)),0),"Watched","Unwatched"))</f>
        <v/>
      </c>
      <c r="C2685" s="37" t="n"/>
      <c r="D2685" s="38" t="n"/>
      <c r="E2685" s="39" t="n">
        <v>42416.66319444445</v>
      </c>
      <c r="F2685" s="47" t="inlineStr">
        <is>
          <t>Super Carlin Brothers</t>
        </is>
      </c>
      <c r="G2685" t="inlineStr">
        <is>
          <t>Is Princess Leia a Disney Princess?</t>
        </is>
      </c>
      <c r="H2685" s="41" t="n">
        <v>0.00474537037037037</v>
      </c>
      <c r="I2685" s="42" t="n">
        <v>855543</v>
      </c>
      <c r="J2685" s="42" t="n">
        <v>17621</v>
      </c>
      <c r="K2685" s="42" t="n">
        <v>5803</v>
      </c>
      <c r="L2685" s="43" t="n"/>
      <c r="M2685" s="44" t="n"/>
      <c r="N2685" s="44" t="inlineStr">
        <is>
          <t>UCKZo4N0lVPccBkSiuyVh4yg</t>
        </is>
      </c>
      <c r="O2685" s="45" t="n">
        <v>42416.87152777778</v>
      </c>
      <c r="P2685" s="46" t="n">
        <v>42416</v>
      </c>
      <c r="Q2685" s="44" t="n">
        <v>587</v>
      </c>
      <c r="R2685" s="44" t="inlineStr">
        <is>
          <t>No Video ID yet</t>
        </is>
      </c>
      <c r="S2685" s="46" t="n"/>
      <c r="T2685" s="46" t="n"/>
      <c r="U2685" s="44" t="n"/>
      <c r="V2685" s="44">
        <f>IF(AND(P2685&gt;=Calendar!$K$2,P2685&lt;EDATE(Calendar!$K$2,1),OR(Calendar!$K$4="*",N2685=Calendar!$K$4)),P2685*100+COUNTIFS($P$6:$P$3271,P2685,$Q$6:$Q$3271,"&lt;="&amp;Q2685,$N$6:$N$3271,Calendar!$K$4),"")</f>
        <v/>
      </c>
      <c r="W2685" s="44">
        <f>IF(AND(B2685=Queue!$C$4,OR(Queue!$K$4="*",N2685=Queue!$K$4)),Q2685,"")</f>
        <v/>
      </c>
    </row>
    <row r="2686">
      <c r="A2686" s="35">
        <f>IF(M2686="","",HYPERLINK("https://www.youtube.com/watch?v="&amp;M2686,"▶"))</f>
        <v/>
      </c>
      <c r="B2686" s="36">
        <f>IF(C2686&lt;&gt;"",C2686,IF(P2686&lt;=IFERROR(INDEX(tblChannels[Watched Through],MATCH(N2686,tblChannels[Channel ID],0)),0),"Watched","Unwatched"))</f>
        <v/>
      </c>
      <c r="C2686" s="37" t="n"/>
      <c r="D2686" s="38" t="n"/>
      <c r="E2686" s="39" t="n">
        <v>42411.82708333333</v>
      </c>
      <c r="F2686" s="47" t="inlineStr">
        <is>
          <t>Super Carlin Brothers</t>
        </is>
      </c>
      <c r="G2686" t="inlineStr">
        <is>
          <t>LOOT CRATE UNBOXING | INVASION</t>
        </is>
      </c>
      <c r="H2686" s="41" t="n">
        <v>0.004722222222222222</v>
      </c>
      <c r="I2686" s="42" t="n">
        <v>106045</v>
      </c>
      <c r="J2686" s="42" t="n">
        <v>3064</v>
      </c>
      <c r="K2686" s="42" t="n">
        <v>1050</v>
      </c>
      <c r="L2686" s="43" t="n"/>
      <c r="M2686" s="44" t="n"/>
      <c r="N2686" s="44" t="inlineStr">
        <is>
          <t>UCKZo4N0lVPccBkSiuyVh4yg</t>
        </is>
      </c>
      <c r="O2686" s="45" t="n">
        <v>42412.03541666667</v>
      </c>
      <c r="P2686" s="46" t="n">
        <v>42411</v>
      </c>
      <c r="Q2686" s="44" t="n">
        <v>586</v>
      </c>
      <c r="R2686" s="44" t="inlineStr">
        <is>
          <t>No Video ID yet</t>
        </is>
      </c>
      <c r="S2686" s="46" t="n"/>
      <c r="T2686" s="46" t="n"/>
      <c r="U2686" s="44" t="n"/>
      <c r="V2686" s="44">
        <f>IF(AND(P2686&gt;=Calendar!$K$2,P2686&lt;EDATE(Calendar!$K$2,1),OR(Calendar!$K$4="*",N2686=Calendar!$K$4)),P2686*100+COUNTIFS($P$6:$P$3271,P2686,$Q$6:$Q$3271,"&lt;="&amp;Q2686,$N$6:$N$3271,Calendar!$K$4),"")</f>
        <v/>
      </c>
      <c r="W2686" s="44">
        <f>IF(AND(B2686=Queue!$C$4,OR(Queue!$K$4="*",N2686=Queue!$K$4)),Q2686,"")</f>
        <v/>
      </c>
    </row>
    <row r="2687">
      <c r="A2687" s="35">
        <f>IF(M2687="","",HYPERLINK("https://www.youtube.com/watch?v="&amp;M2687,"▶"))</f>
        <v/>
      </c>
      <c r="B2687" s="36">
        <f>IF(C2687&lt;&gt;"",C2687,IF(P2687&lt;=IFERROR(INDEX(tblChannels[Watched Through],MATCH(N2687,tblChannels[Channel ID],0)),0),"Watched","Unwatched"))</f>
        <v/>
      </c>
      <c r="C2687" s="37" t="n"/>
      <c r="D2687" s="38" t="n"/>
      <c r="E2687" s="39" t="n">
        <v>42409.625</v>
      </c>
      <c r="F2687" s="47" t="inlineStr">
        <is>
          <t>Super Carlin Brothers</t>
        </is>
      </c>
      <c r="G2687" t="inlineStr">
        <is>
          <t>Does Deadpool Google Autofill</t>
        </is>
      </c>
      <c r="H2687" s="41" t="n">
        <v>0.003773148148148148</v>
      </c>
      <c r="I2687" s="42" t="n">
        <v>383228</v>
      </c>
      <c r="J2687" s="42" t="n">
        <v>10085</v>
      </c>
      <c r="K2687" s="42" t="n">
        <v>1141</v>
      </c>
      <c r="L2687" s="43" t="n"/>
      <c r="M2687" s="44" t="n"/>
      <c r="N2687" s="44" t="inlineStr">
        <is>
          <t>UCKZo4N0lVPccBkSiuyVh4yg</t>
        </is>
      </c>
      <c r="O2687" s="45" t="n">
        <v>42409.83333333334</v>
      </c>
      <c r="P2687" s="46" t="n">
        <v>42409</v>
      </c>
      <c r="Q2687" s="44" t="n">
        <v>585</v>
      </c>
      <c r="R2687" s="44" t="inlineStr">
        <is>
          <t>No Video ID yet</t>
        </is>
      </c>
      <c r="S2687" s="46" t="n"/>
      <c r="T2687" s="46" t="n"/>
      <c r="U2687" s="44" t="n"/>
      <c r="V2687" s="44">
        <f>IF(AND(P2687&gt;=Calendar!$K$2,P2687&lt;EDATE(Calendar!$K$2,1),OR(Calendar!$K$4="*",N2687=Calendar!$K$4)),P2687*100+COUNTIFS($P$6:$P$3271,P2687,$Q$6:$Q$3271,"&lt;="&amp;Q2687,$N$6:$N$3271,Calendar!$K$4),"")</f>
        <v/>
      </c>
      <c r="W2687" s="44">
        <f>IF(AND(B2687=Queue!$C$4,OR(Queue!$K$4="*",N2687=Queue!$K$4)),Q2687,"")</f>
        <v/>
      </c>
    </row>
    <row r="2688">
      <c r="A2688" s="35">
        <f>IF(M2688="","",HYPERLINK("https://www.youtube.com/watch?v="&amp;M2688,"▶"))</f>
        <v/>
      </c>
      <c r="B2688" s="36">
        <f>IF(C2688&lt;&gt;"",C2688,IF(P2688&lt;=IFERROR(INDEX(tblChannels[Watched Through],MATCH(N2688,tblChannels[Channel ID],0)),0),"Watched","Unwatched"))</f>
        <v/>
      </c>
      <c r="C2688" s="37" t="n"/>
      <c r="D2688" s="38" t="n"/>
      <c r="E2688" s="39" t="n">
        <v>42404.95347222222</v>
      </c>
      <c r="F2688" s="47" t="inlineStr">
        <is>
          <t>Super Carlin Brothers</t>
        </is>
      </c>
      <c r="G2688" t="inlineStr">
        <is>
          <t>Fast Facts: Mulan</t>
        </is>
      </c>
      <c r="H2688" s="41" t="n">
        <v>0.001354166666666667</v>
      </c>
      <c r="I2688" s="42" t="n">
        <v>182516</v>
      </c>
      <c r="J2688" s="42" t="n">
        <v>5996</v>
      </c>
      <c r="K2688" s="42" t="n">
        <v>354</v>
      </c>
      <c r="L2688" s="43" t="n"/>
      <c r="M2688" s="44" t="n"/>
      <c r="N2688" s="44" t="inlineStr">
        <is>
          <t>UCKZo4N0lVPccBkSiuyVh4yg</t>
        </is>
      </c>
      <c r="O2688" s="45" t="n">
        <v>42405.16180555556</v>
      </c>
      <c r="P2688" s="46" t="n">
        <v>42404</v>
      </c>
      <c r="Q2688" s="44" t="n">
        <v>584</v>
      </c>
      <c r="R2688" s="44" t="inlineStr">
        <is>
          <t>No Video ID yet</t>
        </is>
      </c>
      <c r="S2688" s="46" t="n"/>
      <c r="T2688" s="46" t="n"/>
      <c r="U2688" s="44" t="n"/>
      <c r="V2688" s="44">
        <f>IF(AND(P2688&gt;=Calendar!$K$2,P2688&lt;EDATE(Calendar!$K$2,1),OR(Calendar!$K$4="*",N2688=Calendar!$K$4)),P2688*100+COUNTIFS($P$6:$P$3271,P2688,$Q$6:$Q$3271,"&lt;="&amp;Q2688,$N$6:$N$3271,Calendar!$K$4),"")</f>
        <v/>
      </c>
      <c r="W2688" s="44">
        <f>IF(AND(B2688=Queue!$C$4,OR(Queue!$K$4="*",N2688=Queue!$K$4)),Q2688,"")</f>
        <v/>
      </c>
    </row>
    <row r="2689">
      <c r="A2689" s="35">
        <f>IF(M2689="","",HYPERLINK("https://www.youtube.com/watch?v="&amp;M2689,"▶"))</f>
        <v/>
      </c>
      <c r="B2689" s="36">
        <f>IF(C2689&lt;&gt;"",C2689,IF(P2689&lt;=IFERROR(INDEX(tblChannels[Watched Through],MATCH(N2689,tblChannels[Channel ID],0)),0),"Watched","Unwatched"))</f>
        <v/>
      </c>
      <c r="C2689" s="37" t="n"/>
      <c r="D2689" s="38" t="n"/>
      <c r="E2689" s="39" t="n">
        <v>42402.69236111111</v>
      </c>
      <c r="F2689" s="47" t="inlineStr">
        <is>
          <t>Super Carlin Brothers</t>
        </is>
      </c>
      <c r="G2689" t="inlineStr">
        <is>
          <t>Top 10 Reasons Mulan is the Best Disney Princess Ever</t>
        </is>
      </c>
      <c r="H2689" s="41" t="n">
        <v>0.005196759259259259</v>
      </c>
      <c r="I2689" s="42" t="n">
        <v>771919</v>
      </c>
      <c r="J2689" s="42" t="n">
        <v>29094</v>
      </c>
      <c r="K2689" s="42" t="n">
        <v>4679</v>
      </c>
      <c r="L2689" s="43" t="n"/>
      <c r="M2689" s="44" t="n"/>
      <c r="N2689" s="44" t="inlineStr">
        <is>
          <t>UCKZo4N0lVPccBkSiuyVh4yg</t>
        </is>
      </c>
      <c r="O2689" s="45" t="n">
        <v>42402.90069444444</v>
      </c>
      <c r="P2689" s="46" t="n">
        <v>42402</v>
      </c>
      <c r="Q2689" s="44" t="n">
        <v>583</v>
      </c>
      <c r="R2689" s="44" t="inlineStr">
        <is>
          <t>No Video ID yet</t>
        </is>
      </c>
      <c r="S2689" s="46" t="n"/>
      <c r="T2689" s="46" t="n"/>
      <c r="U2689" s="44" t="n"/>
      <c r="V2689" s="44">
        <f>IF(AND(P2689&gt;=Calendar!$K$2,P2689&lt;EDATE(Calendar!$K$2,1),OR(Calendar!$K$4="*",N2689=Calendar!$K$4)),P2689*100+COUNTIFS($P$6:$P$3271,P2689,$Q$6:$Q$3271,"&lt;="&amp;Q2689,$N$6:$N$3271,Calendar!$K$4),"")</f>
        <v/>
      </c>
      <c r="W2689" s="44">
        <f>IF(AND(B2689=Queue!$C$4,OR(Queue!$K$4="*",N2689=Queue!$K$4)),Q2689,"")</f>
        <v/>
      </c>
    </row>
    <row r="2690">
      <c r="A2690" s="35">
        <f>IF(M2690="","",HYPERLINK("https://www.youtube.com/watch?v="&amp;M2690,"▶"))</f>
        <v/>
      </c>
      <c r="B2690" s="36">
        <f>IF(C2690&lt;&gt;"",C2690,IF(P2690&lt;=IFERROR(INDEX(tblChannels[Watched Through],MATCH(N2690,tblChannels[Channel ID],0)),0),"Watched","Unwatched"))</f>
        <v/>
      </c>
      <c r="C2690" s="37" t="n"/>
      <c r="D2690" s="38" t="n"/>
      <c r="E2690" s="39" t="n">
        <v>42398.02152777778</v>
      </c>
      <c r="F2690" s="47" t="inlineStr">
        <is>
          <t>Super Carlin Brothers</t>
        </is>
      </c>
      <c r="G2690" t="inlineStr">
        <is>
          <t>Is Rey Darth Vader's Sister?</t>
        </is>
      </c>
      <c r="H2690" s="41" t="n">
        <v>0.004097222222222223</v>
      </c>
      <c r="I2690" s="42" t="n">
        <v>747217</v>
      </c>
      <c r="J2690" s="42" t="n">
        <v>13101</v>
      </c>
      <c r="K2690" s="42" t="n">
        <v>3985</v>
      </c>
      <c r="L2690" s="43" t="n"/>
      <c r="M2690" s="44" t="n"/>
      <c r="N2690" s="44" t="inlineStr">
        <is>
          <t>UCKZo4N0lVPccBkSiuyVh4yg</t>
        </is>
      </c>
      <c r="O2690" s="45" t="n">
        <v>42398.22986111111</v>
      </c>
      <c r="P2690" s="46" t="n">
        <v>42398</v>
      </c>
      <c r="Q2690" s="44" t="n">
        <v>582</v>
      </c>
      <c r="R2690" s="44" t="inlineStr">
        <is>
          <t>No Video ID yet</t>
        </is>
      </c>
      <c r="S2690" s="46" t="n"/>
      <c r="T2690" s="46" t="n"/>
      <c r="U2690" s="44" t="n"/>
      <c r="V2690" s="44">
        <f>IF(AND(P2690&gt;=Calendar!$K$2,P2690&lt;EDATE(Calendar!$K$2,1),OR(Calendar!$K$4="*",N2690=Calendar!$K$4)),P2690*100+COUNTIFS($P$6:$P$3271,P2690,$Q$6:$Q$3271,"&lt;="&amp;Q2690,$N$6:$N$3271,Calendar!$K$4),"")</f>
        <v/>
      </c>
      <c r="W2690" s="44">
        <f>IF(AND(B2690=Queue!$C$4,OR(Queue!$K$4="*",N2690=Queue!$K$4)),Q2690,"")</f>
        <v/>
      </c>
    </row>
    <row r="2691">
      <c r="A2691" s="35">
        <f>IF(M2691="","",HYPERLINK("https://www.youtube.com/watch?v="&amp;M2691,"▶"))</f>
        <v/>
      </c>
      <c r="B2691" s="36">
        <f>IF(C2691&lt;&gt;"",C2691,IF(P2691&lt;=IFERROR(INDEX(tblChannels[Watched Through],MATCH(N2691,tblChannels[Channel ID],0)),0),"Watched","Unwatched"))</f>
        <v/>
      </c>
      <c r="C2691" s="37" t="n"/>
      <c r="D2691" s="38" t="n"/>
      <c r="E2691" s="39" t="n">
        <v>42395.70763888889</v>
      </c>
      <c r="F2691" s="47" t="inlineStr">
        <is>
          <t>Super Carlin Brothers</t>
        </is>
      </c>
      <c r="G2691" t="inlineStr">
        <is>
          <t>Pixar Theory: What Happened to Andy's Dad?</t>
        </is>
      </c>
      <c r="H2691" s="41" t="n">
        <v>0.004884259259259259</v>
      </c>
      <c r="I2691" s="42" t="n">
        <v>1679711</v>
      </c>
      <c r="J2691" s="42" t="n">
        <v>36227</v>
      </c>
      <c r="K2691" s="42" t="n">
        <v>5549</v>
      </c>
      <c r="L2691" s="43" t="n"/>
      <c r="M2691" s="44" t="n"/>
      <c r="N2691" s="44" t="inlineStr">
        <is>
          <t>UCKZo4N0lVPccBkSiuyVh4yg</t>
        </is>
      </c>
      <c r="O2691" s="45" t="n">
        <v>42395.91597222222</v>
      </c>
      <c r="P2691" s="46" t="n">
        <v>42395</v>
      </c>
      <c r="Q2691" s="44" t="n">
        <v>581</v>
      </c>
      <c r="R2691" s="44" t="inlineStr">
        <is>
          <t>No Video ID yet</t>
        </is>
      </c>
      <c r="S2691" s="46" t="n"/>
      <c r="T2691" s="46" t="n"/>
      <c r="U2691" s="44" t="n"/>
      <c r="V2691" s="44">
        <f>IF(AND(P2691&gt;=Calendar!$K$2,P2691&lt;EDATE(Calendar!$K$2,1),OR(Calendar!$K$4="*",N2691=Calendar!$K$4)),P2691*100+COUNTIFS($P$6:$P$3271,P2691,$Q$6:$Q$3271,"&lt;="&amp;Q2691,$N$6:$N$3271,Calendar!$K$4),"")</f>
        <v/>
      </c>
      <c r="W2691" s="44">
        <f>IF(AND(B2691=Queue!$C$4,OR(Queue!$K$4="*",N2691=Queue!$K$4)),Q2691,"")</f>
        <v/>
      </c>
    </row>
    <row r="2692">
      <c r="A2692" s="35">
        <f>IF(M2692="","",HYPERLINK("https://www.youtube.com/watch?v="&amp;M2692,"▶"))</f>
        <v/>
      </c>
      <c r="B2692" s="36">
        <f>IF(C2692&lt;&gt;"",C2692,IF(P2692&lt;=IFERROR(INDEX(tblChannels[Watched Through],MATCH(N2692,tblChannels[Channel ID],0)),0),"Watched","Unwatched"))</f>
        <v/>
      </c>
      <c r="C2692" s="37" t="n"/>
      <c r="D2692" s="38" t="n"/>
      <c r="E2692" s="39" t="n">
        <v>42391.02847222222</v>
      </c>
      <c r="F2692" s="47" t="inlineStr">
        <is>
          <t>Super Carlin Brothers</t>
        </is>
      </c>
      <c r="G2692" t="inlineStr">
        <is>
          <t>Is Kylo Ren Actually Severus Snape?!</t>
        </is>
      </c>
      <c r="H2692" s="41" t="n">
        <v>0.003923611111111111</v>
      </c>
      <c r="I2692" s="42" t="n">
        <v>736385</v>
      </c>
      <c r="J2692" s="42" t="n">
        <v>18685</v>
      </c>
      <c r="K2692" s="42" t="n">
        <v>2878</v>
      </c>
      <c r="L2692" s="43" t="n"/>
      <c r="M2692" s="44" t="n"/>
      <c r="N2692" s="44" t="inlineStr">
        <is>
          <t>UCKZo4N0lVPccBkSiuyVh4yg</t>
        </is>
      </c>
      <c r="O2692" s="45" t="n">
        <v>42391.23680555556</v>
      </c>
      <c r="P2692" s="46" t="n">
        <v>42391</v>
      </c>
      <c r="Q2692" s="44" t="n">
        <v>580</v>
      </c>
      <c r="R2692" s="44" t="inlineStr">
        <is>
          <t>No Video ID yet</t>
        </is>
      </c>
      <c r="S2692" s="46" t="n"/>
      <c r="T2692" s="46" t="n"/>
      <c r="U2692" s="44" t="n"/>
      <c r="V2692" s="44">
        <f>IF(AND(P2692&gt;=Calendar!$K$2,P2692&lt;EDATE(Calendar!$K$2,1),OR(Calendar!$K$4="*",N2692=Calendar!$K$4)),P2692*100+COUNTIFS($P$6:$P$3271,P2692,$Q$6:$Q$3271,"&lt;="&amp;Q2692,$N$6:$N$3271,Calendar!$K$4),"")</f>
        <v/>
      </c>
      <c r="W2692" s="44">
        <f>IF(AND(B2692=Queue!$C$4,OR(Queue!$K$4="*",N2692=Queue!$K$4)),Q2692,"")</f>
        <v/>
      </c>
    </row>
    <row r="2693">
      <c r="A2693" s="35">
        <f>IF(M2693="","",HYPERLINK("https://www.youtube.com/watch?v="&amp;M2693,"▶"))</f>
        <v/>
      </c>
      <c r="B2693" s="36">
        <f>IF(C2693&lt;&gt;"",C2693,IF(P2693&lt;=IFERROR(INDEX(tblChannels[Watched Through],MATCH(N2693,tblChannels[Channel ID],0)),0),"Watched","Unwatched"))</f>
        <v/>
      </c>
      <c r="C2693" s="37" t="n"/>
      <c r="D2693" s="38" t="n"/>
      <c r="E2693" s="39" t="n">
        <v>42388.85208333333</v>
      </c>
      <c r="F2693" s="47" t="inlineStr">
        <is>
          <t>Super Carlin Brothers</t>
        </is>
      </c>
      <c r="G2693" t="inlineStr">
        <is>
          <t>Pixar Theory: Was Riley Adopted??</t>
        </is>
      </c>
      <c r="H2693" s="41" t="n">
        <v>0.004849537037037037</v>
      </c>
      <c r="I2693" s="42" t="n">
        <v>6431882</v>
      </c>
      <c r="J2693" s="42" t="n">
        <v>88454</v>
      </c>
      <c r="K2693" s="42" t="n">
        <v>19874</v>
      </c>
      <c r="L2693" s="43" t="n"/>
      <c r="M2693" s="44" t="n"/>
      <c r="N2693" s="44" t="inlineStr">
        <is>
          <t>UCKZo4N0lVPccBkSiuyVh4yg</t>
        </is>
      </c>
      <c r="O2693" s="45" t="n">
        <v>42389.06041666667</v>
      </c>
      <c r="P2693" s="46" t="n">
        <v>42388</v>
      </c>
      <c r="Q2693" s="44" t="n">
        <v>579</v>
      </c>
      <c r="R2693" s="44" t="inlineStr">
        <is>
          <t>No Video ID yet</t>
        </is>
      </c>
      <c r="S2693" s="46" t="n"/>
      <c r="T2693" s="46" t="n"/>
      <c r="U2693" s="44" t="n"/>
      <c r="V2693" s="44">
        <f>IF(AND(P2693&gt;=Calendar!$K$2,P2693&lt;EDATE(Calendar!$K$2,1),OR(Calendar!$K$4="*",N2693=Calendar!$K$4)),P2693*100+COUNTIFS($P$6:$P$3271,P2693,$Q$6:$Q$3271,"&lt;="&amp;Q2693,$N$6:$N$3271,Calendar!$K$4),"")</f>
        <v/>
      </c>
      <c r="W2693" s="44">
        <f>IF(AND(B2693=Queue!$C$4,OR(Queue!$K$4="*",N2693=Queue!$K$4)),Q2693,"")</f>
        <v/>
      </c>
    </row>
    <row r="2694">
      <c r="A2694" s="35">
        <f>IF(M2694="","",HYPERLINK("https://www.youtube.com/watch?v="&amp;M2694,"▶"))</f>
        <v/>
      </c>
      <c r="B2694" s="36">
        <f>IF(C2694&lt;&gt;"",C2694,IF(P2694&lt;=IFERROR(INDEX(tblChannels[Watched Through],MATCH(N2694,tblChannels[Channel ID],0)),0),"Watched","Unwatched"))</f>
        <v/>
      </c>
      <c r="C2694" s="37" t="n"/>
      <c r="D2694" s="38" t="n"/>
      <c r="E2694" s="39" t="n">
        <v>42384.01527777778</v>
      </c>
      <c r="F2694" s="47" t="inlineStr">
        <is>
          <t>Super Carlin Brothers</t>
        </is>
      </c>
      <c r="G2694" t="inlineStr">
        <is>
          <t>Fast Facts: Tribute - Alan Rickman</t>
        </is>
      </c>
      <c r="H2694" s="41" t="n">
        <v>0.001527777777777778</v>
      </c>
      <c r="I2694" s="42" t="n">
        <v>151660</v>
      </c>
      <c r="J2694" s="42" t="n">
        <v>8139</v>
      </c>
      <c r="K2694" s="42" t="n">
        <v>823</v>
      </c>
      <c r="L2694" s="43" t="n"/>
      <c r="M2694" s="44" t="n"/>
      <c r="N2694" s="44" t="inlineStr">
        <is>
          <t>UCKZo4N0lVPccBkSiuyVh4yg</t>
        </is>
      </c>
      <c r="O2694" s="45" t="n">
        <v>42384.22361111111</v>
      </c>
      <c r="P2694" s="46" t="n">
        <v>42384</v>
      </c>
      <c r="Q2694" s="44" t="n">
        <v>578</v>
      </c>
      <c r="R2694" s="44" t="inlineStr">
        <is>
          <t>No Video ID yet</t>
        </is>
      </c>
      <c r="S2694" s="46" t="n"/>
      <c r="T2694" s="46" t="n"/>
      <c r="U2694" s="44" t="n"/>
      <c r="V2694" s="44">
        <f>IF(AND(P2694&gt;=Calendar!$K$2,P2694&lt;EDATE(Calendar!$K$2,1),OR(Calendar!$K$4="*",N2694=Calendar!$K$4)),P2694*100+COUNTIFS($P$6:$P$3271,P2694,$Q$6:$Q$3271,"&lt;="&amp;Q2694,$N$6:$N$3271,Calendar!$K$4),"")</f>
        <v/>
      </c>
      <c r="W2694" s="44">
        <f>IF(AND(B2694=Queue!$C$4,OR(Queue!$K$4="*",N2694=Queue!$K$4)),Q2694,"")</f>
        <v/>
      </c>
    </row>
    <row r="2695">
      <c r="A2695" s="35">
        <f>IF(M2695="","",HYPERLINK("https://www.youtube.com/watch?v="&amp;M2695,"▶"))</f>
        <v/>
      </c>
      <c r="B2695" s="36">
        <f>IF(C2695&lt;&gt;"",C2695,IF(P2695&lt;=IFERROR(INDEX(tblChannels[Watched Through],MATCH(N2695,tblChannels[Channel ID],0)),0),"Watched","Unwatched"))</f>
        <v/>
      </c>
      <c r="C2695" s="37" t="n"/>
      <c r="D2695" s="38" t="n"/>
      <c r="E2695" s="39" t="n">
        <v>42381.65347222222</v>
      </c>
      <c r="F2695" s="47" t="inlineStr">
        <is>
          <t>Super Carlin Brothers</t>
        </is>
      </c>
      <c r="G2695" t="inlineStr">
        <is>
          <t>Should You Open Your Star Wars Toys?</t>
        </is>
      </c>
      <c r="H2695" s="41" t="n">
        <v>0.004085648148148148</v>
      </c>
      <c r="I2695" s="42" t="n">
        <v>190530</v>
      </c>
      <c r="J2695" s="42" t="n">
        <v>5753</v>
      </c>
      <c r="K2695" s="42" t="n">
        <v>971</v>
      </c>
      <c r="L2695" s="43" t="n"/>
      <c r="M2695" s="44" t="n"/>
      <c r="N2695" s="44" t="inlineStr">
        <is>
          <t>UCKZo4N0lVPccBkSiuyVh4yg</t>
        </is>
      </c>
      <c r="O2695" s="45" t="n">
        <v>42381.86180555556</v>
      </c>
      <c r="P2695" s="46" t="n">
        <v>42381</v>
      </c>
      <c r="Q2695" s="44" t="n">
        <v>577</v>
      </c>
      <c r="R2695" s="44" t="inlineStr">
        <is>
          <t>No Video ID yet</t>
        </is>
      </c>
      <c r="S2695" s="46" t="n"/>
      <c r="T2695" s="46" t="n"/>
      <c r="U2695" s="44" t="n"/>
      <c r="V2695" s="44">
        <f>IF(AND(P2695&gt;=Calendar!$K$2,P2695&lt;EDATE(Calendar!$K$2,1),OR(Calendar!$K$4="*",N2695=Calendar!$K$4)),P2695*100+COUNTIFS($P$6:$P$3271,P2695,$Q$6:$Q$3271,"&lt;="&amp;Q2695,$N$6:$N$3271,Calendar!$K$4),"")</f>
        <v/>
      </c>
      <c r="W2695" s="44">
        <f>IF(AND(B2695=Queue!$C$4,OR(Queue!$K$4="*",N2695=Queue!$K$4)),Q2695,"")</f>
        <v/>
      </c>
    </row>
    <row r="2696">
      <c r="A2696" s="35">
        <f>IF(M2696="","",HYPERLINK("https://www.youtube.com/watch?v="&amp;M2696,"▶"))</f>
        <v/>
      </c>
      <c r="B2696" s="36">
        <f>IF(C2696&lt;&gt;"",C2696,IF(P2696&lt;=IFERROR(INDEX(tblChannels[Watched Through],MATCH(N2696,tblChannels[Channel ID],0)),0),"Watched","Unwatched"))</f>
        <v/>
      </c>
      <c r="C2696" s="37" t="n"/>
      <c r="D2696" s="38" t="n"/>
      <c r="E2696" s="39" t="n">
        <v>42376.93541666667</v>
      </c>
      <c r="F2696" s="47" t="inlineStr">
        <is>
          <t>Super Carlin Brothers</t>
        </is>
      </c>
      <c r="G2696" t="inlineStr">
        <is>
          <t>Fast Facts: Star Wars - The Force Awakens</t>
        </is>
      </c>
      <c r="H2696" s="41" t="n">
        <v>0.001898148148148148</v>
      </c>
      <c r="I2696" s="42" t="n">
        <v>133750</v>
      </c>
      <c r="J2696" s="42" t="n">
        <v>4101</v>
      </c>
      <c r="K2696" s="42" t="n">
        <v>383</v>
      </c>
      <c r="L2696" s="43" t="n"/>
      <c r="M2696" s="44" t="n"/>
      <c r="N2696" s="44" t="inlineStr">
        <is>
          <t>UCKZo4N0lVPccBkSiuyVh4yg</t>
        </is>
      </c>
      <c r="O2696" s="45" t="n">
        <v>42377.14375</v>
      </c>
      <c r="P2696" s="46" t="n">
        <v>42376</v>
      </c>
      <c r="Q2696" s="44" t="n">
        <v>576</v>
      </c>
      <c r="R2696" s="44" t="inlineStr">
        <is>
          <t>No Video ID yet</t>
        </is>
      </c>
      <c r="S2696" s="46" t="n"/>
      <c r="T2696" s="46" t="n"/>
      <c r="U2696" s="44" t="n"/>
      <c r="V2696" s="44">
        <f>IF(AND(P2696&gt;=Calendar!$K$2,P2696&lt;EDATE(Calendar!$K$2,1),OR(Calendar!$K$4="*",N2696=Calendar!$K$4)),P2696*100+COUNTIFS($P$6:$P$3271,P2696,$Q$6:$Q$3271,"&lt;="&amp;Q2696,$N$6:$N$3271,Calendar!$K$4),"")</f>
        <v/>
      </c>
      <c r="W2696" s="44">
        <f>IF(AND(B2696=Queue!$C$4,OR(Queue!$K$4="*",N2696=Queue!$K$4)),Q2696,"")</f>
        <v/>
      </c>
    </row>
    <row r="2697">
      <c r="A2697" s="35">
        <f>IF(M2697="","",HYPERLINK("https://www.youtube.com/watch?v="&amp;M2697,"▶"))</f>
        <v/>
      </c>
      <c r="B2697" s="36">
        <f>IF(C2697&lt;&gt;"",C2697,IF(P2697&lt;=IFERROR(INDEX(tblChannels[Watched Through],MATCH(N2697,tblChannels[Channel ID],0)),0),"Watched","Unwatched"))</f>
        <v/>
      </c>
      <c r="C2697" s="37" t="n"/>
      <c r="D2697" s="38" t="n"/>
      <c r="E2697" s="39" t="n">
        <v>42374.63055555556</v>
      </c>
      <c r="F2697" s="47" t="inlineStr">
        <is>
          <t>Super Carlin Brothers</t>
        </is>
      </c>
      <c r="G2697" t="inlineStr">
        <is>
          <t>Who is Rey's Father? - Star Wars The Force Awakens</t>
        </is>
      </c>
      <c r="H2697" s="41" t="n">
        <v>0.005902777777777778</v>
      </c>
      <c r="I2697" s="42" t="n">
        <v>1664850</v>
      </c>
      <c r="J2697" s="42" t="n">
        <v>34140</v>
      </c>
      <c r="K2697" s="42" t="n">
        <v>10956</v>
      </c>
      <c r="L2697" s="43" t="n"/>
      <c r="M2697" s="44" t="n"/>
      <c r="N2697" s="44" t="inlineStr">
        <is>
          <t>UCKZo4N0lVPccBkSiuyVh4yg</t>
        </is>
      </c>
      <c r="O2697" s="45" t="n">
        <v>42374.83888888889</v>
      </c>
      <c r="P2697" s="46" t="n">
        <v>42374</v>
      </c>
      <c r="Q2697" s="44" t="n">
        <v>575</v>
      </c>
      <c r="R2697" s="44" t="inlineStr">
        <is>
          <t>No Video ID yet</t>
        </is>
      </c>
      <c r="S2697" s="46" t="n"/>
      <c r="T2697" s="46" t="n"/>
      <c r="U2697" s="44" t="n"/>
      <c r="V2697" s="44">
        <f>IF(AND(P2697&gt;=Calendar!$K$2,P2697&lt;EDATE(Calendar!$K$2,1),OR(Calendar!$K$4="*",N2697=Calendar!$K$4)),P2697*100+COUNTIFS($P$6:$P$3271,P2697,$Q$6:$Q$3271,"&lt;="&amp;Q2697,$N$6:$N$3271,Calendar!$K$4),"")</f>
        <v/>
      </c>
      <c r="W2697" s="44">
        <f>IF(AND(B2697=Queue!$C$4,OR(Queue!$K$4="*",N2697=Queue!$K$4)),Q2697,"")</f>
        <v/>
      </c>
    </row>
    <row r="2698">
      <c r="A2698" s="35">
        <f>IF(M2698="","",HYPERLINK("https://www.youtube.com/watch?v="&amp;M2698,"▶"))</f>
        <v/>
      </c>
      <c r="B2698" s="36">
        <f>IF(C2698&lt;&gt;"",C2698,IF(P2698&lt;=IFERROR(INDEX(tblChannels[Watched Through],MATCH(N2698,tblChannels[Channel ID],0)),0),"Watched","Unwatched"))</f>
        <v/>
      </c>
      <c r="C2698" s="37" t="n"/>
      <c r="D2698" s="38" t="n"/>
      <c r="E2698" s="39" t="n">
        <v>42369.8125</v>
      </c>
      <c r="F2698" s="47" t="inlineStr">
        <is>
          <t>Super Carlin Brothers</t>
        </is>
      </c>
      <c r="G2698" t="inlineStr">
        <is>
          <t>Fast Facts: Frozen</t>
        </is>
      </c>
      <c r="H2698" s="41" t="n">
        <v>0.00181712962962963</v>
      </c>
      <c r="I2698" s="42" t="n">
        <v>175692</v>
      </c>
      <c r="J2698" s="42" t="n">
        <v>4265</v>
      </c>
      <c r="K2698" s="42" t="n">
        <v>326</v>
      </c>
      <c r="L2698" s="43" t="n"/>
      <c r="M2698" s="44" t="n"/>
      <c r="N2698" s="44" t="inlineStr">
        <is>
          <t>UCKZo4N0lVPccBkSiuyVh4yg</t>
        </is>
      </c>
      <c r="O2698" s="45" t="n">
        <v>42370.02083333334</v>
      </c>
      <c r="P2698" s="46" t="n">
        <v>42369</v>
      </c>
      <c r="Q2698" s="44" t="n">
        <v>574</v>
      </c>
      <c r="R2698" s="44" t="inlineStr">
        <is>
          <t>No Video ID yet</t>
        </is>
      </c>
      <c r="S2698" s="46" t="n"/>
      <c r="T2698" s="46" t="n"/>
      <c r="U2698" s="44" t="n"/>
      <c r="V2698" s="44">
        <f>IF(AND(P2698&gt;=Calendar!$K$2,P2698&lt;EDATE(Calendar!$K$2,1),OR(Calendar!$K$4="*",N2698=Calendar!$K$4)),P2698*100+COUNTIFS($P$6:$P$3271,P2698,$Q$6:$Q$3271,"&lt;="&amp;Q2698,$N$6:$N$3271,Calendar!$K$4),"")</f>
        <v/>
      </c>
      <c r="W2698" s="44">
        <f>IF(AND(B2698=Queue!$C$4,OR(Queue!$K$4="*",N2698=Queue!$K$4)),Q2698,"")</f>
        <v/>
      </c>
    </row>
    <row r="2699">
      <c r="A2699" s="35">
        <f>IF(M2699="","",HYPERLINK("https://www.youtube.com/watch?v="&amp;M2699,"▶"))</f>
        <v/>
      </c>
      <c r="B2699" s="36">
        <f>IF(C2699&lt;&gt;"",C2699,IF(P2699&lt;=IFERROR(INDEX(tblChannels[Watched Through],MATCH(N2699,tblChannels[Channel ID],0)),0),"Watched","Unwatched"))</f>
        <v/>
      </c>
      <c r="C2699" s="37" t="n"/>
      <c r="D2699" s="38" t="n"/>
      <c r="E2699" s="39" t="n">
        <v>42368.60138888889</v>
      </c>
      <c r="F2699" s="49" t="inlineStr">
        <is>
          <t>Super Carlin Gaming</t>
        </is>
      </c>
      <c r="G2699" t="inlineStr">
        <is>
          <t>Pokemon HeartGold Nuzlocke #25: The Kimono Girls</t>
        </is>
      </c>
      <c r="H2699" s="41" t="n">
        <v>0.02006944444444445</v>
      </c>
      <c r="I2699" s="42" t="n">
        <v>26411</v>
      </c>
      <c r="J2699" s="42" t="n">
        <v>778</v>
      </c>
      <c r="K2699" s="42" t="n">
        <v>265</v>
      </c>
      <c r="L2699" s="43" t="n"/>
      <c r="M2699" s="44" t="n"/>
      <c r="N2699" s="44" t="inlineStr">
        <is>
          <t>UCor_9jRnNNZVzTuQ92PKsaQ</t>
        </is>
      </c>
      <c r="O2699" s="45" t="n">
        <v>42368.80972222222</v>
      </c>
      <c r="P2699" s="46" t="n">
        <v>42368</v>
      </c>
      <c r="Q2699" s="44" t="n">
        <v>573</v>
      </c>
      <c r="R2699" s="44" t="inlineStr">
        <is>
          <t>No Video ID yet</t>
        </is>
      </c>
      <c r="S2699" s="46" t="n"/>
      <c r="T2699" s="46" t="n"/>
      <c r="U2699" s="44" t="n"/>
      <c r="V2699" s="44">
        <f>IF(AND(P2699&gt;=Calendar!$K$2,P2699&lt;EDATE(Calendar!$K$2,1),OR(Calendar!$K$4="*",N2699=Calendar!$K$4)),P2699*100+COUNTIFS($P$6:$P$3271,P2699,$Q$6:$Q$3271,"&lt;="&amp;Q2699,$N$6:$N$3271,Calendar!$K$4),"")</f>
        <v/>
      </c>
      <c r="W2699" s="44">
        <f>IF(AND(B2699=Queue!$C$4,OR(Queue!$K$4="*",N2699=Queue!$K$4)),Q2699,"")</f>
        <v/>
      </c>
    </row>
    <row r="2700">
      <c r="A2700" s="35">
        <f>IF(M2700="","",HYPERLINK("https://www.youtube.com/watch?v="&amp;M2700,"▶"))</f>
        <v/>
      </c>
      <c r="B2700" s="36">
        <f>IF(C2700&lt;&gt;"",C2700,IF(P2700&lt;=IFERROR(INDEX(tblChannels[Watched Through],MATCH(N2700,tblChannels[Channel ID],0)),0),"Watched","Unwatched"))</f>
        <v/>
      </c>
      <c r="C2700" s="37" t="n"/>
      <c r="D2700" s="38" t="n"/>
      <c r="E2700" s="39" t="n">
        <v>42367.75763888889</v>
      </c>
      <c r="F2700" s="47" t="inlineStr">
        <is>
          <t>Super Carlin Brothers</t>
        </is>
      </c>
      <c r="G2700" t="inlineStr">
        <is>
          <t>Does Elsa Google Autofill</t>
        </is>
      </c>
      <c r="H2700" s="41" t="n">
        <v>0.004247685185185185</v>
      </c>
      <c r="I2700" s="42" t="n">
        <v>970107</v>
      </c>
      <c r="J2700" s="42" t="n">
        <v>14080</v>
      </c>
      <c r="K2700" s="42" t="n">
        <v>2879</v>
      </c>
      <c r="L2700" s="43" t="n"/>
      <c r="M2700" s="44" t="n"/>
      <c r="N2700" s="44" t="inlineStr">
        <is>
          <t>UCKZo4N0lVPccBkSiuyVh4yg</t>
        </is>
      </c>
      <c r="O2700" s="45" t="n">
        <v>42367.96597222222</v>
      </c>
      <c r="P2700" s="46" t="n">
        <v>42367</v>
      </c>
      <c r="Q2700" s="44" t="n">
        <v>572</v>
      </c>
      <c r="R2700" s="44" t="inlineStr">
        <is>
          <t>No Video ID yet</t>
        </is>
      </c>
      <c r="S2700" s="46" t="n"/>
      <c r="T2700" s="46" t="n"/>
      <c r="U2700" s="44" t="n"/>
      <c r="V2700" s="44">
        <f>IF(AND(P2700&gt;=Calendar!$K$2,P2700&lt;EDATE(Calendar!$K$2,1),OR(Calendar!$K$4="*",N2700=Calendar!$K$4)),P2700*100+COUNTIFS($P$6:$P$3271,P2700,$Q$6:$Q$3271,"&lt;="&amp;Q2700,$N$6:$N$3271,Calendar!$K$4),"")</f>
        <v/>
      </c>
      <c r="W2700" s="44">
        <f>IF(AND(B2700=Queue!$C$4,OR(Queue!$K$4="*",N2700=Queue!$K$4)),Q2700,"")</f>
        <v/>
      </c>
    </row>
    <row r="2701">
      <c r="A2701" s="35">
        <f>IF(M2701="","",HYPERLINK("https://www.youtube.com/watch?v="&amp;M2701,"▶"))</f>
        <v/>
      </c>
      <c r="B2701" s="36">
        <f>IF(C2701&lt;&gt;"",C2701,IF(P2701&lt;=IFERROR(INDEX(tblChannels[Watched Through],MATCH(N2701,tblChannels[Channel ID],0)),0),"Watched","Unwatched"))</f>
        <v/>
      </c>
      <c r="C2701" s="37" t="n"/>
      <c r="D2701" s="38" t="n"/>
      <c r="E2701" s="39" t="n">
        <v>42360.73611111111</v>
      </c>
      <c r="F2701" s="47" t="inlineStr">
        <is>
          <t>Super Carlin Brothers</t>
        </is>
      </c>
      <c r="G2701" t="inlineStr">
        <is>
          <t>Top 7 Unanswered Questions from Star Wars The Force Awakens</t>
        </is>
      </c>
      <c r="H2701" s="41" t="n">
        <v>0.004918981481481482</v>
      </c>
      <c r="I2701" s="42" t="n">
        <v>2512293</v>
      </c>
      <c r="J2701" s="42" t="n">
        <v>39617</v>
      </c>
      <c r="K2701" s="42" t="n">
        <v>13527</v>
      </c>
      <c r="L2701" s="43" t="n"/>
      <c r="M2701" s="44" t="n"/>
      <c r="N2701" s="44" t="inlineStr">
        <is>
          <t>UCKZo4N0lVPccBkSiuyVh4yg</t>
        </is>
      </c>
      <c r="O2701" s="45" t="n">
        <v>42360.94444444445</v>
      </c>
      <c r="P2701" s="46" t="n">
        <v>42360</v>
      </c>
      <c r="Q2701" s="44" t="n">
        <v>571</v>
      </c>
      <c r="R2701" s="44" t="inlineStr">
        <is>
          <t>No Video ID yet</t>
        </is>
      </c>
      <c r="S2701" s="46" t="n"/>
      <c r="T2701" s="46" t="n"/>
      <c r="U2701" s="44" t="n"/>
      <c r="V2701" s="44">
        <f>IF(AND(P2701&gt;=Calendar!$K$2,P2701&lt;EDATE(Calendar!$K$2,1),OR(Calendar!$K$4="*",N2701=Calendar!$K$4)),P2701*100+COUNTIFS($P$6:$P$3271,P2701,$Q$6:$Q$3271,"&lt;="&amp;Q2701,$N$6:$N$3271,Calendar!$K$4),"")</f>
        <v/>
      </c>
      <c r="W2701" s="44">
        <f>IF(AND(B2701=Queue!$C$4,OR(Queue!$K$4="*",N2701=Queue!$K$4)),Q2701,"")</f>
        <v/>
      </c>
    </row>
    <row r="2702">
      <c r="A2702" s="35">
        <f>IF(M2702="","",HYPERLINK("https://www.youtube.com/watch?v="&amp;M2702,"▶"))</f>
        <v/>
      </c>
      <c r="B2702" s="36">
        <f>IF(C2702&lt;&gt;"",C2702,IF(P2702&lt;=IFERROR(INDEX(tblChannels[Watched Through],MATCH(N2702,tblChannels[Channel ID],0)),0),"Watched","Unwatched"))</f>
        <v/>
      </c>
      <c r="C2702" s="37" t="n"/>
      <c r="D2702" s="38" t="n"/>
      <c r="E2702" s="39" t="n">
        <v>42356.07569444444</v>
      </c>
      <c r="F2702" s="47" t="inlineStr">
        <is>
          <t>Super Carlin Brothers</t>
        </is>
      </c>
      <c r="G2702" t="inlineStr">
        <is>
          <t>Fast Facts: Star Wars - Return of the Jedi</t>
        </is>
      </c>
      <c r="H2702" s="41" t="n">
        <v>0.001770833333333333</v>
      </c>
      <c r="I2702" s="42" t="n">
        <v>110086</v>
      </c>
      <c r="J2702" s="42" t="n">
        <v>2580</v>
      </c>
      <c r="K2702" s="42" t="n">
        <v>272</v>
      </c>
      <c r="L2702" s="43" t="n"/>
      <c r="M2702" s="44" t="n"/>
      <c r="N2702" s="44" t="inlineStr">
        <is>
          <t>UCKZo4N0lVPccBkSiuyVh4yg</t>
        </is>
      </c>
      <c r="O2702" s="45" t="n">
        <v>42356.28402777778</v>
      </c>
      <c r="P2702" s="46" t="n">
        <v>42356</v>
      </c>
      <c r="Q2702" s="44" t="n">
        <v>570</v>
      </c>
      <c r="R2702" s="44" t="inlineStr">
        <is>
          <t>No Video ID yet</t>
        </is>
      </c>
      <c r="S2702" s="46" t="n"/>
      <c r="T2702" s="46" t="n"/>
      <c r="U2702" s="44" t="n"/>
      <c r="V2702" s="44">
        <f>IF(AND(P2702&gt;=Calendar!$K$2,P2702&lt;EDATE(Calendar!$K$2,1),OR(Calendar!$K$4="*",N2702=Calendar!$K$4)),P2702*100+COUNTIFS($P$6:$P$3271,P2702,$Q$6:$Q$3271,"&lt;="&amp;Q2702,$N$6:$N$3271,Calendar!$K$4),"")</f>
        <v/>
      </c>
      <c r="W2702" s="44">
        <f>IF(AND(B2702=Queue!$C$4,OR(Queue!$K$4="*",N2702=Queue!$K$4)),Q2702,"")</f>
        <v/>
      </c>
    </row>
    <row r="2703">
      <c r="A2703" s="35">
        <f>IF(M2703="","",HYPERLINK("https://www.youtube.com/watch?v="&amp;M2703,"▶"))</f>
        <v/>
      </c>
      <c r="B2703" s="36">
        <f>IF(C2703&lt;&gt;"",C2703,IF(P2703&lt;=IFERROR(INDEX(tblChannels[Watched Through],MATCH(N2703,tblChannels[Channel ID],0)),0),"Watched","Unwatched"))</f>
        <v/>
      </c>
      <c r="C2703" s="37" t="n"/>
      <c r="D2703" s="38" t="n"/>
      <c r="E2703" s="39" t="n">
        <v>42353.69722222222</v>
      </c>
      <c r="F2703" s="47" t="inlineStr">
        <is>
          <t>Super Carlin Brothers</t>
        </is>
      </c>
      <c r="G2703" t="inlineStr">
        <is>
          <t>Star Wars Theory: Darth Jar Jar</t>
        </is>
      </c>
      <c r="H2703" s="41" t="n">
        <v>0.007395833333333333</v>
      </c>
      <c r="I2703" s="42" t="n">
        <v>1327691</v>
      </c>
      <c r="J2703" s="42" t="n">
        <v>26677</v>
      </c>
      <c r="K2703" s="42" t="n">
        <v>4563</v>
      </c>
      <c r="L2703" s="43" t="n"/>
      <c r="M2703" s="44" t="n"/>
      <c r="N2703" s="44" t="inlineStr">
        <is>
          <t>UCKZo4N0lVPccBkSiuyVh4yg</t>
        </is>
      </c>
      <c r="O2703" s="45" t="n">
        <v>42353.90555555555</v>
      </c>
      <c r="P2703" s="46" t="n">
        <v>42353</v>
      </c>
      <c r="Q2703" s="44" t="n">
        <v>569</v>
      </c>
      <c r="R2703" s="44" t="inlineStr">
        <is>
          <t>No Video ID yet</t>
        </is>
      </c>
      <c r="S2703" s="46" t="n"/>
      <c r="T2703" s="46" t="n"/>
      <c r="U2703" s="44" t="n"/>
      <c r="V2703" s="44">
        <f>IF(AND(P2703&gt;=Calendar!$K$2,P2703&lt;EDATE(Calendar!$K$2,1),OR(Calendar!$K$4="*",N2703=Calendar!$K$4)),P2703*100+COUNTIFS($P$6:$P$3271,P2703,$Q$6:$Q$3271,"&lt;="&amp;Q2703,$N$6:$N$3271,Calendar!$K$4),"")</f>
        <v/>
      </c>
      <c r="W2703" s="44">
        <f>IF(AND(B2703=Queue!$C$4,OR(Queue!$K$4="*",N2703=Queue!$K$4)),Q2703,"")</f>
        <v/>
      </c>
    </row>
    <row r="2704">
      <c r="A2704" s="35">
        <f>IF(M2704="","",HYPERLINK("https://www.youtube.com/watch?v="&amp;M2704,"▶"))</f>
        <v/>
      </c>
      <c r="B2704" s="36">
        <f>IF(C2704&lt;&gt;"",C2704,IF(P2704&lt;=IFERROR(INDEX(tblChannels[Watched Through],MATCH(N2704,tblChannels[Channel ID],0)),0),"Watched","Unwatched"))</f>
        <v/>
      </c>
      <c r="C2704" s="37" t="n"/>
      <c r="D2704" s="38" t="n"/>
      <c r="E2704" s="39" t="n">
        <v>42348.9</v>
      </c>
      <c r="F2704" s="47" t="inlineStr">
        <is>
          <t>Super Carlin Brothers</t>
        </is>
      </c>
      <c r="G2704" t="inlineStr">
        <is>
          <t>Fast Facts: Star Wars - The Empire Strikes Back</t>
        </is>
      </c>
      <c r="H2704" s="41" t="n">
        <v>0.001643518518518519</v>
      </c>
      <c r="I2704" s="42" t="n">
        <v>102549</v>
      </c>
      <c r="J2704" s="42" t="n">
        <v>2422</v>
      </c>
      <c r="K2704" s="42" t="n">
        <v>133</v>
      </c>
      <c r="L2704" s="43" t="n"/>
      <c r="M2704" s="44" t="n"/>
      <c r="N2704" s="44" t="inlineStr">
        <is>
          <t>UCKZo4N0lVPccBkSiuyVh4yg</t>
        </is>
      </c>
      <c r="O2704" s="45" t="n">
        <v>42349.10833333333</v>
      </c>
      <c r="P2704" s="46" t="n">
        <v>42348</v>
      </c>
      <c r="Q2704" s="44" t="n">
        <v>568</v>
      </c>
      <c r="R2704" s="44" t="inlineStr">
        <is>
          <t>No Video ID yet</t>
        </is>
      </c>
      <c r="S2704" s="46" t="n"/>
      <c r="T2704" s="46" t="n"/>
      <c r="U2704" s="44" t="n"/>
      <c r="V2704" s="44">
        <f>IF(AND(P2704&gt;=Calendar!$K$2,P2704&lt;EDATE(Calendar!$K$2,1),OR(Calendar!$K$4="*",N2704=Calendar!$K$4)),P2704*100+COUNTIFS($P$6:$P$3271,P2704,$Q$6:$Q$3271,"&lt;="&amp;Q2704,$N$6:$N$3271,Calendar!$K$4),"")</f>
        <v/>
      </c>
      <c r="W2704" s="44">
        <f>IF(AND(B2704=Queue!$C$4,OR(Queue!$K$4="*",N2704=Queue!$K$4)),Q2704,"")</f>
        <v/>
      </c>
    </row>
    <row r="2705">
      <c r="A2705" s="35">
        <f>IF(M2705="","",HYPERLINK("https://www.youtube.com/watch?v="&amp;M2705,"▶"))</f>
        <v/>
      </c>
      <c r="B2705" s="36">
        <f>IF(C2705&lt;&gt;"",C2705,IF(P2705&lt;=IFERROR(INDEX(tblChannels[Watched Through],MATCH(N2705,tblChannels[Channel ID],0)),0),"Watched","Unwatched"))</f>
        <v/>
      </c>
      <c r="C2705" s="37" t="n"/>
      <c r="D2705" s="38" t="n"/>
      <c r="E2705" s="39" t="n">
        <v>42346.625</v>
      </c>
      <c r="F2705" s="47" t="inlineStr">
        <is>
          <t>Super Carlin Brothers</t>
        </is>
      </c>
      <c r="G2705" t="inlineStr">
        <is>
          <t>How to Talk Star Wars</t>
        </is>
      </c>
      <c r="H2705" s="41" t="n">
        <v>0.005659722222222222</v>
      </c>
      <c r="I2705" s="42" t="n">
        <v>348525</v>
      </c>
      <c r="J2705" s="42" t="n">
        <v>8061</v>
      </c>
      <c r="K2705" s="42" t="n">
        <v>1636</v>
      </c>
      <c r="L2705" s="43" t="n"/>
      <c r="M2705" s="44" t="n"/>
      <c r="N2705" s="44" t="inlineStr">
        <is>
          <t>UCKZo4N0lVPccBkSiuyVh4yg</t>
        </is>
      </c>
      <c r="O2705" s="45" t="n">
        <v>42346.83333333334</v>
      </c>
      <c r="P2705" s="46" t="n">
        <v>42346</v>
      </c>
      <c r="Q2705" s="44" t="n">
        <v>567</v>
      </c>
      <c r="R2705" s="44" t="inlineStr">
        <is>
          <t>No Video ID yet</t>
        </is>
      </c>
      <c r="S2705" s="46" t="n"/>
      <c r="T2705" s="46" t="n"/>
      <c r="U2705" s="44" t="n"/>
      <c r="V2705" s="44">
        <f>IF(AND(P2705&gt;=Calendar!$K$2,P2705&lt;EDATE(Calendar!$K$2,1),OR(Calendar!$K$4="*",N2705=Calendar!$K$4)),P2705*100+COUNTIFS($P$6:$P$3271,P2705,$Q$6:$Q$3271,"&lt;="&amp;Q2705,$N$6:$N$3271,Calendar!$K$4),"")</f>
        <v/>
      </c>
      <c r="W2705" s="44">
        <f>IF(AND(B2705=Queue!$C$4,OR(Queue!$K$4="*",N2705=Queue!$K$4)),Q2705,"")</f>
        <v/>
      </c>
    </row>
    <row r="2706">
      <c r="A2706" s="35">
        <f>IF(M2706="","",HYPERLINK("https://www.youtube.com/watch?v="&amp;M2706,"▶"))</f>
        <v/>
      </c>
      <c r="B2706" s="36">
        <f>IF(C2706&lt;&gt;"",C2706,IF(P2706&lt;=IFERROR(INDEX(tblChannels[Watched Through],MATCH(N2706,tblChannels[Channel ID],0)),0),"Watched","Unwatched"))</f>
        <v/>
      </c>
      <c r="C2706" s="37" t="n"/>
      <c r="D2706" s="38" t="n"/>
      <c r="E2706" s="39" t="n">
        <v>42341.96180555555</v>
      </c>
      <c r="F2706" s="47" t="inlineStr">
        <is>
          <t>Super Carlin Brothers</t>
        </is>
      </c>
      <c r="G2706" t="inlineStr">
        <is>
          <t>Fast Facts: Star Wars - A New Hope</t>
        </is>
      </c>
      <c r="H2706" s="41" t="n">
        <v>0.002002314814814815</v>
      </c>
      <c r="I2706" s="42" t="n">
        <v>115948</v>
      </c>
      <c r="J2706" s="42" t="n">
        <v>2956</v>
      </c>
      <c r="K2706" s="42" t="n">
        <v>269</v>
      </c>
      <c r="L2706" s="43" t="n"/>
      <c r="M2706" s="44" t="n"/>
      <c r="N2706" s="44" t="inlineStr">
        <is>
          <t>UCKZo4N0lVPccBkSiuyVh4yg</t>
        </is>
      </c>
      <c r="O2706" s="45" t="n">
        <v>42342.17013888889</v>
      </c>
      <c r="P2706" s="46" t="n">
        <v>42341</v>
      </c>
      <c r="Q2706" s="44" t="n">
        <v>566</v>
      </c>
      <c r="R2706" s="44" t="inlineStr">
        <is>
          <t>No Video ID yet</t>
        </is>
      </c>
      <c r="S2706" s="46" t="n"/>
      <c r="T2706" s="46" t="n"/>
      <c r="U2706" s="44" t="n"/>
      <c r="V2706" s="44">
        <f>IF(AND(P2706&gt;=Calendar!$K$2,P2706&lt;EDATE(Calendar!$K$2,1),OR(Calendar!$K$4="*",N2706=Calendar!$K$4)),P2706*100+COUNTIFS($P$6:$P$3271,P2706,$Q$6:$Q$3271,"&lt;="&amp;Q2706,$N$6:$N$3271,Calendar!$K$4),"")</f>
        <v/>
      </c>
      <c r="W2706" s="44">
        <f>IF(AND(B2706=Queue!$C$4,OR(Queue!$K$4="*",N2706=Queue!$K$4)),Q2706,"")</f>
        <v/>
      </c>
    </row>
    <row r="2707">
      <c r="A2707" s="35">
        <f>IF(M2707="","",HYPERLINK("https://www.youtube.com/watch?v="&amp;M2707,"▶"))</f>
        <v/>
      </c>
      <c r="B2707" s="36">
        <f>IF(C2707&lt;&gt;"",C2707,IF(P2707&lt;=IFERROR(INDEX(tblChannels[Watched Through],MATCH(N2707,tblChannels[Channel ID],0)),0),"Watched","Unwatched"))</f>
        <v/>
      </c>
      <c r="C2707" s="37" t="n"/>
      <c r="D2707" s="38" t="n"/>
      <c r="E2707" s="39" t="n">
        <v>42341.44513888889</v>
      </c>
      <c r="F2707" s="49" t="inlineStr">
        <is>
          <t>Super Carlin Gaming</t>
        </is>
      </c>
      <c r="G2707" t="inlineStr">
        <is>
          <t>Pokemon HeartGold Nuzlocke #24: The Dragons Den</t>
        </is>
      </c>
      <c r="H2707" s="41" t="n">
        <v>0.009768518518518518</v>
      </c>
      <c r="I2707" s="42" t="n">
        <v>18649</v>
      </c>
      <c r="J2707" s="42" t="n">
        <v>373</v>
      </c>
      <c r="K2707" s="42" t="n">
        <v>79</v>
      </c>
      <c r="L2707" s="43" t="n"/>
      <c r="M2707" s="44" t="n"/>
      <c r="N2707" s="44" t="inlineStr">
        <is>
          <t>UCor_9jRnNNZVzTuQ92PKsaQ</t>
        </is>
      </c>
      <c r="O2707" s="45" t="n">
        <v>42341.65347222222</v>
      </c>
      <c r="P2707" s="46" t="n">
        <v>42341</v>
      </c>
      <c r="Q2707" s="44" t="n">
        <v>565</v>
      </c>
      <c r="R2707" s="44" t="inlineStr">
        <is>
          <t>No Video ID yet</t>
        </is>
      </c>
      <c r="S2707" s="46" t="n"/>
      <c r="T2707" s="46" t="n"/>
      <c r="U2707" s="44" t="n"/>
      <c r="V2707" s="44">
        <f>IF(AND(P2707&gt;=Calendar!$K$2,P2707&lt;EDATE(Calendar!$K$2,1),OR(Calendar!$K$4="*",N2707=Calendar!$K$4)),P2707*100+COUNTIFS($P$6:$P$3271,P2707,$Q$6:$Q$3271,"&lt;="&amp;Q2707,$N$6:$N$3271,Calendar!$K$4),"")</f>
        <v/>
      </c>
      <c r="W2707" s="44">
        <f>IF(AND(B2707=Queue!$C$4,OR(Queue!$K$4="*",N2707=Queue!$K$4)),Q2707,"")</f>
        <v/>
      </c>
    </row>
    <row r="2708">
      <c r="A2708" s="35">
        <f>IF(M2708="","",HYPERLINK("https://www.youtube.com/watch?v="&amp;M2708,"▶"))</f>
        <v/>
      </c>
      <c r="B2708" s="36">
        <f>IF(C2708&lt;&gt;"",C2708,IF(P2708&lt;=IFERROR(INDEX(tblChannels[Watched Through],MATCH(N2708,tblChannels[Channel ID],0)),0),"Watched","Unwatched"))</f>
        <v/>
      </c>
      <c r="C2708" s="37" t="n"/>
      <c r="D2708" s="38" t="n"/>
      <c r="E2708" s="39" t="n">
        <v>42339.68263888889</v>
      </c>
      <c r="F2708" s="47" t="inlineStr">
        <is>
          <t>Super Carlin Brothers</t>
        </is>
      </c>
      <c r="G2708" t="inlineStr">
        <is>
          <t>How The Good Dinosaur fits into The Pixar Theory</t>
        </is>
      </c>
      <c r="H2708" s="41" t="n">
        <v>0.005856481481481482</v>
      </c>
      <c r="I2708" s="42" t="n">
        <v>1876771</v>
      </c>
      <c r="J2708" s="42" t="n">
        <v>29429</v>
      </c>
      <c r="K2708" s="42" t="n">
        <v>4191</v>
      </c>
      <c r="L2708" s="43" t="n"/>
      <c r="M2708" s="44" t="n"/>
      <c r="N2708" s="44" t="inlineStr">
        <is>
          <t>UCKZo4N0lVPccBkSiuyVh4yg</t>
        </is>
      </c>
      <c r="O2708" s="45" t="n">
        <v>42339.89097222222</v>
      </c>
      <c r="P2708" s="46" t="n">
        <v>42339</v>
      </c>
      <c r="Q2708" s="44" t="n">
        <v>564</v>
      </c>
      <c r="R2708" s="44" t="inlineStr">
        <is>
          <t>No Video ID yet</t>
        </is>
      </c>
      <c r="S2708" s="46" t="n"/>
      <c r="T2708" s="46" t="n"/>
      <c r="U2708" s="44" t="n"/>
      <c r="V2708" s="44">
        <f>IF(AND(P2708&gt;=Calendar!$K$2,P2708&lt;EDATE(Calendar!$K$2,1),OR(Calendar!$K$4="*",N2708=Calendar!$K$4)),P2708*100+COUNTIFS($P$6:$P$3271,P2708,$Q$6:$Q$3271,"&lt;="&amp;Q2708,$N$6:$N$3271,Calendar!$K$4),"")</f>
        <v/>
      </c>
      <c r="W2708" s="44">
        <f>IF(AND(B2708=Queue!$C$4,OR(Queue!$K$4="*",N2708=Queue!$K$4)),Q2708,"")</f>
        <v/>
      </c>
    </row>
    <row r="2709">
      <c r="A2709" s="35">
        <f>IF(M2709="","",HYPERLINK("https://www.youtube.com/watch?v="&amp;M2709,"▶"))</f>
        <v/>
      </c>
      <c r="B2709" s="36">
        <f>IF(C2709&lt;&gt;"",C2709,IF(P2709&lt;=IFERROR(INDEX(tblChannels[Watched Through],MATCH(N2709,tblChannels[Channel ID],0)),0),"Watched","Unwatched"))</f>
        <v/>
      </c>
      <c r="C2709" s="37" t="n"/>
      <c r="D2709" s="38" t="n"/>
      <c r="E2709" s="39" t="n">
        <v>42334.67152777778</v>
      </c>
      <c r="F2709" s="47" t="inlineStr">
        <is>
          <t>Super Carlin Brothers</t>
        </is>
      </c>
      <c r="G2709" t="inlineStr">
        <is>
          <t>Pixar Fast Facts: The Good Dinosaur</t>
        </is>
      </c>
      <c r="H2709" s="41" t="n">
        <v>0.001666666666666667</v>
      </c>
      <c r="I2709" s="42" t="n">
        <v>153636</v>
      </c>
      <c r="J2709" s="42" t="n">
        <v>3746</v>
      </c>
      <c r="K2709" s="42" t="n">
        <v>289</v>
      </c>
      <c r="L2709" s="43" t="n"/>
      <c r="M2709" s="44" t="n"/>
      <c r="N2709" s="44" t="inlineStr">
        <is>
          <t>UCKZo4N0lVPccBkSiuyVh4yg</t>
        </is>
      </c>
      <c r="O2709" s="45" t="n">
        <v>42334.87986111111</v>
      </c>
      <c r="P2709" s="46" t="n">
        <v>42334</v>
      </c>
      <c r="Q2709" s="44" t="n">
        <v>563</v>
      </c>
      <c r="R2709" s="44" t="inlineStr">
        <is>
          <t>No Video ID yet</t>
        </is>
      </c>
      <c r="S2709" s="46" t="n"/>
      <c r="T2709" s="46" t="n"/>
      <c r="U2709" s="44" t="n"/>
      <c r="V2709" s="44">
        <f>IF(AND(P2709&gt;=Calendar!$K$2,P2709&lt;EDATE(Calendar!$K$2,1),OR(Calendar!$K$4="*",N2709=Calendar!$K$4)),P2709*100+COUNTIFS($P$6:$P$3271,P2709,$Q$6:$Q$3271,"&lt;="&amp;Q2709,$N$6:$N$3271,Calendar!$K$4),"")</f>
        <v/>
      </c>
      <c r="W2709" s="44">
        <f>IF(AND(B2709=Queue!$C$4,OR(Queue!$K$4="*",N2709=Queue!$K$4)),Q2709,"")</f>
        <v/>
      </c>
    </row>
    <row r="2710">
      <c r="A2710" s="35">
        <f>IF(M2710="","",HYPERLINK("https://www.youtube.com/watch?v="&amp;M2710,"▶"))</f>
        <v/>
      </c>
      <c r="B2710" s="36">
        <f>IF(C2710&lt;&gt;"",C2710,IF(P2710&lt;=IFERROR(INDEX(tblChannels[Watched Through],MATCH(N2710,tblChannels[Channel ID],0)),0),"Watched","Unwatched"))</f>
        <v/>
      </c>
      <c r="C2710" s="37" t="n"/>
      <c r="D2710" s="38" t="n"/>
      <c r="E2710" s="39" t="n">
        <v>42332.63333333333</v>
      </c>
      <c r="F2710" s="47" t="inlineStr">
        <is>
          <t>Super Carlin Brothers</t>
        </is>
      </c>
      <c r="G2710" t="inlineStr">
        <is>
          <t>Pixar Movie Names In Other Countries</t>
        </is>
      </c>
      <c r="H2710" s="41" t="n">
        <v>0.004606481481481481</v>
      </c>
      <c r="I2710" s="42" t="n">
        <v>848740</v>
      </c>
      <c r="J2710" s="42" t="n">
        <v>18137</v>
      </c>
      <c r="K2710" s="42" t="n">
        <v>3739</v>
      </c>
      <c r="L2710" s="43" t="n"/>
      <c r="M2710" s="44" t="n"/>
      <c r="N2710" s="44" t="inlineStr">
        <is>
          <t>UCKZo4N0lVPccBkSiuyVh4yg</t>
        </is>
      </c>
      <c r="O2710" s="45" t="n">
        <v>42332.84166666667</v>
      </c>
      <c r="P2710" s="46" t="n">
        <v>42332</v>
      </c>
      <c r="Q2710" s="44" t="n">
        <v>562</v>
      </c>
      <c r="R2710" s="44" t="inlineStr">
        <is>
          <t>No Video ID yet</t>
        </is>
      </c>
      <c r="S2710" s="46" t="n"/>
      <c r="T2710" s="46" t="n"/>
      <c r="U2710" s="44" t="n"/>
      <c r="V2710" s="44">
        <f>IF(AND(P2710&gt;=Calendar!$K$2,P2710&lt;EDATE(Calendar!$K$2,1),OR(Calendar!$K$4="*",N2710=Calendar!$K$4)),P2710*100+COUNTIFS($P$6:$P$3271,P2710,$Q$6:$Q$3271,"&lt;="&amp;Q2710,$N$6:$N$3271,Calendar!$K$4),"")</f>
        <v/>
      </c>
      <c r="W2710" s="44">
        <f>IF(AND(B2710=Queue!$C$4,OR(Queue!$K$4="*",N2710=Queue!$K$4)),Q2710,"")</f>
        <v/>
      </c>
    </row>
    <row r="2711">
      <c r="A2711" s="35">
        <f>IF(M2711="","",HYPERLINK("https://www.youtube.com/watch?v="&amp;M2711,"▶"))</f>
        <v/>
      </c>
      <c r="B2711" s="36">
        <f>IF(C2711&lt;&gt;"",C2711,IF(P2711&lt;=IFERROR(INDEX(tblChannels[Watched Through],MATCH(N2711,tblChannels[Channel ID],0)),0),"Watched","Unwatched"))</f>
        <v/>
      </c>
      <c r="C2711" s="37" t="n"/>
      <c r="D2711" s="38" t="n"/>
      <c r="E2711" s="39" t="n">
        <v>42327.80138888889</v>
      </c>
      <c r="F2711" s="47" t="inlineStr">
        <is>
          <t>Super Carlin Brothers</t>
        </is>
      </c>
      <c r="G2711" t="inlineStr">
        <is>
          <t>TRUXTABROS: Siri Reads Emoji!</t>
        </is>
      </c>
      <c r="H2711" s="41" t="n">
        <v>0.005694444444444445</v>
      </c>
      <c r="I2711" s="42" t="n">
        <v>155320</v>
      </c>
      <c r="J2711" s="42" t="n">
        <v>4221</v>
      </c>
      <c r="K2711" s="42" t="n">
        <v>1140</v>
      </c>
      <c r="L2711" s="43" t="n"/>
      <c r="M2711" s="44" t="n"/>
      <c r="N2711" s="44" t="inlineStr">
        <is>
          <t>UCKZo4N0lVPccBkSiuyVh4yg</t>
        </is>
      </c>
      <c r="O2711" s="45" t="n">
        <v>42328.00972222222</v>
      </c>
      <c r="P2711" s="46" t="n">
        <v>42327</v>
      </c>
      <c r="Q2711" s="44" t="n">
        <v>561</v>
      </c>
      <c r="R2711" s="44" t="inlineStr">
        <is>
          <t>No Video ID yet</t>
        </is>
      </c>
      <c r="S2711" s="46" t="n"/>
      <c r="T2711" s="46" t="n"/>
      <c r="U2711" s="44" t="n"/>
      <c r="V2711" s="44">
        <f>IF(AND(P2711&gt;=Calendar!$K$2,P2711&lt;EDATE(Calendar!$K$2,1),OR(Calendar!$K$4="*",N2711=Calendar!$K$4)),P2711*100+COUNTIFS($P$6:$P$3271,P2711,$Q$6:$Q$3271,"&lt;="&amp;Q2711,$N$6:$N$3271,Calendar!$K$4),"")</f>
        <v/>
      </c>
      <c r="W2711" s="44">
        <f>IF(AND(B2711=Queue!$C$4,OR(Queue!$K$4="*",N2711=Queue!$K$4)),Q2711,"")</f>
        <v/>
      </c>
    </row>
    <row r="2712">
      <c r="A2712" s="35">
        <f>IF(M2712="","",HYPERLINK("https://www.youtube.com/watch?v="&amp;M2712,"▶"))</f>
        <v/>
      </c>
      <c r="B2712" s="36">
        <f>IF(C2712&lt;&gt;"",C2712,IF(P2712&lt;=IFERROR(INDEX(tblChannels[Watched Through],MATCH(N2712,tblChannels[Channel ID],0)),0),"Watched","Unwatched"))</f>
        <v/>
      </c>
      <c r="C2712" s="37" t="n"/>
      <c r="D2712" s="38" t="n"/>
      <c r="E2712" s="39" t="n">
        <v>42326.76041666666</v>
      </c>
      <c r="F2712" s="49" t="inlineStr">
        <is>
          <t>Super Carlin Gaming</t>
        </is>
      </c>
      <c r="G2712" t="inlineStr">
        <is>
          <t>Pokemon HeartGold Nuzlocke #23: Mother of Dragons</t>
        </is>
      </c>
      <c r="H2712" s="41" t="n">
        <v>0.02085648148148148</v>
      </c>
      <c r="I2712" s="42" t="n">
        <v>20717</v>
      </c>
      <c r="J2712" s="42" t="n">
        <v>518</v>
      </c>
      <c r="K2712" s="42" t="n">
        <v>124</v>
      </c>
      <c r="L2712" s="43" t="n"/>
      <c r="M2712" s="44" t="n"/>
      <c r="N2712" s="44" t="inlineStr">
        <is>
          <t>UCor_9jRnNNZVzTuQ92PKsaQ</t>
        </is>
      </c>
      <c r="O2712" s="45" t="n">
        <v>42326.96875</v>
      </c>
      <c r="P2712" s="46" t="n">
        <v>42326</v>
      </c>
      <c r="Q2712" s="44" t="n">
        <v>560</v>
      </c>
      <c r="R2712" s="44" t="inlineStr">
        <is>
          <t>No Video ID yet</t>
        </is>
      </c>
      <c r="S2712" s="46" t="n"/>
      <c r="T2712" s="46" t="n"/>
      <c r="U2712" s="44" t="n"/>
      <c r="V2712" s="44">
        <f>IF(AND(P2712&gt;=Calendar!$K$2,P2712&lt;EDATE(Calendar!$K$2,1),OR(Calendar!$K$4="*",N2712=Calendar!$K$4)),P2712*100+COUNTIFS($P$6:$P$3271,P2712,$Q$6:$Q$3271,"&lt;="&amp;Q2712,$N$6:$N$3271,Calendar!$K$4),"")</f>
        <v/>
      </c>
      <c r="W2712" s="44">
        <f>IF(AND(B2712=Queue!$C$4,OR(Queue!$K$4="*",N2712=Queue!$K$4)),Q2712,"")</f>
        <v/>
      </c>
    </row>
    <row r="2713">
      <c r="A2713" s="35">
        <f>IF(M2713="","",HYPERLINK("https://www.youtube.com/watch?v="&amp;M2713,"▶"))</f>
        <v/>
      </c>
      <c r="B2713" s="36">
        <f>IF(C2713&lt;&gt;"",C2713,IF(P2713&lt;=IFERROR(INDEX(tblChannels[Watched Through],MATCH(N2713,tblChannels[Channel ID],0)),0),"Watched","Unwatched"))</f>
        <v/>
      </c>
      <c r="C2713" s="37" t="n"/>
      <c r="D2713" s="38" t="n"/>
      <c r="E2713" s="39" t="n">
        <v>42325.625</v>
      </c>
      <c r="F2713" s="47" t="inlineStr">
        <is>
          <t>Super Carlin Brothers</t>
        </is>
      </c>
      <c r="G2713" t="inlineStr">
        <is>
          <t>Finding Dory Trailer | Review, Analysis and Predictions</t>
        </is>
      </c>
      <c r="H2713" s="41" t="n">
        <v>0.005173611111111111</v>
      </c>
      <c r="I2713" s="42" t="n">
        <v>335744</v>
      </c>
      <c r="J2713" s="42" t="n">
        <v>7735</v>
      </c>
      <c r="K2713" s="42" t="n">
        <v>843</v>
      </c>
      <c r="L2713" s="43" t="n"/>
      <c r="M2713" s="44" t="n"/>
      <c r="N2713" s="44" t="inlineStr">
        <is>
          <t>UCKZo4N0lVPccBkSiuyVh4yg</t>
        </is>
      </c>
      <c r="O2713" s="45" t="n">
        <v>42325.83333333334</v>
      </c>
      <c r="P2713" s="46" t="n">
        <v>42325</v>
      </c>
      <c r="Q2713" s="44" t="n">
        <v>559</v>
      </c>
      <c r="R2713" s="44" t="inlineStr">
        <is>
          <t>No Video ID yet</t>
        </is>
      </c>
      <c r="S2713" s="46" t="n"/>
      <c r="T2713" s="46" t="n"/>
      <c r="U2713" s="44" t="n"/>
      <c r="V2713" s="44">
        <f>IF(AND(P2713&gt;=Calendar!$K$2,P2713&lt;EDATE(Calendar!$K$2,1),OR(Calendar!$K$4="*",N2713=Calendar!$K$4)),P2713*100+COUNTIFS($P$6:$P$3271,P2713,$Q$6:$Q$3271,"&lt;="&amp;Q2713,$N$6:$N$3271,Calendar!$K$4),"")</f>
        <v/>
      </c>
      <c r="W2713" s="44">
        <f>IF(AND(B2713=Queue!$C$4,OR(Queue!$K$4="*",N2713=Queue!$K$4)),Q2713,"")</f>
        <v/>
      </c>
    </row>
    <row r="2714">
      <c r="A2714" s="35">
        <f>IF(M2714="","",HYPERLINK("https://www.youtube.com/watch?v="&amp;M2714,"▶"))</f>
        <v/>
      </c>
      <c r="B2714" s="36">
        <f>IF(C2714&lt;&gt;"",C2714,IF(P2714&lt;=IFERROR(INDEX(tblChannels[Watched Through],MATCH(N2714,tblChannels[Channel ID],0)),0),"Watched","Unwatched"))</f>
        <v/>
      </c>
      <c r="C2714" s="37" t="n"/>
      <c r="D2714" s="38" t="n"/>
      <c r="E2714" s="39" t="n">
        <v>42325.41666666666</v>
      </c>
      <c r="F2714" s="49" t="inlineStr">
        <is>
          <t>Super Carlin Gaming</t>
        </is>
      </c>
      <c r="G2714" t="inlineStr">
        <is>
          <t>Pokemon HeartGold Nuzlocke #22: Fang Unit Beta</t>
        </is>
      </c>
      <c r="H2714" s="41" t="n">
        <v>0.01952546296296296</v>
      </c>
      <c r="I2714" s="42" t="n">
        <v>21157</v>
      </c>
      <c r="J2714" s="42" t="n">
        <v>411</v>
      </c>
      <c r="K2714" s="42" t="n">
        <v>64</v>
      </c>
      <c r="L2714" s="43" t="n"/>
      <c r="M2714" s="44" t="n"/>
      <c r="N2714" s="44" t="inlineStr">
        <is>
          <t>UCor_9jRnNNZVzTuQ92PKsaQ</t>
        </is>
      </c>
      <c r="O2714" s="45" t="n">
        <v>42325.625</v>
      </c>
      <c r="P2714" s="46" t="n">
        <v>42325</v>
      </c>
      <c r="Q2714" s="44" t="n">
        <v>558</v>
      </c>
      <c r="R2714" s="44" t="inlineStr">
        <is>
          <t>No Video ID yet</t>
        </is>
      </c>
      <c r="S2714" s="46" t="n"/>
      <c r="T2714" s="46" t="n"/>
      <c r="U2714" s="44" t="n"/>
      <c r="V2714" s="44">
        <f>IF(AND(P2714&gt;=Calendar!$K$2,P2714&lt;EDATE(Calendar!$K$2,1),OR(Calendar!$K$4="*",N2714=Calendar!$K$4)),P2714*100+COUNTIFS($P$6:$P$3271,P2714,$Q$6:$Q$3271,"&lt;="&amp;Q2714,$N$6:$N$3271,Calendar!$K$4),"")</f>
        <v/>
      </c>
      <c r="W2714" s="44">
        <f>IF(AND(B2714=Queue!$C$4,OR(Queue!$K$4="*",N2714=Queue!$K$4)),Q2714,"")</f>
        <v/>
      </c>
    </row>
    <row r="2715">
      <c r="A2715" s="35">
        <f>IF(M2715="","",HYPERLINK("https://www.youtube.com/watch?v="&amp;M2715,"▶"))</f>
        <v/>
      </c>
      <c r="B2715" s="36">
        <f>IF(C2715&lt;&gt;"",C2715,IF(P2715&lt;=IFERROR(INDEX(tblChannels[Watched Through],MATCH(N2715,tblChannels[Channel ID],0)),0),"Watched","Unwatched"))</f>
        <v/>
      </c>
      <c r="C2715" s="37" t="n"/>
      <c r="D2715" s="38" t="n"/>
      <c r="E2715" s="39" t="n">
        <v>42320.89583333334</v>
      </c>
      <c r="F2715" s="47" t="inlineStr">
        <is>
          <t>Super Carlin Brothers</t>
        </is>
      </c>
      <c r="G2715" t="inlineStr">
        <is>
          <t>Fast Facts: The Hunger Games Mockingjay - Part 1</t>
        </is>
      </c>
      <c r="H2715" s="41" t="n">
        <v>0.001851851851851852</v>
      </c>
      <c r="I2715" s="42" t="n">
        <v>94766</v>
      </c>
      <c r="J2715" s="42" t="n">
        <v>2490</v>
      </c>
      <c r="K2715" s="42" t="n">
        <v>203</v>
      </c>
      <c r="L2715" s="43" t="n"/>
      <c r="M2715" s="44" t="n"/>
      <c r="N2715" s="44" t="inlineStr">
        <is>
          <t>UCKZo4N0lVPccBkSiuyVh4yg</t>
        </is>
      </c>
      <c r="O2715" s="45" t="n">
        <v>42321.10416666666</v>
      </c>
      <c r="P2715" s="46" t="n">
        <v>42320</v>
      </c>
      <c r="Q2715" s="44" t="n">
        <v>557</v>
      </c>
      <c r="R2715" s="44" t="inlineStr">
        <is>
          <t>No Video ID yet</t>
        </is>
      </c>
      <c r="S2715" s="46" t="n"/>
      <c r="T2715" s="46" t="n"/>
      <c r="U2715" s="44" t="n"/>
      <c r="V2715" s="44">
        <f>IF(AND(P2715&gt;=Calendar!$K$2,P2715&lt;EDATE(Calendar!$K$2,1),OR(Calendar!$K$4="*",N2715=Calendar!$K$4)),P2715*100+COUNTIFS($P$6:$P$3271,P2715,$Q$6:$Q$3271,"&lt;="&amp;Q2715,$N$6:$N$3271,Calendar!$K$4),"")</f>
        <v/>
      </c>
      <c r="W2715" s="44">
        <f>IF(AND(B2715=Queue!$C$4,OR(Queue!$K$4="*",N2715=Queue!$K$4)),Q2715,"")</f>
        <v/>
      </c>
    </row>
    <row r="2716">
      <c r="A2716" s="35">
        <f>IF(M2716="","",HYPERLINK("https://www.youtube.com/watch?v="&amp;M2716,"▶"))</f>
        <v/>
      </c>
      <c r="B2716" s="36">
        <f>IF(C2716&lt;&gt;"",C2716,IF(P2716&lt;=IFERROR(INDEX(tblChannels[Watched Through],MATCH(N2716,tblChannels[Channel ID],0)),0),"Watched","Unwatched"))</f>
        <v/>
      </c>
      <c r="C2716" s="37" t="n"/>
      <c r="D2716" s="38" t="n"/>
      <c r="E2716" s="39" t="n">
        <v>42319.40972222222</v>
      </c>
      <c r="F2716" s="49" t="inlineStr">
        <is>
          <t>Super Carlin Gaming</t>
        </is>
      </c>
      <c r="G2716" t="inlineStr">
        <is>
          <t>Pokemon HeartGold Nuzlocke #21: Revenge at the Radio Tower</t>
        </is>
      </c>
      <c r="H2716" s="41" t="n">
        <v>0.02851851851851852</v>
      </c>
      <c r="I2716" s="42" t="n">
        <v>24094</v>
      </c>
      <c r="J2716" s="42" t="n">
        <v>481</v>
      </c>
      <c r="K2716" s="42" t="n">
        <v>124</v>
      </c>
      <c r="L2716" s="43" t="n"/>
      <c r="M2716" s="44" t="n"/>
      <c r="N2716" s="44" t="inlineStr">
        <is>
          <t>UCor_9jRnNNZVzTuQ92PKsaQ</t>
        </is>
      </c>
      <c r="O2716" s="45" t="n">
        <v>42319.61805555555</v>
      </c>
      <c r="P2716" s="46" t="n">
        <v>42319</v>
      </c>
      <c r="Q2716" s="44" t="n">
        <v>556</v>
      </c>
      <c r="R2716" s="44" t="inlineStr">
        <is>
          <t>No Video ID yet</t>
        </is>
      </c>
      <c r="S2716" s="46" t="n"/>
      <c r="T2716" s="46" t="n"/>
      <c r="U2716" s="44" t="n"/>
      <c r="V2716" s="44">
        <f>IF(AND(P2716&gt;=Calendar!$K$2,P2716&lt;EDATE(Calendar!$K$2,1),OR(Calendar!$K$4="*",N2716=Calendar!$K$4)),P2716*100+COUNTIFS($P$6:$P$3271,P2716,$Q$6:$Q$3271,"&lt;="&amp;Q2716,$N$6:$N$3271,Calendar!$K$4),"")</f>
        <v/>
      </c>
      <c r="W2716" s="44">
        <f>IF(AND(B2716=Queue!$C$4,OR(Queue!$K$4="*",N2716=Queue!$K$4)),Q2716,"")</f>
        <v/>
      </c>
    </row>
    <row r="2717">
      <c r="A2717" s="35">
        <f>IF(M2717="","",HYPERLINK("https://www.youtube.com/watch?v="&amp;M2717,"▶"))</f>
        <v/>
      </c>
      <c r="B2717" s="36">
        <f>IF(C2717&lt;&gt;"",C2717,IF(P2717&lt;=IFERROR(INDEX(tblChannels[Watched Through],MATCH(N2717,tblChannels[Channel ID],0)),0),"Watched","Unwatched"))</f>
        <v/>
      </c>
      <c r="C2717" s="37" t="n"/>
      <c r="D2717" s="38" t="n"/>
      <c r="E2717" s="39" t="n">
        <v>42318.625</v>
      </c>
      <c r="F2717" s="47" t="inlineStr">
        <is>
          <t>Super Carlin Brothers</t>
        </is>
      </c>
      <c r="G2717" t="inlineStr">
        <is>
          <t>Top 10 Things To Look For In The Good Dinosaur</t>
        </is>
      </c>
      <c r="H2717" s="41" t="n">
        <v>0.006331018518518519</v>
      </c>
      <c r="I2717" s="42" t="n">
        <v>293395</v>
      </c>
      <c r="J2717" s="42" t="n">
        <v>5643</v>
      </c>
      <c r="K2717" s="42" t="n">
        <v>920</v>
      </c>
      <c r="L2717" s="43" t="n"/>
      <c r="M2717" s="44" t="n"/>
      <c r="N2717" s="44" t="inlineStr">
        <is>
          <t>UCKZo4N0lVPccBkSiuyVh4yg</t>
        </is>
      </c>
      <c r="O2717" s="45" t="n">
        <v>42318.83333333334</v>
      </c>
      <c r="P2717" s="46" t="n">
        <v>42318</v>
      </c>
      <c r="Q2717" s="44" t="n">
        <v>555</v>
      </c>
      <c r="R2717" s="44" t="inlineStr">
        <is>
          <t>No Video ID yet</t>
        </is>
      </c>
      <c r="S2717" s="46" t="n"/>
      <c r="T2717" s="46" t="n"/>
      <c r="U2717" s="44" t="n"/>
      <c r="V2717" s="44">
        <f>IF(AND(P2717&gt;=Calendar!$K$2,P2717&lt;EDATE(Calendar!$K$2,1),OR(Calendar!$K$4="*",N2717=Calendar!$K$4)),P2717*100+COUNTIFS($P$6:$P$3271,P2717,$Q$6:$Q$3271,"&lt;="&amp;Q2717,$N$6:$N$3271,Calendar!$K$4),"")</f>
        <v/>
      </c>
      <c r="W2717" s="44">
        <f>IF(AND(B2717=Queue!$C$4,OR(Queue!$K$4="*",N2717=Queue!$K$4)),Q2717,"")</f>
        <v/>
      </c>
    </row>
    <row r="2718">
      <c r="A2718" s="35">
        <f>IF(M2718="","",HYPERLINK("https://www.youtube.com/watch?v="&amp;M2718,"▶"))</f>
        <v/>
      </c>
      <c r="B2718" s="36">
        <f>IF(C2718&lt;&gt;"",C2718,IF(P2718&lt;=IFERROR(INDEX(tblChannels[Watched Through],MATCH(N2718,tblChannels[Channel ID],0)),0),"Watched","Unwatched"))</f>
        <v/>
      </c>
      <c r="C2718" s="37" t="n"/>
      <c r="D2718" s="38" t="n"/>
      <c r="E2718" s="39" t="n">
        <v>42317.72222222222</v>
      </c>
      <c r="F2718" s="49" t="inlineStr">
        <is>
          <t>Super Carlin Gaming</t>
        </is>
      </c>
      <c r="G2718" t="inlineStr">
        <is>
          <t>Pokemon HeartGold Nuzlocke #20: EXPLOSION</t>
        </is>
      </c>
      <c r="H2718" s="41" t="n">
        <v>0.02724537037037037</v>
      </c>
      <c r="I2718" s="42" t="n">
        <v>25309</v>
      </c>
      <c r="J2718" s="42" t="n">
        <v>477</v>
      </c>
      <c r="K2718" s="42" t="n">
        <v>185</v>
      </c>
      <c r="L2718" s="43" t="n"/>
      <c r="M2718" s="44" t="n"/>
      <c r="N2718" s="44" t="inlineStr">
        <is>
          <t>UCor_9jRnNNZVzTuQ92PKsaQ</t>
        </is>
      </c>
      <c r="O2718" s="45" t="n">
        <v>42317.93055555555</v>
      </c>
      <c r="P2718" s="46" t="n">
        <v>42317</v>
      </c>
      <c r="Q2718" s="44" t="n">
        <v>554</v>
      </c>
      <c r="R2718" s="44" t="inlineStr">
        <is>
          <t>No Video ID yet</t>
        </is>
      </c>
      <c r="S2718" s="46" t="n"/>
      <c r="T2718" s="46" t="n"/>
      <c r="U2718" s="44" t="n"/>
      <c r="V2718" s="44">
        <f>IF(AND(P2718&gt;=Calendar!$K$2,P2718&lt;EDATE(Calendar!$K$2,1),OR(Calendar!$K$4="*",N2718=Calendar!$K$4)),P2718*100+COUNTIFS($P$6:$P$3271,P2718,$Q$6:$Q$3271,"&lt;="&amp;Q2718,$N$6:$N$3271,Calendar!$K$4),"")</f>
        <v/>
      </c>
      <c r="W2718" s="44">
        <f>IF(AND(B2718=Queue!$C$4,OR(Queue!$K$4="*",N2718=Queue!$K$4)),Q2718,"")</f>
        <v/>
      </c>
    </row>
    <row r="2719">
      <c r="A2719" s="35">
        <f>IF(M2719="","",HYPERLINK("https://www.youtube.com/watch?v="&amp;M2719,"▶"))</f>
        <v/>
      </c>
      <c r="B2719" s="36">
        <f>IF(C2719&lt;&gt;"",C2719,IF(P2719&lt;=IFERROR(INDEX(tblChannels[Watched Through],MATCH(N2719,tblChannels[Channel ID],0)),0),"Watched","Unwatched"))</f>
        <v/>
      </c>
      <c r="C2719" s="37" t="n"/>
      <c r="D2719" s="38" t="n"/>
      <c r="E2719" s="39" t="n">
        <v>42313.90277777778</v>
      </c>
      <c r="F2719" s="47" t="inlineStr">
        <is>
          <t>Super Carlin Brothers</t>
        </is>
      </c>
      <c r="G2719" t="inlineStr">
        <is>
          <t>Fast Facts: The Hunger Games Catching Fire</t>
        </is>
      </c>
      <c r="H2719" s="41" t="n">
        <v>0.001805555555555555</v>
      </c>
      <c r="I2719" s="42" t="n">
        <v>101895</v>
      </c>
      <c r="J2719" s="42" t="n">
        <v>2790</v>
      </c>
      <c r="K2719" s="42" t="n">
        <v>200</v>
      </c>
      <c r="L2719" s="43" t="n"/>
      <c r="M2719" s="44" t="n"/>
      <c r="N2719" s="44" t="inlineStr">
        <is>
          <t>UCKZo4N0lVPccBkSiuyVh4yg</t>
        </is>
      </c>
      <c r="O2719" s="45" t="n">
        <v>42314.11111111111</v>
      </c>
      <c r="P2719" s="46" t="n">
        <v>42313</v>
      </c>
      <c r="Q2719" s="44" t="n">
        <v>553</v>
      </c>
      <c r="R2719" s="44" t="inlineStr">
        <is>
          <t>No Video ID yet</t>
        </is>
      </c>
      <c r="S2719" s="46" t="n"/>
      <c r="T2719" s="46" t="n"/>
      <c r="U2719" s="44" t="n"/>
      <c r="V2719" s="44">
        <f>IF(AND(P2719&gt;=Calendar!$K$2,P2719&lt;EDATE(Calendar!$K$2,1),OR(Calendar!$K$4="*",N2719=Calendar!$K$4)),P2719*100+COUNTIFS($P$6:$P$3271,P2719,$Q$6:$Q$3271,"&lt;="&amp;Q2719,$N$6:$N$3271,Calendar!$K$4),"")</f>
        <v/>
      </c>
      <c r="W2719" s="44">
        <f>IF(AND(B2719=Queue!$C$4,OR(Queue!$K$4="*",N2719=Queue!$K$4)),Q2719,"")</f>
        <v/>
      </c>
    </row>
    <row r="2720">
      <c r="A2720" s="35">
        <f>IF(M2720="","",HYPERLINK("https://www.youtube.com/watch?v="&amp;M2720,"▶"))</f>
        <v/>
      </c>
      <c r="B2720" s="36">
        <f>IF(C2720&lt;&gt;"",C2720,IF(P2720&lt;=IFERROR(INDEX(tblChannels[Watched Through],MATCH(N2720,tblChannels[Channel ID],0)),0),"Watched","Unwatched"))</f>
        <v/>
      </c>
      <c r="C2720" s="37" t="n"/>
      <c r="D2720" s="38" t="n"/>
      <c r="E2720" s="39" t="n">
        <v>42312.61111111111</v>
      </c>
      <c r="F2720" s="49" t="inlineStr">
        <is>
          <t>Super Carlin Gaming</t>
        </is>
      </c>
      <c r="G2720" t="inlineStr">
        <is>
          <t>Pokemon HeartGold Nuzlocke #19: Cow Power</t>
        </is>
      </c>
      <c r="H2720" s="41" t="n">
        <v>0.01869212962962963</v>
      </c>
      <c r="I2720" s="42" t="n">
        <v>22705</v>
      </c>
      <c r="J2720" s="42" t="n">
        <v>538</v>
      </c>
      <c r="K2720" s="42" t="n">
        <v>103</v>
      </c>
      <c r="L2720" s="43" t="n"/>
      <c r="M2720" s="44" t="n"/>
      <c r="N2720" s="44" t="inlineStr">
        <is>
          <t>UCor_9jRnNNZVzTuQ92PKsaQ</t>
        </is>
      </c>
      <c r="O2720" s="45" t="n">
        <v>42312.81944444445</v>
      </c>
      <c r="P2720" s="46" t="n">
        <v>42312</v>
      </c>
      <c r="Q2720" s="44" t="n">
        <v>552</v>
      </c>
      <c r="R2720" s="44" t="inlineStr">
        <is>
          <t>No Video ID yet</t>
        </is>
      </c>
      <c r="S2720" s="46" t="n"/>
      <c r="T2720" s="46" t="n"/>
      <c r="U2720" s="44" t="n"/>
      <c r="V2720" s="44">
        <f>IF(AND(P2720&gt;=Calendar!$K$2,P2720&lt;EDATE(Calendar!$K$2,1),OR(Calendar!$K$4="*",N2720=Calendar!$K$4)),P2720*100+COUNTIFS($P$6:$P$3271,P2720,$Q$6:$Q$3271,"&lt;="&amp;Q2720,$N$6:$N$3271,Calendar!$K$4),"")</f>
        <v/>
      </c>
      <c r="W2720" s="44">
        <f>IF(AND(B2720=Queue!$C$4,OR(Queue!$K$4="*",N2720=Queue!$K$4)),Q2720,"")</f>
        <v/>
      </c>
    </row>
    <row r="2721">
      <c r="A2721" s="35">
        <f>IF(M2721="","",HYPERLINK("https://www.youtube.com/watch?v="&amp;M2721,"▶"))</f>
        <v/>
      </c>
      <c r="B2721" s="36">
        <f>IF(C2721&lt;&gt;"",C2721,IF(P2721&lt;=IFERROR(INDEX(tblChannels[Watched Through],MATCH(N2721,tblChannels[Channel ID],0)),0),"Watched","Unwatched"))</f>
        <v/>
      </c>
      <c r="C2721" s="37" t="n"/>
      <c r="D2721" s="38" t="n"/>
      <c r="E2721" s="39" t="n">
        <v>42311.65625</v>
      </c>
      <c r="F2721" s="47" t="inlineStr">
        <is>
          <t>Super Carlin Brothers</t>
        </is>
      </c>
      <c r="G2721" t="inlineStr">
        <is>
          <t>LootCrate Unboxing | TIME</t>
        </is>
      </c>
      <c r="H2721" s="41" t="n">
        <v>0.005</v>
      </c>
      <c r="I2721" s="42" t="n">
        <v>112359</v>
      </c>
      <c r="J2721" s="42" t="n">
        <v>2505</v>
      </c>
      <c r="K2721" s="42" t="n">
        <v>655</v>
      </c>
      <c r="L2721" s="43" t="n"/>
      <c r="M2721" s="44" t="n"/>
      <c r="N2721" s="44" t="inlineStr">
        <is>
          <t>UCKZo4N0lVPccBkSiuyVh4yg</t>
        </is>
      </c>
      <c r="O2721" s="45" t="n">
        <v>42311.86458333334</v>
      </c>
      <c r="P2721" s="46" t="n">
        <v>42311</v>
      </c>
      <c r="Q2721" s="44" t="n">
        <v>551</v>
      </c>
      <c r="R2721" s="44" t="inlineStr">
        <is>
          <t>No Video ID yet</t>
        </is>
      </c>
      <c r="S2721" s="46" t="n"/>
      <c r="T2721" s="46" t="n"/>
      <c r="U2721" s="44" t="n"/>
      <c r="V2721" s="44">
        <f>IF(AND(P2721&gt;=Calendar!$K$2,P2721&lt;EDATE(Calendar!$K$2,1),OR(Calendar!$K$4="*",N2721=Calendar!$K$4)),P2721*100+COUNTIFS($P$6:$P$3271,P2721,$Q$6:$Q$3271,"&lt;="&amp;Q2721,$N$6:$N$3271,Calendar!$K$4),"")</f>
        <v/>
      </c>
      <c r="W2721" s="44">
        <f>IF(AND(B2721=Queue!$C$4,OR(Queue!$K$4="*",N2721=Queue!$K$4)),Q2721,"")</f>
        <v/>
      </c>
    </row>
    <row r="2722">
      <c r="A2722" s="35">
        <f>IF(M2722="","",HYPERLINK("https://www.youtube.com/watch?v="&amp;M2722,"▶"))</f>
        <v/>
      </c>
      <c r="B2722" s="36">
        <f>IF(C2722&lt;&gt;"",C2722,IF(P2722&lt;=IFERROR(INDEX(tblChannels[Watched Through],MATCH(N2722,tblChannels[Channel ID],0)),0),"Watched","Unwatched"))</f>
        <v/>
      </c>
      <c r="C2722" s="37" t="n"/>
      <c r="D2722" s="38" t="n"/>
      <c r="E2722" s="39" t="n">
        <v>42306.95902777778</v>
      </c>
      <c r="F2722" s="47" t="inlineStr">
        <is>
          <t>Super Carlin Brothers</t>
        </is>
      </c>
      <c r="G2722" t="inlineStr">
        <is>
          <t>Fast Facts: The Hunger Games</t>
        </is>
      </c>
      <c r="H2722" s="41" t="n">
        <v>0.001828703703703704</v>
      </c>
      <c r="I2722" s="42" t="n">
        <v>126272</v>
      </c>
      <c r="J2722" s="42" t="n">
        <v>3652</v>
      </c>
      <c r="K2722" s="42" t="n">
        <v>198</v>
      </c>
      <c r="L2722" s="43" t="n"/>
      <c r="M2722" s="44" t="n"/>
      <c r="N2722" s="44" t="inlineStr">
        <is>
          <t>UCKZo4N0lVPccBkSiuyVh4yg</t>
        </is>
      </c>
      <c r="O2722" s="45" t="n">
        <v>42307.12569444445</v>
      </c>
      <c r="P2722" s="46" t="n">
        <v>42306</v>
      </c>
      <c r="Q2722" s="44" t="n">
        <v>550</v>
      </c>
      <c r="R2722" s="44" t="inlineStr">
        <is>
          <t>No Video ID yet</t>
        </is>
      </c>
      <c r="S2722" s="46" t="n"/>
      <c r="T2722" s="46" t="n"/>
      <c r="U2722" s="44" t="n"/>
      <c r="V2722" s="44">
        <f>IF(AND(P2722&gt;=Calendar!$K$2,P2722&lt;EDATE(Calendar!$K$2,1),OR(Calendar!$K$4="*",N2722=Calendar!$K$4)),P2722*100+COUNTIFS($P$6:$P$3271,P2722,$Q$6:$Q$3271,"&lt;="&amp;Q2722,$N$6:$N$3271,Calendar!$K$4),"")</f>
        <v/>
      </c>
      <c r="W2722" s="44">
        <f>IF(AND(B2722=Queue!$C$4,OR(Queue!$K$4="*",N2722=Queue!$K$4)),Q2722,"")</f>
        <v/>
      </c>
    </row>
    <row r="2723">
      <c r="A2723" s="35">
        <f>IF(M2723="","",HYPERLINK("https://www.youtube.com/watch?v="&amp;M2723,"▶"))</f>
        <v/>
      </c>
      <c r="B2723" s="36">
        <f>IF(C2723&lt;&gt;"",C2723,IF(P2723&lt;=IFERROR(INDEX(tblChannels[Watched Through],MATCH(N2723,tblChannels[Channel ID],0)),0),"Watched","Unwatched"))</f>
        <v/>
      </c>
      <c r="C2723" s="37" t="n"/>
      <c r="D2723" s="38" t="n"/>
      <c r="E2723" s="39" t="n">
        <v>42304.625</v>
      </c>
      <c r="F2723" s="47" t="inlineStr">
        <is>
          <t>Super Carlin Brothers</t>
        </is>
      </c>
      <c r="G2723" t="inlineStr">
        <is>
          <t>Pixar Theory: Who is Riley's Monster?</t>
        </is>
      </c>
      <c r="H2723" s="41" t="n">
        <v>0.003333333333333334</v>
      </c>
      <c r="I2723" s="42" t="n">
        <v>4292189</v>
      </c>
      <c r="J2723" s="42" t="n">
        <v>59946</v>
      </c>
      <c r="K2723" s="42" t="n">
        <v>6776</v>
      </c>
      <c r="L2723" s="43" t="n"/>
      <c r="M2723" s="44" t="n"/>
      <c r="N2723" s="44" t="inlineStr">
        <is>
          <t>UCKZo4N0lVPccBkSiuyVh4yg</t>
        </is>
      </c>
      <c r="O2723" s="45" t="n">
        <v>42304.79166666666</v>
      </c>
      <c r="P2723" s="46" t="n">
        <v>42304</v>
      </c>
      <c r="Q2723" s="44" t="n">
        <v>549</v>
      </c>
      <c r="R2723" s="44" t="inlineStr">
        <is>
          <t>No Video ID yet</t>
        </is>
      </c>
      <c r="S2723" s="46" t="n"/>
      <c r="T2723" s="46" t="n"/>
      <c r="U2723" s="44" t="n"/>
      <c r="V2723" s="44">
        <f>IF(AND(P2723&gt;=Calendar!$K$2,P2723&lt;EDATE(Calendar!$K$2,1),OR(Calendar!$K$4="*",N2723=Calendar!$K$4)),P2723*100+COUNTIFS($P$6:$P$3271,P2723,$Q$6:$Q$3271,"&lt;="&amp;Q2723,$N$6:$N$3271,Calendar!$K$4),"")</f>
        <v/>
      </c>
      <c r="W2723" s="44">
        <f>IF(AND(B2723=Queue!$C$4,OR(Queue!$K$4="*",N2723=Queue!$K$4)),Q2723,"")</f>
        <v/>
      </c>
    </row>
    <row r="2724">
      <c r="A2724" s="35">
        <f>IF(M2724="","",HYPERLINK("https://www.youtube.com/watch?v="&amp;M2724,"▶"))</f>
        <v/>
      </c>
      <c r="B2724" s="36">
        <f>IF(C2724&lt;&gt;"",C2724,IF(P2724&lt;=IFERROR(INDEX(tblChannels[Watched Through],MATCH(N2724,tblChannels[Channel ID],0)),0),"Watched","Unwatched"))</f>
        <v/>
      </c>
      <c r="C2724" s="37" t="n"/>
      <c r="D2724" s="38" t="n"/>
      <c r="E2724" s="39" t="n">
        <v>42303.625</v>
      </c>
      <c r="F2724" s="49" t="inlineStr">
        <is>
          <t>Super Carlin Gaming</t>
        </is>
      </c>
      <c r="G2724" t="inlineStr">
        <is>
          <t>Pokemon HeartGold Nuzlocke #18: Battle at Lake of Rage</t>
        </is>
      </c>
      <c r="H2724" s="41" t="n">
        <v>0.018125</v>
      </c>
      <c r="I2724" s="42" t="n">
        <v>23267</v>
      </c>
      <c r="J2724" s="42" t="n">
        <v>492</v>
      </c>
      <c r="K2724" s="42" t="n">
        <v>93</v>
      </c>
      <c r="L2724" s="43" t="n"/>
      <c r="M2724" s="44" t="n"/>
      <c r="N2724" s="44" t="inlineStr">
        <is>
          <t>UCor_9jRnNNZVzTuQ92PKsaQ</t>
        </is>
      </c>
      <c r="O2724" s="45" t="n">
        <v>42303.79166666666</v>
      </c>
      <c r="P2724" s="46" t="n">
        <v>42303</v>
      </c>
      <c r="Q2724" s="44" t="n">
        <v>548</v>
      </c>
      <c r="R2724" s="44" t="inlineStr">
        <is>
          <t>No Video ID yet</t>
        </is>
      </c>
      <c r="S2724" s="46" t="n"/>
      <c r="T2724" s="46" t="n"/>
      <c r="U2724" s="44" t="n"/>
      <c r="V2724" s="44">
        <f>IF(AND(P2724&gt;=Calendar!$K$2,P2724&lt;EDATE(Calendar!$K$2,1),OR(Calendar!$K$4="*",N2724=Calendar!$K$4)),P2724*100+COUNTIFS($P$6:$P$3271,P2724,$Q$6:$Q$3271,"&lt;="&amp;Q2724,$N$6:$N$3271,Calendar!$K$4),"")</f>
        <v/>
      </c>
      <c r="W2724" s="44">
        <f>IF(AND(B2724=Queue!$C$4,OR(Queue!$K$4="*",N2724=Queue!$K$4)),Q2724,"")</f>
        <v/>
      </c>
    </row>
    <row r="2725">
      <c r="A2725" s="35">
        <f>IF(M2725="","",HYPERLINK("https://www.youtube.com/watch?v="&amp;M2725,"▶"))</f>
        <v/>
      </c>
      <c r="B2725" s="36">
        <f>IF(C2725&lt;&gt;"",C2725,IF(P2725&lt;=IFERROR(INDEX(tblChannels[Watched Through],MATCH(N2725,tblChannels[Channel ID],0)),0),"Watched","Unwatched"))</f>
        <v/>
      </c>
      <c r="C2725" s="37" t="n"/>
      <c r="D2725" s="38" t="n"/>
      <c r="E2725" s="39" t="n">
        <v>42299.92569444444</v>
      </c>
      <c r="F2725" s="47" t="inlineStr">
        <is>
          <t>Super Carlin Brothers</t>
        </is>
      </c>
      <c r="G2725" t="inlineStr">
        <is>
          <t>Fast Facts: Harry Potter and the Deathly Hallows</t>
        </is>
      </c>
      <c r="H2725" s="41" t="n">
        <v>0.0021875</v>
      </c>
      <c r="I2725" s="42" t="n">
        <v>198384</v>
      </c>
      <c r="J2725" s="42" t="n">
        <v>4455</v>
      </c>
      <c r="K2725" s="42" t="n">
        <v>257</v>
      </c>
      <c r="L2725" s="43" t="n"/>
      <c r="M2725" s="44" t="n"/>
      <c r="N2725" s="44" t="inlineStr">
        <is>
          <t>UCKZo4N0lVPccBkSiuyVh4yg</t>
        </is>
      </c>
      <c r="O2725" s="45" t="n">
        <v>42300.09236111111</v>
      </c>
      <c r="P2725" s="46" t="n">
        <v>42299</v>
      </c>
      <c r="Q2725" s="44" t="n">
        <v>547</v>
      </c>
      <c r="R2725" s="44" t="inlineStr">
        <is>
          <t>No Video ID yet</t>
        </is>
      </c>
      <c r="S2725" s="46" t="n"/>
      <c r="T2725" s="46" t="n"/>
      <c r="U2725" s="44" t="n"/>
      <c r="V2725" s="44">
        <f>IF(AND(P2725&gt;=Calendar!$K$2,P2725&lt;EDATE(Calendar!$K$2,1),OR(Calendar!$K$4="*",N2725=Calendar!$K$4)),P2725*100+COUNTIFS($P$6:$P$3271,P2725,$Q$6:$Q$3271,"&lt;="&amp;Q2725,$N$6:$N$3271,Calendar!$K$4),"")</f>
        <v/>
      </c>
      <c r="W2725" s="44">
        <f>IF(AND(B2725=Queue!$C$4,OR(Queue!$K$4="*",N2725=Queue!$K$4)),Q2725,"")</f>
        <v/>
      </c>
    </row>
    <row r="2726">
      <c r="A2726" s="35">
        <f>IF(M2726="","",HYPERLINK("https://www.youtube.com/watch?v="&amp;M2726,"▶"))</f>
        <v/>
      </c>
      <c r="B2726" s="36">
        <f>IF(C2726&lt;&gt;"",C2726,IF(P2726&lt;=IFERROR(INDEX(tblChannels[Watched Through],MATCH(N2726,tblChannels[Channel ID],0)),0),"Watched","Unwatched"))</f>
        <v/>
      </c>
      <c r="C2726" s="37" t="n"/>
      <c r="D2726" s="38" t="n"/>
      <c r="E2726" s="39" t="n">
        <v>42299.69583333333</v>
      </c>
      <c r="F2726" s="49" t="inlineStr">
        <is>
          <t>Super Carlin Gaming</t>
        </is>
      </c>
      <c r="G2726" t="inlineStr">
        <is>
          <t>Pokemon HeartGold Nuzlocke #17: Safari Zone!</t>
        </is>
      </c>
      <c r="H2726" s="41" t="n">
        <v>0.01613425925925926</v>
      </c>
      <c r="I2726" s="42" t="n">
        <v>23447</v>
      </c>
      <c r="J2726" s="42" t="n">
        <v>507</v>
      </c>
      <c r="K2726" s="42" t="n">
        <v>82</v>
      </c>
      <c r="L2726" s="43" t="n"/>
      <c r="M2726" s="44" t="n"/>
      <c r="N2726" s="44" t="inlineStr">
        <is>
          <t>UCor_9jRnNNZVzTuQ92PKsaQ</t>
        </is>
      </c>
      <c r="O2726" s="45" t="n">
        <v>42299.8625</v>
      </c>
      <c r="P2726" s="46" t="n">
        <v>42299</v>
      </c>
      <c r="Q2726" s="44" t="n">
        <v>546</v>
      </c>
      <c r="R2726" s="44" t="inlineStr">
        <is>
          <t>No Video ID yet</t>
        </is>
      </c>
      <c r="S2726" s="46" t="n"/>
      <c r="T2726" s="46" t="n"/>
      <c r="U2726" s="44" t="n"/>
      <c r="V2726" s="44">
        <f>IF(AND(P2726&gt;=Calendar!$K$2,P2726&lt;EDATE(Calendar!$K$2,1),OR(Calendar!$K$4="*",N2726=Calendar!$K$4)),P2726*100+COUNTIFS($P$6:$P$3271,P2726,$Q$6:$Q$3271,"&lt;="&amp;Q2726,$N$6:$N$3271,Calendar!$K$4),"")</f>
        <v/>
      </c>
      <c r="W2726" s="44">
        <f>IF(AND(B2726=Queue!$C$4,OR(Queue!$K$4="*",N2726=Queue!$K$4)),Q2726,"")</f>
        <v/>
      </c>
    </row>
    <row r="2727">
      <c r="A2727" s="35">
        <f>IF(M2727="","",HYPERLINK("https://www.youtube.com/watch?v="&amp;M2727,"▶"))</f>
        <v/>
      </c>
      <c r="B2727" s="36">
        <f>IF(C2727&lt;&gt;"",C2727,IF(P2727&lt;=IFERROR(INDEX(tblChannels[Watched Through],MATCH(N2727,tblChannels[Channel ID],0)),0),"Watched","Unwatched"))</f>
        <v/>
      </c>
      <c r="C2727" s="37" t="n"/>
      <c r="D2727" s="38" t="n"/>
      <c r="E2727" s="39" t="n">
        <v>42297.625</v>
      </c>
      <c r="F2727" s="47" t="inlineStr">
        <is>
          <t>Super Carlin Brothers</t>
        </is>
      </c>
      <c r="G2727" t="inlineStr">
        <is>
          <t>Pixar Theory: Emma Jean Revealed!</t>
        </is>
      </c>
      <c r="H2727" s="41" t="n">
        <v>0.004976851851851852</v>
      </c>
      <c r="I2727" s="42" t="n">
        <v>3055605</v>
      </c>
      <c r="J2727" s="42" t="n">
        <v>59646</v>
      </c>
      <c r="K2727" s="42" t="n">
        <v>9457</v>
      </c>
      <c r="L2727" s="43" t="n"/>
      <c r="M2727" s="44" t="n"/>
      <c r="N2727" s="44" t="inlineStr">
        <is>
          <t>UCKZo4N0lVPccBkSiuyVh4yg</t>
        </is>
      </c>
      <c r="O2727" s="45" t="n">
        <v>42297.79166666666</v>
      </c>
      <c r="P2727" s="46" t="n">
        <v>42297</v>
      </c>
      <c r="Q2727" s="44" t="n">
        <v>545</v>
      </c>
      <c r="R2727" s="44" t="inlineStr">
        <is>
          <t>No Video ID yet</t>
        </is>
      </c>
      <c r="S2727" s="46" t="n"/>
      <c r="T2727" s="46" t="n"/>
      <c r="U2727" s="44" t="n"/>
      <c r="V2727" s="44">
        <f>IF(AND(P2727&gt;=Calendar!$K$2,P2727&lt;EDATE(Calendar!$K$2,1),OR(Calendar!$K$4="*",N2727=Calendar!$K$4)),P2727*100+COUNTIFS($P$6:$P$3271,P2727,$Q$6:$Q$3271,"&lt;="&amp;Q2727,$N$6:$N$3271,Calendar!$K$4),"")</f>
        <v/>
      </c>
      <c r="W2727" s="44">
        <f>IF(AND(B2727=Queue!$C$4,OR(Queue!$K$4="*",N2727=Queue!$K$4)),Q2727,"")</f>
        <v/>
      </c>
    </row>
    <row r="2728">
      <c r="A2728" s="35">
        <f>IF(M2728="","",HYPERLINK("https://www.youtube.com/watch?v="&amp;M2728,"▶"))</f>
        <v/>
      </c>
      <c r="B2728" s="36">
        <f>IF(C2728&lt;&gt;"",C2728,IF(P2728&lt;=IFERROR(INDEX(tblChannels[Watched Through],MATCH(N2728,tblChannels[Channel ID],0)),0),"Watched","Unwatched"))</f>
        <v/>
      </c>
      <c r="C2728" s="37" t="n"/>
      <c r="D2728" s="38" t="n"/>
      <c r="E2728" s="39" t="n">
        <v>42292.90555555555</v>
      </c>
      <c r="F2728" s="47" t="inlineStr">
        <is>
          <t>Super Carlin Brothers</t>
        </is>
      </c>
      <c r="G2728" t="inlineStr">
        <is>
          <t>Fast Facts: Harry Potter and the Half Blood Prince</t>
        </is>
      </c>
      <c r="H2728" s="41" t="n">
        <v>0.001585648148148148</v>
      </c>
      <c r="I2728" s="42" t="n">
        <v>175524</v>
      </c>
      <c r="J2728" s="42" t="n">
        <v>3503</v>
      </c>
      <c r="K2728" s="42" t="n">
        <v>187</v>
      </c>
      <c r="L2728" s="43" t="n"/>
      <c r="M2728" s="44" t="n"/>
      <c r="N2728" s="44" t="inlineStr">
        <is>
          <t>UCKZo4N0lVPccBkSiuyVh4yg</t>
        </is>
      </c>
      <c r="O2728" s="45" t="n">
        <v>42293.07222222222</v>
      </c>
      <c r="P2728" s="46" t="n">
        <v>42292</v>
      </c>
      <c r="Q2728" s="44" t="n">
        <v>544</v>
      </c>
      <c r="R2728" s="44" t="inlineStr">
        <is>
          <t>No Video ID yet</t>
        </is>
      </c>
      <c r="S2728" s="46" t="n"/>
      <c r="T2728" s="46" t="n"/>
      <c r="U2728" s="44" t="n"/>
      <c r="V2728" s="44">
        <f>IF(AND(P2728&gt;=Calendar!$K$2,P2728&lt;EDATE(Calendar!$K$2,1),OR(Calendar!$K$4="*",N2728=Calendar!$K$4)),P2728*100+COUNTIFS($P$6:$P$3271,P2728,$Q$6:$Q$3271,"&lt;="&amp;Q2728,$N$6:$N$3271,Calendar!$K$4),"")</f>
        <v/>
      </c>
      <c r="W2728" s="44">
        <f>IF(AND(B2728=Queue!$C$4,OR(Queue!$K$4="*",N2728=Queue!$K$4)),Q2728,"")</f>
        <v/>
      </c>
    </row>
    <row r="2729">
      <c r="A2729" s="35">
        <f>IF(M2729="","",HYPERLINK("https://www.youtube.com/watch?v="&amp;M2729,"▶"))</f>
        <v/>
      </c>
      <c r="B2729" s="36">
        <f>IF(C2729&lt;&gt;"",C2729,IF(P2729&lt;=IFERROR(INDEX(tblChannels[Watched Through],MATCH(N2729,tblChannels[Channel ID],0)),0),"Watched","Unwatched"))</f>
        <v/>
      </c>
      <c r="C2729" s="37" t="n"/>
      <c r="D2729" s="38" t="n"/>
      <c r="E2729" s="39" t="n">
        <v>42291.625</v>
      </c>
      <c r="F2729" s="47" t="inlineStr">
        <is>
          <t>Super Carlin Brothers</t>
        </is>
      </c>
      <c r="G2729" t="inlineStr">
        <is>
          <t>The Pixar Formula</t>
        </is>
      </c>
      <c r="H2729" s="41" t="n">
        <v>0.005497685185185185</v>
      </c>
      <c r="I2729" s="42" t="n">
        <v>827328</v>
      </c>
      <c r="J2729" s="42" t="n">
        <v>17659</v>
      </c>
      <c r="K2729" s="42" t="n">
        <v>2530</v>
      </c>
      <c r="L2729" s="43" t="n"/>
      <c r="M2729" s="44" t="n"/>
      <c r="N2729" s="44" t="inlineStr">
        <is>
          <t>UCKZo4N0lVPccBkSiuyVh4yg</t>
        </is>
      </c>
      <c r="O2729" s="45" t="n">
        <v>42291.79166666666</v>
      </c>
      <c r="P2729" s="46" t="n">
        <v>42291</v>
      </c>
      <c r="Q2729" s="44" t="n">
        <v>543</v>
      </c>
      <c r="R2729" s="44" t="inlineStr">
        <is>
          <t>No Video ID yet</t>
        </is>
      </c>
      <c r="S2729" s="46" t="n"/>
      <c r="T2729" s="46" t="n"/>
      <c r="U2729" s="44" t="n"/>
      <c r="V2729" s="44">
        <f>IF(AND(P2729&gt;=Calendar!$K$2,P2729&lt;EDATE(Calendar!$K$2,1),OR(Calendar!$K$4="*",N2729=Calendar!$K$4)),P2729*100+COUNTIFS($P$6:$P$3271,P2729,$Q$6:$Q$3271,"&lt;="&amp;Q2729,$N$6:$N$3271,Calendar!$K$4),"")</f>
        <v/>
      </c>
      <c r="W2729" s="44">
        <f>IF(AND(B2729=Queue!$C$4,OR(Queue!$K$4="*",N2729=Queue!$K$4)),Q2729,"")</f>
        <v/>
      </c>
    </row>
    <row r="2730">
      <c r="A2730" s="35">
        <f>IF(M2730="","",HYPERLINK("https://www.youtube.com/watch?v="&amp;M2730,"▶"))</f>
        <v/>
      </c>
      <c r="B2730" s="36">
        <f>IF(C2730&lt;&gt;"",C2730,IF(P2730&lt;=IFERROR(INDEX(tblChannels[Watched Through],MATCH(N2730,tblChannels[Channel ID],0)),0),"Watched","Unwatched"))</f>
        <v/>
      </c>
      <c r="C2730" s="37" t="n"/>
      <c r="D2730" s="38" t="n"/>
      <c r="E2730" s="39" t="n">
        <v>42285.94375</v>
      </c>
      <c r="F2730" s="47" t="inlineStr">
        <is>
          <t>Super Carlin Brothers</t>
        </is>
      </c>
      <c r="G2730" t="inlineStr">
        <is>
          <t>Fast Facts: Harry Potter and the Order of the Phoenix</t>
        </is>
      </c>
      <c r="H2730" s="41" t="n">
        <v>0.002268518518518519</v>
      </c>
      <c r="I2730" s="42" t="n">
        <v>177853</v>
      </c>
      <c r="J2730" s="42" t="n">
        <v>3902</v>
      </c>
      <c r="K2730" s="42" t="n">
        <v>418</v>
      </c>
      <c r="L2730" s="43" t="n"/>
      <c r="M2730" s="44" t="n"/>
      <c r="N2730" s="44" t="inlineStr">
        <is>
          <t>UCKZo4N0lVPccBkSiuyVh4yg</t>
        </is>
      </c>
      <c r="O2730" s="45" t="n">
        <v>42286.11041666667</v>
      </c>
      <c r="P2730" s="46" t="n">
        <v>42285</v>
      </c>
      <c r="Q2730" s="44" t="n">
        <v>542</v>
      </c>
      <c r="R2730" s="44" t="inlineStr">
        <is>
          <t>No Video ID yet</t>
        </is>
      </c>
      <c r="S2730" s="46" t="n"/>
      <c r="T2730" s="46" t="n"/>
      <c r="U2730" s="44" t="n"/>
      <c r="V2730" s="44">
        <f>IF(AND(P2730&gt;=Calendar!$K$2,P2730&lt;EDATE(Calendar!$K$2,1),OR(Calendar!$K$4="*",N2730=Calendar!$K$4)),P2730*100+COUNTIFS($P$6:$P$3271,P2730,$Q$6:$Q$3271,"&lt;="&amp;Q2730,$N$6:$N$3271,Calendar!$K$4),"")</f>
        <v/>
      </c>
      <c r="W2730" s="44">
        <f>IF(AND(B2730=Queue!$C$4,OR(Queue!$K$4="*",N2730=Queue!$K$4)),Q2730,"")</f>
        <v/>
      </c>
    </row>
    <row r="2731">
      <c r="A2731" s="35">
        <f>IF(M2731="","",HYPERLINK("https://www.youtube.com/watch?v="&amp;M2731,"▶"))</f>
        <v/>
      </c>
      <c r="B2731" s="36">
        <f>IF(C2731&lt;&gt;"",C2731,IF(P2731&lt;=IFERROR(INDEX(tblChannels[Watched Through],MATCH(N2731,tblChannels[Channel ID],0)),0),"Watched","Unwatched"))</f>
        <v/>
      </c>
      <c r="C2731" s="37" t="n"/>
      <c r="D2731" s="38" t="n"/>
      <c r="E2731" s="39" t="n">
        <v>42283.95416666667</v>
      </c>
      <c r="F2731" s="47" t="inlineStr">
        <is>
          <t>Super Carlin Brothers</t>
        </is>
      </c>
      <c r="G2731" t="inlineStr">
        <is>
          <t>How the Scare Floor Works</t>
        </is>
      </c>
      <c r="H2731" s="41" t="n">
        <v>0.004027777777777778</v>
      </c>
      <c r="I2731" s="42" t="n">
        <v>913400</v>
      </c>
      <c r="J2731" s="42" t="n">
        <v>18380</v>
      </c>
      <c r="K2731" s="42" t="n">
        <v>2977</v>
      </c>
      <c r="L2731" s="43" t="n"/>
      <c r="M2731" s="44" t="n"/>
      <c r="N2731" s="44" t="inlineStr">
        <is>
          <t>UCKZo4N0lVPccBkSiuyVh4yg</t>
        </is>
      </c>
      <c r="O2731" s="45" t="n">
        <v>42284.12083333333</v>
      </c>
      <c r="P2731" s="46" t="n">
        <v>42283</v>
      </c>
      <c r="Q2731" s="44" t="n">
        <v>541</v>
      </c>
      <c r="R2731" s="44" t="inlineStr">
        <is>
          <t>No Video ID yet</t>
        </is>
      </c>
      <c r="S2731" s="46" t="n"/>
      <c r="T2731" s="46" t="n"/>
      <c r="U2731" s="44" t="n"/>
      <c r="V2731" s="44">
        <f>IF(AND(P2731&gt;=Calendar!$K$2,P2731&lt;EDATE(Calendar!$K$2,1),OR(Calendar!$K$4="*",N2731=Calendar!$K$4)),P2731*100+COUNTIFS($P$6:$P$3271,P2731,$Q$6:$Q$3271,"&lt;="&amp;Q2731,$N$6:$N$3271,Calendar!$K$4),"")</f>
        <v/>
      </c>
      <c r="W2731" s="44">
        <f>IF(AND(B2731=Queue!$C$4,OR(Queue!$K$4="*",N2731=Queue!$K$4)),Q2731,"")</f>
        <v/>
      </c>
    </row>
    <row r="2732">
      <c r="A2732" s="35">
        <f>IF(M2732="","",HYPERLINK("https://www.youtube.com/watch?v="&amp;M2732,"▶"))</f>
        <v/>
      </c>
      <c r="B2732" s="36">
        <f>IF(C2732&lt;&gt;"",C2732,IF(P2732&lt;=IFERROR(INDEX(tblChannels[Watched Through],MATCH(N2732,tblChannels[Channel ID],0)),0),"Watched","Unwatched"))</f>
        <v/>
      </c>
      <c r="C2732" s="37" t="n"/>
      <c r="D2732" s="38" t="n"/>
      <c r="E2732" s="39" t="n">
        <v>42278.90972222222</v>
      </c>
      <c r="F2732" s="47" t="inlineStr">
        <is>
          <t>Super Carlin Brothers</t>
        </is>
      </c>
      <c r="G2732" t="inlineStr">
        <is>
          <t>Fast Facts: Harry Potter and the Goblet of Fire</t>
        </is>
      </c>
      <c r="H2732" s="41" t="n">
        <v>0.002060185185185185</v>
      </c>
      <c r="I2732" s="42" t="n">
        <v>199034</v>
      </c>
      <c r="J2732" s="42" t="n">
        <v>4103</v>
      </c>
      <c r="K2732" s="42" t="n">
        <v>223</v>
      </c>
      <c r="L2732" s="43" t="n"/>
      <c r="M2732" s="44" t="n"/>
      <c r="N2732" s="44" t="inlineStr">
        <is>
          <t>UCKZo4N0lVPccBkSiuyVh4yg</t>
        </is>
      </c>
      <c r="O2732" s="45" t="n">
        <v>42279.07638888889</v>
      </c>
      <c r="P2732" s="46" t="n">
        <v>42278</v>
      </c>
      <c r="Q2732" s="44" t="n">
        <v>540</v>
      </c>
      <c r="R2732" s="44" t="inlineStr">
        <is>
          <t>No Video ID yet</t>
        </is>
      </c>
      <c r="S2732" s="46" t="n"/>
      <c r="T2732" s="46" t="n"/>
      <c r="U2732" s="44" t="n"/>
      <c r="V2732" s="44">
        <f>IF(AND(P2732&gt;=Calendar!$K$2,P2732&lt;EDATE(Calendar!$K$2,1),OR(Calendar!$K$4="*",N2732=Calendar!$K$4)),P2732*100+COUNTIFS($P$6:$P$3271,P2732,$Q$6:$Q$3271,"&lt;="&amp;Q2732,$N$6:$N$3271,Calendar!$K$4),"")</f>
        <v/>
      </c>
      <c r="W2732" s="44">
        <f>IF(AND(B2732=Queue!$C$4,OR(Queue!$K$4="*",N2732=Queue!$K$4)),Q2732,"")</f>
        <v/>
      </c>
    </row>
    <row r="2733">
      <c r="A2733" s="35">
        <f>IF(M2733="","",HYPERLINK("https://www.youtube.com/watch?v="&amp;M2733,"▶"))</f>
        <v/>
      </c>
      <c r="B2733" s="36">
        <f>IF(C2733&lt;&gt;"",C2733,IF(P2733&lt;=IFERROR(INDEX(tblChannels[Watched Through],MATCH(N2733,tblChannels[Channel ID],0)),0),"Watched","Unwatched"))</f>
        <v/>
      </c>
      <c r="C2733" s="37" t="n"/>
      <c r="D2733" s="38" t="n"/>
      <c r="E2733" s="39" t="n">
        <v>42276.90902777778</v>
      </c>
      <c r="F2733" s="47" t="inlineStr">
        <is>
          <t>Super Carlin Brothers</t>
        </is>
      </c>
      <c r="G2733" t="inlineStr">
        <is>
          <t>Loot Crate Unboxing | Summon</t>
        </is>
      </c>
      <c r="H2733" s="41" t="n">
        <v>0.005277777777777778</v>
      </c>
      <c r="I2733" s="42" t="n">
        <v>98182</v>
      </c>
      <c r="J2733" s="42" t="n">
        <v>2259</v>
      </c>
      <c r="K2733" s="42" t="n">
        <v>668</v>
      </c>
      <c r="L2733" s="43" t="n"/>
      <c r="M2733" s="44" t="n"/>
      <c r="N2733" s="44" t="inlineStr">
        <is>
          <t>UCKZo4N0lVPccBkSiuyVh4yg</t>
        </is>
      </c>
      <c r="O2733" s="45" t="n">
        <v>42277.07569444444</v>
      </c>
      <c r="P2733" s="46" t="n">
        <v>42276</v>
      </c>
      <c r="Q2733" s="44" t="n">
        <v>539</v>
      </c>
      <c r="R2733" s="44" t="inlineStr">
        <is>
          <t>No Video ID yet</t>
        </is>
      </c>
      <c r="S2733" s="46" t="n"/>
      <c r="T2733" s="46" t="n"/>
      <c r="U2733" s="44" t="n"/>
      <c r="V2733" s="44">
        <f>IF(AND(P2733&gt;=Calendar!$K$2,P2733&lt;EDATE(Calendar!$K$2,1),OR(Calendar!$K$4="*",N2733=Calendar!$K$4)),P2733*100+COUNTIFS($P$6:$P$3271,P2733,$Q$6:$Q$3271,"&lt;="&amp;Q2733,$N$6:$N$3271,Calendar!$K$4),"")</f>
        <v/>
      </c>
      <c r="W2733" s="44">
        <f>IF(AND(B2733=Queue!$C$4,OR(Queue!$K$4="*",N2733=Queue!$K$4)),Q2733,"")</f>
        <v/>
      </c>
    </row>
    <row r="2734">
      <c r="A2734" s="35">
        <f>IF(M2734="","",HYPERLINK("https://www.youtube.com/watch?v="&amp;M2734,"▶"))</f>
        <v/>
      </c>
      <c r="B2734" s="36">
        <f>IF(C2734&lt;&gt;"",C2734,IF(P2734&lt;=IFERROR(INDEX(tblChannels[Watched Through],MATCH(N2734,tblChannels[Channel ID],0)),0),"Watched","Unwatched"))</f>
        <v/>
      </c>
      <c r="C2734" s="37" t="n"/>
      <c r="D2734" s="38" t="n"/>
      <c r="E2734" s="39" t="n">
        <v>42271.85833333333</v>
      </c>
      <c r="F2734" s="47" t="inlineStr">
        <is>
          <t>Super Carlin Brothers</t>
        </is>
      </c>
      <c r="G2734" t="inlineStr">
        <is>
          <t>Fast Facts: Harry Potter and the Prisoner of Azkaban</t>
        </is>
      </c>
      <c r="H2734" s="41" t="n">
        <v>0.00193287037037037</v>
      </c>
      <c r="I2734" s="42" t="n">
        <v>227131</v>
      </c>
      <c r="J2734" s="42" t="n">
        <v>4401</v>
      </c>
      <c r="K2734" s="42" t="n">
        <v>294</v>
      </c>
      <c r="L2734" s="43" t="n"/>
      <c r="M2734" s="44" t="n"/>
      <c r="N2734" s="44" t="inlineStr">
        <is>
          <t>UCKZo4N0lVPccBkSiuyVh4yg</t>
        </is>
      </c>
      <c r="O2734" s="45" t="n">
        <v>42272.025</v>
      </c>
      <c r="P2734" s="46" t="n">
        <v>42271</v>
      </c>
      <c r="Q2734" s="44" t="n">
        <v>538</v>
      </c>
      <c r="R2734" s="44" t="inlineStr">
        <is>
          <t>No Video ID yet</t>
        </is>
      </c>
      <c r="S2734" s="46" t="n"/>
      <c r="T2734" s="46" t="n"/>
      <c r="U2734" s="44" t="n"/>
      <c r="V2734" s="44">
        <f>IF(AND(P2734&gt;=Calendar!$K$2,P2734&lt;EDATE(Calendar!$K$2,1),OR(Calendar!$K$4="*",N2734=Calendar!$K$4)),P2734*100+COUNTIFS($P$6:$P$3271,P2734,$Q$6:$Q$3271,"&lt;="&amp;Q2734,$N$6:$N$3271,Calendar!$K$4),"")</f>
        <v/>
      </c>
      <c r="W2734" s="44">
        <f>IF(AND(B2734=Queue!$C$4,OR(Queue!$K$4="*",N2734=Queue!$K$4)),Q2734,"")</f>
        <v/>
      </c>
    </row>
    <row r="2735">
      <c r="A2735" s="35">
        <f>IF(M2735="","",HYPERLINK("https://www.youtube.com/watch?v="&amp;M2735,"▶"))</f>
        <v/>
      </c>
      <c r="B2735" s="36">
        <f>IF(C2735&lt;&gt;"",C2735,IF(P2735&lt;=IFERROR(INDEX(tblChannels[Watched Through],MATCH(N2735,tblChannels[Channel ID],0)),0),"Watched","Unwatched"))</f>
        <v/>
      </c>
      <c r="C2735" s="37" t="n"/>
      <c r="D2735" s="38" t="n"/>
      <c r="E2735" s="39" t="n">
        <v>42269.94861111111</v>
      </c>
      <c r="F2735" s="47" t="inlineStr">
        <is>
          <t>Super Carlin Brothers</t>
        </is>
      </c>
      <c r="G2735" t="inlineStr">
        <is>
          <t>Should Heroes Wear Capes?!</t>
        </is>
      </c>
      <c r="H2735" s="41" t="n">
        <v>0.004537037037037037</v>
      </c>
      <c r="I2735" s="42" t="n">
        <v>1805428</v>
      </c>
      <c r="J2735" s="42" t="n">
        <v>33688</v>
      </c>
      <c r="K2735" s="42" t="n">
        <v>4304</v>
      </c>
      <c r="L2735" s="43" t="n"/>
      <c r="M2735" s="44" t="n"/>
      <c r="N2735" s="44" t="inlineStr">
        <is>
          <t>UCKZo4N0lVPccBkSiuyVh4yg</t>
        </is>
      </c>
      <c r="O2735" s="45" t="n">
        <v>42270.11527777778</v>
      </c>
      <c r="P2735" s="46" t="n">
        <v>42269</v>
      </c>
      <c r="Q2735" s="44" t="n">
        <v>537</v>
      </c>
      <c r="R2735" s="44" t="inlineStr">
        <is>
          <t>No Video ID yet</t>
        </is>
      </c>
      <c r="S2735" s="46" t="n"/>
      <c r="T2735" s="46" t="n"/>
      <c r="U2735" s="44" t="n"/>
      <c r="V2735" s="44">
        <f>IF(AND(P2735&gt;=Calendar!$K$2,P2735&lt;EDATE(Calendar!$K$2,1),OR(Calendar!$K$4="*",N2735=Calendar!$K$4)),P2735*100+COUNTIFS($P$6:$P$3271,P2735,$Q$6:$Q$3271,"&lt;="&amp;Q2735,$N$6:$N$3271,Calendar!$K$4),"")</f>
        <v/>
      </c>
      <c r="W2735" s="44">
        <f>IF(AND(B2735=Queue!$C$4,OR(Queue!$K$4="*",N2735=Queue!$K$4)),Q2735,"")</f>
        <v/>
      </c>
    </row>
    <row r="2736">
      <c r="A2736" s="35">
        <f>IF(M2736="","",HYPERLINK("https://www.youtube.com/watch?v="&amp;M2736,"▶"))</f>
        <v/>
      </c>
      <c r="B2736" s="36">
        <f>IF(C2736&lt;&gt;"",C2736,IF(P2736&lt;=IFERROR(INDEX(tblChannels[Watched Through],MATCH(N2736,tblChannels[Channel ID],0)),0),"Watched","Unwatched"))</f>
        <v/>
      </c>
      <c r="C2736" s="37" t="n"/>
      <c r="D2736" s="38" t="n"/>
      <c r="E2736" s="39" t="n">
        <v>42264.94791666666</v>
      </c>
      <c r="F2736" s="47" t="inlineStr">
        <is>
          <t>Super Carlin Brothers</t>
        </is>
      </c>
      <c r="G2736" t="inlineStr">
        <is>
          <t>Fast Facts: Harry Potter and the Chamber of Secrets</t>
        </is>
      </c>
      <c r="H2736" s="41" t="n">
        <v>0.001793981481481481</v>
      </c>
      <c r="I2736" s="42" t="n">
        <v>207588</v>
      </c>
      <c r="J2736" s="42" t="n">
        <v>4474</v>
      </c>
      <c r="K2736" s="42" t="n">
        <v>248</v>
      </c>
      <c r="L2736" s="43" t="n"/>
      <c r="M2736" s="44" t="n"/>
      <c r="N2736" s="44" t="inlineStr">
        <is>
          <t>UCKZo4N0lVPccBkSiuyVh4yg</t>
        </is>
      </c>
      <c r="O2736" s="45" t="n">
        <v>42265.11458333334</v>
      </c>
      <c r="P2736" s="46" t="n">
        <v>42264</v>
      </c>
      <c r="Q2736" s="44" t="n">
        <v>536</v>
      </c>
      <c r="R2736" s="44" t="inlineStr">
        <is>
          <t>No Video ID yet</t>
        </is>
      </c>
      <c r="S2736" s="46" t="n"/>
      <c r="T2736" s="46" t="n"/>
      <c r="U2736" s="44" t="n"/>
      <c r="V2736" s="44">
        <f>IF(AND(P2736&gt;=Calendar!$K$2,P2736&lt;EDATE(Calendar!$K$2,1),OR(Calendar!$K$4="*",N2736=Calendar!$K$4)),P2736*100+COUNTIFS($P$6:$P$3271,P2736,$Q$6:$Q$3271,"&lt;="&amp;Q2736,$N$6:$N$3271,Calendar!$K$4),"")</f>
        <v/>
      </c>
      <c r="W2736" s="44">
        <f>IF(AND(B2736=Queue!$C$4,OR(Queue!$K$4="*",N2736=Queue!$K$4)),Q2736,"")</f>
        <v/>
      </c>
    </row>
    <row r="2737">
      <c r="A2737" s="35">
        <f>IF(M2737="","",HYPERLINK("https://www.youtube.com/watch?v="&amp;M2737,"▶"))</f>
        <v/>
      </c>
      <c r="B2737" s="36">
        <f>IF(C2737&lt;&gt;"",C2737,IF(P2737&lt;=IFERROR(INDEX(tblChannels[Watched Through],MATCH(N2737,tblChannels[Channel ID],0)),0),"Watched","Unwatched"))</f>
        <v/>
      </c>
      <c r="C2737" s="37" t="n"/>
      <c r="D2737" s="38" t="n"/>
      <c r="E2737" s="39" t="n">
        <v>42262.93055555555</v>
      </c>
      <c r="F2737" s="47" t="inlineStr">
        <is>
          <t>Super Carlin Brothers</t>
        </is>
      </c>
      <c r="G2737" t="inlineStr">
        <is>
          <t>What Happened to Pixar's Newt?</t>
        </is>
      </c>
      <c r="H2737" s="41" t="n">
        <v>0.004525462962962963</v>
      </c>
      <c r="I2737" s="42" t="n">
        <v>3242669</v>
      </c>
      <c r="J2737" s="42" t="n">
        <v>45129</v>
      </c>
      <c r="K2737" s="42" t="n">
        <v>7197</v>
      </c>
      <c r="L2737" s="43" t="n"/>
      <c r="M2737" s="44" t="n"/>
      <c r="N2737" s="44" t="inlineStr">
        <is>
          <t>UCKZo4N0lVPccBkSiuyVh4yg</t>
        </is>
      </c>
      <c r="O2737" s="45" t="n">
        <v>42263.09722222222</v>
      </c>
      <c r="P2737" s="46" t="n">
        <v>42262</v>
      </c>
      <c r="Q2737" s="44" t="n">
        <v>535</v>
      </c>
      <c r="R2737" s="44" t="inlineStr">
        <is>
          <t>No Video ID yet</t>
        </is>
      </c>
      <c r="S2737" s="46" t="n"/>
      <c r="T2737" s="46" t="n"/>
      <c r="U2737" s="44" t="n"/>
      <c r="V2737" s="44">
        <f>IF(AND(P2737&gt;=Calendar!$K$2,P2737&lt;EDATE(Calendar!$K$2,1),OR(Calendar!$K$4="*",N2737=Calendar!$K$4)),P2737*100+COUNTIFS($P$6:$P$3271,P2737,$Q$6:$Q$3271,"&lt;="&amp;Q2737,$N$6:$N$3271,Calendar!$K$4),"")</f>
        <v/>
      </c>
      <c r="W2737" s="44">
        <f>IF(AND(B2737=Queue!$C$4,OR(Queue!$K$4="*",N2737=Queue!$K$4)),Q2737,"")</f>
        <v/>
      </c>
    </row>
    <row r="2738">
      <c r="A2738" s="35">
        <f>IF(M2738="","",HYPERLINK("https://www.youtube.com/watch?v="&amp;M2738,"▶"))</f>
        <v/>
      </c>
      <c r="B2738" s="36">
        <f>IF(C2738&lt;&gt;"",C2738,IF(P2738&lt;=IFERROR(INDEX(tblChannels[Watched Through],MATCH(N2738,tblChannels[Channel ID],0)),0),"Watched","Unwatched"))</f>
        <v/>
      </c>
      <c r="C2738" s="37" t="n"/>
      <c r="D2738" s="38" t="n"/>
      <c r="E2738" s="39" t="n">
        <v>42257.95555555556</v>
      </c>
      <c r="F2738" s="47" t="inlineStr">
        <is>
          <t>Super Carlin Brothers</t>
        </is>
      </c>
      <c r="G2738" t="inlineStr">
        <is>
          <t>Fast Facts: Harry Potter and the Sorcerer's Stone</t>
        </is>
      </c>
      <c r="H2738" s="41" t="n">
        <v>0.00193287037037037</v>
      </c>
      <c r="I2738" s="42" t="n">
        <v>265258</v>
      </c>
      <c r="J2738" s="42" t="n">
        <v>5503</v>
      </c>
      <c r="K2738" s="42" t="n">
        <v>391</v>
      </c>
      <c r="L2738" s="43" t="n"/>
      <c r="M2738" s="44" t="n"/>
      <c r="N2738" s="44" t="inlineStr">
        <is>
          <t>UCKZo4N0lVPccBkSiuyVh4yg</t>
        </is>
      </c>
      <c r="O2738" s="45" t="n">
        <v>42258.12222222222</v>
      </c>
      <c r="P2738" s="46" t="n">
        <v>42257</v>
      </c>
      <c r="Q2738" s="44" t="n">
        <v>534</v>
      </c>
      <c r="R2738" s="44" t="inlineStr">
        <is>
          <t>No Video ID yet</t>
        </is>
      </c>
      <c r="S2738" s="46" t="n"/>
      <c r="T2738" s="46" t="n"/>
      <c r="U2738" s="44" t="n"/>
      <c r="V2738" s="44">
        <f>IF(AND(P2738&gt;=Calendar!$K$2,P2738&lt;EDATE(Calendar!$K$2,1),OR(Calendar!$K$4="*",N2738=Calendar!$K$4)),P2738*100+COUNTIFS($P$6:$P$3271,P2738,$Q$6:$Q$3271,"&lt;="&amp;Q2738,$N$6:$N$3271,Calendar!$K$4),"")</f>
        <v/>
      </c>
      <c r="W2738" s="44">
        <f>IF(AND(B2738=Queue!$C$4,OR(Queue!$K$4="*",N2738=Queue!$K$4)),Q2738,"")</f>
        <v/>
      </c>
    </row>
    <row r="2739">
      <c r="A2739" s="35">
        <f>IF(M2739="","",HYPERLINK("https://www.youtube.com/watch?v="&amp;M2739,"▶"))</f>
        <v/>
      </c>
      <c r="B2739" s="36">
        <f>IF(C2739&lt;&gt;"",C2739,IF(P2739&lt;=IFERROR(INDEX(tblChannels[Watched Through],MATCH(N2739,tblChannels[Channel ID],0)),0),"Watched","Unwatched"))</f>
        <v/>
      </c>
      <c r="C2739" s="37" t="n"/>
      <c r="D2739" s="38" t="n"/>
      <c r="E2739" s="39" t="n">
        <v>42257.54652777778</v>
      </c>
      <c r="F2739" s="49" t="inlineStr">
        <is>
          <t>Super Carlin Gaming</t>
        </is>
      </c>
      <c r="G2739" t="inlineStr">
        <is>
          <t>Pokemon HeartGold Nuzlocke #16 | Iron Tail</t>
        </is>
      </c>
      <c r="H2739" s="41" t="n">
        <v>0.02040509259259259</v>
      </c>
      <c r="I2739" s="42" t="n">
        <v>27170</v>
      </c>
      <c r="J2739" s="42" t="n">
        <v>553</v>
      </c>
      <c r="K2739" s="42" t="n">
        <v>132</v>
      </c>
      <c r="L2739" s="43" t="n"/>
      <c r="M2739" s="44" t="n"/>
      <c r="N2739" s="44" t="inlineStr">
        <is>
          <t>UCor_9jRnNNZVzTuQ92PKsaQ</t>
        </is>
      </c>
      <c r="O2739" s="45" t="n">
        <v>42257.71319444444</v>
      </c>
      <c r="P2739" s="46" t="n">
        <v>42257</v>
      </c>
      <c r="Q2739" s="44" t="n">
        <v>533</v>
      </c>
      <c r="R2739" s="44" t="inlineStr">
        <is>
          <t>No Video ID yet</t>
        </is>
      </c>
      <c r="S2739" s="46" t="n"/>
      <c r="T2739" s="46" t="n"/>
      <c r="U2739" s="44" t="n"/>
      <c r="V2739" s="44">
        <f>IF(AND(P2739&gt;=Calendar!$K$2,P2739&lt;EDATE(Calendar!$K$2,1),OR(Calendar!$K$4="*",N2739=Calendar!$K$4)),P2739*100+COUNTIFS($P$6:$P$3271,P2739,$Q$6:$Q$3271,"&lt;="&amp;Q2739,$N$6:$N$3271,Calendar!$K$4),"")</f>
        <v/>
      </c>
      <c r="W2739" s="44">
        <f>IF(AND(B2739=Queue!$C$4,OR(Queue!$K$4="*",N2739=Queue!$K$4)),Q2739,"")</f>
        <v/>
      </c>
    </row>
    <row r="2740">
      <c r="A2740" s="35">
        <f>IF(M2740="","",HYPERLINK("https://www.youtube.com/watch?v="&amp;M2740,"▶"))</f>
        <v/>
      </c>
      <c r="B2740" s="36">
        <f>IF(C2740&lt;&gt;"",C2740,IF(P2740&lt;=IFERROR(INDEX(tblChannels[Watched Through],MATCH(N2740,tblChannels[Channel ID],0)),0),"Watched","Unwatched"))</f>
        <v/>
      </c>
      <c r="C2740" s="37" t="n"/>
      <c r="D2740" s="38" t="n"/>
      <c r="E2740" s="39" t="n">
        <v>42255.97430555556</v>
      </c>
      <c r="F2740" s="47" t="inlineStr">
        <is>
          <t>Super Carlin Brothers</t>
        </is>
      </c>
      <c r="G2740" t="inlineStr">
        <is>
          <t>Can Spider-Man Google Autofill!?</t>
        </is>
      </c>
      <c r="H2740" s="41" t="n">
        <v>0.004398148148148148</v>
      </c>
      <c r="I2740" s="42" t="n">
        <v>448788</v>
      </c>
      <c r="J2740" s="42" t="n">
        <v>6679</v>
      </c>
      <c r="K2740" s="42" t="n">
        <v>1834</v>
      </c>
      <c r="L2740" s="43" t="n"/>
      <c r="M2740" s="44" t="n"/>
      <c r="N2740" s="44" t="inlineStr">
        <is>
          <t>UCKZo4N0lVPccBkSiuyVh4yg</t>
        </is>
      </c>
      <c r="O2740" s="45" t="n">
        <v>42256.14097222222</v>
      </c>
      <c r="P2740" s="46" t="n">
        <v>42255</v>
      </c>
      <c r="Q2740" s="44" t="n">
        <v>532</v>
      </c>
      <c r="R2740" s="44" t="inlineStr">
        <is>
          <t>No Video ID yet</t>
        </is>
      </c>
      <c r="S2740" s="46" t="n"/>
      <c r="T2740" s="46" t="n"/>
      <c r="U2740" s="44" t="n"/>
      <c r="V2740" s="44">
        <f>IF(AND(P2740&gt;=Calendar!$K$2,P2740&lt;EDATE(Calendar!$K$2,1),OR(Calendar!$K$4="*",N2740=Calendar!$K$4)),P2740*100+COUNTIFS($P$6:$P$3271,P2740,$Q$6:$Q$3271,"&lt;="&amp;Q2740,$N$6:$N$3271,Calendar!$K$4),"")</f>
        <v/>
      </c>
      <c r="W2740" s="44">
        <f>IF(AND(B2740=Queue!$C$4,OR(Queue!$K$4="*",N2740=Queue!$K$4)),Q2740,"")</f>
        <v/>
      </c>
    </row>
    <row r="2741">
      <c r="A2741" s="35">
        <f>IF(M2741="","",HYPERLINK("https://www.youtube.com/watch?v="&amp;M2741,"▶"))</f>
        <v/>
      </c>
      <c r="B2741" s="36">
        <f>IF(C2741&lt;&gt;"",C2741,IF(P2741&lt;=IFERROR(INDEX(tblChannels[Watched Through],MATCH(N2741,tblChannels[Channel ID],0)),0),"Watched","Unwatched"))</f>
        <v/>
      </c>
      <c r="C2741" s="37" t="n"/>
      <c r="D2741" s="38" t="n"/>
      <c r="E2741" s="39" t="n">
        <v>42252.41666666666</v>
      </c>
      <c r="F2741" s="49" t="inlineStr">
        <is>
          <t>Super Carlin Gaming</t>
        </is>
      </c>
      <c r="G2741" t="inlineStr">
        <is>
          <t>Pokemon HeartGold Nuzlocke #15: Focus Punch</t>
        </is>
      </c>
      <c r="H2741" s="41" t="n">
        <v>0.01737268518518519</v>
      </c>
      <c r="I2741" s="42" t="n">
        <v>26741</v>
      </c>
      <c r="J2741" s="42" t="n">
        <v>504</v>
      </c>
      <c r="K2741" s="42" t="n">
        <v>222</v>
      </c>
      <c r="L2741" s="43" t="n"/>
      <c r="M2741" s="44" t="n"/>
      <c r="N2741" s="44" t="inlineStr">
        <is>
          <t>UCor_9jRnNNZVzTuQ92PKsaQ</t>
        </is>
      </c>
      <c r="O2741" s="45" t="n">
        <v>42252.58333333334</v>
      </c>
      <c r="P2741" s="46" t="n">
        <v>42252</v>
      </c>
      <c r="Q2741" s="44" t="n">
        <v>531</v>
      </c>
      <c r="R2741" s="44" t="inlineStr">
        <is>
          <t>No Video ID yet</t>
        </is>
      </c>
      <c r="S2741" s="46" t="n"/>
      <c r="T2741" s="46" t="n"/>
      <c r="U2741" s="44" t="n"/>
      <c r="V2741" s="44">
        <f>IF(AND(P2741&gt;=Calendar!$K$2,P2741&lt;EDATE(Calendar!$K$2,1),OR(Calendar!$K$4="*",N2741=Calendar!$K$4)),P2741*100+COUNTIFS($P$6:$P$3271,P2741,$Q$6:$Q$3271,"&lt;="&amp;Q2741,$N$6:$N$3271,Calendar!$K$4),"")</f>
        <v/>
      </c>
      <c r="W2741" s="44">
        <f>IF(AND(B2741=Queue!$C$4,OR(Queue!$K$4="*",N2741=Queue!$K$4)),Q2741,"")</f>
        <v/>
      </c>
    </row>
    <row r="2742">
      <c r="A2742" s="35">
        <f>IF(M2742="","",HYPERLINK("https://www.youtube.com/watch?v="&amp;M2742,"▶"))</f>
        <v/>
      </c>
      <c r="B2742" s="36">
        <f>IF(C2742&lt;&gt;"",C2742,IF(P2742&lt;=IFERROR(INDEX(tblChannels[Watched Through],MATCH(N2742,tblChannels[Channel ID],0)),0),"Watched","Unwatched"))</f>
        <v/>
      </c>
      <c r="C2742" s="37" t="n"/>
      <c r="D2742" s="38" t="n"/>
      <c r="E2742" s="39" t="n">
        <v>42250.92222222222</v>
      </c>
      <c r="F2742" s="47" t="inlineStr">
        <is>
          <t>Super Carlin Brothers</t>
        </is>
      </c>
      <c r="G2742" t="inlineStr">
        <is>
          <t>Pixar Fast Facts: Cars 2</t>
        </is>
      </c>
      <c r="H2742" s="41" t="n">
        <v>0.001770833333333333</v>
      </c>
      <c r="I2742" s="42" t="n">
        <v>204872</v>
      </c>
      <c r="J2742" s="42" t="n">
        <v>3172</v>
      </c>
      <c r="K2742" s="42" t="n">
        <v>310</v>
      </c>
      <c r="L2742" s="43" t="n"/>
      <c r="M2742" s="44" t="n"/>
      <c r="N2742" s="44" t="inlineStr">
        <is>
          <t>UCKZo4N0lVPccBkSiuyVh4yg</t>
        </is>
      </c>
      <c r="O2742" s="45" t="n">
        <v>42251.08888888889</v>
      </c>
      <c r="P2742" s="46" t="n">
        <v>42250</v>
      </c>
      <c r="Q2742" s="44" t="n">
        <v>530</v>
      </c>
      <c r="R2742" s="44" t="inlineStr">
        <is>
          <t>No Video ID yet</t>
        </is>
      </c>
      <c r="S2742" s="46" t="n"/>
      <c r="T2742" s="46" t="n"/>
      <c r="U2742" s="44" t="n"/>
      <c r="V2742" s="44">
        <f>IF(AND(P2742&gt;=Calendar!$K$2,P2742&lt;EDATE(Calendar!$K$2,1),OR(Calendar!$K$4="*",N2742=Calendar!$K$4)),P2742*100+COUNTIFS($P$6:$P$3271,P2742,$Q$6:$Q$3271,"&lt;="&amp;Q2742,$N$6:$N$3271,Calendar!$K$4),"")</f>
        <v/>
      </c>
      <c r="W2742" s="44">
        <f>IF(AND(B2742=Queue!$C$4,OR(Queue!$K$4="*",N2742=Queue!$K$4)),Q2742,"")</f>
        <v/>
      </c>
    </row>
    <row r="2743">
      <c r="A2743" s="35">
        <f>IF(M2743="","",HYPERLINK("https://www.youtube.com/watch?v="&amp;M2743,"▶"))</f>
        <v/>
      </c>
      <c r="B2743" s="36">
        <f>IF(C2743&lt;&gt;"",C2743,IF(P2743&lt;=IFERROR(INDEX(tblChannels[Watched Through],MATCH(N2743,tblChannels[Channel ID],0)),0),"Watched","Unwatched"))</f>
        <v/>
      </c>
      <c r="C2743" s="37" t="n"/>
      <c r="D2743" s="38" t="n"/>
      <c r="E2743" s="39" t="n">
        <v>42248.88472222222</v>
      </c>
      <c r="F2743" s="47" t="inlineStr">
        <is>
          <t>Super Carlin Brothers</t>
        </is>
      </c>
      <c r="G2743" t="inlineStr">
        <is>
          <t>Loot Crate Unboxing | Villains 2 + GIVEAWAY!</t>
        </is>
      </c>
      <c r="H2743" s="41" t="n">
        <v>0.005787037037037037</v>
      </c>
      <c r="I2743" s="42" t="n">
        <v>90009</v>
      </c>
      <c r="J2743" s="42" t="n">
        <v>1896</v>
      </c>
      <c r="K2743" s="42" t="n">
        <v>332</v>
      </c>
      <c r="L2743" s="43" t="n"/>
      <c r="M2743" s="44" t="n"/>
      <c r="N2743" s="44" t="inlineStr">
        <is>
          <t>UCKZo4N0lVPccBkSiuyVh4yg</t>
        </is>
      </c>
      <c r="O2743" s="45" t="n">
        <v>42249.05138888889</v>
      </c>
      <c r="P2743" s="46" t="n">
        <v>42248</v>
      </c>
      <c r="Q2743" s="44" t="n">
        <v>529</v>
      </c>
      <c r="R2743" s="44" t="inlineStr">
        <is>
          <t>No Video ID yet</t>
        </is>
      </c>
      <c r="S2743" s="46" t="n"/>
      <c r="T2743" s="46" t="n"/>
      <c r="U2743" s="44" t="n"/>
      <c r="V2743" s="44">
        <f>IF(AND(P2743&gt;=Calendar!$K$2,P2743&lt;EDATE(Calendar!$K$2,1),OR(Calendar!$K$4="*",N2743=Calendar!$K$4)),P2743*100+COUNTIFS($P$6:$P$3271,P2743,$Q$6:$Q$3271,"&lt;="&amp;Q2743,$N$6:$N$3271,Calendar!$K$4),"")</f>
        <v/>
      </c>
      <c r="W2743" s="44">
        <f>IF(AND(B2743=Queue!$C$4,OR(Queue!$K$4="*",N2743=Queue!$K$4)),Q2743,"")</f>
        <v/>
      </c>
    </row>
    <row r="2744">
      <c r="A2744" s="35">
        <f>IF(M2744="","",HYPERLINK("https://www.youtube.com/watch?v="&amp;M2744,"▶"))</f>
        <v/>
      </c>
      <c r="B2744" s="36">
        <f>IF(C2744&lt;&gt;"",C2744,IF(P2744&lt;=IFERROR(INDEX(tblChannels[Watched Through],MATCH(N2744,tblChannels[Channel ID],0)),0),"Watched","Unwatched"))</f>
        <v/>
      </c>
      <c r="C2744" s="37" t="n"/>
      <c r="D2744" s="38" t="n"/>
      <c r="E2744" s="39" t="n">
        <v>42245.47291666667</v>
      </c>
      <c r="F2744" s="49" t="inlineStr">
        <is>
          <t>Super Carlin Gaming</t>
        </is>
      </c>
      <c r="G2744" t="inlineStr">
        <is>
          <t>Pokemon HeartGold Nuzlocke #14: Bananas vs Tentacool</t>
        </is>
      </c>
      <c r="H2744" s="41" t="n">
        <v>0.0144212962962963</v>
      </c>
      <c r="I2744" s="42" t="n">
        <v>23925</v>
      </c>
      <c r="J2744" s="42" t="n">
        <v>495</v>
      </c>
      <c r="K2744" s="42" t="n">
        <v>95</v>
      </c>
      <c r="L2744" s="43" t="n"/>
      <c r="M2744" s="44" t="n"/>
      <c r="N2744" s="44" t="inlineStr">
        <is>
          <t>UCor_9jRnNNZVzTuQ92PKsaQ</t>
        </is>
      </c>
      <c r="O2744" s="45" t="n">
        <v>42245.63958333333</v>
      </c>
      <c r="P2744" s="46" t="n">
        <v>42245</v>
      </c>
      <c r="Q2744" s="44" t="n">
        <v>528</v>
      </c>
      <c r="R2744" s="44" t="inlineStr">
        <is>
          <t>No Video ID yet</t>
        </is>
      </c>
      <c r="S2744" s="46" t="n"/>
      <c r="T2744" s="46" t="n"/>
      <c r="U2744" s="44" t="n"/>
      <c r="V2744" s="44">
        <f>IF(AND(P2744&gt;=Calendar!$K$2,P2744&lt;EDATE(Calendar!$K$2,1),OR(Calendar!$K$4="*",N2744=Calendar!$K$4)),P2744*100+COUNTIFS($P$6:$P$3271,P2744,$Q$6:$Q$3271,"&lt;="&amp;Q2744,$N$6:$N$3271,Calendar!$K$4),"")</f>
        <v/>
      </c>
      <c r="W2744" s="44">
        <f>IF(AND(B2744=Queue!$C$4,OR(Queue!$K$4="*",N2744=Queue!$K$4)),Q2744,"")</f>
        <v/>
      </c>
    </row>
    <row r="2745">
      <c r="A2745" s="35">
        <f>IF(M2745="","",HYPERLINK("https://www.youtube.com/watch?v="&amp;M2745,"▶"))</f>
        <v/>
      </c>
      <c r="B2745" s="36">
        <f>IF(C2745&lt;&gt;"",C2745,IF(P2745&lt;=IFERROR(INDEX(tblChannels[Watched Through],MATCH(N2745,tblChannels[Channel ID],0)),0),"Watched","Unwatched"))</f>
        <v/>
      </c>
      <c r="C2745" s="37" t="n"/>
      <c r="D2745" s="38" t="n"/>
      <c r="E2745" s="39" t="n">
        <v>42243.96319444444</v>
      </c>
      <c r="F2745" s="47" t="inlineStr">
        <is>
          <t>Super Carlin Brothers</t>
        </is>
      </c>
      <c r="G2745" t="inlineStr">
        <is>
          <t>Pixar Fast Facts: Ratatouille</t>
        </is>
      </c>
      <c r="H2745" s="41" t="n">
        <v>0.001539351851851852</v>
      </c>
      <c r="I2745" s="42" t="n">
        <v>204121</v>
      </c>
      <c r="J2745" s="42" t="n">
        <v>4033</v>
      </c>
      <c r="K2745" s="42" t="n">
        <v>206</v>
      </c>
      <c r="L2745" s="43" t="n"/>
      <c r="M2745" s="44" t="n"/>
      <c r="N2745" s="44" t="inlineStr">
        <is>
          <t>UCKZo4N0lVPccBkSiuyVh4yg</t>
        </is>
      </c>
      <c r="O2745" s="45" t="n">
        <v>42244.12986111111</v>
      </c>
      <c r="P2745" s="46" t="n">
        <v>42243</v>
      </c>
      <c r="Q2745" s="44" t="n">
        <v>527</v>
      </c>
      <c r="R2745" s="44" t="inlineStr">
        <is>
          <t>No Video ID yet</t>
        </is>
      </c>
      <c r="S2745" s="46" t="n"/>
      <c r="T2745" s="46" t="n"/>
      <c r="U2745" s="44" t="n"/>
      <c r="V2745" s="44">
        <f>IF(AND(P2745&gt;=Calendar!$K$2,P2745&lt;EDATE(Calendar!$K$2,1),OR(Calendar!$K$4="*",N2745=Calendar!$K$4)),P2745*100+COUNTIFS($P$6:$P$3271,P2745,$Q$6:$Q$3271,"&lt;="&amp;Q2745,$N$6:$N$3271,Calendar!$K$4),"")</f>
        <v/>
      </c>
      <c r="W2745" s="44">
        <f>IF(AND(B2745=Queue!$C$4,OR(Queue!$K$4="*",N2745=Queue!$K$4)),Q2745,"")</f>
        <v/>
      </c>
    </row>
    <row r="2746">
      <c r="A2746" s="35">
        <f>IF(M2746="","",HYPERLINK("https://www.youtube.com/watch?v="&amp;M2746,"▶"))</f>
        <v/>
      </c>
      <c r="B2746" s="36">
        <f>IF(C2746&lt;&gt;"",C2746,IF(P2746&lt;=IFERROR(INDEX(tblChannels[Watched Through],MATCH(N2746,tblChannels[Channel ID],0)),0),"Watched","Unwatched"))</f>
        <v/>
      </c>
      <c r="C2746" s="37" t="n"/>
      <c r="D2746" s="38" t="n"/>
      <c r="E2746" s="39" t="n">
        <v>42241.95972222222</v>
      </c>
      <c r="F2746" s="47" t="inlineStr">
        <is>
          <t>Super Carlin Brothers</t>
        </is>
      </c>
      <c r="G2746" t="inlineStr">
        <is>
          <t>Is Draco Malfoy a Werewolf!?</t>
        </is>
      </c>
      <c r="H2746" s="41" t="n">
        <v>0.004675925925925926</v>
      </c>
      <c r="I2746" s="42" t="n">
        <v>2425519</v>
      </c>
      <c r="J2746" s="42" t="n">
        <v>48284</v>
      </c>
      <c r="K2746" s="42" t="n">
        <v>7377</v>
      </c>
      <c r="L2746" s="43" t="n"/>
      <c r="M2746" s="44" t="n"/>
      <c r="N2746" s="44" t="inlineStr">
        <is>
          <t>UCKZo4N0lVPccBkSiuyVh4yg</t>
        </is>
      </c>
      <c r="O2746" s="45" t="n">
        <v>42242.12638888889</v>
      </c>
      <c r="P2746" s="46" t="n">
        <v>42241</v>
      </c>
      <c r="Q2746" s="44" t="n">
        <v>526</v>
      </c>
      <c r="R2746" s="44" t="inlineStr">
        <is>
          <t>No Video ID yet</t>
        </is>
      </c>
      <c r="S2746" s="46" t="n"/>
      <c r="T2746" s="46" t="n"/>
      <c r="U2746" s="44" t="n"/>
      <c r="V2746" s="44">
        <f>IF(AND(P2746&gt;=Calendar!$K$2,P2746&lt;EDATE(Calendar!$K$2,1),OR(Calendar!$K$4="*",N2746=Calendar!$K$4)),P2746*100+COUNTIFS($P$6:$P$3271,P2746,$Q$6:$Q$3271,"&lt;="&amp;Q2746,$N$6:$N$3271,Calendar!$K$4),"")</f>
        <v/>
      </c>
      <c r="W2746" s="44">
        <f>IF(AND(B2746=Queue!$C$4,OR(Queue!$K$4="*",N2746=Queue!$K$4)),Q2746,"")</f>
        <v/>
      </c>
    </row>
    <row r="2747">
      <c r="A2747" s="35">
        <f>IF(M2747="","",HYPERLINK("https://www.youtube.com/watch?v="&amp;M2747,"▶"))</f>
        <v/>
      </c>
      <c r="B2747" s="36">
        <f>IF(C2747&lt;&gt;"",C2747,IF(P2747&lt;=IFERROR(INDEX(tblChannels[Watched Through],MATCH(N2747,tblChannels[Channel ID],0)),0),"Watched","Unwatched"))</f>
        <v/>
      </c>
      <c r="C2747" s="37" t="n"/>
      <c r="D2747" s="38" t="n"/>
      <c r="E2747" s="39" t="n">
        <v>42236.84097222222</v>
      </c>
      <c r="F2747" s="47" t="inlineStr">
        <is>
          <t>Super Carlin Brothers</t>
        </is>
      </c>
      <c r="G2747" t="inlineStr">
        <is>
          <t>Pixar Fast Facts: Brave</t>
        </is>
      </c>
      <c r="H2747" s="41" t="n">
        <v>0.001666666666666667</v>
      </c>
      <c r="I2747" s="42" t="n">
        <v>219043</v>
      </c>
      <c r="J2747" s="42" t="n">
        <v>4496</v>
      </c>
      <c r="K2747" s="42" t="n">
        <v>250</v>
      </c>
      <c r="L2747" s="43" t="n"/>
      <c r="M2747" s="44" t="n"/>
      <c r="N2747" s="44" t="inlineStr">
        <is>
          <t>UCKZo4N0lVPccBkSiuyVh4yg</t>
        </is>
      </c>
      <c r="O2747" s="45" t="n">
        <v>42237.00763888889</v>
      </c>
      <c r="P2747" s="46" t="n">
        <v>42236</v>
      </c>
      <c r="Q2747" s="44" t="n">
        <v>525</v>
      </c>
      <c r="R2747" s="44" t="inlineStr">
        <is>
          <t>No Video ID yet</t>
        </is>
      </c>
      <c r="S2747" s="46" t="n"/>
      <c r="T2747" s="46" t="n"/>
      <c r="U2747" s="44" t="n"/>
      <c r="V2747" s="44">
        <f>IF(AND(P2747&gt;=Calendar!$K$2,P2747&lt;EDATE(Calendar!$K$2,1),OR(Calendar!$K$4="*",N2747=Calendar!$K$4)),P2747*100+COUNTIFS($P$6:$P$3271,P2747,$Q$6:$Q$3271,"&lt;="&amp;Q2747,$N$6:$N$3271,Calendar!$K$4),"")</f>
        <v/>
      </c>
      <c r="W2747" s="44">
        <f>IF(AND(B2747=Queue!$C$4,OR(Queue!$K$4="*",N2747=Queue!$K$4)),Q2747,"")</f>
        <v/>
      </c>
    </row>
    <row r="2748">
      <c r="A2748" s="35">
        <f>IF(M2748="","",HYPERLINK("https://www.youtube.com/watch?v="&amp;M2748,"▶"))</f>
        <v/>
      </c>
      <c r="B2748" s="36">
        <f>IF(C2748&lt;&gt;"",C2748,IF(P2748&lt;=IFERROR(INDEX(tblChannels[Watched Through],MATCH(N2748,tblChannels[Channel ID],0)),0),"Watched","Unwatched"))</f>
        <v/>
      </c>
      <c r="C2748" s="37" t="n"/>
      <c r="D2748" s="38" t="n"/>
      <c r="E2748" s="39" t="n">
        <v>42234.95277777778</v>
      </c>
      <c r="F2748" s="47" t="inlineStr">
        <is>
          <t>Super Carlin Brothers</t>
        </is>
      </c>
      <c r="G2748" t="inlineStr">
        <is>
          <t>What Does KRONOS Mean?</t>
        </is>
      </c>
      <c r="H2748" s="41" t="n">
        <v>0.004965277777777778</v>
      </c>
      <c r="I2748" s="42" t="n">
        <v>2551250</v>
      </c>
      <c r="J2748" s="42" t="n">
        <v>50778</v>
      </c>
      <c r="K2748" s="42" t="n">
        <v>7209</v>
      </c>
      <c r="L2748" s="43" t="n"/>
      <c r="M2748" s="44" t="n"/>
      <c r="N2748" s="44" t="inlineStr">
        <is>
          <t>UCKZo4N0lVPccBkSiuyVh4yg</t>
        </is>
      </c>
      <c r="O2748" s="45" t="n">
        <v>42235.11944444444</v>
      </c>
      <c r="P2748" s="46" t="n">
        <v>42234</v>
      </c>
      <c r="Q2748" s="44" t="n">
        <v>524</v>
      </c>
      <c r="R2748" s="44" t="inlineStr">
        <is>
          <t>No Video ID yet</t>
        </is>
      </c>
      <c r="S2748" s="46" t="n"/>
      <c r="T2748" s="46" t="n"/>
      <c r="U2748" s="44" t="n"/>
      <c r="V2748" s="44">
        <f>IF(AND(P2748&gt;=Calendar!$K$2,P2748&lt;EDATE(Calendar!$K$2,1),OR(Calendar!$K$4="*",N2748=Calendar!$K$4)),P2748*100+COUNTIFS($P$6:$P$3271,P2748,$Q$6:$Q$3271,"&lt;="&amp;Q2748,$N$6:$N$3271,Calendar!$K$4),"")</f>
        <v/>
      </c>
      <c r="W2748" s="44">
        <f>IF(AND(B2748=Queue!$C$4,OR(Queue!$K$4="*",N2748=Queue!$K$4)),Q2748,"")</f>
        <v/>
      </c>
    </row>
    <row r="2749">
      <c r="A2749" s="35">
        <f>IF(M2749="","",HYPERLINK("https://www.youtube.com/watch?v="&amp;M2749,"▶"))</f>
        <v/>
      </c>
      <c r="B2749" s="36">
        <f>IF(C2749&lt;&gt;"",C2749,IF(P2749&lt;=IFERROR(INDEX(tblChannels[Watched Through],MATCH(N2749,tblChannels[Channel ID],0)),0),"Watched","Unwatched"))</f>
        <v/>
      </c>
      <c r="C2749" s="37" t="n"/>
      <c r="D2749" s="38" t="n"/>
      <c r="E2749" s="39" t="n">
        <v>42229.91527777778</v>
      </c>
      <c r="F2749" s="47" t="inlineStr">
        <is>
          <t>Super Carlin Brothers</t>
        </is>
      </c>
      <c r="G2749" t="inlineStr">
        <is>
          <t>Pixar Fast Facts: Cars</t>
        </is>
      </c>
      <c r="H2749" s="41" t="n">
        <v>0.001805555555555555</v>
      </c>
      <c r="I2749" s="42" t="n">
        <v>211616</v>
      </c>
      <c r="J2749" s="42" t="n">
        <v>3537</v>
      </c>
      <c r="K2749" s="42" t="n">
        <v>287</v>
      </c>
      <c r="L2749" s="43" t="n"/>
      <c r="M2749" s="44" t="n"/>
      <c r="N2749" s="44" t="inlineStr">
        <is>
          <t>UCKZo4N0lVPccBkSiuyVh4yg</t>
        </is>
      </c>
      <c r="O2749" s="45" t="n">
        <v>42230.08194444444</v>
      </c>
      <c r="P2749" s="46" t="n">
        <v>42229</v>
      </c>
      <c r="Q2749" s="44" t="n">
        <v>523</v>
      </c>
      <c r="R2749" s="44" t="inlineStr">
        <is>
          <t>No Video ID yet</t>
        </is>
      </c>
      <c r="S2749" s="46" t="n"/>
      <c r="T2749" s="46" t="n"/>
      <c r="U2749" s="44" t="n"/>
      <c r="V2749" s="44">
        <f>IF(AND(P2749&gt;=Calendar!$K$2,P2749&lt;EDATE(Calendar!$K$2,1),OR(Calendar!$K$4="*",N2749=Calendar!$K$4)),P2749*100+COUNTIFS($P$6:$P$3271,P2749,$Q$6:$Q$3271,"&lt;="&amp;Q2749,$N$6:$N$3271,Calendar!$K$4),"")</f>
        <v/>
      </c>
      <c r="W2749" s="44">
        <f>IF(AND(B2749=Queue!$C$4,OR(Queue!$K$4="*",N2749=Queue!$K$4)),Q2749,"")</f>
        <v/>
      </c>
    </row>
    <row r="2750">
      <c r="A2750" s="35">
        <f>IF(M2750="","",HYPERLINK("https://www.youtube.com/watch?v="&amp;M2750,"▶"))</f>
        <v/>
      </c>
      <c r="B2750" s="36">
        <f>IF(C2750&lt;&gt;"",C2750,IF(P2750&lt;=IFERROR(INDEX(tblChannels[Watched Through],MATCH(N2750,tblChannels[Channel ID],0)),0),"Watched","Unwatched"))</f>
        <v/>
      </c>
      <c r="C2750" s="37" t="n"/>
      <c r="D2750" s="38" t="n"/>
      <c r="E2750" s="39" t="n">
        <v>42227.96944444445</v>
      </c>
      <c r="F2750" s="47" t="inlineStr">
        <is>
          <t>Super Carlin Brothers</t>
        </is>
      </c>
      <c r="G2750" t="inlineStr">
        <is>
          <t>Did Inside Out Reveal the Next iPhone?!</t>
        </is>
      </c>
      <c r="H2750" s="41" t="n">
        <v>0.003981481481481482</v>
      </c>
      <c r="I2750" s="42" t="n">
        <v>2543127</v>
      </c>
      <c r="J2750" s="42" t="n">
        <v>25789</v>
      </c>
      <c r="K2750" s="42" t="n">
        <v>5027</v>
      </c>
      <c r="L2750" s="43" t="n"/>
      <c r="M2750" s="44" t="n"/>
      <c r="N2750" s="44" t="inlineStr">
        <is>
          <t>UCKZo4N0lVPccBkSiuyVh4yg</t>
        </is>
      </c>
      <c r="O2750" s="45" t="n">
        <v>42228.13611111111</v>
      </c>
      <c r="P2750" s="46" t="n">
        <v>42227</v>
      </c>
      <c r="Q2750" s="44" t="n">
        <v>522</v>
      </c>
      <c r="R2750" s="44" t="inlineStr">
        <is>
          <t>No Video ID yet</t>
        </is>
      </c>
      <c r="S2750" s="46" t="n"/>
      <c r="T2750" s="46" t="n"/>
      <c r="U2750" s="44" t="n"/>
      <c r="V2750" s="44">
        <f>IF(AND(P2750&gt;=Calendar!$K$2,P2750&lt;EDATE(Calendar!$K$2,1),OR(Calendar!$K$4="*",N2750=Calendar!$K$4)),P2750*100+COUNTIFS($P$6:$P$3271,P2750,$Q$6:$Q$3271,"&lt;="&amp;Q2750,$N$6:$N$3271,Calendar!$K$4),"")</f>
        <v/>
      </c>
      <c r="W2750" s="44">
        <f>IF(AND(B2750=Queue!$C$4,OR(Queue!$K$4="*",N2750=Queue!$K$4)),Q2750,"")</f>
        <v/>
      </c>
    </row>
    <row r="2751">
      <c r="A2751" s="35">
        <f>IF(M2751="","",HYPERLINK("https://www.youtube.com/watch?v="&amp;M2751,"▶"))</f>
        <v/>
      </c>
      <c r="B2751" s="36">
        <f>IF(C2751&lt;&gt;"",C2751,IF(P2751&lt;=IFERROR(INDEX(tblChannels[Watched Through],MATCH(N2751,tblChannels[Channel ID],0)),0),"Watched","Unwatched"))</f>
        <v/>
      </c>
      <c r="C2751" s="37" t="n"/>
      <c r="D2751" s="38" t="n"/>
      <c r="E2751" s="39" t="n">
        <v>42222.90277777778</v>
      </c>
      <c r="F2751" s="47" t="inlineStr">
        <is>
          <t>Super Carlin Brothers</t>
        </is>
      </c>
      <c r="G2751" t="inlineStr">
        <is>
          <t>Pixar Fast Facts: A Bug's Life</t>
        </is>
      </c>
      <c r="H2751" s="41" t="n">
        <v>0.001481481481481481</v>
      </c>
      <c r="I2751" s="42" t="n">
        <v>165272</v>
      </c>
      <c r="J2751" s="42" t="n">
        <v>3099</v>
      </c>
      <c r="K2751" s="42" t="n">
        <v>180</v>
      </c>
      <c r="L2751" s="43" t="n"/>
      <c r="M2751" s="44" t="n"/>
      <c r="N2751" s="44" t="inlineStr">
        <is>
          <t>UCKZo4N0lVPccBkSiuyVh4yg</t>
        </is>
      </c>
      <c r="O2751" s="45" t="n">
        <v>42223.06944444445</v>
      </c>
      <c r="P2751" s="46" t="n">
        <v>42222</v>
      </c>
      <c r="Q2751" s="44" t="n">
        <v>521</v>
      </c>
      <c r="R2751" s="44" t="inlineStr">
        <is>
          <t>No Video ID yet</t>
        </is>
      </c>
      <c r="S2751" s="46" t="n"/>
      <c r="T2751" s="46" t="n"/>
      <c r="U2751" s="44" t="n"/>
      <c r="V2751" s="44">
        <f>IF(AND(P2751&gt;=Calendar!$K$2,P2751&lt;EDATE(Calendar!$K$2,1),OR(Calendar!$K$4="*",N2751=Calendar!$K$4)),P2751*100+COUNTIFS($P$6:$P$3271,P2751,$Q$6:$Q$3271,"&lt;="&amp;Q2751,$N$6:$N$3271,Calendar!$K$4),"")</f>
        <v/>
      </c>
      <c r="W2751" s="44">
        <f>IF(AND(B2751=Queue!$C$4,OR(Queue!$K$4="*",N2751=Queue!$K$4)),Q2751,"")</f>
        <v/>
      </c>
    </row>
    <row r="2752">
      <c r="A2752" s="35">
        <f>IF(M2752="","",HYPERLINK("https://www.youtube.com/watch?v="&amp;M2752,"▶"))</f>
        <v/>
      </c>
      <c r="B2752" s="36">
        <f>IF(C2752&lt;&gt;"",C2752,IF(P2752&lt;=IFERROR(INDEX(tblChannels[Watched Through],MATCH(N2752,tblChannels[Channel ID],0)),0),"Watched","Unwatched"))</f>
        <v/>
      </c>
      <c r="C2752" s="37" t="n"/>
      <c r="D2752" s="38" t="n"/>
      <c r="E2752" s="39" t="n">
        <v>42220.92083333333</v>
      </c>
      <c r="F2752" s="47" t="inlineStr">
        <is>
          <t>Super Carlin Brothers</t>
        </is>
      </c>
      <c r="G2752" t="inlineStr">
        <is>
          <t>Loot Crate Unboxing | Heroes 2</t>
        </is>
      </c>
      <c r="H2752" s="41" t="n">
        <v>0.0046875</v>
      </c>
      <c r="I2752" s="42" t="n">
        <v>100357</v>
      </c>
      <c r="J2752" s="42" t="n">
        <v>1958</v>
      </c>
      <c r="K2752" s="42" t="n">
        <v>263</v>
      </c>
      <c r="L2752" s="43" t="n"/>
      <c r="M2752" s="44" t="n"/>
      <c r="N2752" s="44" t="inlineStr">
        <is>
          <t>UCKZo4N0lVPccBkSiuyVh4yg</t>
        </is>
      </c>
      <c r="O2752" s="45" t="n">
        <v>42221.0875</v>
      </c>
      <c r="P2752" s="46" t="n">
        <v>42220</v>
      </c>
      <c r="Q2752" s="44" t="n">
        <v>520</v>
      </c>
      <c r="R2752" s="44" t="inlineStr">
        <is>
          <t>No Video ID yet</t>
        </is>
      </c>
      <c r="S2752" s="46" t="n"/>
      <c r="T2752" s="46" t="n"/>
      <c r="U2752" s="44" t="n"/>
      <c r="V2752" s="44">
        <f>IF(AND(P2752&gt;=Calendar!$K$2,P2752&lt;EDATE(Calendar!$K$2,1),OR(Calendar!$K$4="*",N2752=Calendar!$K$4)),P2752*100+COUNTIFS($P$6:$P$3271,P2752,$Q$6:$Q$3271,"&lt;="&amp;Q2752,$N$6:$N$3271,Calendar!$K$4),"")</f>
        <v/>
      </c>
      <c r="W2752" s="44">
        <f>IF(AND(B2752=Queue!$C$4,OR(Queue!$K$4="*",N2752=Queue!$K$4)),Q2752,"")</f>
        <v/>
      </c>
    </row>
    <row r="2753">
      <c r="A2753" s="35">
        <f>IF(M2753="","",HYPERLINK("https://www.youtube.com/watch?v="&amp;M2753,"▶"))</f>
        <v/>
      </c>
      <c r="B2753" s="36">
        <f>IF(C2753&lt;&gt;"",C2753,IF(P2753&lt;=IFERROR(INDEX(tblChannels[Watched Through],MATCH(N2753,tblChannels[Channel ID],0)),0),"Watched","Unwatched"))</f>
        <v/>
      </c>
      <c r="C2753" s="37" t="n"/>
      <c r="D2753" s="38" t="n"/>
      <c r="E2753" s="39" t="n">
        <v>42215.98402777778</v>
      </c>
      <c r="F2753" s="47" t="inlineStr">
        <is>
          <t>Super Carlin Brothers</t>
        </is>
      </c>
      <c r="G2753" t="inlineStr">
        <is>
          <t>Pixar Fast Facts: Monsters University</t>
        </is>
      </c>
      <c r="H2753" s="41" t="n">
        <v>0.001782407407407407</v>
      </c>
      <c r="I2753" s="42" t="n">
        <v>234529</v>
      </c>
      <c r="J2753" s="42" t="n">
        <v>3763</v>
      </c>
      <c r="K2753" s="42" t="n">
        <v>179</v>
      </c>
      <c r="L2753" s="43" t="n"/>
      <c r="M2753" s="44" t="n"/>
      <c r="N2753" s="44" t="inlineStr">
        <is>
          <t>UCKZo4N0lVPccBkSiuyVh4yg</t>
        </is>
      </c>
      <c r="O2753" s="45" t="n">
        <v>42216.15069444444</v>
      </c>
      <c r="P2753" s="46" t="n">
        <v>42215</v>
      </c>
      <c r="Q2753" s="44" t="n">
        <v>519</v>
      </c>
      <c r="R2753" s="44" t="inlineStr">
        <is>
          <t>No Video ID yet</t>
        </is>
      </c>
      <c r="S2753" s="46" t="n"/>
      <c r="T2753" s="46" t="n"/>
      <c r="U2753" s="44" t="n"/>
      <c r="V2753" s="44">
        <f>IF(AND(P2753&gt;=Calendar!$K$2,P2753&lt;EDATE(Calendar!$K$2,1),OR(Calendar!$K$4="*",N2753=Calendar!$K$4)),P2753*100+COUNTIFS($P$6:$P$3271,P2753,$Q$6:$Q$3271,"&lt;="&amp;Q2753,$N$6:$N$3271,Calendar!$K$4),"")</f>
        <v/>
      </c>
      <c r="W2753" s="44">
        <f>IF(AND(B2753=Queue!$C$4,OR(Queue!$K$4="*",N2753=Queue!$K$4)),Q2753,"")</f>
        <v/>
      </c>
    </row>
    <row r="2754">
      <c r="A2754" s="35">
        <f>IF(M2754="","",HYPERLINK("https://www.youtube.com/watch?v="&amp;M2754,"▶"))</f>
        <v/>
      </c>
      <c r="B2754" s="36">
        <f>IF(C2754&lt;&gt;"",C2754,IF(P2754&lt;=IFERROR(INDEX(tblChannels[Watched Through],MATCH(N2754,tblChannels[Channel ID],0)),0),"Watched","Unwatched"))</f>
        <v/>
      </c>
      <c r="C2754" s="37" t="n"/>
      <c r="D2754" s="38" t="n"/>
      <c r="E2754" s="39" t="n">
        <v>42213.99444444444</v>
      </c>
      <c r="F2754" s="47" t="inlineStr">
        <is>
          <t>Super Carlin Brothers</t>
        </is>
      </c>
      <c r="G2754" t="inlineStr">
        <is>
          <t>The Good Dinosaur Trailer | Review, Analysis and Predictions</t>
        </is>
      </c>
      <c r="H2754" s="41" t="n">
        <v>0.005381944444444444</v>
      </c>
      <c r="I2754" s="42" t="n">
        <v>167506</v>
      </c>
      <c r="J2754" s="42" t="n">
        <v>3767</v>
      </c>
      <c r="K2754" s="42" t="n">
        <v>575</v>
      </c>
      <c r="L2754" s="43" t="n"/>
      <c r="M2754" s="44" t="n"/>
      <c r="N2754" s="44" t="inlineStr">
        <is>
          <t>UCKZo4N0lVPccBkSiuyVh4yg</t>
        </is>
      </c>
      <c r="O2754" s="45" t="n">
        <v>42214.16111111111</v>
      </c>
      <c r="P2754" s="46" t="n">
        <v>42213</v>
      </c>
      <c r="Q2754" s="44" t="n">
        <v>518</v>
      </c>
      <c r="R2754" s="44" t="inlineStr">
        <is>
          <t>No Video ID yet</t>
        </is>
      </c>
      <c r="S2754" s="46" t="n"/>
      <c r="T2754" s="46" t="n"/>
      <c r="U2754" s="44" t="n"/>
      <c r="V2754" s="44">
        <f>IF(AND(P2754&gt;=Calendar!$K$2,P2754&lt;EDATE(Calendar!$K$2,1),OR(Calendar!$K$4="*",N2754=Calendar!$K$4)),P2754*100+COUNTIFS($P$6:$P$3271,P2754,$Q$6:$Q$3271,"&lt;="&amp;Q2754,$N$6:$N$3271,Calendar!$K$4),"")</f>
        <v/>
      </c>
      <c r="W2754" s="44">
        <f>IF(AND(B2754=Queue!$C$4,OR(Queue!$K$4="*",N2754=Queue!$K$4)),Q2754,"")</f>
        <v/>
      </c>
    </row>
    <row r="2755">
      <c r="A2755" s="35">
        <f>IF(M2755="","",HYPERLINK("https://www.youtube.com/watch?v="&amp;M2755,"▶"))</f>
        <v/>
      </c>
      <c r="B2755" s="36">
        <f>IF(C2755&lt;&gt;"",C2755,IF(P2755&lt;=IFERROR(INDEX(tblChannels[Watched Through],MATCH(N2755,tblChannels[Channel ID],0)),0),"Watched","Unwatched"))</f>
        <v/>
      </c>
      <c r="C2755" s="37" t="n"/>
      <c r="D2755" s="38" t="n"/>
      <c r="E2755" s="39" t="n">
        <v>42208.75</v>
      </c>
      <c r="F2755" s="47" t="inlineStr">
        <is>
          <t>Super Carlin Brothers</t>
        </is>
      </c>
      <c r="G2755" t="inlineStr">
        <is>
          <t>Pixar Fast Facts: Toy Story 3</t>
        </is>
      </c>
      <c r="H2755" s="41" t="n">
        <v>0.00162037037037037</v>
      </c>
      <c r="I2755" s="42" t="n">
        <v>231484</v>
      </c>
      <c r="J2755" s="42" t="n">
        <v>3368</v>
      </c>
      <c r="K2755" s="42" t="n">
        <v>156</v>
      </c>
      <c r="L2755" s="43" t="n"/>
      <c r="M2755" s="44" t="n"/>
      <c r="N2755" s="44" t="inlineStr">
        <is>
          <t>UCKZo4N0lVPccBkSiuyVh4yg</t>
        </is>
      </c>
      <c r="O2755" s="45" t="n">
        <v>42208.91666666666</v>
      </c>
      <c r="P2755" s="46" t="n">
        <v>42208</v>
      </c>
      <c r="Q2755" s="44" t="n">
        <v>517</v>
      </c>
      <c r="R2755" s="44" t="inlineStr">
        <is>
          <t>No Video ID yet</t>
        </is>
      </c>
      <c r="S2755" s="46" t="n"/>
      <c r="T2755" s="46" t="n"/>
      <c r="U2755" s="44" t="n"/>
      <c r="V2755" s="44">
        <f>IF(AND(P2755&gt;=Calendar!$K$2,P2755&lt;EDATE(Calendar!$K$2,1),OR(Calendar!$K$4="*",N2755=Calendar!$K$4)),P2755*100+COUNTIFS($P$6:$P$3271,P2755,$Q$6:$Q$3271,"&lt;="&amp;Q2755,$N$6:$N$3271,Calendar!$K$4),"")</f>
        <v/>
      </c>
      <c r="W2755" s="44">
        <f>IF(AND(B2755=Queue!$C$4,OR(Queue!$K$4="*",N2755=Queue!$K$4)),Q2755,"")</f>
        <v/>
      </c>
    </row>
    <row r="2756">
      <c r="A2756" s="35">
        <f>IF(M2756="","",HYPERLINK("https://www.youtube.com/watch?v="&amp;M2756,"▶"))</f>
        <v/>
      </c>
      <c r="B2756" s="36">
        <f>IF(C2756&lt;&gt;"",C2756,IF(P2756&lt;=IFERROR(INDEX(tblChannels[Watched Through],MATCH(N2756,tblChannels[Channel ID],0)),0),"Watched","Unwatched"))</f>
        <v/>
      </c>
      <c r="C2756" s="37" t="n"/>
      <c r="D2756" s="38" t="n"/>
      <c r="E2756" s="39" t="n">
        <v>42206.75</v>
      </c>
      <c r="F2756" s="47" t="inlineStr">
        <is>
          <t>Super Carlin Brothers</t>
        </is>
      </c>
      <c r="G2756" t="inlineStr">
        <is>
          <t>Does Pizza Google Autofill</t>
        </is>
      </c>
      <c r="H2756" s="41" t="n">
        <v>0.003680555555555555</v>
      </c>
      <c r="I2756" s="42" t="n">
        <v>352276</v>
      </c>
      <c r="J2756" s="42" t="n">
        <v>5896</v>
      </c>
      <c r="K2756" s="42" t="n">
        <v>1733</v>
      </c>
      <c r="L2756" s="43" t="n"/>
      <c r="M2756" s="44" t="n"/>
      <c r="N2756" s="44" t="inlineStr">
        <is>
          <t>UCKZo4N0lVPccBkSiuyVh4yg</t>
        </is>
      </c>
      <c r="O2756" s="45" t="n">
        <v>42206.91666666666</v>
      </c>
      <c r="P2756" s="46" t="n">
        <v>42206</v>
      </c>
      <c r="Q2756" s="44" t="n">
        <v>516</v>
      </c>
      <c r="R2756" s="44" t="inlineStr">
        <is>
          <t>No Video ID yet</t>
        </is>
      </c>
      <c r="S2756" s="46" t="n"/>
      <c r="T2756" s="46" t="n"/>
      <c r="U2756" s="44" t="n"/>
      <c r="V2756" s="44">
        <f>IF(AND(P2756&gt;=Calendar!$K$2,P2756&lt;EDATE(Calendar!$K$2,1),OR(Calendar!$K$4="*",N2756=Calendar!$K$4)),P2756*100+COUNTIFS($P$6:$P$3271,P2756,$Q$6:$Q$3271,"&lt;="&amp;Q2756,$N$6:$N$3271,Calendar!$K$4),"")</f>
        <v/>
      </c>
      <c r="W2756" s="44">
        <f>IF(AND(B2756=Queue!$C$4,OR(Queue!$K$4="*",N2756=Queue!$K$4)),Q2756,"")</f>
        <v/>
      </c>
    </row>
    <row r="2757">
      <c r="A2757" s="35">
        <f>IF(M2757="","",HYPERLINK("https://www.youtube.com/watch?v="&amp;M2757,"▶"))</f>
        <v/>
      </c>
      <c r="B2757" s="36">
        <f>IF(C2757&lt;&gt;"",C2757,IF(P2757&lt;=IFERROR(INDEX(tblChannels[Watched Through],MATCH(N2757,tblChannels[Channel ID],0)),0),"Watched","Unwatched"))</f>
        <v/>
      </c>
      <c r="C2757" s="37" t="n"/>
      <c r="D2757" s="38" t="n"/>
      <c r="E2757" s="39" t="n">
        <v>42201.75</v>
      </c>
      <c r="F2757" s="47" t="inlineStr">
        <is>
          <t>Super Carlin Brothers</t>
        </is>
      </c>
      <c r="G2757" t="inlineStr">
        <is>
          <t>Pixar Fast Facts: Wall-E</t>
        </is>
      </c>
      <c r="H2757" s="41" t="n">
        <v>0.002106481481481481</v>
      </c>
      <c r="I2757" s="42" t="n">
        <v>220561</v>
      </c>
      <c r="J2757" s="42" t="n">
        <v>3818</v>
      </c>
      <c r="K2757" s="42" t="n">
        <v>196</v>
      </c>
      <c r="L2757" s="43" t="n"/>
      <c r="M2757" s="44" t="n"/>
      <c r="N2757" s="44" t="inlineStr">
        <is>
          <t>UCKZo4N0lVPccBkSiuyVh4yg</t>
        </is>
      </c>
      <c r="O2757" s="45" t="n">
        <v>42201.91666666666</v>
      </c>
      <c r="P2757" s="46" t="n">
        <v>42201</v>
      </c>
      <c r="Q2757" s="44" t="n">
        <v>515</v>
      </c>
      <c r="R2757" s="44" t="inlineStr">
        <is>
          <t>No Video ID yet</t>
        </is>
      </c>
      <c r="S2757" s="46" t="n"/>
      <c r="T2757" s="46" t="n"/>
      <c r="U2757" s="44" t="n"/>
      <c r="V2757" s="44">
        <f>IF(AND(P2757&gt;=Calendar!$K$2,P2757&lt;EDATE(Calendar!$K$2,1),OR(Calendar!$K$4="*",N2757=Calendar!$K$4)),P2757*100+COUNTIFS($P$6:$P$3271,P2757,$Q$6:$Q$3271,"&lt;="&amp;Q2757,$N$6:$N$3271,Calendar!$K$4),"")</f>
        <v/>
      </c>
      <c r="W2757" s="44">
        <f>IF(AND(B2757=Queue!$C$4,OR(Queue!$K$4="*",N2757=Queue!$K$4)),Q2757,"")</f>
        <v/>
      </c>
    </row>
    <row r="2758">
      <c r="A2758" s="35">
        <f>IF(M2758="","",HYPERLINK("https://www.youtube.com/watch?v="&amp;M2758,"▶"))</f>
        <v/>
      </c>
      <c r="B2758" s="36">
        <f>IF(C2758&lt;&gt;"",C2758,IF(P2758&lt;=IFERROR(INDEX(tblChannels[Watched Through],MATCH(N2758,tblChannels[Channel ID],0)),0),"Watched","Unwatched"))</f>
        <v/>
      </c>
      <c r="C2758" s="37" t="n"/>
      <c r="D2758" s="38" t="n"/>
      <c r="E2758" s="39" t="n">
        <v>42199.96180555555</v>
      </c>
      <c r="F2758" s="47" t="inlineStr">
        <is>
          <t>Super Carlin Brothers</t>
        </is>
      </c>
      <c r="G2758" t="inlineStr">
        <is>
          <t>Why Does Riley Have Male and Female Emotions!?</t>
        </is>
      </c>
      <c r="H2758" s="41" t="n">
        <v>0.004016203703703704</v>
      </c>
      <c r="I2758" s="42" t="n">
        <v>6493831</v>
      </c>
      <c r="J2758" s="42" t="n">
        <v>92609</v>
      </c>
      <c r="K2758" s="42" t="n">
        <v>27559</v>
      </c>
      <c r="L2758" s="43" t="n"/>
      <c r="M2758" s="44" t="n"/>
      <c r="N2758" s="44" t="inlineStr">
        <is>
          <t>UCKZo4N0lVPccBkSiuyVh4yg</t>
        </is>
      </c>
      <c r="O2758" s="45" t="n">
        <v>42200.12847222222</v>
      </c>
      <c r="P2758" s="46" t="n">
        <v>42199</v>
      </c>
      <c r="Q2758" s="44" t="n">
        <v>514</v>
      </c>
      <c r="R2758" s="44" t="inlineStr">
        <is>
          <t>No Video ID yet</t>
        </is>
      </c>
      <c r="S2758" s="46" t="n"/>
      <c r="T2758" s="46" t="n"/>
      <c r="U2758" s="44" t="n"/>
      <c r="V2758" s="44">
        <f>IF(AND(P2758&gt;=Calendar!$K$2,P2758&lt;EDATE(Calendar!$K$2,1),OR(Calendar!$K$4="*",N2758=Calendar!$K$4)),P2758*100+COUNTIFS($P$6:$P$3271,P2758,$Q$6:$Q$3271,"&lt;="&amp;Q2758,$N$6:$N$3271,Calendar!$K$4),"")</f>
        <v/>
      </c>
      <c r="W2758" s="44">
        <f>IF(AND(B2758=Queue!$C$4,OR(Queue!$K$4="*",N2758=Queue!$K$4)),Q2758,"")</f>
        <v/>
      </c>
    </row>
    <row r="2759">
      <c r="A2759" s="35">
        <f>IF(M2759="","",HYPERLINK("https://www.youtube.com/watch?v="&amp;M2759,"▶"))</f>
        <v/>
      </c>
      <c r="B2759" s="36">
        <f>IF(C2759&lt;&gt;"",C2759,IF(P2759&lt;=IFERROR(INDEX(tblChannels[Watched Through],MATCH(N2759,tblChannels[Channel ID],0)),0),"Watched","Unwatched"))</f>
        <v/>
      </c>
      <c r="C2759" s="37" t="n"/>
      <c r="D2759" s="38" t="n"/>
      <c r="E2759" s="39" t="n">
        <v>42194.89166666667</v>
      </c>
      <c r="F2759" s="47" t="inlineStr">
        <is>
          <t>Super Carlin Brothers</t>
        </is>
      </c>
      <c r="G2759" t="inlineStr">
        <is>
          <t>Pixar Fast Facts: Inside Out</t>
        </is>
      </c>
      <c r="H2759" s="41" t="n">
        <v>0.001840277777777778</v>
      </c>
      <c r="I2759" s="42" t="n">
        <v>302670</v>
      </c>
      <c r="J2759" s="42" t="n">
        <v>4684</v>
      </c>
      <c r="K2759" s="42" t="n">
        <v>422</v>
      </c>
      <c r="L2759" s="43" t="n"/>
      <c r="M2759" s="44" t="n"/>
      <c r="N2759" s="44" t="inlineStr">
        <is>
          <t>UCKZo4N0lVPccBkSiuyVh4yg</t>
        </is>
      </c>
      <c r="O2759" s="45" t="n">
        <v>42195.05833333333</v>
      </c>
      <c r="P2759" s="46" t="n">
        <v>42194</v>
      </c>
      <c r="Q2759" s="44" t="n">
        <v>513</v>
      </c>
      <c r="R2759" s="44" t="inlineStr">
        <is>
          <t>No Video ID yet</t>
        </is>
      </c>
      <c r="S2759" s="46" t="n"/>
      <c r="T2759" s="46" t="n"/>
      <c r="U2759" s="44" t="n"/>
      <c r="V2759" s="44">
        <f>IF(AND(P2759&gt;=Calendar!$K$2,P2759&lt;EDATE(Calendar!$K$2,1),OR(Calendar!$K$4="*",N2759=Calendar!$K$4)),P2759*100+COUNTIFS($P$6:$P$3271,P2759,$Q$6:$Q$3271,"&lt;="&amp;Q2759,$N$6:$N$3271,Calendar!$K$4),"")</f>
        <v/>
      </c>
      <c r="W2759" s="44">
        <f>IF(AND(B2759=Queue!$C$4,OR(Queue!$K$4="*",N2759=Queue!$K$4)),Q2759,"")</f>
        <v/>
      </c>
    </row>
    <row r="2760">
      <c r="A2760" s="35">
        <f>IF(M2760="","",HYPERLINK("https://www.youtube.com/watch?v="&amp;M2760,"▶"))</f>
        <v/>
      </c>
      <c r="B2760" s="36">
        <f>IF(C2760&lt;&gt;"",C2760,IF(P2760&lt;=IFERROR(INDEX(tblChannels[Watched Through],MATCH(N2760,tblChannels[Channel ID],0)),0),"Watched","Unwatched"))</f>
        <v/>
      </c>
      <c r="C2760" s="37" t="n"/>
      <c r="D2760" s="38" t="n"/>
      <c r="E2760" s="39" t="n">
        <v>42192.94930555556</v>
      </c>
      <c r="F2760" s="47" t="inlineStr">
        <is>
          <t>Super Carlin Brothers</t>
        </is>
      </c>
      <c r="G2760" t="inlineStr">
        <is>
          <t>How Inside Out fits into The Pixar Theory</t>
        </is>
      </c>
      <c r="H2760" s="41" t="n">
        <v>0.004375</v>
      </c>
      <c r="I2760" s="42" t="n">
        <v>2545435</v>
      </c>
      <c r="J2760" s="42" t="n">
        <v>35520</v>
      </c>
      <c r="K2760" s="42" t="n">
        <v>2962</v>
      </c>
      <c r="L2760" s="43" t="n"/>
      <c r="M2760" s="44" t="n"/>
      <c r="N2760" s="44" t="inlineStr">
        <is>
          <t>UCKZo4N0lVPccBkSiuyVh4yg</t>
        </is>
      </c>
      <c r="O2760" s="45" t="n">
        <v>42193.11597222222</v>
      </c>
      <c r="P2760" s="46" t="n">
        <v>42192</v>
      </c>
      <c r="Q2760" s="44" t="n">
        <v>512</v>
      </c>
      <c r="R2760" s="44" t="inlineStr">
        <is>
          <t>No Video ID yet</t>
        </is>
      </c>
      <c r="S2760" s="46" t="n"/>
      <c r="T2760" s="46" t="n"/>
      <c r="U2760" s="44" t="n"/>
      <c r="V2760" s="44">
        <f>IF(AND(P2760&gt;=Calendar!$K$2,P2760&lt;EDATE(Calendar!$K$2,1),OR(Calendar!$K$4="*",N2760=Calendar!$K$4)),P2760*100+COUNTIFS($P$6:$P$3271,P2760,$Q$6:$Q$3271,"&lt;="&amp;Q2760,$N$6:$N$3271,Calendar!$K$4),"")</f>
        <v/>
      </c>
      <c r="W2760" s="44">
        <f>IF(AND(B2760=Queue!$C$4,OR(Queue!$K$4="*",N2760=Queue!$K$4)),Q2760,"")</f>
        <v/>
      </c>
    </row>
    <row r="2761">
      <c r="A2761" s="35">
        <f>IF(M2761="","",HYPERLINK("https://www.youtube.com/watch?v="&amp;M2761,"▶"))</f>
        <v/>
      </c>
      <c r="B2761" s="36">
        <f>IF(C2761&lt;&gt;"",C2761,IF(P2761&lt;=IFERROR(INDEX(tblChannels[Watched Through],MATCH(N2761,tblChannels[Channel ID],0)),0),"Watched","Unwatched"))</f>
        <v/>
      </c>
      <c r="C2761" s="37" t="n"/>
      <c r="D2761" s="38" t="n"/>
      <c r="E2761" s="39" t="n">
        <v>42187.91388888889</v>
      </c>
      <c r="F2761" s="47" t="inlineStr">
        <is>
          <t>Super Carlin Brothers</t>
        </is>
      </c>
      <c r="G2761" t="inlineStr">
        <is>
          <t>Pixar Fast Facts: Toy Story 2</t>
        </is>
      </c>
      <c r="H2761" s="41" t="n">
        <v>0.001944444444444444</v>
      </c>
      <c r="I2761" s="42" t="n">
        <v>199001</v>
      </c>
      <c r="J2761" s="42" t="n">
        <v>2741</v>
      </c>
      <c r="K2761" s="42" t="n">
        <v>143</v>
      </c>
      <c r="L2761" s="43" t="n"/>
      <c r="M2761" s="44" t="n"/>
      <c r="N2761" s="44" t="inlineStr">
        <is>
          <t>UCKZo4N0lVPccBkSiuyVh4yg</t>
        </is>
      </c>
      <c r="O2761" s="45" t="n">
        <v>42188.08055555556</v>
      </c>
      <c r="P2761" s="46" t="n">
        <v>42187</v>
      </c>
      <c r="Q2761" s="44" t="n">
        <v>511</v>
      </c>
      <c r="R2761" s="44" t="inlineStr">
        <is>
          <t>No Video ID yet</t>
        </is>
      </c>
      <c r="S2761" s="46" t="n"/>
      <c r="T2761" s="46" t="n"/>
      <c r="U2761" s="44" t="n"/>
      <c r="V2761" s="44">
        <f>IF(AND(P2761&gt;=Calendar!$K$2,P2761&lt;EDATE(Calendar!$K$2,1),OR(Calendar!$K$4="*",N2761=Calendar!$K$4)),P2761*100+COUNTIFS($P$6:$P$3271,P2761,$Q$6:$Q$3271,"&lt;="&amp;Q2761,$N$6:$N$3271,Calendar!$K$4),"")</f>
        <v/>
      </c>
      <c r="W2761" s="44">
        <f>IF(AND(B2761=Queue!$C$4,OR(Queue!$K$4="*",N2761=Queue!$K$4)),Q2761,"")</f>
        <v/>
      </c>
    </row>
    <row r="2762">
      <c r="A2762" s="35">
        <f>IF(M2762="","",HYPERLINK("https://www.youtube.com/watch?v="&amp;M2762,"▶"))</f>
        <v/>
      </c>
      <c r="B2762" s="36">
        <f>IF(C2762&lt;&gt;"",C2762,IF(P2762&lt;=IFERROR(INDEX(tblChannels[Watched Through],MATCH(N2762,tblChannels[Channel ID],0)),0),"Watched","Unwatched"))</f>
        <v/>
      </c>
      <c r="C2762" s="37" t="n"/>
      <c r="D2762" s="38" t="n"/>
      <c r="E2762" s="39" t="n">
        <v>42185.81527777778</v>
      </c>
      <c r="F2762" s="47" t="inlineStr">
        <is>
          <t>Super Carlin Brothers</t>
        </is>
      </c>
      <c r="G2762" t="inlineStr">
        <is>
          <t>LOOT CRATE UNBOXING | FEAT TYLER</t>
        </is>
      </c>
      <c r="H2762" s="41" t="n">
        <v>0.003680555555555555</v>
      </c>
      <c r="I2762" s="42" t="n">
        <v>89909</v>
      </c>
      <c r="J2762" s="42" t="n">
        <v>1594</v>
      </c>
      <c r="K2762" s="42" t="n">
        <v>222</v>
      </c>
      <c r="L2762" s="43" t="n"/>
      <c r="M2762" s="44" t="n"/>
      <c r="N2762" s="44" t="inlineStr">
        <is>
          <t>UCKZo4N0lVPccBkSiuyVh4yg</t>
        </is>
      </c>
      <c r="O2762" s="45" t="n">
        <v>42185.98194444444</v>
      </c>
      <c r="P2762" s="46" t="n">
        <v>42185</v>
      </c>
      <c r="Q2762" s="44" t="n">
        <v>510</v>
      </c>
      <c r="R2762" s="44" t="inlineStr">
        <is>
          <t>No Video ID yet</t>
        </is>
      </c>
      <c r="S2762" s="46" t="n"/>
      <c r="T2762" s="46" t="n"/>
      <c r="U2762" s="44" t="n"/>
      <c r="V2762" s="44">
        <f>IF(AND(P2762&gt;=Calendar!$K$2,P2762&lt;EDATE(Calendar!$K$2,1),OR(Calendar!$K$4="*",N2762=Calendar!$K$4)),P2762*100+COUNTIFS($P$6:$P$3271,P2762,$Q$6:$Q$3271,"&lt;="&amp;Q2762,$N$6:$N$3271,Calendar!$K$4),"")</f>
        <v/>
      </c>
      <c r="W2762" s="44">
        <f>IF(AND(B2762=Queue!$C$4,OR(Queue!$K$4="*",N2762=Queue!$K$4)),Q2762,"")</f>
        <v/>
      </c>
    </row>
    <row r="2763">
      <c r="A2763" s="35">
        <f>IF(M2763="","",HYPERLINK("https://www.youtube.com/watch?v="&amp;M2763,"▶"))</f>
        <v/>
      </c>
      <c r="B2763" s="36">
        <f>IF(C2763&lt;&gt;"",C2763,IF(P2763&lt;=IFERROR(INDEX(tblChannels[Watched Through],MATCH(N2763,tblChannels[Channel ID],0)),0),"Watched","Unwatched"))</f>
        <v/>
      </c>
      <c r="C2763" s="37" t="n"/>
      <c r="D2763" s="38" t="n"/>
      <c r="E2763" s="39" t="n">
        <v>42180.92847222222</v>
      </c>
      <c r="F2763" s="47" t="inlineStr">
        <is>
          <t>Super Carlin Brothers</t>
        </is>
      </c>
      <c r="G2763" t="inlineStr">
        <is>
          <t>Pixar Fast Facts: Up</t>
        </is>
      </c>
      <c r="H2763" s="41" t="n">
        <v>0.001851851851851852</v>
      </c>
      <c r="I2763" s="42" t="n">
        <v>174903</v>
      </c>
      <c r="J2763" s="42" t="n">
        <v>3204</v>
      </c>
      <c r="K2763" s="42" t="n">
        <v>278</v>
      </c>
      <c r="L2763" s="43" t="n"/>
      <c r="M2763" s="44" t="n"/>
      <c r="N2763" s="44" t="inlineStr">
        <is>
          <t>UCKZo4N0lVPccBkSiuyVh4yg</t>
        </is>
      </c>
      <c r="O2763" s="45" t="n">
        <v>42181.09513888889</v>
      </c>
      <c r="P2763" s="46" t="n">
        <v>42180</v>
      </c>
      <c r="Q2763" s="44" t="n">
        <v>509</v>
      </c>
      <c r="R2763" s="44" t="inlineStr">
        <is>
          <t>No Video ID yet</t>
        </is>
      </c>
      <c r="S2763" s="46" t="n"/>
      <c r="T2763" s="46" t="n"/>
      <c r="U2763" s="44" t="n"/>
      <c r="V2763" s="44">
        <f>IF(AND(P2763&gt;=Calendar!$K$2,P2763&lt;EDATE(Calendar!$K$2,1),OR(Calendar!$K$4="*",N2763=Calendar!$K$4)),P2763*100+COUNTIFS($P$6:$P$3271,P2763,$Q$6:$Q$3271,"&lt;="&amp;Q2763,$N$6:$N$3271,Calendar!$K$4),"")</f>
        <v/>
      </c>
      <c r="W2763" s="44">
        <f>IF(AND(B2763=Queue!$C$4,OR(Queue!$K$4="*",N2763=Queue!$K$4)),Q2763,"")</f>
        <v/>
      </c>
    </row>
    <row r="2764">
      <c r="A2764" s="35">
        <f>IF(M2764="","",HYPERLINK("https://www.youtube.com/watch?v="&amp;M2764,"▶"))</f>
        <v/>
      </c>
      <c r="B2764" s="36">
        <f>IF(C2764&lt;&gt;"",C2764,IF(P2764&lt;=IFERROR(INDEX(tblChannels[Watched Through],MATCH(N2764,tblChannels[Channel ID],0)),0),"Watched","Unwatched"))</f>
        <v/>
      </c>
      <c r="C2764" s="37" t="n"/>
      <c r="D2764" s="38" t="n"/>
      <c r="E2764" s="39" t="n">
        <v>42178.75</v>
      </c>
      <c r="F2764" s="47" t="inlineStr">
        <is>
          <t>Super Carlin Brothers</t>
        </is>
      </c>
      <c r="G2764" t="inlineStr">
        <is>
          <t>Ask J and Beth! Inside Out and #SuperCarlinWedding</t>
        </is>
      </c>
      <c r="H2764" s="41" t="n">
        <v>0.00494212962962963</v>
      </c>
      <c r="I2764" s="42" t="n">
        <v>142440</v>
      </c>
      <c r="J2764" s="42" t="n">
        <v>3285</v>
      </c>
      <c r="K2764" s="42" t="n">
        <v>566</v>
      </c>
      <c r="L2764" s="43" t="n"/>
      <c r="M2764" s="44" t="n"/>
      <c r="N2764" s="44" t="inlineStr">
        <is>
          <t>UCKZo4N0lVPccBkSiuyVh4yg</t>
        </is>
      </c>
      <c r="O2764" s="45" t="n">
        <v>42178.91666666666</v>
      </c>
      <c r="P2764" s="46" t="n">
        <v>42178</v>
      </c>
      <c r="Q2764" s="44" t="n">
        <v>508</v>
      </c>
      <c r="R2764" s="44" t="inlineStr">
        <is>
          <t>No Video ID yet</t>
        </is>
      </c>
      <c r="S2764" s="46" t="n"/>
      <c r="T2764" s="46" t="n"/>
      <c r="U2764" s="44" t="n"/>
      <c r="V2764" s="44">
        <f>IF(AND(P2764&gt;=Calendar!$K$2,P2764&lt;EDATE(Calendar!$K$2,1),OR(Calendar!$K$4="*",N2764=Calendar!$K$4)),P2764*100+COUNTIFS($P$6:$P$3271,P2764,$Q$6:$Q$3271,"&lt;="&amp;Q2764,$N$6:$N$3271,Calendar!$K$4),"")</f>
        <v/>
      </c>
      <c r="W2764" s="44">
        <f>IF(AND(B2764=Queue!$C$4,OR(Queue!$K$4="*",N2764=Queue!$K$4)),Q2764,"")</f>
        <v/>
      </c>
    </row>
    <row r="2765">
      <c r="A2765" s="35">
        <f>IF(M2765="","",HYPERLINK("https://www.youtube.com/watch?v="&amp;M2765,"▶"))</f>
        <v/>
      </c>
      <c r="B2765" s="36">
        <f>IF(C2765&lt;&gt;"",C2765,IF(P2765&lt;=IFERROR(INDEX(tblChannels[Watched Through],MATCH(N2765,tblChannels[Channel ID],0)),0),"Watched","Unwatched"))</f>
        <v/>
      </c>
      <c r="C2765" s="37" t="n"/>
      <c r="D2765" s="38" t="n"/>
      <c r="E2765" s="39" t="n">
        <v>42173.99097222222</v>
      </c>
      <c r="F2765" s="47" t="inlineStr">
        <is>
          <t>Super Carlin Brothers</t>
        </is>
      </c>
      <c r="G2765" t="inlineStr">
        <is>
          <t>Pixar Fast Facts: Monsters Inc</t>
        </is>
      </c>
      <c r="H2765" s="41" t="n">
        <v>0.001886574074074074</v>
      </c>
      <c r="I2765" s="42" t="n">
        <v>202145</v>
      </c>
      <c r="J2765" s="42" t="n">
        <v>2916</v>
      </c>
      <c r="K2765" s="42" t="n">
        <v>252</v>
      </c>
      <c r="L2765" s="43" t="n"/>
      <c r="M2765" s="44" t="n"/>
      <c r="N2765" s="44" t="inlineStr">
        <is>
          <t>UCKZo4N0lVPccBkSiuyVh4yg</t>
        </is>
      </c>
      <c r="O2765" s="45" t="n">
        <v>42174.15763888889</v>
      </c>
      <c r="P2765" s="46" t="n">
        <v>42173</v>
      </c>
      <c r="Q2765" s="44" t="n">
        <v>507</v>
      </c>
      <c r="R2765" s="44" t="inlineStr">
        <is>
          <t>No Video ID yet</t>
        </is>
      </c>
      <c r="S2765" s="46" t="n"/>
      <c r="T2765" s="46" t="n"/>
      <c r="U2765" s="44" t="n"/>
      <c r="V2765" s="44">
        <f>IF(AND(P2765&gt;=Calendar!$K$2,P2765&lt;EDATE(Calendar!$K$2,1),OR(Calendar!$K$4="*",N2765=Calendar!$K$4)),P2765*100+COUNTIFS($P$6:$P$3271,P2765,$Q$6:$Q$3271,"&lt;="&amp;Q2765,$N$6:$N$3271,Calendar!$K$4),"")</f>
        <v/>
      </c>
      <c r="W2765" s="44">
        <f>IF(AND(B2765=Queue!$C$4,OR(Queue!$K$4="*",N2765=Queue!$K$4)),Q2765,"")</f>
        <v/>
      </c>
    </row>
    <row r="2766">
      <c r="A2766" s="35">
        <f>IF(M2766="","",HYPERLINK("https://www.youtube.com/watch?v="&amp;M2766,"▶"))</f>
        <v/>
      </c>
      <c r="B2766" s="36">
        <f>IF(C2766&lt;&gt;"",C2766,IF(P2766&lt;=IFERROR(INDEX(tblChannels[Watched Through],MATCH(N2766,tblChannels[Channel ID],0)),0),"Watched","Unwatched"))</f>
        <v/>
      </c>
      <c r="C2766" s="37" t="n"/>
      <c r="D2766" s="38" t="n"/>
      <c r="E2766" s="39" t="n">
        <v>42171.92569444444</v>
      </c>
      <c r="F2766" s="47" t="inlineStr">
        <is>
          <t>Super Carlin Brothers</t>
        </is>
      </c>
      <c r="G2766" t="inlineStr">
        <is>
          <t>The Utah Teapot and 100,000 Subscribers!</t>
        </is>
      </c>
      <c r="H2766" s="41" t="n">
        <v>0.003877314814814815</v>
      </c>
      <c r="I2766" s="42" t="n">
        <v>409360</v>
      </c>
      <c r="J2766" s="42" t="n">
        <v>9313</v>
      </c>
      <c r="K2766" s="42" t="n">
        <v>1311</v>
      </c>
      <c r="L2766" s="43" t="n"/>
      <c r="M2766" s="44" t="n"/>
      <c r="N2766" s="44" t="inlineStr">
        <is>
          <t>UCKZo4N0lVPccBkSiuyVh4yg</t>
        </is>
      </c>
      <c r="O2766" s="45" t="n">
        <v>42172.09236111111</v>
      </c>
      <c r="P2766" s="46" t="n">
        <v>42171</v>
      </c>
      <c r="Q2766" s="44" t="n">
        <v>506</v>
      </c>
      <c r="R2766" s="44" t="inlineStr">
        <is>
          <t>No Video ID yet</t>
        </is>
      </c>
      <c r="S2766" s="46" t="n"/>
      <c r="T2766" s="46" t="n"/>
      <c r="U2766" s="44" t="n"/>
      <c r="V2766" s="44">
        <f>IF(AND(P2766&gt;=Calendar!$K$2,P2766&lt;EDATE(Calendar!$K$2,1),OR(Calendar!$K$4="*",N2766=Calendar!$K$4)),P2766*100+COUNTIFS($P$6:$P$3271,P2766,$Q$6:$Q$3271,"&lt;="&amp;Q2766,$N$6:$N$3271,Calendar!$K$4),"")</f>
        <v/>
      </c>
      <c r="W2766" s="44">
        <f>IF(AND(B2766=Queue!$C$4,OR(Queue!$K$4="*",N2766=Queue!$K$4)),Q2766,"")</f>
        <v/>
      </c>
    </row>
    <row r="2767">
      <c r="A2767" s="35">
        <f>IF(M2767="","",HYPERLINK("https://www.youtube.com/watch?v="&amp;M2767,"▶"))</f>
        <v/>
      </c>
      <c r="B2767" s="36">
        <f>IF(C2767&lt;&gt;"",C2767,IF(P2767&lt;=IFERROR(INDEX(tblChannels[Watched Through],MATCH(N2767,tblChannels[Channel ID],0)),0),"Watched","Unwatched"))</f>
        <v/>
      </c>
      <c r="C2767" s="37" t="n"/>
      <c r="D2767" s="38" t="n"/>
      <c r="E2767" s="39" t="n">
        <v>42166.90416666667</v>
      </c>
      <c r="F2767" s="47" t="inlineStr">
        <is>
          <t>Super Carlin Brothers</t>
        </is>
      </c>
      <c r="G2767" t="inlineStr">
        <is>
          <t>Pixar Fast Facts: Finding Nemo</t>
        </is>
      </c>
      <c r="H2767" s="41" t="n">
        <v>0.001643518518518519</v>
      </c>
      <c r="I2767" s="42" t="n">
        <v>199098</v>
      </c>
      <c r="J2767" s="42" t="n">
        <v>2959</v>
      </c>
      <c r="K2767" s="42" t="n">
        <v>143</v>
      </c>
      <c r="L2767" s="43" t="n"/>
      <c r="M2767" s="44" t="n"/>
      <c r="N2767" s="44" t="inlineStr">
        <is>
          <t>UCKZo4N0lVPccBkSiuyVh4yg</t>
        </is>
      </c>
      <c r="O2767" s="45" t="n">
        <v>42167.07083333333</v>
      </c>
      <c r="P2767" s="46" t="n">
        <v>42166</v>
      </c>
      <c r="Q2767" s="44" t="n">
        <v>505</v>
      </c>
      <c r="R2767" s="44" t="inlineStr">
        <is>
          <t>No Video ID yet</t>
        </is>
      </c>
      <c r="S2767" s="46" t="n"/>
      <c r="T2767" s="46" t="n"/>
      <c r="U2767" s="44" t="n"/>
      <c r="V2767" s="44">
        <f>IF(AND(P2767&gt;=Calendar!$K$2,P2767&lt;EDATE(Calendar!$K$2,1),OR(Calendar!$K$4="*",N2767=Calendar!$K$4)),P2767*100+COUNTIFS($P$6:$P$3271,P2767,$Q$6:$Q$3271,"&lt;="&amp;Q2767,$N$6:$N$3271,Calendar!$K$4),"")</f>
        <v/>
      </c>
      <c r="W2767" s="44">
        <f>IF(AND(B2767=Queue!$C$4,OR(Queue!$K$4="*",N2767=Queue!$K$4)),Q2767,"")</f>
        <v/>
      </c>
    </row>
    <row r="2768">
      <c r="A2768" s="35">
        <f>IF(M2768="","",HYPERLINK("https://www.youtube.com/watch?v="&amp;M2768,"▶"))</f>
        <v/>
      </c>
      <c r="B2768" s="36">
        <f>IF(C2768&lt;&gt;"",C2768,IF(P2768&lt;=IFERROR(INDEX(tblChannels[Watched Through],MATCH(N2768,tblChannels[Channel ID],0)),0),"Watched","Unwatched"))</f>
        <v/>
      </c>
      <c r="C2768" s="37" t="n"/>
      <c r="D2768" s="38" t="n"/>
      <c r="E2768" s="39" t="n">
        <v>42164.99583333333</v>
      </c>
      <c r="F2768" s="47" t="inlineStr">
        <is>
          <t>Super Carlin Brothers</t>
        </is>
      </c>
      <c r="G2768" t="inlineStr">
        <is>
          <t>Top 10 Things To Look For In Inside Out</t>
        </is>
      </c>
      <c r="H2768" s="41" t="n">
        <v>0.004583333333333333</v>
      </c>
      <c r="I2768" s="42" t="n">
        <v>888751</v>
      </c>
      <c r="J2768" s="42" t="n">
        <v>9810</v>
      </c>
      <c r="K2768" s="42" t="n">
        <v>1588</v>
      </c>
      <c r="L2768" s="43" t="n"/>
      <c r="M2768" s="44" t="n"/>
      <c r="N2768" s="44" t="inlineStr">
        <is>
          <t>UCKZo4N0lVPccBkSiuyVh4yg</t>
        </is>
      </c>
      <c r="O2768" s="45" t="n">
        <v>42165.1625</v>
      </c>
      <c r="P2768" s="46" t="n">
        <v>42164</v>
      </c>
      <c r="Q2768" s="44" t="n">
        <v>504</v>
      </c>
      <c r="R2768" s="44" t="inlineStr">
        <is>
          <t>No Video ID yet</t>
        </is>
      </c>
      <c r="S2768" s="46" t="n"/>
      <c r="T2768" s="46" t="n"/>
      <c r="U2768" s="44" t="n"/>
      <c r="V2768" s="44">
        <f>IF(AND(P2768&gt;=Calendar!$K$2,P2768&lt;EDATE(Calendar!$K$2,1),OR(Calendar!$K$4="*",N2768=Calendar!$K$4)),P2768*100+COUNTIFS($P$6:$P$3271,P2768,$Q$6:$Q$3271,"&lt;="&amp;Q2768,$N$6:$N$3271,Calendar!$K$4),"")</f>
        <v/>
      </c>
      <c r="W2768" s="44">
        <f>IF(AND(B2768=Queue!$C$4,OR(Queue!$K$4="*",N2768=Queue!$K$4)),Q2768,"")</f>
        <v/>
      </c>
    </row>
    <row r="2769">
      <c r="A2769" s="35">
        <f>IF(M2769="","",HYPERLINK("https://www.youtube.com/watch?v="&amp;M2769,"▶"))</f>
        <v/>
      </c>
      <c r="B2769" s="36">
        <f>IF(C2769&lt;&gt;"",C2769,IF(P2769&lt;=IFERROR(INDEX(tblChannels[Watched Through],MATCH(N2769,tblChannels[Channel ID],0)),0),"Watched","Unwatched"))</f>
        <v/>
      </c>
      <c r="C2769" s="37" t="n"/>
      <c r="D2769" s="38" t="n"/>
      <c r="E2769" s="39" t="n">
        <v>42159.94027777778</v>
      </c>
      <c r="F2769" s="47" t="inlineStr">
        <is>
          <t>Super Carlin Brothers</t>
        </is>
      </c>
      <c r="G2769" t="inlineStr">
        <is>
          <t>Pixar Fast Facts: Toy Story</t>
        </is>
      </c>
      <c r="H2769" s="41" t="n">
        <v>0.001643518518518519</v>
      </c>
      <c r="I2769" s="42" t="n">
        <v>143854</v>
      </c>
      <c r="J2769" s="42" t="n">
        <v>2388</v>
      </c>
      <c r="K2769" s="42" t="n">
        <v>88</v>
      </c>
      <c r="L2769" s="43" t="n"/>
      <c r="M2769" s="44" t="n"/>
      <c r="N2769" s="44" t="inlineStr">
        <is>
          <t>UCKZo4N0lVPccBkSiuyVh4yg</t>
        </is>
      </c>
      <c r="O2769" s="45" t="n">
        <v>42160.10694444444</v>
      </c>
      <c r="P2769" s="46" t="n">
        <v>42159</v>
      </c>
      <c r="Q2769" s="44" t="n">
        <v>503</v>
      </c>
      <c r="R2769" s="44" t="inlineStr">
        <is>
          <t>No Video ID yet</t>
        </is>
      </c>
      <c r="S2769" s="46" t="n"/>
      <c r="T2769" s="46" t="n"/>
      <c r="U2769" s="44" t="n"/>
      <c r="V2769" s="44">
        <f>IF(AND(P2769&gt;=Calendar!$K$2,P2769&lt;EDATE(Calendar!$K$2,1),OR(Calendar!$K$4="*",N2769=Calendar!$K$4)),P2769*100+COUNTIFS($P$6:$P$3271,P2769,$Q$6:$Q$3271,"&lt;="&amp;Q2769,$N$6:$N$3271,Calendar!$K$4),"")</f>
        <v/>
      </c>
      <c r="W2769" s="44">
        <f>IF(AND(B2769=Queue!$C$4,OR(Queue!$K$4="*",N2769=Queue!$K$4)),Q2769,"")</f>
        <v/>
      </c>
    </row>
    <row r="2770">
      <c r="A2770" s="35">
        <f>IF(M2770="","",HYPERLINK("https://www.youtube.com/watch?v="&amp;M2770,"▶"))</f>
        <v/>
      </c>
      <c r="B2770" s="36">
        <f>IF(C2770&lt;&gt;"",C2770,IF(P2770&lt;=IFERROR(INDEX(tblChannels[Watched Through],MATCH(N2770,tblChannels[Channel ID],0)),0),"Watched","Unwatched"))</f>
        <v/>
      </c>
      <c r="C2770" s="37" t="n"/>
      <c r="D2770" s="38" t="n"/>
      <c r="E2770" s="39" t="n">
        <v>42157.9875</v>
      </c>
      <c r="F2770" s="47" t="inlineStr">
        <is>
          <t>Super Carlin Brothers</t>
        </is>
      </c>
      <c r="G2770" t="inlineStr">
        <is>
          <t>Does Captain America Google Autofill</t>
        </is>
      </c>
      <c r="H2770" s="41" t="n">
        <v>0.003518518518518518</v>
      </c>
      <c r="I2770" s="42" t="n">
        <v>265920</v>
      </c>
      <c r="J2770" s="42" t="n">
        <v>4292</v>
      </c>
      <c r="K2770" s="42" t="n">
        <v>883</v>
      </c>
      <c r="L2770" s="43" t="n"/>
      <c r="M2770" s="44" t="n"/>
      <c r="N2770" s="44" t="inlineStr">
        <is>
          <t>UCKZo4N0lVPccBkSiuyVh4yg</t>
        </is>
      </c>
      <c r="O2770" s="45" t="n">
        <v>42158.15416666667</v>
      </c>
      <c r="P2770" s="46" t="n">
        <v>42157</v>
      </c>
      <c r="Q2770" s="44" t="n">
        <v>502</v>
      </c>
      <c r="R2770" s="44" t="inlineStr">
        <is>
          <t>No Video ID yet</t>
        </is>
      </c>
      <c r="S2770" s="46" t="n"/>
      <c r="T2770" s="46" t="n"/>
      <c r="U2770" s="44" t="n"/>
      <c r="V2770" s="44">
        <f>IF(AND(P2770&gt;=Calendar!$K$2,P2770&lt;EDATE(Calendar!$K$2,1),OR(Calendar!$K$4="*",N2770=Calendar!$K$4)),P2770*100+COUNTIFS($P$6:$P$3271,P2770,$Q$6:$Q$3271,"&lt;="&amp;Q2770,$N$6:$N$3271,Calendar!$K$4),"")</f>
        <v/>
      </c>
      <c r="W2770" s="44">
        <f>IF(AND(B2770=Queue!$C$4,OR(Queue!$K$4="*",N2770=Queue!$K$4)),Q2770,"")</f>
        <v/>
      </c>
    </row>
    <row r="2771">
      <c r="A2771" s="35">
        <f>IF(M2771="","",HYPERLINK("https://www.youtube.com/watch?v="&amp;M2771,"▶"))</f>
        <v/>
      </c>
      <c r="B2771" s="36">
        <f>IF(C2771&lt;&gt;"",C2771,IF(P2771&lt;=IFERROR(INDEX(tblChannels[Watched Through],MATCH(N2771,tblChannels[Channel ID],0)),0),"Watched","Unwatched"))</f>
        <v/>
      </c>
      <c r="C2771" s="37" t="n"/>
      <c r="D2771" s="38" t="n"/>
      <c r="E2771" s="39" t="n">
        <v>42152.96736111111</v>
      </c>
      <c r="F2771" s="47" t="inlineStr">
        <is>
          <t>Super Carlin Brothers</t>
        </is>
      </c>
      <c r="G2771" t="inlineStr">
        <is>
          <t>Pixar Fast Facts: The Incredibles</t>
        </is>
      </c>
      <c r="H2771" s="41" t="n">
        <v>0.001967592592592592</v>
      </c>
      <c r="I2771" s="42" t="n">
        <v>248996</v>
      </c>
      <c r="J2771" s="42" t="n">
        <v>3917</v>
      </c>
      <c r="K2771" s="42" t="n">
        <v>229</v>
      </c>
      <c r="L2771" s="43" t="n"/>
      <c r="M2771" s="44" t="n"/>
      <c r="N2771" s="44" t="inlineStr">
        <is>
          <t>UCKZo4N0lVPccBkSiuyVh4yg</t>
        </is>
      </c>
      <c r="O2771" s="45" t="n">
        <v>42153.13402777778</v>
      </c>
      <c r="P2771" s="46" t="n">
        <v>42152</v>
      </c>
      <c r="Q2771" s="44" t="n">
        <v>501</v>
      </c>
      <c r="R2771" s="44" t="inlineStr">
        <is>
          <t>No Video ID yet</t>
        </is>
      </c>
      <c r="S2771" s="46" t="n"/>
      <c r="T2771" s="46" t="n"/>
      <c r="U2771" s="44" t="n"/>
      <c r="V2771" s="44">
        <f>IF(AND(P2771&gt;=Calendar!$K$2,P2771&lt;EDATE(Calendar!$K$2,1),OR(Calendar!$K$4="*",N2771=Calendar!$K$4)),P2771*100+COUNTIFS($P$6:$P$3271,P2771,$Q$6:$Q$3271,"&lt;="&amp;Q2771,$N$6:$N$3271,Calendar!$K$4),"")</f>
        <v/>
      </c>
      <c r="W2771" s="44">
        <f>IF(AND(B2771=Queue!$C$4,OR(Queue!$K$4="*",N2771=Queue!$K$4)),Q2771,"")</f>
        <v/>
      </c>
    </row>
    <row r="2772">
      <c r="A2772" s="35">
        <f>IF(M2772="","",HYPERLINK("https://www.youtube.com/watch?v="&amp;M2772,"▶"))</f>
        <v/>
      </c>
      <c r="B2772" s="36">
        <f>IF(C2772&lt;&gt;"",C2772,IF(P2772&lt;=IFERROR(INDEX(tblChannels[Watched Through],MATCH(N2772,tblChannels[Channel ID],0)),0),"Watched","Unwatched"))</f>
        <v/>
      </c>
      <c r="C2772" s="37" t="n"/>
      <c r="D2772" s="38" t="n"/>
      <c r="E2772" s="39" t="n">
        <v>42150.90972222222</v>
      </c>
      <c r="F2772" s="47" t="inlineStr">
        <is>
          <t>Super Carlin Brothers</t>
        </is>
      </c>
      <c r="G2772" t="inlineStr">
        <is>
          <t>The Faulty Thermometer - My First Video</t>
        </is>
      </c>
      <c r="H2772" s="41" t="n">
        <v>0.003344907407407408</v>
      </c>
      <c r="I2772" s="42" t="n">
        <v>57192</v>
      </c>
      <c r="J2772" s="42" t="n">
        <v>1477</v>
      </c>
      <c r="K2772" s="42" t="n">
        <v>268</v>
      </c>
      <c r="L2772" s="43" t="n"/>
      <c r="M2772" s="44" t="n"/>
      <c r="N2772" s="44" t="inlineStr">
        <is>
          <t>UCKZo4N0lVPccBkSiuyVh4yg</t>
        </is>
      </c>
      <c r="O2772" s="45" t="n">
        <v>42151.07638888889</v>
      </c>
      <c r="P2772" s="46" t="n">
        <v>42150</v>
      </c>
      <c r="Q2772" s="44" t="n">
        <v>500</v>
      </c>
      <c r="R2772" s="44" t="inlineStr">
        <is>
          <t>No Video ID yet</t>
        </is>
      </c>
      <c r="S2772" s="46" t="n"/>
      <c r="T2772" s="46" t="n"/>
      <c r="U2772" s="44" t="n"/>
      <c r="V2772" s="44">
        <f>IF(AND(P2772&gt;=Calendar!$K$2,P2772&lt;EDATE(Calendar!$K$2,1),OR(Calendar!$K$4="*",N2772=Calendar!$K$4)),P2772*100+COUNTIFS($P$6:$P$3271,P2772,$Q$6:$Q$3271,"&lt;="&amp;Q2772,$N$6:$N$3271,Calendar!$K$4),"")</f>
        <v/>
      </c>
      <c r="W2772" s="44">
        <f>IF(AND(B2772=Queue!$C$4,OR(Queue!$K$4="*",N2772=Queue!$K$4)),Q2772,"")</f>
        <v/>
      </c>
    </row>
    <row r="2773">
      <c r="A2773" s="35">
        <f>IF(M2773="","",HYPERLINK("https://www.youtube.com/watch?v="&amp;M2773,"▶"))</f>
        <v/>
      </c>
      <c r="B2773" s="36">
        <f>IF(C2773&lt;&gt;"",C2773,IF(P2773&lt;=IFERROR(INDEX(tblChannels[Watched Through],MATCH(N2773,tblChannels[Channel ID],0)),0),"Watched","Unwatched"))</f>
        <v/>
      </c>
      <c r="C2773" s="37" t="n"/>
      <c r="D2773" s="38" t="n"/>
      <c r="E2773" s="39" t="n">
        <v>42145.91319444445</v>
      </c>
      <c r="F2773" s="47" t="inlineStr">
        <is>
          <t>Super Carlin Brothers</t>
        </is>
      </c>
      <c r="G2773" t="inlineStr">
        <is>
          <t>LOOT CRATE UNBOXING | UNITE</t>
        </is>
      </c>
      <c r="H2773" s="41" t="n">
        <v>0.004375</v>
      </c>
      <c r="I2773" s="42" t="n">
        <v>40988</v>
      </c>
      <c r="J2773" s="42" t="n">
        <v>800</v>
      </c>
      <c r="K2773" s="42" t="n">
        <v>205</v>
      </c>
      <c r="L2773" s="43" t="n"/>
      <c r="M2773" s="44" t="n"/>
      <c r="N2773" s="44" t="inlineStr">
        <is>
          <t>UCKZo4N0lVPccBkSiuyVh4yg</t>
        </is>
      </c>
      <c r="O2773" s="45" t="n">
        <v>42146.07986111111</v>
      </c>
      <c r="P2773" s="46" t="n">
        <v>42145</v>
      </c>
      <c r="Q2773" s="44" t="n">
        <v>499</v>
      </c>
      <c r="R2773" s="44" t="inlineStr">
        <is>
          <t>No Video ID yet</t>
        </is>
      </c>
      <c r="S2773" s="46" t="n"/>
      <c r="T2773" s="46" t="n"/>
      <c r="U2773" s="44" t="n"/>
      <c r="V2773" s="44">
        <f>IF(AND(P2773&gt;=Calendar!$K$2,P2773&lt;EDATE(Calendar!$K$2,1),OR(Calendar!$K$4="*",N2773=Calendar!$K$4)),P2773*100+COUNTIFS($P$6:$P$3271,P2773,$Q$6:$Q$3271,"&lt;="&amp;Q2773,$N$6:$N$3271,Calendar!$K$4),"")</f>
        <v/>
      </c>
      <c r="W2773" s="44">
        <f>IF(AND(B2773=Queue!$C$4,OR(Queue!$K$4="*",N2773=Queue!$K$4)),Q2773,"")</f>
        <v/>
      </c>
    </row>
    <row r="2774">
      <c r="A2774" s="35">
        <f>IF(M2774="","",HYPERLINK("https://www.youtube.com/watch?v="&amp;M2774,"▶"))</f>
        <v/>
      </c>
      <c r="B2774" s="36">
        <f>IF(C2774&lt;&gt;"",C2774,IF(P2774&lt;=IFERROR(INDEX(tblChannels[Watched Through],MATCH(N2774,tblChannels[Channel ID],0)),0),"Watched","Unwatched"))</f>
        <v/>
      </c>
      <c r="C2774" s="37" t="n"/>
      <c r="D2774" s="38" t="n"/>
      <c r="E2774" s="39" t="n">
        <v>42143.98680555556</v>
      </c>
      <c r="F2774" s="47" t="inlineStr">
        <is>
          <t>Super Carlin Brothers</t>
        </is>
      </c>
      <c r="G2774" t="inlineStr">
        <is>
          <t>How to Watch Star Wars</t>
        </is>
      </c>
      <c r="H2774" s="41" t="n">
        <v>0.005289351851851852</v>
      </c>
      <c r="I2774" s="42" t="n">
        <v>668386</v>
      </c>
      <c r="J2774" s="42" t="n">
        <v>15618</v>
      </c>
      <c r="K2774" s="42" t="n">
        <v>4567</v>
      </c>
      <c r="L2774" s="43" t="n"/>
      <c r="M2774" s="44" t="n"/>
      <c r="N2774" s="44" t="inlineStr">
        <is>
          <t>UCKZo4N0lVPccBkSiuyVh4yg</t>
        </is>
      </c>
      <c r="O2774" s="45" t="n">
        <v>42144.15347222222</v>
      </c>
      <c r="P2774" s="46" t="n">
        <v>42143</v>
      </c>
      <c r="Q2774" s="44" t="n">
        <v>498</v>
      </c>
      <c r="R2774" s="44" t="inlineStr">
        <is>
          <t>No Video ID yet</t>
        </is>
      </c>
      <c r="S2774" s="46" t="n"/>
      <c r="T2774" s="46" t="n"/>
      <c r="U2774" s="44" t="n"/>
      <c r="V2774" s="44">
        <f>IF(AND(P2774&gt;=Calendar!$K$2,P2774&lt;EDATE(Calendar!$K$2,1),OR(Calendar!$K$4="*",N2774=Calendar!$K$4)),P2774*100+COUNTIFS($P$6:$P$3271,P2774,$Q$6:$Q$3271,"&lt;="&amp;Q2774,$N$6:$N$3271,Calendar!$K$4),"")</f>
        <v/>
      </c>
      <c r="W2774" s="44">
        <f>IF(AND(B2774=Queue!$C$4,OR(Queue!$K$4="*",N2774=Queue!$K$4)),Q2774,"")</f>
        <v/>
      </c>
    </row>
    <row r="2775">
      <c r="A2775" s="35">
        <f>IF(M2775="","",HYPERLINK("https://www.youtube.com/watch?v="&amp;M2775,"▶"))</f>
        <v/>
      </c>
      <c r="B2775" s="36">
        <f>IF(C2775&lt;&gt;"",C2775,IF(P2775&lt;=IFERROR(INDEX(tblChannels[Watched Through],MATCH(N2775,tblChannels[Channel ID],0)),0),"Watched","Unwatched"))</f>
        <v/>
      </c>
      <c r="C2775" s="37" t="n"/>
      <c r="D2775" s="38" t="n"/>
      <c r="E2775" s="39" t="n">
        <v>42138.97291666667</v>
      </c>
      <c r="F2775" s="47" t="inlineStr">
        <is>
          <t>Super Carlin Brothers</t>
        </is>
      </c>
      <c r="G2775" t="inlineStr">
        <is>
          <t>2319! WHAT DOES IT MEAN?!</t>
        </is>
      </c>
      <c r="H2775" s="41" t="n">
        <v>0.003113425925925926</v>
      </c>
      <c r="I2775" s="42" t="n">
        <v>1744332</v>
      </c>
      <c r="J2775" s="42" t="n">
        <v>20429</v>
      </c>
      <c r="K2775" s="42" t="n">
        <v>2664</v>
      </c>
      <c r="L2775" s="43" t="n"/>
      <c r="M2775" s="44" t="n"/>
      <c r="N2775" s="44" t="inlineStr">
        <is>
          <t>UCKZo4N0lVPccBkSiuyVh4yg</t>
        </is>
      </c>
      <c r="O2775" s="45" t="n">
        <v>42139.13958333333</v>
      </c>
      <c r="P2775" s="46" t="n">
        <v>42138</v>
      </c>
      <c r="Q2775" s="44" t="n">
        <v>497</v>
      </c>
      <c r="R2775" s="44" t="inlineStr">
        <is>
          <t>No Video ID yet</t>
        </is>
      </c>
      <c r="S2775" s="46" t="n"/>
      <c r="T2775" s="46" t="n"/>
      <c r="U2775" s="44" t="n"/>
      <c r="V2775" s="44">
        <f>IF(AND(P2775&gt;=Calendar!$K$2,P2775&lt;EDATE(Calendar!$K$2,1),OR(Calendar!$K$4="*",N2775=Calendar!$K$4)),P2775*100+COUNTIFS($P$6:$P$3271,P2775,$Q$6:$Q$3271,"&lt;="&amp;Q2775,$N$6:$N$3271,Calendar!$K$4),"")</f>
        <v/>
      </c>
      <c r="W2775" s="44">
        <f>IF(AND(B2775=Queue!$C$4,OR(Queue!$K$4="*",N2775=Queue!$K$4)),Q2775,"")</f>
        <v/>
      </c>
    </row>
    <row r="2776">
      <c r="A2776" s="35">
        <f>IF(M2776="","",HYPERLINK("https://www.youtube.com/watch?v="&amp;M2776,"▶"))</f>
        <v/>
      </c>
      <c r="B2776" s="36">
        <f>IF(C2776&lt;&gt;"",C2776,IF(P2776&lt;=IFERROR(INDEX(tblChannels[Watched Through],MATCH(N2776,tblChannels[Channel ID],0)),0),"Watched","Unwatched"))</f>
        <v/>
      </c>
      <c r="C2776" s="37" t="n"/>
      <c r="D2776" s="38" t="n"/>
      <c r="E2776" s="39" t="n">
        <v>42136.93055555555</v>
      </c>
      <c r="F2776" s="47" t="inlineStr">
        <is>
          <t>Super Carlin Brothers</t>
        </is>
      </c>
      <c r="G2776" t="inlineStr">
        <is>
          <t>Pixar Theory: Who is Andy's Monster?</t>
        </is>
      </c>
      <c r="H2776" s="41" t="n">
        <v>0.004282407407407408</v>
      </c>
      <c r="I2776" s="42" t="n">
        <v>5113000</v>
      </c>
      <c r="J2776" s="42" t="n">
        <v>93162</v>
      </c>
      <c r="K2776" s="42" t="n">
        <v>11806</v>
      </c>
      <c r="L2776" s="43" t="n"/>
      <c r="M2776" s="44" t="n"/>
      <c r="N2776" s="44" t="inlineStr">
        <is>
          <t>UCKZo4N0lVPccBkSiuyVh4yg</t>
        </is>
      </c>
      <c r="O2776" s="45" t="n">
        <v>42137.09722222222</v>
      </c>
      <c r="P2776" s="46" t="n">
        <v>42136</v>
      </c>
      <c r="Q2776" s="44" t="n">
        <v>496</v>
      </c>
      <c r="R2776" s="44" t="inlineStr">
        <is>
          <t>No Video ID yet</t>
        </is>
      </c>
      <c r="S2776" s="46" t="n"/>
      <c r="T2776" s="46" t="n"/>
      <c r="U2776" s="44" t="n"/>
      <c r="V2776" s="44">
        <f>IF(AND(P2776&gt;=Calendar!$K$2,P2776&lt;EDATE(Calendar!$K$2,1),OR(Calendar!$K$4="*",N2776=Calendar!$K$4)),P2776*100+COUNTIFS($P$6:$P$3271,P2776,$Q$6:$Q$3271,"&lt;="&amp;Q2776,$N$6:$N$3271,Calendar!$K$4),"")</f>
        <v/>
      </c>
      <c r="W2776" s="44">
        <f>IF(AND(B2776=Queue!$C$4,OR(Queue!$K$4="*",N2776=Queue!$K$4)),Q2776,"")</f>
        <v/>
      </c>
    </row>
    <row r="2777">
      <c r="A2777" s="35">
        <f>IF(M2777="","",HYPERLINK("https://www.youtube.com/watch?v="&amp;M2777,"▶"))</f>
        <v/>
      </c>
      <c r="B2777" s="36">
        <f>IF(C2777&lt;&gt;"",C2777,IF(P2777&lt;=IFERROR(INDEX(tblChannels[Watched Through],MATCH(N2777,tblChannels[Channel ID],0)),0),"Watched","Unwatched"))</f>
        <v/>
      </c>
      <c r="C2777" s="37" t="n"/>
      <c r="D2777" s="38" t="n"/>
      <c r="E2777" s="39" t="n">
        <v>42131.89722222222</v>
      </c>
      <c r="F2777" s="47" t="inlineStr">
        <is>
          <t>Super Carlin Brothers</t>
        </is>
      </c>
      <c r="G2777" t="inlineStr">
        <is>
          <t>Dumbledore is DEATH</t>
        </is>
      </c>
      <c r="H2777" s="41" t="n">
        <v>0.003344907407407408</v>
      </c>
      <c r="I2777" s="42" t="n">
        <v>885524</v>
      </c>
      <c r="J2777" s="42" t="n">
        <v>13589</v>
      </c>
      <c r="K2777" s="42" t="n">
        <v>1973</v>
      </c>
      <c r="L2777" s="43" t="n"/>
      <c r="M2777" s="44" t="n"/>
      <c r="N2777" s="44" t="inlineStr">
        <is>
          <t>UCKZo4N0lVPccBkSiuyVh4yg</t>
        </is>
      </c>
      <c r="O2777" s="45" t="n">
        <v>42132.06388888889</v>
      </c>
      <c r="P2777" s="46" t="n">
        <v>42131</v>
      </c>
      <c r="Q2777" s="44" t="n">
        <v>495</v>
      </c>
      <c r="R2777" s="44" t="inlineStr">
        <is>
          <t>No Video ID yet</t>
        </is>
      </c>
      <c r="S2777" s="46" t="n"/>
      <c r="T2777" s="46" t="n"/>
      <c r="U2777" s="44" t="n"/>
      <c r="V2777" s="44">
        <f>IF(AND(P2777&gt;=Calendar!$K$2,P2777&lt;EDATE(Calendar!$K$2,1),OR(Calendar!$K$4="*",N2777=Calendar!$K$4)),P2777*100+COUNTIFS($P$6:$P$3271,P2777,$Q$6:$Q$3271,"&lt;="&amp;Q2777,$N$6:$N$3271,Calendar!$K$4),"")</f>
        <v/>
      </c>
      <c r="W2777" s="44">
        <f>IF(AND(B2777=Queue!$C$4,OR(Queue!$K$4="*",N2777=Queue!$K$4)),Q2777,"")</f>
        <v/>
      </c>
    </row>
    <row r="2778">
      <c r="A2778" s="35">
        <f>IF(M2778="","",HYPERLINK("https://www.youtube.com/watch?v="&amp;M2778,"▶"))</f>
        <v/>
      </c>
      <c r="B2778" s="36">
        <f>IF(C2778&lt;&gt;"",C2778,IF(P2778&lt;=IFERROR(INDEX(tblChannels[Watched Through],MATCH(N2778,tblChannels[Channel ID],0)),0),"Watched","Unwatched"))</f>
        <v/>
      </c>
      <c r="C2778" s="37" t="n"/>
      <c r="D2778" s="38" t="n"/>
      <c r="E2778" s="39" t="n">
        <v>42130.01041666666</v>
      </c>
      <c r="F2778" s="47" t="inlineStr">
        <is>
          <t>Super Carlin Brothers</t>
        </is>
      </c>
      <c r="G2778" t="inlineStr">
        <is>
          <t>Why Does Voldemort Google Autofill</t>
        </is>
      </c>
      <c r="H2778" s="41" t="n">
        <v>0.005011574074074074</v>
      </c>
      <c r="I2778" s="42" t="n">
        <v>980936</v>
      </c>
      <c r="J2778" s="42" t="n">
        <v>15898</v>
      </c>
      <c r="K2778" s="42" t="n">
        <v>3647</v>
      </c>
      <c r="L2778" s="43" t="n"/>
      <c r="M2778" s="44" t="n"/>
      <c r="N2778" s="44" t="inlineStr">
        <is>
          <t>UCKZo4N0lVPccBkSiuyVh4yg</t>
        </is>
      </c>
      <c r="O2778" s="45" t="n">
        <v>42130.17708333334</v>
      </c>
      <c r="P2778" s="46" t="n">
        <v>42130</v>
      </c>
      <c r="Q2778" s="44" t="n">
        <v>494</v>
      </c>
      <c r="R2778" s="44" t="inlineStr">
        <is>
          <t>No Video ID yet</t>
        </is>
      </c>
      <c r="S2778" s="46" t="n"/>
      <c r="T2778" s="46" t="n"/>
      <c r="U2778" s="44" t="n"/>
      <c r="V2778" s="44">
        <f>IF(AND(P2778&gt;=Calendar!$K$2,P2778&lt;EDATE(Calendar!$K$2,1),OR(Calendar!$K$4="*",N2778=Calendar!$K$4)),P2778*100+COUNTIFS($P$6:$P$3271,P2778,$Q$6:$Q$3271,"&lt;="&amp;Q2778,$N$6:$N$3271,Calendar!$K$4),"")</f>
        <v/>
      </c>
      <c r="W2778" s="44">
        <f>IF(AND(B2778=Queue!$C$4,OR(Queue!$K$4="*",N2778=Queue!$K$4)),Q2778,"")</f>
        <v/>
      </c>
    </row>
    <row r="2779">
      <c r="A2779" s="35">
        <f>IF(M2779="","",HYPERLINK("https://www.youtube.com/watch?v="&amp;M2779,"▶"))</f>
        <v/>
      </c>
      <c r="B2779" s="36">
        <f>IF(C2779&lt;&gt;"",C2779,IF(P2779&lt;=IFERROR(INDEX(tblChannels[Watched Through],MATCH(N2779,tblChannels[Channel ID],0)),0),"Watched","Unwatched"))</f>
        <v/>
      </c>
      <c r="C2779" s="37" t="n"/>
      <c r="D2779" s="38" t="n"/>
      <c r="E2779" s="39" t="n">
        <v>42127.73958333334</v>
      </c>
      <c r="F2779" s="49" t="inlineStr">
        <is>
          <t>Super Carlin Gaming</t>
        </is>
      </c>
      <c r="G2779" t="inlineStr">
        <is>
          <t>Pokemon HeartGold Nuzlocke #13 | Woes of Axelot</t>
        </is>
      </c>
      <c r="H2779" s="41" t="n">
        <v>0.01675925925925926</v>
      </c>
      <c r="I2779" s="42" t="n">
        <v>29051</v>
      </c>
      <c r="J2779" s="42" t="n">
        <v>618</v>
      </c>
      <c r="K2779" s="42" t="n">
        <v>103</v>
      </c>
      <c r="L2779" s="43" t="n"/>
      <c r="M2779" s="44" t="n"/>
      <c r="N2779" s="44" t="inlineStr">
        <is>
          <t>UCor_9jRnNNZVzTuQ92PKsaQ</t>
        </is>
      </c>
      <c r="O2779" s="45" t="n">
        <v>42127.90625</v>
      </c>
      <c r="P2779" s="46" t="n">
        <v>42127</v>
      </c>
      <c r="Q2779" s="44" t="n">
        <v>493</v>
      </c>
      <c r="R2779" s="44" t="inlineStr">
        <is>
          <t>No Video ID yet</t>
        </is>
      </c>
      <c r="S2779" s="46" t="n"/>
      <c r="T2779" s="46" t="n"/>
      <c r="U2779" s="44" t="n"/>
      <c r="V2779" s="44">
        <f>IF(AND(P2779&gt;=Calendar!$K$2,P2779&lt;EDATE(Calendar!$K$2,1),OR(Calendar!$K$4="*",N2779=Calendar!$K$4)),P2779*100+COUNTIFS($P$6:$P$3271,P2779,$Q$6:$Q$3271,"&lt;="&amp;Q2779,$N$6:$N$3271,Calendar!$K$4),"")</f>
        <v/>
      </c>
      <c r="W2779" s="44">
        <f>IF(AND(B2779=Queue!$C$4,OR(Queue!$K$4="*",N2779=Queue!$K$4)),Q2779,"")</f>
        <v/>
      </c>
    </row>
    <row r="2780">
      <c r="A2780" s="35">
        <f>IF(M2780="","",HYPERLINK("https://www.youtube.com/watch?v="&amp;M2780,"▶"))</f>
        <v/>
      </c>
      <c r="B2780" s="36">
        <f>IF(C2780&lt;&gt;"",C2780,IF(P2780&lt;=IFERROR(INDEX(tblChannels[Watched Through],MATCH(N2780,tblChannels[Channel ID],0)),0),"Watched","Unwatched"))</f>
        <v/>
      </c>
      <c r="C2780" s="37" t="n"/>
      <c r="D2780" s="38" t="n"/>
      <c r="E2780" s="39" t="n">
        <v>42124.975</v>
      </c>
      <c r="F2780" s="47" t="inlineStr">
        <is>
          <t>Super Carlin Brothers</t>
        </is>
      </c>
      <c r="G2780" t="inlineStr">
        <is>
          <t>ASK BEN: Guinea Pigs, Emma Jean, and KNIVES</t>
        </is>
      </c>
      <c r="H2780" s="41" t="n">
        <v>0.004571759259259259</v>
      </c>
      <c r="I2780" s="42" t="n">
        <v>25931</v>
      </c>
      <c r="J2780" s="42" t="n">
        <v>699</v>
      </c>
      <c r="K2780" s="42" t="n">
        <v>141</v>
      </c>
      <c r="L2780" s="43" t="n"/>
      <c r="M2780" s="44" t="n"/>
      <c r="N2780" s="44" t="inlineStr">
        <is>
          <t>UCKZo4N0lVPccBkSiuyVh4yg</t>
        </is>
      </c>
      <c r="O2780" s="45" t="n">
        <v>42125.14166666667</v>
      </c>
      <c r="P2780" s="46" t="n">
        <v>42124</v>
      </c>
      <c r="Q2780" s="44" t="n">
        <v>492</v>
      </c>
      <c r="R2780" s="44" t="inlineStr">
        <is>
          <t>No Video ID yet</t>
        </is>
      </c>
      <c r="S2780" s="46" t="n"/>
      <c r="T2780" s="46" t="n"/>
      <c r="U2780" s="44" t="n"/>
      <c r="V2780" s="44">
        <f>IF(AND(P2780&gt;=Calendar!$K$2,P2780&lt;EDATE(Calendar!$K$2,1),OR(Calendar!$K$4="*",N2780=Calendar!$K$4)),P2780*100+COUNTIFS($P$6:$P$3271,P2780,$Q$6:$Q$3271,"&lt;="&amp;Q2780,$N$6:$N$3271,Calendar!$K$4),"")</f>
        <v/>
      </c>
      <c r="W2780" s="44">
        <f>IF(AND(B2780=Queue!$C$4,OR(Queue!$K$4="*",N2780=Queue!$K$4)),Q2780,"")</f>
        <v/>
      </c>
    </row>
    <row r="2781">
      <c r="A2781" s="35">
        <f>IF(M2781="","",HYPERLINK("https://www.youtube.com/watch?v="&amp;M2781,"▶"))</f>
        <v/>
      </c>
      <c r="B2781" s="36">
        <f>IF(C2781&lt;&gt;"",C2781,IF(P2781&lt;=IFERROR(INDEX(tblChannels[Watched Through],MATCH(N2781,tblChannels[Channel ID],0)),0),"Watched","Unwatched"))</f>
        <v/>
      </c>
      <c r="C2781" s="37" t="n"/>
      <c r="D2781" s="38" t="n"/>
      <c r="E2781" s="39" t="n">
        <v>42122.94722222222</v>
      </c>
      <c r="F2781" s="47" t="inlineStr">
        <is>
          <t>Super Carlin Brothers</t>
        </is>
      </c>
      <c r="G2781" t="inlineStr">
        <is>
          <t>LOOT CRATE UNBOXING | FANTASY</t>
        </is>
      </c>
      <c r="H2781" s="41" t="n">
        <v>0.005266203703703703</v>
      </c>
      <c r="I2781" s="42" t="n">
        <v>93977</v>
      </c>
      <c r="J2781" s="42" t="n">
        <v>1899</v>
      </c>
      <c r="K2781" s="42" t="n">
        <v>339</v>
      </c>
      <c r="L2781" s="43" t="n"/>
      <c r="M2781" s="44" t="n"/>
      <c r="N2781" s="44" t="inlineStr">
        <is>
          <t>UCKZo4N0lVPccBkSiuyVh4yg</t>
        </is>
      </c>
      <c r="O2781" s="45" t="n">
        <v>42123.11388888889</v>
      </c>
      <c r="P2781" s="46" t="n">
        <v>42122</v>
      </c>
      <c r="Q2781" s="44" t="n">
        <v>491</v>
      </c>
      <c r="R2781" s="44" t="inlineStr">
        <is>
          <t>No Video ID yet</t>
        </is>
      </c>
      <c r="S2781" s="46" t="n"/>
      <c r="T2781" s="46" t="n"/>
      <c r="U2781" s="44" t="n"/>
      <c r="V2781" s="44">
        <f>IF(AND(P2781&gt;=Calendar!$K$2,P2781&lt;EDATE(Calendar!$K$2,1),OR(Calendar!$K$4="*",N2781=Calendar!$K$4)),P2781*100+COUNTIFS($P$6:$P$3271,P2781,$Q$6:$Q$3271,"&lt;="&amp;Q2781,$N$6:$N$3271,Calendar!$K$4),"")</f>
        <v/>
      </c>
      <c r="W2781" s="44">
        <f>IF(AND(B2781=Queue!$C$4,OR(Queue!$K$4="*",N2781=Queue!$K$4)),Q2781,"")</f>
        <v/>
      </c>
    </row>
    <row r="2782">
      <c r="A2782" s="35">
        <f>IF(M2782="","",HYPERLINK("https://www.youtube.com/watch?v="&amp;M2782,"▶"))</f>
        <v/>
      </c>
      <c r="B2782" s="36">
        <f>IF(C2782&lt;&gt;"",C2782,IF(P2782&lt;=IFERROR(INDEX(tblChannels[Watched Through],MATCH(N2782,tblChannels[Channel ID],0)),0),"Watched","Unwatched"))</f>
        <v/>
      </c>
      <c r="C2782" s="37" t="n"/>
      <c r="D2782" s="38" t="n"/>
      <c r="E2782" s="39" t="n">
        <v>42117.95625</v>
      </c>
      <c r="F2782" s="47" t="inlineStr">
        <is>
          <t>Super Carlin Brothers</t>
        </is>
      </c>
      <c r="G2782" t="inlineStr">
        <is>
          <t>Pixar Fan Theories: WHO is Emma Jean?!</t>
        </is>
      </c>
      <c r="H2782" s="41" t="n">
        <v>0.004120370370370371</v>
      </c>
      <c r="I2782" s="42" t="n">
        <v>496580</v>
      </c>
      <c r="J2782" s="42" t="n">
        <v>6575</v>
      </c>
      <c r="K2782" s="42" t="n">
        <v>992</v>
      </c>
      <c r="L2782" s="43" t="n"/>
      <c r="M2782" s="44" t="n"/>
      <c r="N2782" s="44" t="inlineStr">
        <is>
          <t>UCKZo4N0lVPccBkSiuyVh4yg</t>
        </is>
      </c>
      <c r="O2782" s="45" t="n">
        <v>42118.12291666667</v>
      </c>
      <c r="P2782" s="46" t="n">
        <v>42117</v>
      </c>
      <c r="Q2782" s="44" t="n">
        <v>490</v>
      </c>
      <c r="R2782" s="44" t="inlineStr">
        <is>
          <t>No Video ID yet</t>
        </is>
      </c>
      <c r="S2782" s="46" t="n"/>
      <c r="T2782" s="46" t="n"/>
      <c r="U2782" s="44" t="n"/>
      <c r="V2782" s="44">
        <f>IF(AND(P2782&gt;=Calendar!$K$2,P2782&lt;EDATE(Calendar!$K$2,1),OR(Calendar!$K$4="*",N2782=Calendar!$K$4)),P2782*100+COUNTIFS($P$6:$P$3271,P2782,$Q$6:$Q$3271,"&lt;="&amp;Q2782,$N$6:$N$3271,Calendar!$K$4),"")</f>
        <v/>
      </c>
      <c r="W2782" s="44">
        <f>IF(AND(B2782=Queue!$C$4,OR(Queue!$K$4="*",N2782=Queue!$K$4)),Q2782,"")</f>
        <v/>
      </c>
    </row>
    <row r="2783">
      <c r="A2783" s="35">
        <f>IF(M2783="","",HYPERLINK("https://www.youtube.com/watch?v="&amp;M2783,"▶"))</f>
        <v/>
      </c>
      <c r="B2783" s="36">
        <f>IF(C2783&lt;&gt;"",C2783,IF(P2783&lt;=IFERROR(INDEX(tblChannels[Watched Through],MATCH(N2783,tblChannels[Channel ID],0)),0),"Watched","Unwatched"))</f>
        <v/>
      </c>
      <c r="C2783" s="37" t="n"/>
      <c r="D2783" s="38" t="n"/>
      <c r="E2783" s="39" t="n">
        <v>42115.98194444444</v>
      </c>
      <c r="F2783" s="47" t="inlineStr">
        <is>
          <t>Super Carlin Brothers</t>
        </is>
      </c>
      <c r="G2783" t="inlineStr">
        <is>
          <t>Pixar Theory: Carl is Crazy</t>
        </is>
      </c>
      <c r="H2783" s="41" t="n">
        <v>0.006145833333333333</v>
      </c>
      <c r="I2783" s="42" t="n">
        <v>2685065</v>
      </c>
      <c r="J2783" s="42" t="n">
        <v>35913</v>
      </c>
      <c r="K2783" s="42" t="n">
        <v>4656</v>
      </c>
      <c r="L2783" s="43" t="n"/>
      <c r="M2783" s="44" t="n"/>
      <c r="N2783" s="44" t="inlineStr">
        <is>
          <t>UCKZo4N0lVPccBkSiuyVh4yg</t>
        </is>
      </c>
      <c r="O2783" s="45" t="n">
        <v>42116.14861111111</v>
      </c>
      <c r="P2783" s="46" t="n">
        <v>42115</v>
      </c>
      <c r="Q2783" s="44" t="n">
        <v>489</v>
      </c>
      <c r="R2783" s="44" t="inlineStr">
        <is>
          <t>No Video ID yet</t>
        </is>
      </c>
      <c r="S2783" s="46" t="n"/>
      <c r="T2783" s="46" t="n"/>
      <c r="U2783" s="44" t="n"/>
      <c r="V2783" s="44">
        <f>IF(AND(P2783&gt;=Calendar!$K$2,P2783&lt;EDATE(Calendar!$K$2,1),OR(Calendar!$K$4="*",N2783=Calendar!$K$4)),P2783*100+COUNTIFS($P$6:$P$3271,P2783,$Q$6:$Q$3271,"&lt;="&amp;Q2783,$N$6:$N$3271,Calendar!$K$4),"")</f>
        <v/>
      </c>
      <c r="W2783" s="44">
        <f>IF(AND(B2783=Queue!$C$4,OR(Queue!$K$4="*",N2783=Queue!$K$4)),Q2783,"")</f>
        <v/>
      </c>
    </row>
    <row r="2784">
      <c r="A2784" s="35">
        <f>IF(M2784="","",HYPERLINK("https://www.youtube.com/watch?v="&amp;M2784,"▶"))</f>
        <v/>
      </c>
      <c r="B2784" s="36">
        <f>IF(C2784&lt;&gt;"",C2784,IF(P2784&lt;=IFERROR(INDEX(tblChannels[Watched Through],MATCH(N2784,tblChannels[Channel ID],0)),0),"Watched","Unwatched"))</f>
        <v/>
      </c>
      <c r="C2784" s="37" t="n"/>
      <c r="D2784" s="38" t="n"/>
      <c r="E2784" s="39" t="n">
        <v>42110.98402777778</v>
      </c>
      <c r="F2784" s="47" t="inlineStr">
        <is>
          <t>Super Carlin Brothers</t>
        </is>
      </c>
      <c r="G2784" t="inlineStr">
        <is>
          <t>Create Your Own Pixar Theory</t>
        </is>
      </c>
      <c r="H2784" s="41" t="n">
        <v>0.003275462962962963</v>
      </c>
      <c r="I2784" s="42" t="n">
        <v>95126</v>
      </c>
      <c r="J2784" s="42" t="n">
        <v>1662</v>
      </c>
      <c r="K2784" s="42" t="n">
        <v>441</v>
      </c>
      <c r="L2784" s="43" t="n"/>
      <c r="M2784" s="44" t="n"/>
      <c r="N2784" s="44" t="inlineStr">
        <is>
          <t>UCKZo4N0lVPccBkSiuyVh4yg</t>
        </is>
      </c>
      <c r="O2784" s="45" t="n">
        <v>42111.15069444444</v>
      </c>
      <c r="P2784" s="46" t="n">
        <v>42110</v>
      </c>
      <c r="Q2784" s="44" t="n">
        <v>488</v>
      </c>
      <c r="R2784" s="44" t="inlineStr">
        <is>
          <t>No Video ID yet</t>
        </is>
      </c>
      <c r="S2784" s="46" t="n"/>
      <c r="T2784" s="46" t="n"/>
      <c r="U2784" s="44" t="n"/>
      <c r="V2784" s="44">
        <f>IF(AND(P2784&gt;=Calendar!$K$2,P2784&lt;EDATE(Calendar!$K$2,1),OR(Calendar!$K$4="*",N2784=Calendar!$K$4)),P2784*100+COUNTIFS($P$6:$P$3271,P2784,$Q$6:$Q$3271,"&lt;="&amp;Q2784,$N$6:$N$3271,Calendar!$K$4),"")</f>
        <v/>
      </c>
      <c r="W2784" s="44">
        <f>IF(AND(B2784=Queue!$C$4,OR(Queue!$K$4="*",N2784=Queue!$K$4)),Q2784,"")</f>
        <v/>
      </c>
    </row>
    <row r="2785">
      <c r="A2785" s="35">
        <f>IF(M2785="","",HYPERLINK("https://www.youtube.com/watch?v="&amp;M2785,"▶"))</f>
        <v/>
      </c>
      <c r="B2785" s="36">
        <f>IF(C2785&lt;&gt;"",C2785,IF(P2785&lt;=IFERROR(INDEX(tblChannels[Watched Through],MATCH(N2785,tblChannels[Channel ID],0)),0),"Watched","Unwatched"))</f>
        <v/>
      </c>
      <c r="C2785" s="37" t="n"/>
      <c r="D2785" s="38" t="n"/>
      <c r="E2785" s="39" t="n">
        <v>42108.97222222222</v>
      </c>
      <c r="F2785" s="47" t="inlineStr">
        <is>
          <t>Super Carlin Brothers</t>
        </is>
      </c>
      <c r="G2785" t="inlineStr">
        <is>
          <t>Woody Was Almost Bad?!!</t>
        </is>
      </c>
      <c r="H2785" s="41" t="n">
        <v>0.004189814814814815</v>
      </c>
      <c r="I2785" s="42" t="n">
        <v>2341595</v>
      </c>
      <c r="J2785" s="42" t="n">
        <v>32152</v>
      </c>
      <c r="K2785" s="42" t="n">
        <v>3327</v>
      </c>
      <c r="L2785" s="43" t="n"/>
      <c r="M2785" s="44" t="n"/>
      <c r="N2785" s="44" t="inlineStr">
        <is>
          <t>UCKZo4N0lVPccBkSiuyVh4yg</t>
        </is>
      </c>
      <c r="O2785" s="45" t="n">
        <v>42109.13888888889</v>
      </c>
      <c r="P2785" s="46" t="n">
        <v>42108</v>
      </c>
      <c r="Q2785" s="44" t="n">
        <v>487</v>
      </c>
      <c r="R2785" s="44" t="inlineStr">
        <is>
          <t>No Video ID yet</t>
        </is>
      </c>
      <c r="S2785" s="46" t="n"/>
      <c r="T2785" s="46" t="n"/>
      <c r="U2785" s="44" t="n"/>
      <c r="V2785" s="44">
        <f>IF(AND(P2785&gt;=Calendar!$K$2,P2785&lt;EDATE(Calendar!$K$2,1),OR(Calendar!$K$4="*",N2785=Calendar!$K$4)),P2785*100+COUNTIFS($P$6:$P$3271,P2785,$Q$6:$Q$3271,"&lt;="&amp;Q2785,$N$6:$N$3271,Calendar!$K$4),"")</f>
        <v/>
      </c>
      <c r="W2785" s="44">
        <f>IF(AND(B2785=Queue!$C$4,OR(Queue!$K$4="*",N2785=Queue!$K$4)),Q2785,"")</f>
        <v/>
      </c>
    </row>
    <row r="2786">
      <c r="A2786" s="35">
        <f>IF(M2786="","",HYPERLINK("https://www.youtube.com/watch?v="&amp;M2786,"▶"))</f>
        <v/>
      </c>
      <c r="B2786" s="36">
        <f>IF(C2786&lt;&gt;"",C2786,IF(P2786&lt;=IFERROR(INDEX(tblChannels[Watched Through],MATCH(N2786,tblChannels[Channel ID],0)),0),"Watched","Unwatched"))</f>
        <v/>
      </c>
      <c r="C2786" s="37" t="n"/>
      <c r="D2786" s="38" t="n"/>
      <c r="E2786" s="39" t="n">
        <v>42107.32152777778</v>
      </c>
      <c r="F2786" s="49" t="inlineStr">
        <is>
          <t>Super Carlin Gaming</t>
        </is>
      </c>
      <c r="G2786" t="inlineStr">
        <is>
          <t>Pokemon HeartGold Nuzlocke #12 | Super Nova</t>
        </is>
      </c>
      <c r="H2786" s="41" t="n">
        <v>0.0221412037037037</v>
      </c>
      <c r="I2786" s="42" t="n">
        <v>30947</v>
      </c>
      <c r="J2786" s="42" t="n">
        <v>592</v>
      </c>
      <c r="K2786" s="42" t="n">
        <v>132</v>
      </c>
      <c r="L2786" s="43" t="n"/>
      <c r="M2786" s="44" t="n"/>
      <c r="N2786" s="44" t="inlineStr">
        <is>
          <t>UCor_9jRnNNZVzTuQ92PKsaQ</t>
        </is>
      </c>
      <c r="O2786" s="45" t="n">
        <v>42107.48819444444</v>
      </c>
      <c r="P2786" s="46" t="n">
        <v>42107</v>
      </c>
      <c r="Q2786" s="44" t="n">
        <v>486</v>
      </c>
      <c r="R2786" s="44" t="inlineStr">
        <is>
          <t>No Video ID yet</t>
        </is>
      </c>
      <c r="S2786" s="46" t="n"/>
      <c r="T2786" s="46" t="n"/>
      <c r="U2786" s="44" t="n"/>
      <c r="V2786" s="44">
        <f>IF(AND(P2786&gt;=Calendar!$K$2,P2786&lt;EDATE(Calendar!$K$2,1),OR(Calendar!$K$4="*",N2786=Calendar!$K$4)),P2786*100+COUNTIFS($P$6:$P$3271,P2786,$Q$6:$Q$3271,"&lt;="&amp;Q2786,$N$6:$N$3271,Calendar!$K$4),"")</f>
        <v/>
      </c>
      <c r="W2786" s="44">
        <f>IF(AND(B2786=Queue!$C$4,OR(Queue!$K$4="*",N2786=Queue!$K$4)),Q2786,"")</f>
        <v/>
      </c>
    </row>
    <row r="2787">
      <c r="A2787" s="35">
        <f>IF(M2787="","",HYPERLINK("https://www.youtube.com/watch?v="&amp;M2787,"▶"))</f>
        <v/>
      </c>
      <c r="B2787" s="36">
        <f>IF(C2787&lt;&gt;"",C2787,IF(P2787&lt;=IFERROR(INDEX(tblChannels[Watched Through],MATCH(N2787,tblChannels[Channel ID],0)),0),"Watched","Unwatched"))</f>
        <v/>
      </c>
      <c r="C2787" s="37" t="n"/>
      <c r="D2787" s="38" t="n"/>
      <c r="E2787" s="39" t="n">
        <v>42105.41388888889</v>
      </c>
      <c r="F2787" s="49" t="inlineStr">
        <is>
          <t>Super Carlin Gaming</t>
        </is>
      </c>
      <c r="G2787" t="inlineStr">
        <is>
          <t>Pokemon HeartGold Nuzlocke #11 | Time to SHINE</t>
        </is>
      </c>
      <c r="H2787" s="41" t="n">
        <v>0.02199074074074074</v>
      </c>
      <c r="I2787" s="42" t="n">
        <v>32983</v>
      </c>
      <c r="J2787" s="42" t="n">
        <v>566</v>
      </c>
      <c r="K2787" s="42" t="n">
        <v>110</v>
      </c>
      <c r="L2787" s="43" t="n"/>
      <c r="M2787" s="44" t="n"/>
      <c r="N2787" s="44" t="inlineStr">
        <is>
          <t>UCor_9jRnNNZVzTuQ92PKsaQ</t>
        </is>
      </c>
      <c r="O2787" s="45" t="n">
        <v>42105.58055555556</v>
      </c>
      <c r="P2787" s="46" t="n">
        <v>42105</v>
      </c>
      <c r="Q2787" s="44" t="n">
        <v>485</v>
      </c>
      <c r="R2787" s="44" t="inlineStr">
        <is>
          <t>No Video ID yet</t>
        </is>
      </c>
      <c r="S2787" s="46" t="n"/>
      <c r="T2787" s="46" t="n"/>
      <c r="U2787" s="44" t="n"/>
      <c r="V2787" s="44">
        <f>IF(AND(P2787&gt;=Calendar!$K$2,P2787&lt;EDATE(Calendar!$K$2,1),OR(Calendar!$K$4="*",N2787=Calendar!$K$4)),P2787*100+COUNTIFS($P$6:$P$3271,P2787,$Q$6:$Q$3271,"&lt;="&amp;Q2787,$N$6:$N$3271,Calendar!$K$4),"")</f>
        <v/>
      </c>
      <c r="W2787" s="44">
        <f>IF(AND(B2787=Queue!$C$4,OR(Queue!$K$4="*",N2787=Queue!$K$4)),Q2787,"")</f>
        <v/>
      </c>
    </row>
    <row r="2788">
      <c r="A2788" s="35">
        <f>IF(M2788="","",HYPERLINK("https://www.youtube.com/watch?v="&amp;M2788,"▶"))</f>
        <v/>
      </c>
      <c r="B2788" s="36">
        <f>IF(C2788&lt;&gt;"",C2788,IF(P2788&lt;=IFERROR(INDEX(tblChannels[Watched Through],MATCH(N2788,tblChannels[Channel ID],0)),0),"Watched","Unwatched"))</f>
        <v/>
      </c>
      <c r="C2788" s="37" t="n"/>
      <c r="D2788" s="38" t="n"/>
      <c r="E2788" s="39" t="n">
        <v>42103.96597222222</v>
      </c>
      <c r="F2788" s="47" t="inlineStr">
        <is>
          <t>Super Carlin Brothers</t>
        </is>
      </c>
      <c r="G2788" t="inlineStr">
        <is>
          <t>The Pixar Theory: Andy and Carl Related?!</t>
        </is>
      </c>
      <c r="H2788" s="41" t="n">
        <v>0.00400462962962963</v>
      </c>
      <c r="I2788" s="42" t="n">
        <v>1156063</v>
      </c>
      <c r="J2788" s="42" t="n">
        <v>14011</v>
      </c>
      <c r="K2788" s="42" t="n">
        <v>1529</v>
      </c>
      <c r="L2788" s="43" t="n"/>
      <c r="M2788" s="44" t="n"/>
      <c r="N2788" s="44" t="inlineStr">
        <is>
          <t>UCKZo4N0lVPccBkSiuyVh4yg</t>
        </is>
      </c>
      <c r="O2788" s="45" t="n">
        <v>42104.13263888889</v>
      </c>
      <c r="P2788" s="46" t="n">
        <v>42103</v>
      </c>
      <c r="Q2788" s="44" t="n">
        <v>484</v>
      </c>
      <c r="R2788" s="44" t="inlineStr">
        <is>
          <t>No Video ID yet</t>
        </is>
      </c>
      <c r="S2788" s="46" t="n"/>
      <c r="T2788" s="46" t="n"/>
      <c r="U2788" s="44" t="n"/>
      <c r="V2788" s="44">
        <f>IF(AND(P2788&gt;=Calendar!$K$2,P2788&lt;EDATE(Calendar!$K$2,1),OR(Calendar!$K$4="*",N2788=Calendar!$K$4)),P2788*100+COUNTIFS($P$6:$P$3271,P2788,$Q$6:$Q$3271,"&lt;="&amp;Q2788,$N$6:$N$3271,Calendar!$K$4),"")</f>
        <v/>
      </c>
      <c r="W2788" s="44">
        <f>IF(AND(B2788=Queue!$C$4,OR(Queue!$K$4="*",N2788=Queue!$K$4)),Q2788,"")</f>
        <v/>
      </c>
    </row>
    <row r="2789">
      <c r="A2789" s="35">
        <f>IF(M2789="","",HYPERLINK("https://www.youtube.com/watch?v="&amp;M2789,"▶"))</f>
        <v/>
      </c>
      <c r="B2789" s="36">
        <f>IF(C2789&lt;&gt;"",C2789,IF(P2789&lt;=IFERROR(INDEX(tblChannels[Watched Through],MATCH(N2789,tblChannels[Channel ID],0)),0),"Watched","Unwatched"))</f>
        <v/>
      </c>
      <c r="C2789" s="37" t="n"/>
      <c r="D2789" s="38" t="n"/>
      <c r="E2789" s="39" t="n">
        <v>42102.01736111111</v>
      </c>
      <c r="F2789" s="47" t="inlineStr">
        <is>
          <t>Super Carlin Brothers</t>
        </is>
      </c>
      <c r="G2789" t="inlineStr">
        <is>
          <t>Top 5 Snubbed Disney Princesses</t>
        </is>
      </c>
      <c r="H2789" s="41" t="n">
        <v>0.008032407407407408</v>
      </c>
      <c r="I2789" s="42" t="n">
        <v>3573213</v>
      </c>
      <c r="J2789" s="42" t="n">
        <v>62150</v>
      </c>
      <c r="K2789" s="42" t="n">
        <v>15117</v>
      </c>
      <c r="L2789" s="43" t="n"/>
      <c r="M2789" s="44" t="n"/>
      <c r="N2789" s="44" t="inlineStr">
        <is>
          <t>UCKZo4N0lVPccBkSiuyVh4yg</t>
        </is>
      </c>
      <c r="O2789" s="45" t="n">
        <v>42102.18402777778</v>
      </c>
      <c r="P2789" s="46" t="n">
        <v>42102</v>
      </c>
      <c r="Q2789" s="44" t="n">
        <v>483</v>
      </c>
      <c r="R2789" s="44" t="inlineStr">
        <is>
          <t>No Video ID yet</t>
        </is>
      </c>
      <c r="S2789" s="46" t="n"/>
      <c r="T2789" s="46" t="n"/>
      <c r="U2789" s="44" t="n"/>
      <c r="V2789" s="44">
        <f>IF(AND(P2789&gt;=Calendar!$K$2,P2789&lt;EDATE(Calendar!$K$2,1),OR(Calendar!$K$4="*",N2789=Calendar!$K$4)),P2789*100+COUNTIFS($P$6:$P$3271,P2789,$Q$6:$Q$3271,"&lt;="&amp;Q2789,$N$6:$N$3271,Calendar!$K$4),"")</f>
        <v/>
      </c>
      <c r="W2789" s="44">
        <f>IF(AND(B2789=Queue!$C$4,OR(Queue!$K$4="*",N2789=Queue!$K$4)),Q2789,"")</f>
        <v/>
      </c>
    </row>
    <row r="2790">
      <c r="A2790" s="35">
        <f>IF(M2790="","",HYPERLINK("https://www.youtube.com/watch?v="&amp;M2790,"▶"))</f>
        <v/>
      </c>
      <c r="B2790" s="36">
        <f>IF(C2790&lt;&gt;"",C2790,IF(P2790&lt;=IFERROR(INDEX(tblChannels[Watched Through],MATCH(N2790,tblChannels[Channel ID],0)),0),"Watched","Unwatched"))</f>
        <v/>
      </c>
      <c r="C2790" s="37" t="n"/>
      <c r="D2790" s="38" t="n"/>
      <c r="E2790" s="39" t="n">
        <v>42100.44930555556</v>
      </c>
      <c r="F2790" s="49" t="inlineStr">
        <is>
          <t>Super Carlin Gaming</t>
        </is>
      </c>
      <c r="G2790" t="inlineStr">
        <is>
          <t>Pokemon HeartGold Nuzlocke #10 | Burned Tower of DEATH</t>
        </is>
      </c>
      <c r="H2790" s="41" t="n">
        <v>0.02436342592592593</v>
      </c>
      <c r="I2790" s="42" t="n">
        <v>30200</v>
      </c>
      <c r="J2790" s="42" t="n">
        <v>509</v>
      </c>
      <c r="K2790" s="42" t="n">
        <v>132</v>
      </c>
      <c r="L2790" s="43" t="n"/>
      <c r="M2790" s="44" t="n"/>
      <c r="N2790" s="44" t="inlineStr">
        <is>
          <t>UCor_9jRnNNZVzTuQ92PKsaQ</t>
        </is>
      </c>
      <c r="O2790" s="45" t="n">
        <v>42100.61597222222</v>
      </c>
      <c r="P2790" s="46" t="n">
        <v>42100</v>
      </c>
      <c r="Q2790" s="44" t="n">
        <v>482</v>
      </c>
      <c r="R2790" s="44" t="inlineStr">
        <is>
          <t>No Video ID yet</t>
        </is>
      </c>
      <c r="S2790" s="46" t="n"/>
      <c r="T2790" s="46" t="n"/>
      <c r="U2790" s="44" t="n"/>
      <c r="V2790" s="44">
        <f>IF(AND(P2790&gt;=Calendar!$K$2,P2790&lt;EDATE(Calendar!$K$2,1),OR(Calendar!$K$4="*",N2790=Calendar!$K$4)),P2790*100+COUNTIFS($P$6:$P$3271,P2790,$Q$6:$Q$3271,"&lt;="&amp;Q2790,$N$6:$N$3271,Calendar!$K$4),"")</f>
        <v/>
      </c>
      <c r="W2790" s="44">
        <f>IF(AND(B2790=Queue!$C$4,OR(Queue!$K$4="*",N2790=Queue!$K$4)),Q2790,"")</f>
        <v/>
      </c>
    </row>
    <row r="2791">
      <c r="A2791" s="35">
        <f>IF(M2791="","",HYPERLINK("https://www.youtube.com/watch?v="&amp;M2791,"▶"))</f>
        <v/>
      </c>
      <c r="B2791" s="36">
        <f>IF(C2791&lt;&gt;"",C2791,IF(P2791&lt;=IFERROR(INDEX(tblChannels[Watched Through],MATCH(N2791,tblChannels[Channel ID],0)),0),"Watched","Unwatched"))</f>
        <v/>
      </c>
      <c r="C2791" s="37" t="n"/>
      <c r="D2791" s="38" t="n"/>
      <c r="E2791" s="39" t="n">
        <v>42098.73194444444</v>
      </c>
      <c r="F2791" s="49" t="inlineStr">
        <is>
          <t>Super Carlin Gaming</t>
        </is>
      </c>
      <c r="G2791" t="inlineStr">
        <is>
          <t>Pokemon HeartGold Nuzlocke #9 | Whitney's Miltank</t>
        </is>
      </c>
      <c r="H2791" s="41" t="n">
        <v>0.02438657407407407</v>
      </c>
      <c r="I2791" s="42" t="n">
        <v>36290</v>
      </c>
      <c r="J2791" s="42" t="n">
        <v>719</v>
      </c>
      <c r="K2791" s="42" t="n">
        <v>124</v>
      </c>
      <c r="L2791" s="43" t="n"/>
      <c r="M2791" s="44" t="n"/>
      <c r="N2791" s="44" t="inlineStr">
        <is>
          <t>UCor_9jRnNNZVzTuQ92PKsaQ</t>
        </is>
      </c>
      <c r="O2791" s="45" t="n">
        <v>42098.89861111111</v>
      </c>
      <c r="P2791" s="46" t="n">
        <v>42098</v>
      </c>
      <c r="Q2791" s="44" t="n">
        <v>481</v>
      </c>
      <c r="R2791" s="44" t="inlineStr">
        <is>
          <t>No Video ID yet</t>
        </is>
      </c>
      <c r="S2791" s="46" t="n"/>
      <c r="T2791" s="46" t="n"/>
      <c r="U2791" s="44" t="n"/>
      <c r="V2791" s="44">
        <f>IF(AND(P2791&gt;=Calendar!$K$2,P2791&lt;EDATE(Calendar!$K$2,1),OR(Calendar!$K$4="*",N2791=Calendar!$K$4)),P2791*100+COUNTIFS($P$6:$P$3271,P2791,$Q$6:$Q$3271,"&lt;="&amp;Q2791,$N$6:$N$3271,Calendar!$K$4),"")</f>
        <v/>
      </c>
      <c r="W2791" s="44">
        <f>IF(AND(B2791=Queue!$C$4,OR(Queue!$K$4="*",N2791=Queue!$K$4)),Q2791,"")</f>
        <v/>
      </c>
    </row>
    <row r="2792">
      <c r="A2792" s="35">
        <f>IF(M2792="","",HYPERLINK("https://www.youtube.com/watch?v="&amp;M2792,"▶"))</f>
        <v/>
      </c>
      <c r="B2792" s="36">
        <f>IF(C2792&lt;&gt;"",C2792,IF(P2792&lt;=IFERROR(INDEX(tblChannels[Watched Through],MATCH(N2792,tblChannels[Channel ID],0)),0),"Watched","Unwatched"))</f>
        <v/>
      </c>
      <c r="C2792" s="37" t="n"/>
      <c r="D2792" s="38" t="n"/>
      <c r="E2792" s="39" t="n">
        <v>42097.02708333333</v>
      </c>
      <c r="F2792" s="47" t="inlineStr">
        <is>
          <t>Super Carlin Brothers</t>
        </is>
      </c>
      <c r="G2792" t="inlineStr">
        <is>
          <t>My Top 10 Pixar Quotes</t>
        </is>
      </c>
      <c r="H2792" s="41" t="n">
        <v>0.004444444444444444</v>
      </c>
      <c r="I2792" s="42" t="n">
        <v>277160</v>
      </c>
      <c r="J2792" s="42" t="n">
        <v>5060</v>
      </c>
      <c r="K2792" s="42" t="n">
        <v>1601</v>
      </c>
      <c r="L2792" s="43" t="n"/>
      <c r="M2792" s="44" t="n"/>
      <c r="N2792" s="44" t="inlineStr">
        <is>
          <t>UCKZo4N0lVPccBkSiuyVh4yg</t>
        </is>
      </c>
      <c r="O2792" s="45" t="n">
        <v>42097.19375</v>
      </c>
      <c r="P2792" s="46" t="n">
        <v>42097</v>
      </c>
      <c r="Q2792" s="44" t="n">
        <v>480</v>
      </c>
      <c r="R2792" s="44" t="inlineStr">
        <is>
          <t>No Video ID yet</t>
        </is>
      </c>
      <c r="S2792" s="46" t="n"/>
      <c r="T2792" s="46" t="n"/>
      <c r="U2792" s="44" t="n"/>
      <c r="V2792" s="44">
        <f>IF(AND(P2792&gt;=Calendar!$K$2,P2792&lt;EDATE(Calendar!$K$2,1),OR(Calendar!$K$4="*",N2792=Calendar!$K$4)),P2792*100+COUNTIFS($P$6:$P$3271,P2792,$Q$6:$Q$3271,"&lt;="&amp;Q2792,$N$6:$N$3271,Calendar!$K$4),"")</f>
        <v/>
      </c>
      <c r="W2792" s="44">
        <f>IF(AND(B2792=Queue!$C$4,OR(Queue!$K$4="*",N2792=Queue!$K$4)),Q2792,"")</f>
        <v/>
      </c>
    </row>
    <row r="2793">
      <c r="A2793" s="35">
        <f>IF(M2793="","",HYPERLINK("https://www.youtube.com/watch?v="&amp;M2793,"▶"))</f>
        <v/>
      </c>
      <c r="B2793" s="36">
        <f>IF(C2793&lt;&gt;"",C2793,IF(P2793&lt;=IFERROR(INDEX(tblChannels[Watched Through],MATCH(N2793,tblChannels[Channel ID],0)),0),"Watched","Unwatched"))</f>
        <v/>
      </c>
      <c r="C2793" s="37" t="n"/>
      <c r="D2793" s="38" t="n"/>
      <c r="E2793" s="39" t="n">
        <v>42095.78402777778</v>
      </c>
      <c r="F2793" s="49" t="inlineStr">
        <is>
          <t>Super Carlin Gaming</t>
        </is>
      </c>
      <c r="G2793" t="inlineStr">
        <is>
          <t>Pokemon HeartGold Nuzlocke #8 | Sonic Boom</t>
        </is>
      </c>
      <c r="H2793" s="41" t="n">
        <v>0.01321759259259259</v>
      </c>
      <c r="I2793" s="42" t="n">
        <v>26511</v>
      </c>
      <c r="J2793" s="42" t="n">
        <v>482</v>
      </c>
      <c r="K2793" s="42" t="n">
        <v>68</v>
      </c>
      <c r="L2793" s="43" t="n"/>
      <c r="M2793" s="44" t="n"/>
      <c r="N2793" s="44" t="inlineStr">
        <is>
          <t>UCor_9jRnNNZVzTuQ92PKsaQ</t>
        </is>
      </c>
      <c r="O2793" s="45" t="n">
        <v>42095.95069444444</v>
      </c>
      <c r="P2793" s="46" t="n">
        <v>42095</v>
      </c>
      <c r="Q2793" s="44" t="n">
        <v>479</v>
      </c>
      <c r="R2793" s="44" t="inlineStr">
        <is>
          <t>No Video ID yet</t>
        </is>
      </c>
      <c r="S2793" s="46" t="n"/>
      <c r="T2793" s="46" t="n"/>
      <c r="U2793" s="44" t="n"/>
      <c r="V2793" s="44">
        <f>IF(AND(P2793&gt;=Calendar!$K$2,P2793&lt;EDATE(Calendar!$K$2,1),OR(Calendar!$K$4="*",N2793=Calendar!$K$4)),P2793*100+COUNTIFS($P$6:$P$3271,P2793,$Q$6:$Q$3271,"&lt;="&amp;Q2793,$N$6:$N$3271,Calendar!$K$4),"")</f>
        <v/>
      </c>
      <c r="W2793" s="44">
        <f>IF(AND(B2793=Queue!$C$4,OR(Queue!$K$4="*",N2793=Queue!$K$4)),Q2793,"")</f>
        <v/>
      </c>
    </row>
    <row r="2794">
      <c r="A2794" s="35">
        <f>IF(M2794="","",HYPERLINK("https://www.youtube.com/watch?v="&amp;M2794,"▶"))</f>
        <v/>
      </c>
      <c r="B2794" s="36">
        <f>IF(C2794&lt;&gt;"",C2794,IF(P2794&lt;=IFERROR(INDEX(tblChannels[Watched Through],MATCH(N2794,tblChannels[Channel ID],0)),0),"Watched","Unwatched"))</f>
        <v/>
      </c>
      <c r="C2794" s="37" t="n"/>
      <c r="D2794" s="38" t="n"/>
      <c r="E2794" s="39" t="n">
        <v>42094.99930555555</v>
      </c>
      <c r="F2794" s="47" t="inlineStr">
        <is>
          <t>Super Carlin Brothers</t>
        </is>
      </c>
      <c r="G2794" t="inlineStr">
        <is>
          <t>ASK J! Princes, Bagels and Fried Calamari!</t>
        </is>
      </c>
      <c r="H2794" s="41" t="n">
        <v>0.004386574074074074</v>
      </c>
      <c r="I2794" s="42" t="n">
        <v>44254</v>
      </c>
      <c r="J2794" s="42" t="n">
        <v>1044</v>
      </c>
      <c r="K2794" s="42" t="n">
        <v>362</v>
      </c>
      <c r="L2794" s="43" t="n"/>
      <c r="M2794" s="44" t="n"/>
      <c r="N2794" s="44" t="inlineStr">
        <is>
          <t>UCKZo4N0lVPccBkSiuyVh4yg</t>
        </is>
      </c>
      <c r="O2794" s="45" t="n">
        <v>42095.16597222222</v>
      </c>
      <c r="P2794" s="46" t="n">
        <v>42094</v>
      </c>
      <c r="Q2794" s="44" t="n">
        <v>478</v>
      </c>
      <c r="R2794" s="44" t="inlineStr">
        <is>
          <t>No Video ID yet</t>
        </is>
      </c>
      <c r="S2794" s="46" t="n"/>
      <c r="T2794" s="46" t="n"/>
      <c r="U2794" s="44" t="n"/>
      <c r="V2794" s="44">
        <f>IF(AND(P2794&gt;=Calendar!$K$2,P2794&lt;EDATE(Calendar!$K$2,1),OR(Calendar!$K$4="*",N2794=Calendar!$K$4)),P2794*100+COUNTIFS($P$6:$P$3271,P2794,$Q$6:$Q$3271,"&lt;="&amp;Q2794,$N$6:$N$3271,Calendar!$K$4),"")</f>
        <v/>
      </c>
      <c r="W2794" s="44">
        <f>IF(AND(B2794=Queue!$C$4,OR(Queue!$K$4="*",N2794=Queue!$K$4)),Q2794,"")</f>
        <v/>
      </c>
    </row>
    <row r="2795">
      <c r="A2795" s="35">
        <f>IF(M2795="","",HYPERLINK("https://www.youtube.com/watch?v="&amp;M2795,"▶"))</f>
        <v/>
      </c>
      <c r="B2795" s="36">
        <f>IF(C2795&lt;&gt;"",C2795,IF(P2795&lt;=IFERROR(INDEX(tblChannels[Watched Through],MATCH(N2795,tblChannels[Channel ID],0)),0),"Watched","Unwatched"))</f>
        <v/>
      </c>
      <c r="C2795" s="37" t="n"/>
      <c r="D2795" s="38" t="n"/>
      <c r="E2795" s="39" t="n">
        <v>42093.58472222222</v>
      </c>
      <c r="F2795" s="49" t="inlineStr">
        <is>
          <t>Super Carlin Gaming</t>
        </is>
      </c>
      <c r="G2795" t="inlineStr">
        <is>
          <t>Pokemon HeartGold Nuzlocke #7 | Ilex Forrest</t>
        </is>
      </c>
      <c r="H2795" s="41" t="n">
        <v>0.01972222222222222</v>
      </c>
      <c r="I2795" s="42" t="n">
        <v>29766</v>
      </c>
      <c r="J2795" s="42" t="n">
        <v>516</v>
      </c>
      <c r="K2795" s="42" t="n">
        <v>81</v>
      </c>
      <c r="L2795" s="43" t="n"/>
      <c r="M2795" s="44" t="n"/>
      <c r="N2795" s="44" t="inlineStr">
        <is>
          <t>UCor_9jRnNNZVzTuQ92PKsaQ</t>
        </is>
      </c>
      <c r="O2795" s="45" t="n">
        <v>42093.75138888889</v>
      </c>
      <c r="P2795" s="46" t="n">
        <v>42093</v>
      </c>
      <c r="Q2795" s="44" t="n">
        <v>477</v>
      </c>
      <c r="R2795" s="44" t="inlineStr">
        <is>
          <t>No Video ID yet</t>
        </is>
      </c>
      <c r="S2795" s="46" t="n"/>
      <c r="T2795" s="46" t="n"/>
      <c r="U2795" s="44" t="n"/>
      <c r="V2795" s="44">
        <f>IF(AND(P2795&gt;=Calendar!$K$2,P2795&lt;EDATE(Calendar!$K$2,1),OR(Calendar!$K$4="*",N2795=Calendar!$K$4)),P2795*100+COUNTIFS($P$6:$P$3271,P2795,$Q$6:$Q$3271,"&lt;="&amp;Q2795,$N$6:$N$3271,Calendar!$K$4),"")</f>
        <v/>
      </c>
      <c r="W2795" s="44">
        <f>IF(AND(B2795=Queue!$C$4,OR(Queue!$K$4="*",N2795=Queue!$K$4)),Q2795,"")</f>
        <v/>
      </c>
    </row>
    <row r="2796">
      <c r="A2796" s="35">
        <f>IF(M2796="","",HYPERLINK("https://www.youtube.com/watch?v="&amp;M2796,"▶"))</f>
        <v/>
      </c>
      <c r="B2796" s="36">
        <f>IF(C2796&lt;&gt;"",C2796,IF(P2796&lt;=IFERROR(INDEX(tblChannels[Watched Through],MATCH(N2796,tblChannels[Channel ID],0)),0),"Watched","Unwatched"))</f>
        <v/>
      </c>
      <c r="C2796" s="37" t="n"/>
      <c r="D2796" s="38" t="n"/>
      <c r="E2796" s="39" t="n">
        <v>42092.45277777778</v>
      </c>
      <c r="F2796" s="49" t="inlineStr">
        <is>
          <t>Super Carlin Gaming</t>
        </is>
      </c>
      <c r="G2796" t="inlineStr">
        <is>
          <t>Pokemon HeartGold Nuzlocke #6 | Celery Attacks!</t>
        </is>
      </c>
      <c r="H2796" s="41" t="n">
        <v>0.01974537037037037</v>
      </c>
      <c r="I2796" s="42" t="n">
        <v>31952</v>
      </c>
      <c r="J2796" s="42" t="n">
        <v>655</v>
      </c>
      <c r="K2796" s="42" t="n">
        <v>77</v>
      </c>
      <c r="L2796" s="43" t="n"/>
      <c r="M2796" s="44" t="n"/>
      <c r="N2796" s="44" t="inlineStr">
        <is>
          <t>UCor_9jRnNNZVzTuQ92PKsaQ</t>
        </is>
      </c>
      <c r="O2796" s="45" t="n">
        <v>42092.61944444444</v>
      </c>
      <c r="P2796" s="46" t="n">
        <v>42092</v>
      </c>
      <c r="Q2796" s="44" t="n">
        <v>476</v>
      </c>
      <c r="R2796" s="44" t="inlineStr">
        <is>
          <t>No Video ID yet</t>
        </is>
      </c>
      <c r="S2796" s="46" t="n"/>
      <c r="T2796" s="46" t="n"/>
      <c r="U2796" s="44" t="n"/>
      <c r="V2796" s="44">
        <f>IF(AND(P2796&gt;=Calendar!$K$2,P2796&lt;EDATE(Calendar!$K$2,1),OR(Calendar!$K$4="*",N2796=Calendar!$K$4)),P2796*100+COUNTIFS($P$6:$P$3271,P2796,$Q$6:$Q$3271,"&lt;="&amp;Q2796,$N$6:$N$3271,Calendar!$K$4),"")</f>
        <v/>
      </c>
      <c r="W2796" s="44">
        <f>IF(AND(B2796=Queue!$C$4,OR(Queue!$K$4="*",N2796=Queue!$K$4)),Q2796,"")</f>
        <v/>
      </c>
    </row>
    <row r="2797">
      <c r="A2797" s="35">
        <f>IF(M2797="","",HYPERLINK("https://www.youtube.com/watch?v="&amp;M2797,"▶"))</f>
        <v/>
      </c>
      <c r="B2797" s="36">
        <f>IF(C2797&lt;&gt;"",C2797,IF(P2797&lt;=IFERROR(INDEX(tblChannels[Watched Through],MATCH(N2797,tblChannels[Channel ID],0)),0),"Watched","Unwatched"))</f>
        <v/>
      </c>
      <c r="C2797" s="37" t="n"/>
      <c r="D2797" s="38" t="n"/>
      <c r="E2797" s="39" t="n">
        <v>42089.92291666667</v>
      </c>
      <c r="F2797" s="47" t="inlineStr">
        <is>
          <t>Super Carlin Brothers</t>
        </is>
      </c>
      <c r="G2797" t="inlineStr">
        <is>
          <t>LOOT CRATE UNBOXING | COVERT</t>
        </is>
      </c>
      <c r="H2797" s="41" t="n">
        <v>0.005127314814814815</v>
      </c>
      <c r="I2797" s="42" t="n">
        <v>63087</v>
      </c>
      <c r="J2797" s="42" t="n">
        <v>1023</v>
      </c>
      <c r="K2797" s="42" t="n">
        <v>100</v>
      </c>
      <c r="L2797" s="43" t="n"/>
      <c r="M2797" s="44" t="n"/>
      <c r="N2797" s="44" t="inlineStr">
        <is>
          <t>UCKZo4N0lVPccBkSiuyVh4yg</t>
        </is>
      </c>
      <c r="O2797" s="45" t="n">
        <v>42090.08958333333</v>
      </c>
      <c r="P2797" s="46" t="n">
        <v>42089</v>
      </c>
      <c r="Q2797" s="44" t="n">
        <v>475</v>
      </c>
      <c r="R2797" s="44" t="inlineStr">
        <is>
          <t>No Video ID yet</t>
        </is>
      </c>
      <c r="S2797" s="46" t="n"/>
      <c r="T2797" s="46" t="n"/>
      <c r="U2797" s="44" t="n"/>
      <c r="V2797" s="44">
        <f>IF(AND(P2797&gt;=Calendar!$K$2,P2797&lt;EDATE(Calendar!$K$2,1),OR(Calendar!$K$4="*",N2797=Calendar!$K$4)),P2797*100+COUNTIFS($P$6:$P$3271,P2797,$Q$6:$Q$3271,"&lt;="&amp;Q2797,$N$6:$N$3271,Calendar!$K$4),"")</f>
        <v/>
      </c>
      <c r="W2797" s="44">
        <f>IF(AND(B2797=Queue!$C$4,OR(Queue!$K$4="*",N2797=Queue!$K$4)),Q2797,"")</f>
        <v/>
      </c>
    </row>
    <row r="2798">
      <c r="A2798" s="35">
        <f>IF(M2798="","",HYPERLINK("https://www.youtube.com/watch?v="&amp;M2798,"▶"))</f>
        <v/>
      </c>
      <c r="B2798" s="36">
        <f>IF(C2798&lt;&gt;"",C2798,IF(P2798&lt;=IFERROR(INDEX(tblChannels[Watched Through],MATCH(N2798,tblChannels[Channel ID],0)),0),"Watched","Unwatched"))</f>
        <v/>
      </c>
      <c r="C2798" s="37" t="n"/>
      <c r="D2798" s="38" t="n"/>
      <c r="E2798" s="39" t="n">
        <v>42087.97013888889</v>
      </c>
      <c r="F2798" s="47" t="inlineStr">
        <is>
          <t>Super Carlin Brothers</t>
        </is>
      </c>
      <c r="G2798" t="inlineStr">
        <is>
          <t>Does Coffee Google Autofill</t>
        </is>
      </c>
      <c r="H2798" s="41" t="n">
        <v>0.003703703703703704</v>
      </c>
      <c r="I2798" s="42" t="n">
        <v>234932</v>
      </c>
      <c r="J2798" s="42" t="n">
        <v>4146</v>
      </c>
      <c r="K2798" s="42" t="n">
        <v>865</v>
      </c>
      <c r="L2798" s="43" t="n"/>
      <c r="M2798" s="44" t="n"/>
      <c r="N2798" s="44" t="inlineStr">
        <is>
          <t>UCKZo4N0lVPccBkSiuyVh4yg</t>
        </is>
      </c>
      <c r="O2798" s="45" t="n">
        <v>42088.13680555556</v>
      </c>
      <c r="P2798" s="46" t="n">
        <v>42087</v>
      </c>
      <c r="Q2798" s="44" t="n">
        <v>474</v>
      </c>
      <c r="R2798" s="44" t="inlineStr">
        <is>
          <t>No Video ID yet</t>
        </is>
      </c>
      <c r="S2798" s="46" t="n"/>
      <c r="T2798" s="46" t="n"/>
      <c r="U2798" s="44" t="n"/>
      <c r="V2798" s="44">
        <f>IF(AND(P2798&gt;=Calendar!$K$2,P2798&lt;EDATE(Calendar!$K$2,1),OR(Calendar!$K$4="*",N2798=Calendar!$K$4)),P2798*100+COUNTIFS($P$6:$P$3271,P2798,$Q$6:$Q$3271,"&lt;="&amp;Q2798,$N$6:$N$3271,Calendar!$K$4),"")</f>
        <v/>
      </c>
      <c r="W2798" s="44">
        <f>IF(AND(B2798=Queue!$C$4,OR(Queue!$K$4="*",N2798=Queue!$K$4)),Q2798,"")</f>
        <v/>
      </c>
    </row>
    <row r="2799">
      <c r="A2799" s="35">
        <f>IF(M2799="","",HYPERLINK("https://www.youtube.com/watch?v="&amp;M2799,"▶"))</f>
        <v/>
      </c>
      <c r="B2799" s="36">
        <f>IF(C2799&lt;&gt;"",C2799,IF(P2799&lt;=IFERROR(INDEX(tblChannels[Watched Through],MATCH(N2799,tblChannels[Channel ID],0)),0),"Watched","Unwatched"))</f>
        <v/>
      </c>
      <c r="C2799" s="37" t="n"/>
      <c r="D2799" s="38" t="n"/>
      <c r="E2799" s="39" t="n">
        <v>42084.60555555556</v>
      </c>
      <c r="F2799" s="49" t="inlineStr">
        <is>
          <t>Super Carlin Gaming</t>
        </is>
      </c>
      <c r="G2799" t="inlineStr">
        <is>
          <t>Pac-Man Challenge #2</t>
        </is>
      </c>
      <c r="H2799" s="41" t="n">
        <v>0.007488425925925926</v>
      </c>
      <c r="I2799" s="42" t="n">
        <v>7017</v>
      </c>
      <c r="J2799" s="42" t="n">
        <v>293</v>
      </c>
      <c r="K2799" s="42" t="n">
        <v>20</v>
      </c>
      <c r="L2799" s="43" t="n"/>
      <c r="M2799" s="44" t="n"/>
      <c r="N2799" s="44" t="inlineStr">
        <is>
          <t>UCor_9jRnNNZVzTuQ92PKsaQ</t>
        </is>
      </c>
      <c r="O2799" s="45" t="n">
        <v>42084.77222222222</v>
      </c>
      <c r="P2799" s="46" t="n">
        <v>42084</v>
      </c>
      <c r="Q2799" s="44" t="n">
        <v>473</v>
      </c>
      <c r="R2799" s="44" t="inlineStr">
        <is>
          <t>No Video ID yet</t>
        </is>
      </c>
      <c r="S2799" s="46" t="n"/>
      <c r="T2799" s="46" t="n"/>
      <c r="U2799" s="44" t="n"/>
      <c r="V2799" s="44">
        <f>IF(AND(P2799&gt;=Calendar!$K$2,P2799&lt;EDATE(Calendar!$K$2,1),OR(Calendar!$K$4="*",N2799=Calendar!$K$4)),P2799*100+COUNTIFS($P$6:$P$3271,P2799,$Q$6:$Q$3271,"&lt;="&amp;Q2799,$N$6:$N$3271,Calendar!$K$4),"")</f>
        <v/>
      </c>
      <c r="W2799" s="44">
        <f>IF(AND(B2799=Queue!$C$4,OR(Queue!$K$4="*",N2799=Queue!$K$4)),Q2799,"")</f>
        <v/>
      </c>
    </row>
    <row r="2800">
      <c r="A2800" s="35">
        <f>IF(M2800="","",HYPERLINK("https://www.youtube.com/watch?v="&amp;M2800,"▶"))</f>
        <v/>
      </c>
      <c r="B2800" s="36">
        <f>IF(C2800&lt;&gt;"",C2800,IF(P2800&lt;=IFERROR(INDEX(tblChannels[Watched Through],MATCH(N2800,tblChannels[Channel ID],0)),0),"Watched","Unwatched"))</f>
        <v/>
      </c>
      <c r="C2800" s="37" t="n"/>
      <c r="D2800" s="38" t="n"/>
      <c r="E2800" s="39" t="n">
        <v>42082.96805555555</v>
      </c>
      <c r="F2800" s="47" t="inlineStr">
        <is>
          <t>Super Carlin Brothers</t>
        </is>
      </c>
      <c r="G2800" t="inlineStr">
        <is>
          <t>My Addiction and NEW T SHIRTS!!!</t>
        </is>
      </c>
      <c r="H2800" s="41" t="n">
        <v>0.003449074074074074</v>
      </c>
      <c r="I2800" s="42" t="n">
        <v>12147</v>
      </c>
      <c r="J2800" s="42" t="n">
        <v>365</v>
      </c>
      <c r="K2800" s="42" t="n">
        <v>56</v>
      </c>
      <c r="L2800" s="43" t="n"/>
      <c r="M2800" s="44" t="n"/>
      <c r="N2800" s="44" t="inlineStr">
        <is>
          <t>UCKZo4N0lVPccBkSiuyVh4yg</t>
        </is>
      </c>
      <c r="O2800" s="45" t="n">
        <v>42083.13472222222</v>
      </c>
      <c r="P2800" s="46" t="n">
        <v>42082</v>
      </c>
      <c r="Q2800" s="44" t="n">
        <v>472</v>
      </c>
      <c r="R2800" s="44" t="inlineStr">
        <is>
          <t>No Video ID yet</t>
        </is>
      </c>
      <c r="S2800" s="46" t="n"/>
      <c r="T2800" s="46" t="n"/>
      <c r="U2800" s="44" t="n"/>
      <c r="V2800" s="44">
        <f>IF(AND(P2800&gt;=Calendar!$K$2,P2800&lt;EDATE(Calendar!$K$2,1),OR(Calendar!$K$4="*",N2800=Calendar!$K$4)),P2800*100+COUNTIFS($P$6:$P$3271,P2800,$Q$6:$Q$3271,"&lt;="&amp;Q2800,$N$6:$N$3271,Calendar!$K$4),"")</f>
        <v/>
      </c>
      <c r="W2800" s="44">
        <f>IF(AND(B2800=Queue!$C$4,OR(Queue!$K$4="*",N2800=Queue!$K$4)),Q2800,"")</f>
        <v/>
      </c>
    </row>
    <row r="2801">
      <c r="A2801" s="35">
        <f>IF(M2801="","",HYPERLINK("https://www.youtube.com/watch?v="&amp;M2801,"▶"))</f>
        <v/>
      </c>
      <c r="B2801" s="36">
        <f>IF(C2801&lt;&gt;"",C2801,IF(P2801&lt;=IFERROR(INDEX(tblChannels[Watched Through],MATCH(N2801,tblChannels[Channel ID],0)),0),"Watched","Unwatched"))</f>
        <v/>
      </c>
      <c r="C2801" s="37" t="n"/>
      <c r="D2801" s="38" t="n"/>
      <c r="E2801" s="39" t="n">
        <v>42080.95902777778</v>
      </c>
      <c r="F2801" s="47" t="inlineStr">
        <is>
          <t>Super Carlin Brothers</t>
        </is>
      </c>
      <c r="G2801" t="inlineStr">
        <is>
          <t>WHAT'S BEHIND THE DOOR?!?</t>
        </is>
      </c>
      <c r="H2801" s="41" t="n">
        <v>0.004085648148148148</v>
      </c>
      <c r="I2801" s="42" t="n">
        <v>443204</v>
      </c>
      <c r="J2801" s="42" t="n">
        <v>8709</v>
      </c>
      <c r="K2801" s="42" t="n">
        <v>868</v>
      </c>
      <c r="L2801" s="43" t="n"/>
      <c r="M2801" s="44" t="n"/>
      <c r="N2801" s="44" t="inlineStr">
        <is>
          <t>UCKZo4N0lVPccBkSiuyVh4yg</t>
        </is>
      </c>
      <c r="O2801" s="45" t="n">
        <v>42081.12569444445</v>
      </c>
      <c r="P2801" s="46" t="n">
        <v>42080</v>
      </c>
      <c r="Q2801" s="44" t="n">
        <v>471</v>
      </c>
      <c r="R2801" s="44" t="inlineStr">
        <is>
          <t>No Video ID yet</t>
        </is>
      </c>
      <c r="S2801" s="46" t="n"/>
      <c r="T2801" s="46" t="n"/>
      <c r="U2801" s="44" t="n"/>
      <c r="V2801" s="44">
        <f>IF(AND(P2801&gt;=Calendar!$K$2,P2801&lt;EDATE(Calendar!$K$2,1),OR(Calendar!$K$4="*",N2801=Calendar!$K$4)),P2801*100+COUNTIFS($P$6:$P$3271,P2801,$Q$6:$Q$3271,"&lt;="&amp;Q2801,$N$6:$N$3271,Calendar!$K$4),"")</f>
        <v/>
      </c>
      <c r="W2801" s="44">
        <f>IF(AND(B2801=Queue!$C$4,OR(Queue!$K$4="*",N2801=Queue!$K$4)),Q2801,"")</f>
        <v/>
      </c>
    </row>
    <row r="2802">
      <c r="A2802" s="35">
        <f>IF(M2802="","",HYPERLINK("https://www.youtube.com/watch?v="&amp;M2802,"▶"))</f>
        <v/>
      </c>
      <c r="B2802" s="36">
        <f>IF(C2802&lt;&gt;"",C2802,IF(P2802&lt;=IFERROR(INDEX(tblChannels[Watched Through],MATCH(N2802,tblChannels[Channel ID],0)),0),"Watched","Unwatched"))</f>
        <v/>
      </c>
      <c r="C2802" s="37" t="n"/>
      <c r="D2802" s="38" t="n"/>
      <c r="E2802" s="39" t="n">
        <v>42075.92847222222</v>
      </c>
      <c r="F2802" s="47" t="inlineStr">
        <is>
          <t>Super Carlin Brothers</t>
        </is>
      </c>
      <c r="G2802" t="inlineStr">
        <is>
          <t>How Harry Ruined the Dursley's Lives</t>
        </is>
      </c>
      <c r="H2802" s="41" t="n">
        <v>0.003333333333333334</v>
      </c>
      <c r="I2802" s="42" t="n">
        <v>1108218</v>
      </c>
      <c r="J2802" s="42" t="n">
        <v>20283</v>
      </c>
      <c r="K2802" s="42" t="n">
        <v>4198</v>
      </c>
      <c r="L2802" s="43" t="n"/>
      <c r="M2802" s="44" t="n"/>
      <c r="N2802" s="44" t="inlineStr">
        <is>
          <t>UCKZo4N0lVPccBkSiuyVh4yg</t>
        </is>
      </c>
      <c r="O2802" s="45" t="n">
        <v>42076.09513888889</v>
      </c>
      <c r="P2802" s="46" t="n">
        <v>42075</v>
      </c>
      <c r="Q2802" s="44" t="n">
        <v>470</v>
      </c>
      <c r="R2802" s="44" t="inlineStr">
        <is>
          <t>No Video ID yet</t>
        </is>
      </c>
      <c r="S2802" s="46" t="n"/>
      <c r="T2802" s="46" t="n"/>
      <c r="U2802" s="44" t="n"/>
      <c r="V2802" s="44">
        <f>IF(AND(P2802&gt;=Calendar!$K$2,P2802&lt;EDATE(Calendar!$K$2,1),OR(Calendar!$K$4="*",N2802=Calendar!$K$4)),P2802*100+COUNTIFS($P$6:$P$3271,P2802,$Q$6:$Q$3271,"&lt;="&amp;Q2802,$N$6:$N$3271,Calendar!$K$4),"")</f>
        <v/>
      </c>
      <c r="W2802" s="44">
        <f>IF(AND(B2802=Queue!$C$4,OR(Queue!$K$4="*",N2802=Queue!$K$4)),Q2802,"")</f>
        <v/>
      </c>
    </row>
    <row r="2803">
      <c r="A2803" s="35">
        <f>IF(M2803="","",HYPERLINK("https://www.youtube.com/watch?v="&amp;M2803,"▶"))</f>
        <v/>
      </c>
      <c r="B2803" s="36">
        <f>IF(C2803&lt;&gt;"",C2803,IF(P2803&lt;=IFERROR(INDEX(tblChannels[Watched Through],MATCH(N2803,tblChannels[Channel ID],0)),0),"Watched","Unwatched"))</f>
        <v/>
      </c>
      <c r="C2803" s="37" t="n"/>
      <c r="D2803" s="38" t="n"/>
      <c r="E2803" s="39" t="n">
        <v>42073.83263888889</v>
      </c>
      <c r="F2803" s="47" t="inlineStr">
        <is>
          <t>Super Carlin Brothers</t>
        </is>
      </c>
      <c r="G2803" t="inlineStr">
        <is>
          <t>The Sorting Hat Makes No Sense!!!</t>
        </is>
      </c>
      <c r="H2803" s="41" t="n">
        <v>0.003912037037037037</v>
      </c>
      <c r="I2803" s="42" t="n">
        <v>2079003</v>
      </c>
      <c r="J2803" s="42" t="n">
        <v>36672</v>
      </c>
      <c r="K2803" s="42" t="n">
        <v>8956</v>
      </c>
      <c r="L2803" s="43" t="n"/>
      <c r="M2803" s="44" t="n"/>
      <c r="N2803" s="44" t="inlineStr">
        <is>
          <t>UCKZo4N0lVPccBkSiuyVh4yg</t>
        </is>
      </c>
      <c r="O2803" s="45" t="n">
        <v>42073.99930555555</v>
      </c>
      <c r="P2803" s="46" t="n">
        <v>42073</v>
      </c>
      <c r="Q2803" s="44" t="n">
        <v>469</v>
      </c>
      <c r="R2803" s="44" t="inlineStr">
        <is>
          <t>No Video ID yet</t>
        </is>
      </c>
      <c r="S2803" s="46" t="n"/>
      <c r="T2803" s="46" t="n"/>
      <c r="U2803" s="44" t="n"/>
      <c r="V2803" s="44">
        <f>IF(AND(P2803&gt;=Calendar!$K$2,P2803&lt;EDATE(Calendar!$K$2,1),OR(Calendar!$K$4="*",N2803=Calendar!$K$4)),P2803*100+COUNTIFS($P$6:$P$3271,P2803,$Q$6:$Q$3271,"&lt;="&amp;Q2803,$N$6:$N$3271,Calendar!$K$4),"")</f>
        <v/>
      </c>
      <c r="W2803" s="44">
        <f>IF(AND(B2803=Queue!$C$4,OR(Queue!$K$4="*",N2803=Queue!$K$4)),Q2803,"")</f>
        <v/>
      </c>
    </row>
    <row r="2804">
      <c r="A2804" s="35">
        <f>IF(M2804="","",HYPERLINK("https://www.youtube.com/watch?v="&amp;M2804,"▶"))</f>
        <v/>
      </c>
      <c r="B2804" s="36">
        <f>IF(C2804&lt;&gt;"",C2804,IF(P2804&lt;=IFERROR(INDEX(tblChannels[Watched Through],MATCH(N2804,tblChannels[Channel ID],0)),0),"Watched","Unwatched"))</f>
        <v/>
      </c>
      <c r="C2804" s="37" t="n"/>
      <c r="D2804" s="38" t="n"/>
      <c r="E2804" s="39" t="n">
        <v>42071.44236111111</v>
      </c>
      <c r="F2804" s="49" t="inlineStr">
        <is>
          <t>Super Carlin Gaming</t>
        </is>
      </c>
      <c r="G2804" t="inlineStr">
        <is>
          <t>Pokemon Heart Gold Nuzlocke  #5 | Fast Friends</t>
        </is>
      </c>
      <c r="H2804" s="41" t="n">
        <v>0.01868055555555555</v>
      </c>
      <c r="I2804" s="42" t="n">
        <v>35636</v>
      </c>
      <c r="J2804" s="42" t="n">
        <v>599</v>
      </c>
      <c r="K2804" s="42" t="n">
        <v>86</v>
      </c>
      <c r="L2804" s="43" t="n"/>
      <c r="M2804" s="44" t="n"/>
      <c r="N2804" s="44" t="inlineStr">
        <is>
          <t>UCor_9jRnNNZVzTuQ92PKsaQ</t>
        </is>
      </c>
      <c r="O2804" s="45" t="n">
        <v>42071.60902777778</v>
      </c>
      <c r="P2804" s="46" t="n">
        <v>42071</v>
      </c>
      <c r="Q2804" s="44" t="n">
        <v>468</v>
      </c>
      <c r="R2804" s="44" t="inlineStr">
        <is>
          <t>No Video ID yet</t>
        </is>
      </c>
      <c r="S2804" s="46" t="n"/>
      <c r="T2804" s="46" t="n"/>
      <c r="U2804" s="44" t="n"/>
      <c r="V2804" s="44">
        <f>IF(AND(P2804&gt;=Calendar!$K$2,P2804&lt;EDATE(Calendar!$K$2,1),OR(Calendar!$K$4="*",N2804=Calendar!$K$4)),P2804*100+COUNTIFS($P$6:$P$3271,P2804,$Q$6:$Q$3271,"&lt;="&amp;Q2804,$N$6:$N$3271,Calendar!$K$4),"")</f>
        <v/>
      </c>
      <c r="W2804" s="44">
        <f>IF(AND(B2804=Queue!$C$4,OR(Queue!$K$4="*",N2804=Queue!$K$4)),Q2804,"")</f>
        <v/>
      </c>
    </row>
    <row r="2805">
      <c r="A2805" s="35">
        <f>IF(M2805="","",HYPERLINK("https://www.youtube.com/watch?v="&amp;M2805,"▶"))</f>
        <v/>
      </c>
      <c r="B2805" s="36">
        <f>IF(C2805&lt;&gt;"",C2805,IF(P2805&lt;=IFERROR(INDEX(tblChannels[Watched Through],MATCH(N2805,tblChannels[Channel ID],0)),0),"Watched","Unwatched"))</f>
        <v/>
      </c>
      <c r="C2805" s="37" t="n"/>
      <c r="D2805" s="38" t="n"/>
      <c r="E2805" s="39" t="n">
        <v>42069.62361111111</v>
      </c>
      <c r="F2805" s="49" t="inlineStr">
        <is>
          <t>Super Carlin Gaming</t>
        </is>
      </c>
      <c r="G2805" t="inlineStr">
        <is>
          <t>Pac-Man Challenge #1</t>
        </is>
      </c>
      <c r="H2805" s="41" t="n">
        <v>0.007962962962962963</v>
      </c>
      <c r="I2805" s="42" t="n">
        <v>26615</v>
      </c>
      <c r="J2805" s="42" t="n">
        <v>503</v>
      </c>
      <c r="K2805" s="42" t="n">
        <v>71</v>
      </c>
      <c r="L2805" s="43" t="n"/>
      <c r="M2805" s="44" t="n"/>
      <c r="N2805" s="44" t="inlineStr">
        <is>
          <t>UCor_9jRnNNZVzTuQ92PKsaQ</t>
        </is>
      </c>
      <c r="O2805" s="45" t="n">
        <v>42069.83194444444</v>
      </c>
      <c r="P2805" s="46" t="n">
        <v>42069</v>
      </c>
      <c r="Q2805" s="44" t="n">
        <v>467</v>
      </c>
      <c r="R2805" s="44" t="inlineStr">
        <is>
          <t>No Video ID yet</t>
        </is>
      </c>
      <c r="S2805" s="46" t="n"/>
      <c r="T2805" s="46" t="n"/>
      <c r="U2805" s="44" t="n"/>
      <c r="V2805" s="44">
        <f>IF(AND(P2805&gt;=Calendar!$K$2,P2805&lt;EDATE(Calendar!$K$2,1),OR(Calendar!$K$4="*",N2805=Calendar!$K$4)),P2805*100+COUNTIFS($P$6:$P$3271,P2805,$Q$6:$Q$3271,"&lt;="&amp;Q2805,$N$6:$N$3271,Calendar!$K$4),"")</f>
        <v/>
      </c>
      <c r="W2805" s="44">
        <f>IF(AND(B2805=Queue!$C$4,OR(Queue!$K$4="*",N2805=Queue!$K$4)),Q2805,"")</f>
        <v/>
      </c>
    </row>
    <row r="2806">
      <c r="A2806" s="35">
        <f>IF(M2806="","",HYPERLINK("https://www.youtube.com/watch?v="&amp;M2806,"▶"))</f>
        <v/>
      </c>
      <c r="B2806" s="36">
        <f>IF(C2806&lt;&gt;"",C2806,IF(P2806&lt;=IFERROR(INDEX(tblChannels[Watched Through],MATCH(N2806,tblChannels[Channel ID],0)),0),"Watched","Unwatched"))</f>
        <v/>
      </c>
      <c r="C2806" s="37" t="n"/>
      <c r="D2806" s="38" t="n"/>
      <c r="E2806" s="39" t="n">
        <v>42068.94513888889</v>
      </c>
      <c r="F2806" s="47" t="inlineStr">
        <is>
          <t>Super Carlin Brothers</t>
        </is>
      </c>
      <c r="G2806" t="inlineStr">
        <is>
          <t>Online Shopping and Offline Dating</t>
        </is>
      </c>
      <c r="H2806" s="41" t="n">
        <v>0.003483796296296296</v>
      </c>
      <c r="I2806" s="42" t="n">
        <v>15018</v>
      </c>
      <c r="J2806" s="42" t="n">
        <v>455</v>
      </c>
      <c r="K2806" s="42" t="n">
        <v>86</v>
      </c>
      <c r="L2806" s="43" t="n"/>
      <c r="M2806" s="44" t="n"/>
      <c r="N2806" s="44" t="inlineStr">
        <is>
          <t>UCKZo4N0lVPccBkSiuyVh4yg</t>
        </is>
      </c>
      <c r="O2806" s="45" t="n">
        <v>42069.15347222222</v>
      </c>
      <c r="P2806" s="46" t="n">
        <v>42068</v>
      </c>
      <c r="Q2806" s="44" t="n">
        <v>466</v>
      </c>
      <c r="R2806" s="44" t="inlineStr">
        <is>
          <t>No Video ID yet</t>
        </is>
      </c>
      <c r="S2806" s="46" t="n"/>
      <c r="T2806" s="46" t="n"/>
      <c r="U2806" s="44" t="n"/>
      <c r="V2806" s="44">
        <f>IF(AND(P2806&gt;=Calendar!$K$2,P2806&lt;EDATE(Calendar!$K$2,1),OR(Calendar!$K$4="*",N2806=Calendar!$K$4)),P2806*100+COUNTIFS($P$6:$P$3271,P2806,$Q$6:$Q$3271,"&lt;="&amp;Q2806,$N$6:$N$3271,Calendar!$K$4),"")</f>
        <v/>
      </c>
      <c r="W2806" s="44">
        <f>IF(AND(B2806=Queue!$C$4,OR(Queue!$K$4="*",N2806=Queue!$K$4)),Q2806,"")</f>
        <v/>
      </c>
    </row>
    <row r="2807">
      <c r="A2807" s="35">
        <f>IF(M2807="","",HYPERLINK("https://www.youtube.com/watch?v="&amp;M2807,"▶"))</f>
        <v/>
      </c>
      <c r="B2807" s="36">
        <f>IF(C2807&lt;&gt;"",C2807,IF(P2807&lt;=IFERROR(INDEX(tblChannels[Watched Through],MATCH(N2807,tblChannels[Channel ID],0)),0),"Watched","Unwatched"))</f>
        <v/>
      </c>
      <c r="C2807" s="37" t="n"/>
      <c r="D2807" s="38" t="n"/>
      <c r="E2807" s="39" t="n">
        <v>42066.6875</v>
      </c>
      <c r="F2807" s="47" t="inlineStr">
        <is>
          <t>Super Carlin Brothers</t>
        </is>
      </c>
      <c r="G2807" t="inlineStr">
        <is>
          <t>LOOT CRATE UNBOXING | PLAY</t>
        </is>
      </c>
      <c r="H2807" s="41" t="n">
        <v>0.006099537037037037</v>
      </c>
      <c r="I2807" s="42" t="n">
        <v>75750</v>
      </c>
      <c r="J2807" s="42" t="n">
        <v>1217</v>
      </c>
      <c r="K2807" s="42" t="n">
        <v>196</v>
      </c>
      <c r="L2807" s="43" t="n"/>
      <c r="M2807" s="44" t="n"/>
      <c r="N2807" s="44" t="inlineStr">
        <is>
          <t>UCKZo4N0lVPccBkSiuyVh4yg</t>
        </is>
      </c>
      <c r="O2807" s="45" t="n">
        <v>42066.89583333334</v>
      </c>
      <c r="P2807" s="46" t="n">
        <v>42066</v>
      </c>
      <c r="Q2807" s="44" t="n">
        <v>465</v>
      </c>
      <c r="R2807" s="44" t="inlineStr">
        <is>
          <t>No Video ID yet</t>
        </is>
      </c>
      <c r="S2807" s="46" t="n"/>
      <c r="T2807" s="46" t="n"/>
      <c r="U2807" s="44" t="n"/>
      <c r="V2807" s="44">
        <f>IF(AND(P2807&gt;=Calendar!$K$2,P2807&lt;EDATE(Calendar!$K$2,1),OR(Calendar!$K$4="*",N2807=Calendar!$K$4)),P2807*100+COUNTIFS($P$6:$P$3271,P2807,$Q$6:$Q$3271,"&lt;="&amp;Q2807,$N$6:$N$3271,Calendar!$K$4),"")</f>
        <v/>
      </c>
      <c r="W2807" s="44">
        <f>IF(AND(B2807=Queue!$C$4,OR(Queue!$K$4="*",N2807=Queue!$K$4)),Q2807,"")</f>
        <v/>
      </c>
    </row>
    <row r="2808">
      <c r="A2808" s="35">
        <f>IF(M2808="","",HYPERLINK("https://www.youtube.com/watch?v="&amp;M2808,"▶"))</f>
        <v/>
      </c>
      <c r="B2808" s="36">
        <f>IF(C2808&lt;&gt;"",C2808,IF(P2808&lt;=IFERROR(INDEX(tblChannels[Watched Through],MATCH(N2808,tblChannels[Channel ID],0)),0),"Watched","Unwatched"))</f>
        <v/>
      </c>
      <c r="C2808" s="37" t="n"/>
      <c r="D2808" s="38" t="n"/>
      <c r="E2808" s="39" t="n">
        <v>42061.81666666667</v>
      </c>
      <c r="F2808" s="47" t="inlineStr">
        <is>
          <t>Super Carlin Brothers</t>
        </is>
      </c>
      <c r="G2808" t="inlineStr">
        <is>
          <t>Humble Grumble</t>
        </is>
      </c>
      <c r="H2808" s="41" t="n">
        <v>0.002789351851851852</v>
      </c>
      <c r="I2808" s="42" t="n">
        <v>12633</v>
      </c>
      <c r="J2808" s="42" t="n">
        <v>432</v>
      </c>
      <c r="K2808" s="42" t="n">
        <v>99</v>
      </c>
      <c r="L2808" s="43" t="n"/>
      <c r="M2808" s="44" t="n"/>
      <c r="N2808" s="44" t="inlineStr">
        <is>
          <t>UCKZo4N0lVPccBkSiuyVh4yg</t>
        </is>
      </c>
      <c r="O2808" s="45" t="n">
        <v>42062.025</v>
      </c>
      <c r="P2808" s="46" t="n">
        <v>42061</v>
      </c>
      <c r="Q2808" s="44" t="n">
        <v>464</v>
      </c>
      <c r="R2808" s="44" t="inlineStr">
        <is>
          <t>No Video ID yet</t>
        </is>
      </c>
      <c r="S2808" s="46" t="n"/>
      <c r="T2808" s="46" t="n"/>
      <c r="U2808" s="44" t="n"/>
      <c r="V2808" s="44">
        <f>IF(AND(P2808&gt;=Calendar!$K$2,P2808&lt;EDATE(Calendar!$K$2,1),OR(Calendar!$K$4="*",N2808=Calendar!$K$4)),P2808*100+COUNTIFS($P$6:$P$3271,P2808,$Q$6:$Q$3271,"&lt;="&amp;Q2808,$N$6:$N$3271,Calendar!$K$4),"")</f>
        <v/>
      </c>
      <c r="W2808" s="44">
        <f>IF(AND(B2808=Queue!$C$4,OR(Queue!$K$4="*",N2808=Queue!$K$4)),Q2808,"")</f>
        <v/>
      </c>
    </row>
    <row r="2809">
      <c r="A2809" s="35">
        <f>IF(M2809="","",HYPERLINK("https://www.youtube.com/watch?v="&amp;M2809,"▶"))</f>
        <v/>
      </c>
      <c r="B2809" s="36">
        <f>IF(C2809&lt;&gt;"",C2809,IF(P2809&lt;=IFERROR(INDEX(tblChannels[Watched Through],MATCH(N2809,tblChannels[Channel ID],0)),0),"Watched","Unwatched"))</f>
        <v/>
      </c>
      <c r="C2809" s="37" t="n"/>
      <c r="D2809" s="38" t="n"/>
      <c r="E2809" s="39" t="n">
        <v>42059.97361111111</v>
      </c>
      <c r="F2809" s="47" t="inlineStr">
        <is>
          <t>Super Carlin Brothers</t>
        </is>
      </c>
      <c r="G2809" t="inlineStr">
        <is>
          <t>WANNA GET LUNCH?!</t>
        </is>
      </c>
      <c r="H2809" s="41" t="n">
        <v>0.002881944444444444</v>
      </c>
      <c r="I2809" s="42" t="n">
        <v>36486</v>
      </c>
      <c r="J2809" s="42" t="n">
        <v>1111</v>
      </c>
      <c r="K2809" s="42" t="n">
        <v>163</v>
      </c>
      <c r="L2809" s="43" t="n"/>
      <c r="M2809" s="44" t="n"/>
      <c r="N2809" s="44" t="inlineStr">
        <is>
          <t>UCKZo4N0lVPccBkSiuyVh4yg</t>
        </is>
      </c>
      <c r="O2809" s="45" t="n">
        <v>42060.18194444444</v>
      </c>
      <c r="P2809" s="46" t="n">
        <v>42059</v>
      </c>
      <c r="Q2809" s="44" t="n">
        <v>463</v>
      </c>
      <c r="R2809" s="44" t="inlineStr">
        <is>
          <t>No Video ID yet</t>
        </is>
      </c>
      <c r="S2809" s="46" t="n"/>
      <c r="T2809" s="46" t="n"/>
      <c r="U2809" s="44" t="n"/>
      <c r="V2809" s="44">
        <f>IF(AND(P2809&gt;=Calendar!$K$2,P2809&lt;EDATE(Calendar!$K$2,1),OR(Calendar!$K$4="*",N2809=Calendar!$K$4)),P2809*100+COUNTIFS($P$6:$P$3271,P2809,$Q$6:$Q$3271,"&lt;="&amp;Q2809,$N$6:$N$3271,Calendar!$K$4),"")</f>
        <v/>
      </c>
      <c r="W2809" s="44">
        <f>IF(AND(B2809=Queue!$C$4,OR(Queue!$K$4="*",N2809=Queue!$K$4)),Q2809,"")</f>
        <v/>
      </c>
    </row>
    <row r="2810">
      <c r="A2810" s="35">
        <f>IF(M2810="","",HYPERLINK("https://www.youtube.com/watch?v="&amp;M2810,"▶"))</f>
        <v/>
      </c>
      <c r="B2810" s="36">
        <f>IF(C2810&lt;&gt;"",C2810,IF(P2810&lt;=IFERROR(INDEX(tblChannels[Watched Through],MATCH(N2810,tblChannels[Channel ID],0)),0),"Watched","Unwatched"))</f>
        <v/>
      </c>
      <c r="C2810" s="37" t="n"/>
      <c r="D2810" s="38" t="n"/>
      <c r="E2810" s="39" t="n">
        <v>42057.62708333333</v>
      </c>
      <c r="F2810" s="49" t="inlineStr">
        <is>
          <t>Super Carlin Gaming</t>
        </is>
      </c>
      <c r="G2810" t="inlineStr">
        <is>
          <t>Pokemon Heart Gold Nuzlocke #4 | A New Shock</t>
        </is>
      </c>
      <c r="H2810" s="41" t="n">
        <v>0.0228587962962963</v>
      </c>
      <c r="I2810" s="42" t="n">
        <v>40509</v>
      </c>
      <c r="J2810" s="42" t="n">
        <v>593</v>
      </c>
      <c r="K2810" s="42" t="n">
        <v>115</v>
      </c>
      <c r="L2810" s="43" t="n"/>
      <c r="M2810" s="44" t="n"/>
      <c r="N2810" s="44" t="inlineStr">
        <is>
          <t>UCor_9jRnNNZVzTuQ92PKsaQ</t>
        </is>
      </c>
      <c r="O2810" s="45" t="n">
        <v>42057.83541666667</v>
      </c>
      <c r="P2810" s="46" t="n">
        <v>42057</v>
      </c>
      <c r="Q2810" s="44" t="n">
        <v>462</v>
      </c>
      <c r="R2810" s="44" t="inlineStr">
        <is>
          <t>No Video ID yet</t>
        </is>
      </c>
      <c r="S2810" s="46" t="n"/>
      <c r="T2810" s="46" t="n"/>
      <c r="U2810" s="44" t="n"/>
      <c r="V2810" s="44">
        <f>IF(AND(P2810&gt;=Calendar!$K$2,P2810&lt;EDATE(Calendar!$K$2,1),OR(Calendar!$K$4="*",N2810=Calendar!$K$4)),P2810*100+COUNTIFS($P$6:$P$3271,P2810,$Q$6:$Q$3271,"&lt;="&amp;Q2810,$N$6:$N$3271,Calendar!$K$4),"")</f>
        <v/>
      </c>
      <c r="W2810" s="44">
        <f>IF(AND(B2810=Queue!$C$4,OR(Queue!$K$4="*",N2810=Queue!$K$4)),Q2810,"")</f>
        <v/>
      </c>
    </row>
    <row r="2811">
      <c r="A2811" s="35">
        <f>IF(M2811="","",HYPERLINK("https://www.youtube.com/watch?v="&amp;M2811,"▶"))</f>
        <v/>
      </c>
      <c r="B2811" s="36">
        <f>IF(C2811&lt;&gt;"",C2811,IF(P2811&lt;=IFERROR(INDEX(tblChannels[Watched Through],MATCH(N2811,tblChannels[Channel ID],0)),0),"Watched","Unwatched"))</f>
        <v/>
      </c>
      <c r="C2811" s="37" t="n"/>
      <c r="D2811" s="38" t="n"/>
      <c r="E2811" s="39" t="n">
        <v>42054.95833333334</v>
      </c>
      <c r="F2811" s="47" t="inlineStr">
        <is>
          <t>Super Carlin Brothers</t>
        </is>
      </c>
      <c r="G2811" t="inlineStr">
        <is>
          <t>The Foolish Beauty Pageant</t>
        </is>
      </c>
      <c r="H2811" s="41" t="n">
        <v>0.002951388888888889</v>
      </c>
      <c r="I2811" s="42" t="n">
        <v>13481</v>
      </c>
      <c r="J2811" s="42" t="n">
        <v>415</v>
      </c>
      <c r="K2811" s="42" t="n">
        <v>44</v>
      </c>
      <c r="L2811" s="43" t="n"/>
      <c r="M2811" s="44" t="n"/>
      <c r="N2811" s="44" t="inlineStr">
        <is>
          <t>UCKZo4N0lVPccBkSiuyVh4yg</t>
        </is>
      </c>
      <c r="O2811" s="45" t="n">
        <v>42055.16666666666</v>
      </c>
      <c r="P2811" s="46" t="n">
        <v>42054</v>
      </c>
      <c r="Q2811" s="44" t="n">
        <v>461</v>
      </c>
      <c r="R2811" s="44" t="inlineStr">
        <is>
          <t>No Video ID yet</t>
        </is>
      </c>
      <c r="S2811" s="46" t="n"/>
      <c r="T2811" s="46" t="n"/>
      <c r="U2811" s="44" t="n"/>
      <c r="V2811" s="44">
        <f>IF(AND(P2811&gt;=Calendar!$K$2,P2811&lt;EDATE(Calendar!$K$2,1),OR(Calendar!$K$4="*",N2811=Calendar!$K$4)),P2811*100+COUNTIFS($P$6:$P$3271,P2811,$Q$6:$Q$3271,"&lt;="&amp;Q2811,$N$6:$N$3271,Calendar!$K$4),"")</f>
        <v/>
      </c>
      <c r="W2811" s="44">
        <f>IF(AND(B2811=Queue!$C$4,OR(Queue!$K$4="*",N2811=Queue!$K$4)),Q2811,"")</f>
        <v/>
      </c>
    </row>
    <row r="2812">
      <c r="A2812" s="35">
        <f>IF(M2812="","",HYPERLINK("https://www.youtube.com/watch?v="&amp;M2812,"▶"))</f>
        <v/>
      </c>
      <c r="B2812" s="36">
        <f>IF(C2812&lt;&gt;"",C2812,IF(P2812&lt;=IFERROR(INDEX(tblChannels[Watched Through],MATCH(N2812,tblChannels[Channel ID],0)),0),"Watched","Unwatched"))</f>
        <v/>
      </c>
      <c r="C2812" s="37" t="n"/>
      <c r="D2812" s="38" t="n"/>
      <c r="E2812" s="39" t="n">
        <v>42052.77847222222</v>
      </c>
      <c r="F2812" s="47" t="inlineStr">
        <is>
          <t>Super Carlin Brothers</t>
        </is>
      </c>
      <c r="G2812" t="inlineStr">
        <is>
          <t>The Whisper Challenge with Beth!</t>
        </is>
      </c>
      <c r="H2812" s="41" t="n">
        <v>0.003888888888888889</v>
      </c>
      <c r="I2812" s="42" t="n">
        <v>81221</v>
      </c>
      <c r="J2812" s="42" t="n">
        <v>1792</v>
      </c>
      <c r="K2812" s="42" t="n">
        <v>448</v>
      </c>
      <c r="L2812" s="43" t="n"/>
      <c r="M2812" s="44" t="n"/>
      <c r="N2812" s="44" t="inlineStr">
        <is>
          <t>UCKZo4N0lVPccBkSiuyVh4yg</t>
        </is>
      </c>
      <c r="O2812" s="45" t="n">
        <v>42052.98680555556</v>
      </c>
      <c r="P2812" s="46" t="n">
        <v>42052</v>
      </c>
      <c r="Q2812" s="44" t="n">
        <v>460</v>
      </c>
      <c r="R2812" s="44" t="inlineStr">
        <is>
          <t>No Video ID yet</t>
        </is>
      </c>
      <c r="S2812" s="46" t="n"/>
      <c r="T2812" s="46" t="n"/>
      <c r="U2812" s="44" t="n"/>
      <c r="V2812" s="44">
        <f>IF(AND(P2812&gt;=Calendar!$K$2,P2812&lt;EDATE(Calendar!$K$2,1),OR(Calendar!$K$4="*",N2812=Calendar!$K$4)),P2812*100+COUNTIFS($P$6:$P$3271,P2812,$Q$6:$Q$3271,"&lt;="&amp;Q2812,$N$6:$N$3271,Calendar!$K$4),"")</f>
        <v/>
      </c>
      <c r="W2812" s="44">
        <f>IF(AND(B2812=Queue!$C$4,OR(Queue!$K$4="*",N2812=Queue!$K$4)),Q2812,"")</f>
        <v/>
      </c>
    </row>
    <row r="2813">
      <c r="A2813" s="35">
        <f>IF(M2813="","",HYPERLINK("https://www.youtube.com/watch?v="&amp;M2813,"▶"))</f>
        <v/>
      </c>
      <c r="B2813" s="36">
        <f>IF(C2813&lt;&gt;"",C2813,IF(P2813&lt;=IFERROR(INDEX(tblChannels[Watched Through],MATCH(N2813,tblChannels[Channel ID],0)),0),"Watched","Unwatched"))</f>
        <v/>
      </c>
      <c r="C2813" s="37" t="n"/>
      <c r="D2813" s="38" t="n"/>
      <c r="E2813" s="39" t="n">
        <v>42047.91180555556</v>
      </c>
      <c r="F2813" s="47" t="inlineStr">
        <is>
          <t>Super Carlin Brothers</t>
        </is>
      </c>
      <c r="G2813" t="inlineStr">
        <is>
          <t>The Viewer Interview</t>
        </is>
      </c>
      <c r="H2813" s="41" t="n">
        <v>0.002951388888888889</v>
      </c>
      <c r="I2813" s="42" t="n">
        <v>10107</v>
      </c>
      <c r="J2813" s="42" t="n">
        <v>345</v>
      </c>
      <c r="K2813" s="42" t="n">
        <v>131</v>
      </c>
      <c r="L2813" s="43" t="n"/>
      <c r="M2813" s="44" t="n"/>
      <c r="N2813" s="44" t="inlineStr">
        <is>
          <t>UCKZo4N0lVPccBkSiuyVh4yg</t>
        </is>
      </c>
      <c r="O2813" s="45" t="n">
        <v>42048.12013888889</v>
      </c>
      <c r="P2813" s="46" t="n">
        <v>42047</v>
      </c>
      <c r="Q2813" s="44" t="n">
        <v>459</v>
      </c>
      <c r="R2813" s="44" t="inlineStr">
        <is>
          <t>No Video ID yet</t>
        </is>
      </c>
      <c r="S2813" s="46" t="n"/>
      <c r="T2813" s="46" t="n"/>
      <c r="U2813" s="44" t="n"/>
      <c r="V2813" s="44">
        <f>IF(AND(P2813&gt;=Calendar!$K$2,P2813&lt;EDATE(Calendar!$K$2,1),OR(Calendar!$K$4="*",N2813=Calendar!$K$4)),P2813*100+COUNTIFS($P$6:$P$3271,P2813,$Q$6:$Q$3271,"&lt;="&amp;Q2813,$N$6:$N$3271,Calendar!$K$4),"")</f>
        <v/>
      </c>
      <c r="W2813" s="44">
        <f>IF(AND(B2813=Queue!$C$4,OR(Queue!$K$4="*",N2813=Queue!$K$4)),Q2813,"")</f>
        <v/>
      </c>
    </row>
    <row r="2814">
      <c r="A2814" s="35">
        <f>IF(M2814="","",HYPERLINK("https://www.youtube.com/watch?v="&amp;M2814,"▶"))</f>
        <v/>
      </c>
      <c r="B2814" s="36">
        <f>IF(C2814&lt;&gt;"",C2814,IF(P2814&lt;=IFERROR(INDEX(tblChannels[Watched Through],MATCH(N2814,tblChannels[Channel ID],0)),0),"Watched","Unwatched"))</f>
        <v/>
      </c>
      <c r="C2814" s="37" t="n"/>
      <c r="D2814" s="38" t="n"/>
      <c r="E2814" s="39" t="n">
        <v>42045.97569444445</v>
      </c>
      <c r="F2814" s="47" t="inlineStr">
        <is>
          <t>Super Carlin Brothers</t>
        </is>
      </c>
      <c r="G2814" t="inlineStr">
        <is>
          <t>Does Love Google Autofill</t>
        </is>
      </c>
      <c r="H2814" s="41" t="n">
        <v>0.004699074074074074</v>
      </c>
      <c r="I2814" s="42" t="n">
        <v>273344</v>
      </c>
      <c r="J2814" s="42" t="n">
        <v>5210</v>
      </c>
      <c r="K2814" s="42" t="n">
        <v>855</v>
      </c>
      <c r="L2814" s="43" t="n"/>
      <c r="M2814" s="44" t="n"/>
      <c r="N2814" s="44" t="inlineStr">
        <is>
          <t>UCKZo4N0lVPccBkSiuyVh4yg</t>
        </is>
      </c>
      <c r="O2814" s="45" t="n">
        <v>42046.18402777778</v>
      </c>
      <c r="P2814" s="46" t="n">
        <v>42045</v>
      </c>
      <c r="Q2814" s="44" t="n">
        <v>458</v>
      </c>
      <c r="R2814" s="44" t="inlineStr">
        <is>
          <t>No Video ID yet</t>
        </is>
      </c>
      <c r="S2814" s="46" t="n"/>
      <c r="T2814" s="46" t="n"/>
      <c r="U2814" s="44" t="n"/>
      <c r="V2814" s="44">
        <f>IF(AND(P2814&gt;=Calendar!$K$2,P2814&lt;EDATE(Calendar!$K$2,1),OR(Calendar!$K$4="*",N2814=Calendar!$K$4)),P2814*100+COUNTIFS($P$6:$P$3271,P2814,$Q$6:$Q$3271,"&lt;="&amp;Q2814,$N$6:$N$3271,Calendar!$K$4),"")</f>
        <v/>
      </c>
      <c r="W2814" s="44">
        <f>IF(AND(B2814=Queue!$C$4,OR(Queue!$K$4="*",N2814=Queue!$K$4)),Q2814,"")</f>
        <v/>
      </c>
    </row>
    <row r="2815">
      <c r="A2815" s="35">
        <f>IF(M2815="","",HYPERLINK("https://www.youtube.com/watch?v="&amp;M2815,"▶"))</f>
        <v/>
      </c>
      <c r="B2815" s="36">
        <f>IF(C2815&lt;&gt;"",C2815,IF(P2815&lt;=IFERROR(INDEX(tblChannels[Watched Through],MATCH(N2815,tblChannels[Channel ID],0)),0),"Watched","Unwatched"))</f>
        <v/>
      </c>
      <c r="C2815" s="37" t="n"/>
      <c r="D2815" s="38" t="n"/>
      <c r="E2815" s="39" t="n">
        <v>42041.42361111111</v>
      </c>
      <c r="F2815" s="47" t="inlineStr">
        <is>
          <t>Super Carlin Brothers</t>
        </is>
      </c>
      <c r="G2815" t="inlineStr">
        <is>
          <t>JUXTABROS - PLAYLIST LIVE - LIGHTNING ROUND!</t>
        </is>
      </c>
      <c r="H2815" s="41" t="n">
        <v>0.004351851851851852</v>
      </c>
      <c r="I2815" s="42" t="n">
        <v>10723</v>
      </c>
      <c r="J2815" s="42" t="n">
        <v>356</v>
      </c>
      <c r="K2815" s="42" t="n">
        <v>72</v>
      </c>
      <c r="L2815" s="43" t="n"/>
      <c r="M2815" s="44" t="n"/>
      <c r="N2815" s="44" t="inlineStr">
        <is>
          <t>UCKZo4N0lVPccBkSiuyVh4yg</t>
        </is>
      </c>
      <c r="O2815" s="45" t="n">
        <v>42041.63194444445</v>
      </c>
      <c r="P2815" s="46" t="n">
        <v>42041</v>
      </c>
      <c r="Q2815" s="44" t="n">
        <v>457</v>
      </c>
      <c r="R2815" s="44" t="inlineStr">
        <is>
          <t>No Video ID yet</t>
        </is>
      </c>
      <c r="S2815" s="46" t="n"/>
      <c r="T2815" s="46" t="n"/>
      <c r="U2815" s="44" t="n"/>
      <c r="V2815" s="44">
        <f>IF(AND(P2815&gt;=Calendar!$K$2,P2815&lt;EDATE(Calendar!$K$2,1),OR(Calendar!$K$4="*",N2815=Calendar!$K$4)),P2815*100+COUNTIFS($P$6:$P$3271,P2815,$Q$6:$Q$3271,"&lt;="&amp;Q2815,$N$6:$N$3271,Calendar!$K$4),"")</f>
        <v/>
      </c>
      <c r="W2815" s="44">
        <f>IF(AND(B2815=Queue!$C$4,OR(Queue!$K$4="*",N2815=Queue!$K$4)),Q2815,"")</f>
        <v/>
      </c>
    </row>
    <row r="2816">
      <c r="A2816" s="35">
        <f>IF(M2816="","",HYPERLINK("https://www.youtube.com/watch?v="&amp;M2816,"▶"))</f>
        <v/>
      </c>
      <c r="B2816" s="36">
        <f>IF(C2816&lt;&gt;"",C2816,IF(P2816&lt;=IFERROR(INDEX(tblChannels[Watched Through],MATCH(N2816,tblChannels[Channel ID],0)),0),"Watched","Unwatched"))</f>
        <v/>
      </c>
      <c r="C2816" s="37" t="n"/>
      <c r="D2816" s="38" t="n"/>
      <c r="E2816" s="39" t="n">
        <v>42038.75277777778</v>
      </c>
      <c r="F2816" s="47" t="inlineStr">
        <is>
          <t>Super Carlin Brothers</t>
        </is>
      </c>
      <c r="G2816" t="inlineStr">
        <is>
          <t>Is Pixar Sexist? (feat. Ashley Mardell)</t>
        </is>
      </c>
      <c r="H2816" s="41" t="n">
        <v>0.005381944444444444</v>
      </c>
      <c r="I2816" s="42" t="n">
        <v>3001551</v>
      </c>
      <c r="J2816" s="42" t="n">
        <v>41875</v>
      </c>
      <c r="K2816" s="42" t="n">
        <v>8529</v>
      </c>
      <c r="L2816" s="43" t="n"/>
      <c r="M2816" s="44" t="n"/>
      <c r="N2816" s="44" t="inlineStr">
        <is>
          <t>UCKZo4N0lVPccBkSiuyVh4yg</t>
        </is>
      </c>
      <c r="O2816" s="45" t="n">
        <v>42038.96111111111</v>
      </c>
      <c r="P2816" s="46" t="n">
        <v>42038</v>
      </c>
      <c r="Q2816" s="44" t="n">
        <v>456</v>
      </c>
      <c r="R2816" s="44" t="inlineStr">
        <is>
          <t>No Video ID yet</t>
        </is>
      </c>
      <c r="S2816" s="46" t="n"/>
      <c r="T2816" s="46" t="n"/>
      <c r="U2816" s="44" t="n"/>
      <c r="V2816" s="44">
        <f>IF(AND(P2816&gt;=Calendar!$K$2,P2816&lt;EDATE(Calendar!$K$2,1),OR(Calendar!$K$4="*",N2816=Calendar!$K$4)),P2816*100+COUNTIFS($P$6:$P$3271,P2816,$Q$6:$Q$3271,"&lt;="&amp;Q2816,$N$6:$N$3271,Calendar!$K$4),"")</f>
        <v/>
      </c>
      <c r="W2816" s="44">
        <f>IF(AND(B2816=Queue!$C$4,OR(Queue!$K$4="*",N2816=Queue!$K$4)),Q2816,"")</f>
        <v/>
      </c>
    </row>
    <row r="2817">
      <c r="A2817" s="35">
        <f>IF(M2817="","",HYPERLINK("https://www.youtube.com/watch?v="&amp;M2817,"▶"))</f>
        <v/>
      </c>
      <c r="B2817" s="36">
        <f>IF(C2817&lt;&gt;"",C2817,IF(P2817&lt;=IFERROR(INDEX(tblChannels[Watched Through],MATCH(N2817,tblChannels[Channel ID],0)),0),"Watched","Unwatched"))</f>
        <v/>
      </c>
      <c r="C2817" s="37" t="n"/>
      <c r="D2817" s="38" t="n"/>
      <c r="E2817" s="39" t="n">
        <v>42033.88194444445</v>
      </c>
      <c r="F2817" s="47" t="inlineStr">
        <is>
          <t>Super Carlin Brothers</t>
        </is>
      </c>
      <c r="G2817" t="inlineStr">
        <is>
          <t>Best Day of Your Life</t>
        </is>
      </c>
      <c r="H2817" s="41" t="n">
        <v>0.003622685185185185</v>
      </c>
      <c r="I2817" s="42" t="n">
        <v>10645</v>
      </c>
      <c r="J2817" s="42" t="n">
        <v>387</v>
      </c>
      <c r="K2817" s="42" t="n">
        <v>68</v>
      </c>
      <c r="L2817" s="43" t="n"/>
      <c r="M2817" s="44" t="n"/>
      <c r="N2817" s="44" t="inlineStr">
        <is>
          <t>UCKZo4N0lVPccBkSiuyVh4yg</t>
        </is>
      </c>
      <c r="O2817" s="45" t="n">
        <v>42034.09027777778</v>
      </c>
      <c r="P2817" s="46" t="n">
        <v>42033</v>
      </c>
      <c r="Q2817" s="44" t="n">
        <v>455</v>
      </c>
      <c r="R2817" s="44" t="inlineStr">
        <is>
          <t>No Video ID yet</t>
        </is>
      </c>
      <c r="S2817" s="46" t="n"/>
      <c r="T2817" s="46" t="n"/>
      <c r="U2817" s="44" t="n"/>
      <c r="V2817" s="44">
        <f>IF(AND(P2817&gt;=Calendar!$K$2,P2817&lt;EDATE(Calendar!$K$2,1),OR(Calendar!$K$4="*",N2817=Calendar!$K$4)),P2817*100+COUNTIFS($P$6:$P$3271,P2817,$Q$6:$Q$3271,"&lt;="&amp;Q2817,$N$6:$N$3271,Calendar!$K$4),"")</f>
        <v/>
      </c>
      <c r="W2817" s="44">
        <f>IF(AND(B2817=Queue!$C$4,OR(Queue!$K$4="*",N2817=Queue!$K$4)),Q2817,"")</f>
        <v/>
      </c>
    </row>
    <row r="2818">
      <c r="A2818" s="35">
        <f>IF(M2818="","",HYPERLINK("https://www.youtube.com/watch?v="&amp;M2818,"▶"))</f>
        <v/>
      </c>
      <c r="B2818" s="36">
        <f>IF(C2818&lt;&gt;"",C2818,IF(P2818&lt;=IFERROR(INDEX(tblChannels[Watched Through],MATCH(N2818,tblChannels[Channel ID],0)),0),"Watched","Unwatched"))</f>
        <v/>
      </c>
      <c r="C2818" s="37" t="n"/>
      <c r="D2818" s="38" t="n"/>
      <c r="E2818" s="39" t="n">
        <v>42033.31875</v>
      </c>
      <c r="F2818" s="49" t="inlineStr">
        <is>
          <t>Super Carlin Gaming</t>
        </is>
      </c>
      <c r="G2818" t="inlineStr">
        <is>
          <t>Pokemon Heart Gold Nuzlocke  #3 | The First Test</t>
        </is>
      </c>
      <c r="H2818" s="41" t="n">
        <v>0.0178587962962963</v>
      </c>
      <c r="I2818" s="42" t="n">
        <v>41043</v>
      </c>
      <c r="J2818" s="42" t="n">
        <v>628</v>
      </c>
      <c r="K2818" s="42" t="n">
        <v>140</v>
      </c>
      <c r="L2818" s="43" t="n"/>
      <c r="M2818" s="44" t="n"/>
      <c r="N2818" s="44" t="inlineStr">
        <is>
          <t>UCor_9jRnNNZVzTuQ92PKsaQ</t>
        </is>
      </c>
      <c r="O2818" s="45" t="n">
        <v>42033.52708333333</v>
      </c>
      <c r="P2818" s="46" t="n">
        <v>42033</v>
      </c>
      <c r="Q2818" s="44" t="n">
        <v>454</v>
      </c>
      <c r="R2818" s="44" t="inlineStr">
        <is>
          <t>No Video ID yet</t>
        </is>
      </c>
      <c r="S2818" s="46" t="n"/>
      <c r="T2818" s="46" t="n"/>
      <c r="U2818" s="44" t="n"/>
      <c r="V2818" s="44">
        <f>IF(AND(P2818&gt;=Calendar!$K$2,P2818&lt;EDATE(Calendar!$K$2,1),OR(Calendar!$K$4="*",N2818=Calendar!$K$4)),P2818*100+COUNTIFS($P$6:$P$3271,P2818,$Q$6:$Q$3271,"&lt;="&amp;Q2818,$N$6:$N$3271,Calendar!$K$4),"")</f>
        <v/>
      </c>
      <c r="W2818" s="44">
        <f>IF(AND(B2818=Queue!$C$4,OR(Queue!$K$4="*",N2818=Queue!$K$4)),Q2818,"")</f>
        <v/>
      </c>
    </row>
    <row r="2819">
      <c r="A2819" s="35">
        <f>IF(M2819="","",HYPERLINK("https://www.youtube.com/watch?v="&amp;M2819,"▶"))</f>
        <v/>
      </c>
      <c r="B2819" s="36">
        <f>IF(C2819&lt;&gt;"",C2819,IF(P2819&lt;=IFERROR(INDEX(tblChannels[Watched Through],MATCH(N2819,tblChannels[Channel ID],0)),0),"Watched","Unwatched"))</f>
        <v/>
      </c>
      <c r="C2819" s="37" t="n"/>
      <c r="D2819" s="38" t="n"/>
      <c r="E2819" s="39" t="n">
        <v>42031.94652777778</v>
      </c>
      <c r="F2819" s="47" t="inlineStr">
        <is>
          <t>Super Carlin Brothers</t>
        </is>
      </c>
      <c r="G2819" t="inlineStr">
        <is>
          <t>Save Trees, Use Paper</t>
        </is>
      </c>
      <c r="H2819" s="41" t="n">
        <v>0.003043981481481481</v>
      </c>
      <c r="I2819" s="42" t="n">
        <v>129333</v>
      </c>
      <c r="J2819" s="42" t="n">
        <v>2831</v>
      </c>
      <c r="K2819" s="42" t="n">
        <v>232</v>
      </c>
      <c r="L2819" s="43" t="n"/>
      <c r="M2819" s="44" t="n"/>
      <c r="N2819" s="44" t="inlineStr">
        <is>
          <t>UCKZo4N0lVPccBkSiuyVh4yg</t>
        </is>
      </c>
      <c r="O2819" s="45" t="n">
        <v>42032.15486111111</v>
      </c>
      <c r="P2819" s="46" t="n">
        <v>42031</v>
      </c>
      <c r="Q2819" s="44" t="n">
        <v>453</v>
      </c>
      <c r="R2819" s="44" t="inlineStr">
        <is>
          <t>No Video ID yet</t>
        </is>
      </c>
      <c r="S2819" s="46" t="n"/>
      <c r="T2819" s="46" t="n"/>
      <c r="U2819" s="44" t="n"/>
      <c r="V2819" s="44">
        <f>IF(AND(P2819&gt;=Calendar!$K$2,P2819&lt;EDATE(Calendar!$K$2,1),OR(Calendar!$K$4="*",N2819=Calendar!$K$4)),P2819*100+COUNTIFS($P$6:$P$3271,P2819,$Q$6:$Q$3271,"&lt;="&amp;Q2819,$N$6:$N$3271,Calendar!$K$4),"")</f>
        <v/>
      </c>
      <c r="W2819" s="44">
        <f>IF(AND(B2819=Queue!$C$4,OR(Queue!$K$4="*",N2819=Queue!$K$4)),Q2819,"")</f>
        <v/>
      </c>
    </row>
    <row r="2820">
      <c r="A2820" s="35">
        <f>IF(M2820="","",HYPERLINK("https://www.youtube.com/watch?v="&amp;M2820,"▶"))</f>
        <v/>
      </c>
      <c r="B2820" s="36">
        <f>IF(C2820&lt;&gt;"",C2820,IF(P2820&lt;=IFERROR(INDEX(tblChannels[Watched Through],MATCH(N2820,tblChannels[Channel ID],0)),0),"Watched","Unwatched"))</f>
        <v/>
      </c>
      <c r="C2820" s="37" t="n"/>
      <c r="D2820" s="38" t="n"/>
      <c r="E2820" s="39" t="n">
        <v>42029.67847222222</v>
      </c>
      <c r="F2820" s="49" t="inlineStr">
        <is>
          <t>Super Carlin Gaming</t>
        </is>
      </c>
      <c r="G2820" t="inlineStr">
        <is>
          <t>Pokemon Heart Gold Nuzlocke #2 | New Friends!</t>
        </is>
      </c>
      <c r="H2820" s="41" t="n">
        <v>0.01980324074074074</v>
      </c>
      <c r="I2820" s="42" t="n">
        <v>48065</v>
      </c>
      <c r="J2820" s="42" t="n">
        <v>669</v>
      </c>
      <c r="K2820" s="42" t="n">
        <v>133</v>
      </c>
      <c r="L2820" s="43" t="n"/>
      <c r="M2820" s="44" t="n"/>
      <c r="N2820" s="44" t="inlineStr">
        <is>
          <t>UCor_9jRnNNZVzTuQ92PKsaQ</t>
        </is>
      </c>
      <c r="O2820" s="45" t="n">
        <v>42029.88680555556</v>
      </c>
      <c r="P2820" s="46" t="n">
        <v>42029</v>
      </c>
      <c r="Q2820" s="44" t="n">
        <v>452</v>
      </c>
      <c r="R2820" s="44" t="inlineStr">
        <is>
          <t>No Video ID yet</t>
        </is>
      </c>
      <c r="S2820" s="46" t="n"/>
      <c r="T2820" s="46" t="n"/>
      <c r="U2820" s="44" t="n"/>
      <c r="V2820" s="44">
        <f>IF(AND(P2820&gt;=Calendar!$K$2,P2820&lt;EDATE(Calendar!$K$2,1),OR(Calendar!$K$4="*",N2820=Calendar!$K$4)),P2820*100+COUNTIFS($P$6:$P$3271,P2820,$Q$6:$Q$3271,"&lt;="&amp;Q2820,$N$6:$N$3271,Calendar!$K$4),"")</f>
        <v/>
      </c>
      <c r="W2820" s="44">
        <f>IF(AND(B2820=Queue!$C$4,OR(Queue!$K$4="*",N2820=Queue!$K$4)),Q2820,"")</f>
        <v/>
      </c>
    </row>
    <row r="2821">
      <c r="A2821" s="35">
        <f>IF(M2821="","",HYPERLINK("https://www.youtube.com/watch?v="&amp;M2821,"▶"))</f>
        <v/>
      </c>
      <c r="B2821" s="36">
        <f>IF(C2821&lt;&gt;"",C2821,IF(P2821&lt;=IFERROR(INDEX(tblChannels[Watched Through],MATCH(N2821,tblChannels[Channel ID],0)),0),"Watched","Unwatched"))</f>
        <v/>
      </c>
      <c r="C2821" s="37" t="n"/>
      <c r="D2821" s="38" t="n"/>
      <c r="E2821" s="39" t="n">
        <v>42028.36875</v>
      </c>
      <c r="F2821" s="49" t="inlineStr">
        <is>
          <t>Super Carlin Gaming</t>
        </is>
      </c>
      <c r="G2821" t="inlineStr">
        <is>
          <t>Pokemon Heart Gold Nuzlocke #1 | A New Journey!</t>
        </is>
      </c>
      <c r="H2821" s="41" t="n">
        <v>0.0225462962962963</v>
      </c>
      <c r="I2821" s="42" t="n">
        <v>118530</v>
      </c>
      <c r="J2821" s="42" t="n">
        <v>1448</v>
      </c>
      <c r="K2821" s="42" t="n">
        <v>268</v>
      </c>
      <c r="L2821" s="43" t="n"/>
      <c r="M2821" s="44" t="n"/>
      <c r="N2821" s="44" t="inlineStr">
        <is>
          <t>UCor_9jRnNNZVzTuQ92PKsaQ</t>
        </is>
      </c>
      <c r="O2821" s="45" t="n">
        <v>42028.57708333333</v>
      </c>
      <c r="P2821" s="46" t="n">
        <v>42028</v>
      </c>
      <c r="Q2821" s="44" t="n">
        <v>451</v>
      </c>
      <c r="R2821" s="44" t="inlineStr">
        <is>
          <t>No Video ID yet</t>
        </is>
      </c>
      <c r="S2821" s="46" t="n"/>
      <c r="T2821" s="46" t="n"/>
      <c r="U2821" s="44" t="n"/>
      <c r="V2821" s="44">
        <f>IF(AND(P2821&gt;=Calendar!$K$2,P2821&lt;EDATE(Calendar!$K$2,1),OR(Calendar!$K$4="*",N2821=Calendar!$K$4)),P2821*100+COUNTIFS($P$6:$P$3271,P2821,$Q$6:$Q$3271,"&lt;="&amp;Q2821,$N$6:$N$3271,Calendar!$K$4),"")</f>
        <v/>
      </c>
      <c r="W2821" s="44">
        <f>IF(AND(B2821=Queue!$C$4,OR(Queue!$K$4="*",N2821=Queue!$K$4)),Q2821,"")</f>
        <v/>
      </c>
    </row>
    <row r="2822">
      <c r="A2822" s="35">
        <f>IF(M2822="","",HYPERLINK("https://www.youtube.com/watch?v="&amp;M2822,"▶"))</f>
        <v/>
      </c>
      <c r="B2822" s="36">
        <f>IF(C2822&lt;&gt;"",C2822,IF(P2822&lt;=IFERROR(INDEX(tblChannels[Watched Through],MATCH(N2822,tblChannels[Channel ID],0)),0),"Watched","Unwatched"))</f>
        <v/>
      </c>
      <c r="C2822" s="37" t="n"/>
      <c r="D2822" s="38" t="n"/>
      <c r="E2822" s="39" t="n">
        <v>42026.92222222222</v>
      </c>
      <c r="F2822" s="47" t="inlineStr">
        <is>
          <t>Super Carlin Brothers</t>
        </is>
      </c>
      <c r="G2822" t="inlineStr">
        <is>
          <t>The Royal They</t>
        </is>
      </c>
      <c r="H2822" s="41" t="n">
        <v>0.002708333333333333</v>
      </c>
      <c r="I2822" s="42" t="n">
        <v>14043</v>
      </c>
      <c r="J2822" s="42" t="n">
        <v>411</v>
      </c>
      <c r="K2822" s="42" t="n">
        <v>62</v>
      </c>
      <c r="L2822" s="43" t="n"/>
      <c r="M2822" s="44" t="n"/>
      <c r="N2822" s="44" t="inlineStr">
        <is>
          <t>UCKZo4N0lVPccBkSiuyVh4yg</t>
        </is>
      </c>
      <c r="O2822" s="45" t="n">
        <v>42027.13055555556</v>
      </c>
      <c r="P2822" s="46" t="n">
        <v>42026</v>
      </c>
      <c r="Q2822" s="44" t="n">
        <v>450</v>
      </c>
      <c r="R2822" s="44" t="inlineStr">
        <is>
          <t>No Video ID yet</t>
        </is>
      </c>
      <c r="S2822" s="46" t="n"/>
      <c r="T2822" s="46" t="n"/>
      <c r="U2822" s="44" t="n"/>
      <c r="V2822" s="44">
        <f>IF(AND(P2822&gt;=Calendar!$K$2,P2822&lt;EDATE(Calendar!$K$2,1),OR(Calendar!$K$4="*",N2822=Calendar!$K$4)),P2822*100+COUNTIFS($P$6:$P$3271,P2822,$Q$6:$Q$3271,"&lt;="&amp;Q2822,$N$6:$N$3271,Calendar!$K$4),"")</f>
        <v/>
      </c>
      <c r="W2822" s="44">
        <f>IF(AND(B2822=Queue!$C$4,OR(Queue!$K$4="*",N2822=Queue!$K$4)),Q2822,"")</f>
        <v/>
      </c>
    </row>
    <row r="2823">
      <c r="A2823" s="35">
        <f>IF(M2823="","",HYPERLINK("https://www.youtube.com/watch?v="&amp;M2823,"▶"))</f>
        <v/>
      </c>
      <c r="B2823" s="36">
        <f>IF(C2823&lt;&gt;"",C2823,IF(P2823&lt;=IFERROR(INDEX(tblChannels[Watched Through],MATCH(N2823,tblChannels[Channel ID],0)),0),"Watched","Unwatched"))</f>
        <v/>
      </c>
      <c r="C2823" s="37" t="n"/>
      <c r="D2823" s="38" t="n"/>
      <c r="E2823" s="39" t="n">
        <v>42024.94166666667</v>
      </c>
      <c r="F2823" s="47" t="inlineStr">
        <is>
          <t>Super Carlin Brothers</t>
        </is>
      </c>
      <c r="G2823" t="inlineStr">
        <is>
          <t>Loot Crate Unboxing | REWIND</t>
        </is>
      </c>
      <c r="H2823" s="41" t="n">
        <v>0.005138888888888889</v>
      </c>
      <c r="I2823" s="42" t="n">
        <v>69231</v>
      </c>
      <c r="J2823" s="42" t="n">
        <v>1192</v>
      </c>
      <c r="K2823" s="42" t="n">
        <v>233</v>
      </c>
      <c r="L2823" s="43" t="n"/>
      <c r="M2823" s="44" t="n"/>
      <c r="N2823" s="44" t="inlineStr">
        <is>
          <t>UCKZo4N0lVPccBkSiuyVh4yg</t>
        </is>
      </c>
      <c r="O2823" s="45" t="n">
        <v>42025.15</v>
      </c>
      <c r="P2823" s="46" t="n">
        <v>42024</v>
      </c>
      <c r="Q2823" s="44" t="n">
        <v>449</v>
      </c>
      <c r="R2823" s="44" t="inlineStr">
        <is>
          <t>No Video ID yet</t>
        </is>
      </c>
      <c r="S2823" s="46" t="n"/>
      <c r="T2823" s="46" t="n"/>
      <c r="U2823" s="44" t="n"/>
      <c r="V2823" s="44">
        <f>IF(AND(P2823&gt;=Calendar!$K$2,P2823&lt;EDATE(Calendar!$K$2,1),OR(Calendar!$K$4="*",N2823=Calendar!$K$4)),P2823*100+COUNTIFS($P$6:$P$3271,P2823,$Q$6:$Q$3271,"&lt;="&amp;Q2823,$N$6:$N$3271,Calendar!$K$4),"")</f>
        <v/>
      </c>
      <c r="W2823" s="44">
        <f>IF(AND(B2823=Queue!$C$4,OR(Queue!$K$4="*",N2823=Queue!$K$4)),Q2823,"")</f>
        <v/>
      </c>
    </row>
    <row r="2824">
      <c r="A2824" s="35">
        <f>IF(M2824="","",HYPERLINK("https://www.youtube.com/watch?v="&amp;M2824,"▶"))</f>
        <v/>
      </c>
      <c r="B2824" s="36">
        <f>IF(C2824&lt;&gt;"",C2824,IF(P2824&lt;=IFERROR(INDEX(tblChannels[Watched Through],MATCH(N2824,tblChannels[Channel ID],0)),0),"Watched","Unwatched"))</f>
        <v/>
      </c>
      <c r="C2824" s="37" t="n"/>
      <c r="D2824" s="38" t="n"/>
      <c r="E2824" s="39" t="n">
        <v>42019.97013888889</v>
      </c>
      <c r="F2824" s="47" t="inlineStr">
        <is>
          <t>Super Carlin Brothers</t>
        </is>
      </c>
      <c r="G2824" t="inlineStr">
        <is>
          <t>I Need Advice on Google Autofill</t>
        </is>
      </c>
      <c r="H2824" s="41" t="n">
        <v>0.004756944444444445</v>
      </c>
      <c r="I2824" s="42" t="n">
        <v>75833</v>
      </c>
      <c r="J2824" s="42" t="n">
        <v>1173</v>
      </c>
      <c r="K2824" s="42" t="n">
        <v>186</v>
      </c>
      <c r="L2824" s="43" t="n"/>
      <c r="M2824" s="44" t="n"/>
      <c r="N2824" s="44" t="inlineStr">
        <is>
          <t>UCKZo4N0lVPccBkSiuyVh4yg</t>
        </is>
      </c>
      <c r="O2824" s="45" t="n">
        <v>42020.17847222222</v>
      </c>
      <c r="P2824" s="46" t="n">
        <v>42019</v>
      </c>
      <c r="Q2824" s="44" t="n">
        <v>448</v>
      </c>
      <c r="R2824" s="44" t="inlineStr">
        <is>
          <t>No Video ID yet</t>
        </is>
      </c>
      <c r="S2824" s="46" t="n"/>
      <c r="T2824" s="46" t="n"/>
      <c r="U2824" s="44" t="n"/>
      <c r="V2824" s="44">
        <f>IF(AND(P2824&gt;=Calendar!$K$2,P2824&lt;EDATE(Calendar!$K$2,1),OR(Calendar!$K$4="*",N2824=Calendar!$K$4)),P2824*100+COUNTIFS($P$6:$P$3271,P2824,$Q$6:$Q$3271,"&lt;="&amp;Q2824,$N$6:$N$3271,Calendar!$K$4),"")</f>
        <v/>
      </c>
      <c r="W2824" s="44">
        <f>IF(AND(B2824=Queue!$C$4,OR(Queue!$K$4="*",N2824=Queue!$K$4)),Q2824,"")</f>
        <v/>
      </c>
    </row>
    <row r="2825">
      <c r="A2825" s="35">
        <f>IF(M2825="","",HYPERLINK("https://www.youtube.com/watch?v="&amp;M2825,"▶"))</f>
        <v/>
      </c>
      <c r="B2825" s="36">
        <f>IF(C2825&lt;&gt;"",C2825,IF(P2825&lt;=IFERROR(INDEX(tblChannels[Watched Through],MATCH(N2825,tblChannels[Channel ID],0)),0),"Watched","Unwatched"))</f>
        <v/>
      </c>
      <c r="C2825" s="37" t="n"/>
      <c r="D2825" s="38" t="n"/>
      <c r="E2825" s="39" t="n">
        <v>42017.96319444444</v>
      </c>
      <c r="F2825" s="47" t="inlineStr">
        <is>
          <t>Super Carlin Brothers</t>
        </is>
      </c>
      <c r="G2825" t="inlineStr">
        <is>
          <t>Pixar Theory: Secret Code A113</t>
        </is>
      </c>
      <c r="H2825" s="41" t="n">
        <v>0.004224537037037037</v>
      </c>
      <c r="I2825" s="42" t="n">
        <v>865310</v>
      </c>
      <c r="J2825" s="42" t="n">
        <v>12987</v>
      </c>
      <c r="K2825" s="42" t="n">
        <v>2657</v>
      </c>
      <c r="L2825" s="43" t="n"/>
      <c r="M2825" s="44" t="n"/>
      <c r="N2825" s="44" t="inlineStr">
        <is>
          <t>UCKZo4N0lVPccBkSiuyVh4yg</t>
        </is>
      </c>
      <c r="O2825" s="45" t="n">
        <v>42018.17152777778</v>
      </c>
      <c r="P2825" s="46" t="n">
        <v>42017</v>
      </c>
      <c r="Q2825" s="44" t="n">
        <v>447</v>
      </c>
      <c r="R2825" s="44" t="inlineStr">
        <is>
          <t>No Video ID yet</t>
        </is>
      </c>
      <c r="S2825" s="46" t="n"/>
      <c r="T2825" s="46" t="n"/>
      <c r="U2825" s="44" t="n"/>
      <c r="V2825" s="44">
        <f>IF(AND(P2825&gt;=Calendar!$K$2,P2825&lt;EDATE(Calendar!$K$2,1),OR(Calendar!$K$4="*",N2825=Calendar!$K$4)),P2825*100+COUNTIFS($P$6:$P$3271,P2825,$Q$6:$Q$3271,"&lt;="&amp;Q2825,$N$6:$N$3271,Calendar!$K$4),"")</f>
        <v/>
      </c>
      <c r="W2825" s="44">
        <f>IF(AND(B2825=Queue!$C$4,OR(Queue!$K$4="*",N2825=Queue!$K$4)),Q2825,"")</f>
        <v/>
      </c>
    </row>
    <row r="2826">
      <c r="A2826" s="35">
        <f>IF(M2826="","",HYPERLINK("https://www.youtube.com/watch?v="&amp;M2826,"▶"))</f>
        <v/>
      </c>
      <c r="B2826" s="36">
        <f>IF(C2826&lt;&gt;"",C2826,IF(P2826&lt;=IFERROR(INDEX(tblChannels[Watched Through],MATCH(N2826,tblChannels[Channel ID],0)),0),"Watched","Unwatched"))</f>
        <v/>
      </c>
      <c r="C2826" s="37" t="n"/>
      <c r="D2826" s="38" t="n"/>
      <c r="E2826" s="39" t="n">
        <v>42016.90902777778</v>
      </c>
      <c r="F2826" s="49" t="inlineStr">
        <is>
          <t>Super Carlin Gaming</t>
        </is>
      </c>
      <c r="G2826" t="inlineStr">
        <is>
          <t>Pokemon FireRed Nuzlocke Challenge #28 | THE FINAL BATTLE</t>
        </is>
      </c>
      <c r="H2826" s="41" t="n">
        <v>0.01398148148148148</v>
      </c>
      <c r="I2826" s="42" t="n">
        <v>36060</v>
      </c>
      <c r="J2826" s="42" t="n">
        <v>754</v>
      </c>
      <c r="K2826" s="42" t="n">
        <v>179</v>
      </c>
      <c r="L2826" s="43" t="n"/>
      <c r="M2826" s="44" t="n"/>
      <c r="N2826" s="44" t="inlineStr">
        <is>
          <t>UCor_9jRnNNZVzTuQ92PKsaQ</t>
        </is>
      </c>
      <c r="O2826" s="45" t="n">
        <v>42017.11736111111</v>
      </c>
      <c r="P2826" s="46" t="n">
        <v>42016</v>
      </c>
      <c r="Q2826" s="44" t="n">
        <v>446</v>
      </c>
      <c r="R2826" s="44" t="inlineStr">
        <is>
          <t>No Video ID yet</t>
        </is>
      </c>
      <c r="S2826" s="46" t="n"/>
      <c r="T2826" s="46" t="n"/>
      <c r="U2826" s="44" t="n"/>
      <c r="V2826" s="44">
        <f>IF(AND(P2826&gt;=Calendar!$K$2,P2826&lt;EDATE(Calendar!$K$2,1),OR(Calendar!$K$4="*",N2826=Calendar!$K$4)),P2826*100+COUNTIFS($P$6:$P$3271,P2826,$Q$6:$Q$3271,"&lt;="&amp;Q2826,$N$6:$N$3271,Calendar!$K$4),"")</f>
        <v/>
      </c>
      <c r="W2826" s="44">
        <f>IF(AND(B2826=Queue!$C$4,OR(Queue!$K$4="*",N2826=Queue!$K$4)),Q2826,"")</f>
        <v/>
      </c>
    </row>
    <row r="2827">
      <c r="A2827" s="35">
        <f>IF(M2827="","",HYPERLINK("https://www.youtube.com/watch?v="&amp;M2827,"▶"))</f>
        <v/>
      </c>
      <c r="B2827" s="36">
        <f>IF(C2827&lt;&gt;"",C2827,IF(P2827&lt;=IFERROR(INDEX(tblChannels[Watched Through],MATCH(N2827,tblChannels[Channel ID],0)),0),"Watched","Unwatched"))</f>
        <v/>
      </c>
      <c r="C2827" s="37" t="n"/>
      <c r="D2827" s="38" t="n"/>
      <c r="E2827" s="39" t="n">
        <v>42012.91319444445</v>
      </c>
      <c r="F2827" s="47" t="inlineStr">
        <is>
          <t>Super Carlin Brothers</t>
        </is>
      </c>
      <c r="G2827" t="inlineStr">
        <is>
          <t>Vanity Interview Tag</t>
        </is>
      </c>
      <c r="H2827" s="41" t="n">
        <v>0.004212962962962963</v>
      </c>
      <c r="I2827" s="42" t="n">
        <v>10835</v>
      </c>
      <c r="J2827" s="42" t="n">
        <v>346</v>
      </c>
      <c r="K2827" s="42" t="n">
        <v>49</v>
      </c>
      <c r="L2827" s="43" t="n"/>
      <c r="M2827" s="44" t="n"/>
      <c r="N2827" s="44" t="inlineStr">
        <is>
          <t>UCKZo4N0lVPccBkSiuyVh4yg</t>
        </is>
      </c>
      <c r="O2827" s="45" t="n">
        <v>42013.12152777778</v>
      </c>
      <c r="P2827" s="46" t="n">
        <v>42012</v>
      </c>
      <c r="Q2827" s="44" t="n">
        <v>445</v>
      </c>
      <c r="R2827" s="44" t="inlineStr">
        <is>
          <t>No Video ID yet</t>
        </is>
      </c>
      <c r="S2827" s="46" t="n"/>
      <c r="T2827" s="46" t="n"/>
      <c r="U2827" s="44" t="n"/>
      <c r="V2827" s="44">
        <f>IF(AND(P2827&gt;=Calendar!$K$2,P2827&lt;EDATE(Calendar!$K$2,1),OR(Calendar!$K$4="*",N2827=Calendar!$K$4)),P2827*100+COUNTIFS($P$6:$P$3271,P2827,$Q$6:$Q$3271,"&lt;="&amp;Q2827,$N$6:$N$3271,Calendar!$K$4),"")</f>
        <v/>
      </c>
      <c r="W2827" s="44">
        <f>IF(AND(B2827=Queue!$C$4,OR(Queue!$K$4="*",N2827=Queue!$K$4)),Q2827,"")</f>
        <v/>
      </c>
    </row>
    <row r="2828">
      <c r="A2828" s="35">
        <f>IF(M2828="","",HYPERLINK("https://www.youtube.com/watch?v="&amp;M2828,"▶"))</f>
        <v/>
      </c>
      <c r="B2828" s="36">
        <f>IF(C2828&lt;&gt;"",C2828,IF(P2828&lt;=IFERROR(INDEX(tblChannels[Watched Through],MATCH(N2828,tblChannels[Channel ID],0)),0),"Watched","Unwatched"))</f>
        <v/>
      </c>
      <c r="C2828" s="37" t="n"/>
      <c r="D2828" s="38" t="n"/>
      <c r="E2828" s="39" t="n">
        <v>42010.95069444444</v>
      </c>
      <c r="F2828" s="47" t="inlineStr">
        <is>
          <t>Super Carlin Brothers</t>
        </is>
      </c>
      <c r="G2828" t="inlineStr">
        <is>
          <t>BEST IN ROANOKE!</t>
        </is>
      </c>
      <c r="H2828" s="41" t="n">
        <v>0.004444444444444444</v>
      </c>
      <c r="I2828" s="42" t="n">
        <v>19543</v>
      </c>
      <c r="J2828" s="42" t="n">
        <v>672</v>
      </c>
      <c r="K2828" s="42" t="n">
        <v>135</v>
      </c>
      <c r="L2828" s="43" t="n"/>
      <c r="M2828" s="44" t="n"/>
      <c r="N2828" s="44" t="inlineStr">
        <is>
          <t>UCKZo4N0lVPccBkSiuyVh4yg</t>
        </is>
      </c>
      <c r="O2828" s="45" t="n">
        <v>42011.15902777778</v>
      </c>
      <c r="P2828" s="46" t="n">
        <v>42010</v>
      </c>
      <c r="Q2828" s="44" t="n">
        <v>444</v>
      </c>
      <c r="R2828" s="44" t="inlineStr">
        <is>
          <t>No Video ID yet</t>
        </is>
      </c>
      <c r="S2828" s="46" t="n"/>
      <c r="T2828" s="46" t="n"/>
      <c r="U2828" s="44" t="n"/>
      <c r="V2828" s="44">
        <f>IF(AND(P2828&gt;=Calendar!$K$2,P2828&lt;EDATE(Calendar!$K$2,1),OR(Calendar!$K$4="*",N2828=Calendar!$K$4)),P2828*100+COUNTIFS($P$6:$P$3271,P2828,$Q$6:$Q$3271,"&lt;="&amp;Q2828,$N$6:$N$3271,Calendar!$K$4),"")</f>
        <v/>
      </c>
      <c r="W2828" s="44">
        <f>IF(AND(B2828=Queue!$C$4,OR(Queue!$K$4="*",N2828=Queue!$K$4)),Q2828,"")</f>
        <v/>
      </c>
    </row>
    <row r="2829">
      <c r="A2829" s="35">
        <f>IF(M2829="","",HYPERLINK("https://www.youtube.com/watch?v="&amp;M2829,"▶"))</f>
        <v/>
      </c>
      <c r="B2829" s="36">
        <f>IF(C2829&lt;&gt;"",C2829,IF(P2829&lt;=IFERROR(INDEX(tblChannels[Watched Through],MATCH(N2829,tblChannels[Channel ID],0)),0),"Watched","Unwatched"))</f>
        <v/>
      </c>
      <c r="C2829" s="37" t="n"/>
      <c r="D2829" s="38" t="n"/>
      <c r="E2829" s="39" t="n">
        <v>42008.84583333333</v>
      </c>
      <c r="F2829" s="49" t="inlineStr">
        <is>
          <t>Super Carlin Gaming</t>
        </is>
      </c>
      <c r="G2829" t="inlineStr">
        <is>
          <t>Pokemon FireRed Nuzlocke Challenge #27: The Elite 4</t>
        </is>
      </c>
      <c r="H2829" s="41" t="n">
        <v>0.01996527777777778</v>
      </c>
      <c r="I2829" s="42" t="n">
        <v>28624</v>
      </c>
      <c r="J2829" s="42" t="n">
        <v>460</v>
      </c>
      <c r="K2829" s="42" t="n">
        <v>105</v>
      </c>
      <c r="L2829" s="43" t="n"/>
      <c r="M2829" s="44" t="n"/>
      <c r="N2829" s="44" t="inlineStr">
        <is>
          <t>UCor_9jRnNNZVzTuQ92PKsaQ</t>
        </is>
      </c>
      <c r="O2829" s="45" t="n">
        <v>42009.05416666667</v>
      </c>
      <c r="P2829" s="46" t="n">
        <v>42008</v>
      </c>
      <c r="Q2829" s="44" t="n">
        <v>443</v>
      </c>
      <c r="R2829" s="44" t="inlineStr">
        <is>
          <t>No Video ID yet</t>
        </is>
      </c>
      <c r="S2829" s="46" t="n"/>
      <c r="T2829" s="46" t="n"/>
      <c r="U2829" s="44" t="n"/>
      <c r="V2829" s="44">
        <f>IF(AND(P2829&gt;=Calendar!$K$2,P2829&lt;EDATE(Calendar!$K$2,1),OR(Calendar!$K$4="*",N2829=Calendar!$K$4)),P2829*100+COUNTIFS($P$6:$P$3271,P2829,$Q$6:$Q$3271,"&lt;="&amp;Q2829,$N$6:$N$3271,Calendar!$K$4),"")</f>
        <v/>
      </c>
      <c r="W2829" s="44">
        <f>IF(AND(B2829=Queue!$C$4,OR(Queue!$K$4="*",N2829=Queue!$K$4)),Q2829,"")</f>
        <v/>
      </c>
    </row>
    <row r="2830">
      <c r="A2830" s="35">
        <f>IF(M2830="","",HYPERLINK("https://www.youtube.com/watch?v="&amp;M2830,"▶"))</f>
        <v/>
      </c>
      <c r="B2830" s="36">
        <f>IF(C2830&lt;&gt;"",C2830,IF(P2830&lt;=IFERROR(INDEX(tblChannels[Watched Through],MATCH(N2830,tblChannels[Channel ID],0)),0),"Watched","Unwatched"))</f>
        <v/>
      </c>
      <c r="C2830" s="37" t="n"/>
      <c r="D2830" s="38" t="n"/>
      <c r="E2830" s="39" t="n">
        <v>42005.77916666667</v>
      </c>
      <c r="F2830" s="47" t="inlineStr">
        <is>
          <t>Super Carlin Brothers</t>
        </is>
      </c>
      <c r="G2830" t="inlineStr">
        <is>
          <t>Hey Brother!</t>
        </is>
      </c>
      <c r="H2830" s="41" t="n">
        <v>0.001076388888888889</v>
      </c>
      <c r="I2830" s="42" t="n">
        <v>30933</v>
      </c>
      <c r="J2830" s="42" t="n">
        <v>915</v>
      </c>
      <c r="K2830" s="42" t="n">
        <v>122</v>
      </c>
      <c r="L2830" s="43" t="n"/>
      <c r="M2830" s="44" t="n"/>
      <c r="N2830" s="44" t="inlineStr">
        <is>
          <t>UCKZo4N0lVPccBkSiuyVh4yg</t>
        </is>
      </c>
      <c r="O2830" s="45" t="n">
        <v>42005.9875</v>
      </c>
      <c r="P2830" s="46" t="n">
        <v>42005</v>
      </c>
      <c r="Q2830" s="44" t="n">
        <v>442</v>
      </c>
      <c r="R2830" s="44" t="inlineStr">
        <is>
          <t>No Video ID yet</t>
        </is>
      </c>
      <c r="S2830" s="46" t="n"/>
      <c r="T2830" s="46" t="n"/>
      <c r="U2830" s="44" t="n"/>
      <c r="V2830" s="44">
        <f>IF(AND(P2830&gt;=Calendar!$K$2,P2830&lt;EDATE(Calendar!$K$2,1),OR(Calendar!$K$4="*",N2830=Calendar!$K$4)),P2830*100+COUNTIFS($P$6:$P$3271,P2830,$Q$6:$Q$3271,"&lt;="&amp;Q2830,$N$6:$N$3271,Calendar!$K$4),"")</f>
        <v/>
      </c>
      <c r="W2830" s="44">
        <f>IF(AND(B2830=Queue!$C$4,OR(Queue!$K$4="*",N2830=Queue!$K$4)),Q2830,"")</f>
        <v/>
      </c>
    </row>
    <row r="2831">
      <c r="A2831" s="35">
        <f>IF(M2831="","",HYPERLINK("https://www.youtube.com/watch?v="&amp;M2831,"▶"))</f>
        <v/>
      </c>
      <c r="B2831" s="36">
        <f>IF(C2831&lt;&gt;"",C2831,IF(P2831&lt;=IFERROR(INDEX(tblChannels[Watched Through],MATCH(N2831,tblChannels[Channel ID],0)),0),"Watched","Unwatched"))</f>
        <v/>
      </c>
      <c r="C2831" s="37" t="n"/>
      <c r="D2831" s="38" t="n"/>
      <c r="E2831" s="39" t="n">
        <v>42005.71111111111</v>
      </c>
      <c r="F2831" s="49" t="inlineStr">
        <is>
          <t>Super Carlin Gaming</t>
        </is>
      </c>
      <c r="G2831" t="inlineStr">
        <is>
          <t>Pokemon FireRed Nuzlocke Challenge #26 | Victory Road</t>
        </is>
      </c>
      <c r="H2831" s="41" t="n">
        <v>0.02262731481481482</v>
      </c>
      <c r="I2831" s="42" t="n">
        <v>26321</v>
      </c>
      <c r="J2831" s="42" t="n">
        <v>459</v>
      </c>
      <c r="K2831" s="42" t="n">
        <v>76</v>
      </c>
      <c r="L2831" s="43" t="n"/>
      <c r="M2831" s="44" t="n"/>
      <c r="N2831" s="44" t="inlineStr">
        <is>
          <t>UCor_9jRnNNZVzTuQ92PKsaQ</t>
        </is>
      </c>
      <c r="O2831" s="45" t="n">
        <v>42005.91944444444</v>
      </c>
      <c r="P2831" s="46" t="n">
        <v>42005</v>
      </c>
      <c r="Q2831" s="44" t="n">
        <v>441</v>
      </c>
      <c r="R2831" s="44" t="inlineStr">
        <is>
          <t>No Video ID yet</t>
        </is>
      </c>
      <c r="S2831" s="46" t="n"/>
      <c r="T2831" s="46" t="n"/>
      <c r="U2831" s="44" t="n"/>
      <c r="V2831" s="44">
        <f>IF(AND(P2831&gt;=Calendar!$K$2,P2831&lt;EDATE(Calendar!$K$2,1),OR(Calendar!$K$4="*",N2831=Calendar!$K$4)),P2831*100+COUNTIFS($P$6:$P$3271,P2831,$Q$6:$Q$3271,"&lt;="&amp;Q2831,$N$6:$N$3271,Calendar!$K$4),"")</f>
        <v/>
      </c>
      <c r="W2831" s="44">
        <f>IF(AND(B2831=Queue!$C$4,OR(Queue!$K$4="*",N2831=Queue!$K$4)),Q2831,"")</f>
        <v/>
      </c>
    </row>
    <row r="2832">
      <c r="A2832" s="35">
        <f>IF(M2832="","",HYPERLINK("https://www.youtube.com/watch?v="&amp;M2832,"▶"))</f>
        <v/>
      </c>
      <c r="B2832" s="36">
        <f>IF(C2832&lt;&gt;"",C2832,IF(P2832&lt;=IFERROR(INDEX(tblChannels[Watched Through],MATCH(N2832,tblChannels[Channel ID],0)),0),"Watched","Unwatched"))</f>
        <v/>
      </c>
      <c r="C2832" s="37" t="n"/>
      <c r="D2832" s="38" t="n"/>
      <c r="E2832" s="39" t="n">
        <v>42003.96111111111</v>
      </c>
      <c r="F2832" s="47" t="inlineStr">
        <is>
          <t>Super Carlin Brothers</t>
        </is>
      </c>
      <c r="G2832" t="inlineStr">
        <is>
          <t>Top 10 Favorite Pokemon | Kanto</t>
        </is>
      </c>
      <c r="H2832" s="41" t="n">
        <v>0.005439814814814815</v>
      </c>
      <c r="I2832" s="42" t="n">
        <v>149584</v>
      </c>
      <c r="J2832" s="42" t="n">
        <v>3059</v>
      </c>
      <c r="K2832" s="42" t="n">
        <v>917</v>
      </c>
      <c r="L2832" s="43" t="n"/>
      <c r="M2832" s="44" t="n"/>
      <c r="N2832" s="44" t="inlineStr">
        <is>
          <t>UCKZo4N0lVPccBkSiuyVh4yg</t>
        </is>
      </c>
      <c r="O2832" s="45" t="n">
        <v>42004.16944444444</v>
      </c>
      <c r="P2832" s="46" t="n">
        <v>42003</v>
      </c>
      <c r="Q2832" s="44" t="n">
        <v>440</v>
      </c>
      <c r="R2832" s="44" t="inlineStr">
        <is>
          <t>No Video ID yet</t>
        </is>
      </c>
      <c r="S2832" s="46" t="n"/>
      <c r="T2832" s="46" t="n"/>
      <c r="U2832" s="44" t="n"/>
      <c r="V2832" s="44">
        <f>IF(AND(P2832&gt;=Calendar!$K$2,P2832&lt;EDATE(Calendar!$K$2,1),OR(Calendar!$K$4="*",N2832=Calendar!$K$4)),P2832*100+COUNTIFS($P$6:$P$3271,P2832,$Q$6:$Q$3271,"&lt;="&amp;Q2832,$N$6:$N$3271,Calendar!$K$4),"")</f>
        <v/>
      </c>
      <c r="W2832" s="44">
        <f>IF(AND(B2832=Queue!$C$4,OR(Queue!$K$4="*",N2832=Queue!$K$4)),Q2832,"")</f>
        <v/>
      </c>
    </row>
    <row r="2833">
      <c r="A2833" s="35">
        <f>IF(M2833="","",HYPERLINK("https://www.youtube.com/watch?v="&amp;M2833,"▶"))</f>
        <v/>
      </c>
      <c r="B2833" s="36">
        <f>IF(C2833&lt;&gt;"",C2833,IF(P2833&lt;=IFERROR(INDEX(tblChannels[Watched Through],MATCH(N2833,tblChannels[Channel ID],0)),0),"Watched","Unwatched"))</f>
        <v/>
      </c>
      <c r="C2833" s="37" t="n"/>
      <c r="D2833" s="38" t="n"/>
      <c r="E2833" s="39" t="n">
        <v>42003.7625</v>
      </c>
      <c r="F2833" s="49" t="inlineStr">
        <is>
          <t>Super Carlin Gaming</t>
        </is>
      </c>
      <c r="G2833" t="inlineStr">
        <is>
          <t>Pokemon FireRed Nuzlocke Challenge #25 | Team Re-Building</t>
        </is>
      </c>
      <c r="H2833" s="41" t="n">
        <v>0.009409722222222222</v>
      </c>
      <c r="I2833" s="42" t="n">
        <v>25476</v>
      </c>
      <c r="J2833" s="42" t="n">
        <v>425</v>
      </c>
      <c r="K2833" s="42" t="n">
        <v>94</v>
      </c>
      <c r="L2833" s="43" t="n"/>
      <c r="M2833" s="44" t="n"/>
      <c r="N2833" s="44" t="inlineStr">
        <is>
          <t>UCor_9jRnNNZVzTuQ92PKsaQ</t>
        </is>
      </c>
      <c r="O2833" s="45" t="n">
        <v>42003.97083333333</v>
      </c>
      <c r="P2833" s="46" t="n">
        <v>42003</v>
      </c>
      <c r="Q2833" s="44" t="n">
        <v>439</v>
      </c>
      <c r="R2833" s="44" t="inlineStr">
        <is>
          <t>No Video ID yet</t>
        </is>
      </c>
      <c r="S2833" s="46" t="n"/>
      <c r="T2833" s="46" t="n"/>
      <c r="U2833" s="44" t="n"/>
      <c r="V2833" s="44">
        <f>IF(AND(P2833&gt;=Calendar!$K$2,P2833&lt;EDATE(Calendar!$K$2,1),OR(Calendar!$K$4="*",N2833=Calendar!$K$4)),P2833*100+COUNTIFS($P$6:$P$3271,P2833,$Q$6:$Q$3271,"&lt;="&amp;Q2833,$N$6:$N$3271,Calendar!$K$4),"")</f>
        <v/>
      </c>
      <c r="W2833" s="44">
        <f>IF(AND(B2833=Queue!$C$4,OR(Queue!$K$4="*",N2833=Queue!$K$4)),Q2833,"")</f>
        <v/>
      </c>
    </row>
    <row r="2834">
      <c r="A2834" s="35">
        <f>IF(M2834="","",HYPERLINK("https://www.youtube.com/watch?v="&amp;M2834,"▶"))</f>
        <v/>
      </c>
      <c r="B2834" s="36">
        <f>IF(C2834&lt;&gt;"",C2834,IF(P2834&lt;=IFERROR(INDEX(tblChannels[Watched Through],MATCH(N2834,tblChannels[Channel ID],0)),0),"Watched","Unwatched"))</f>
        <v/>
      </c>
      <c r="C2834" s="37" t="n"/>
      <c r="D2834" s="38" t="n"/>
      <c r="E2834" s="39" t="n">
        <v>41996.81597222222</v>
      </c>
      <c r="F2834" s="47" t="inlineStr">
        <is>
          <t>Super Carlin Brothers</t>
        </is>
      </c>
      <c r="G2834" t="inlineStr">
        <is>
          <t>Loot Crate Unboxing | GROOT SOCKS</t>
        </is>
      </c>
      <c r="H2834" s="41" t="n">
        <v>0.004247685185185185</v>
      </c>
      <c r="I2834" s="42" t="n">
        <v>60525</v>
      </c>
      <c r="J2834" s="42" t="n">
        <v>1171</v>
      </c>
      <c r="K2834" s="42" t="n">
        <v>232</v>
      </c>
      <c r="L2834" s="43" t="n"/>
      <c r="M2834" s="44" t="n"/>
      <c r="N2834" s="44" t="inlineStr">
        <is>
          <t>UCKZo4N0lVPccBkSiuyVh4yg</t>
        </is>
      </c>
      <c r="O2834" s="45" t="n">
        <v>41997.02430555555</v>
      </c>
      <c r="P2834" s="46" t="n">
        <v>41996</v>
      </c>
      <c r="Q2834" s="44" t="n">
        <v>438</v>
      </c>
      <c r="R2834" s="44" t="inlineStr">
        <is>
          <t>No Video ID yet</t>
        </is>
      </c>
      <c r="S2834" s="46" t="n"/>
      <c r="T2834" s="46" t="n"/>
      <c r="U2834" s="44" t="n"/>
      <c r="V2834" s="44">
        <f>IF(AND(P2834&gt;=Calendar!$K$2,P2834&lt;EDATE(Calendar!$K$2,1),OR(Calendar!$K$4="*",N2834=Calendar!$K$4)),P2834*100+COUNTIFS($P$6:$P$3271,P2834,$Q$6:$Q$3271,"&lt;="&amp;Q2834,$N$6:$N$3271,Calendar!$K$4),"")</f>
        <v/>
      </c>
      <c r="W2834" s="44">
        <f>IF(AND(B2834=Queue!$C$4,OR(Queue!$K$4="*",N2834=Queue!$K$4)),Q2834,"")</f>
        <v/>
      </c>
    </row>
    <row r="2835">
      <c r="A2835" s="35">
        <f>IF(M2835="","",HYPERLINK("https://www.youtube.com/watch?v="&amp;M2835,"▶"))</f>
        <v/>
      </c>
      <c r="B2835" s="36">
        <f>IF(C2835&lt;&gt;"",C2835,IF(P2835&lt;=IFERROR(INDEX(tblChannels[Watched Through],MATCH(N2835,tblChannels[Channel ID],0)),0),"Watched","Unwatched"))</f>
        <v/>
      </c>
      <c r="C2835" s="37" t="n"/>
      <c r="D2835" s="38" t="n"/>
      <c r="E2835" s="39" t="n">
        <v>41991.95416666667</v>
      </c>
      <c r="F2835" s="47" t="inlineStr">
        <is>
          <t>Super Carlin Brothers</t>
        </is>
      </c>
      <c r="G2835" t="inlineStr">
        <is>
          <t>P4A: Mountain Corals</t>
        </is>
      </c>
      <c r="H2835" s="41" t="n">
        <v>0.00349537037037037</v>
      </c>
      <c r="I2835" s="42" t="n">
        <v>7448</v>
      </c>
      <c r="J2835" s="42" t="n">
        <v>241</v>
      </c>
      <c r="K2835" s="42" t="n">
        <v>106</v>
      </c>
      <c r="L2835" s="43" t="n"/>
      <c r="M2835" s="44" t="n"/>
      <c r="N2835" s="44" t="inlineStr">
        <is>
          <t>UCKZo4N0lVPccBkSiuyVh4yg</t>
        </is>
      </c>
      <c r="O2835" s="45" t="n">
        <v>41992.1625</v>
      </c>
      <c r="P2835" s="46" t="n">
        <v>41991</v>
      </c>
      <c r="Q2835" s="44" t="n">
        <v>437</v>
      </c>
      <c r="R2835" s="44" t="inlineStr">
        <is>
          <t>No Video ID yet</t>
        </is>
      </c>
      <c r="S2835" s="46" t="n"/>
      <c r="T2835" s="46" t="n"/>
      <c r="U2835" s="44" t="n"/>
      <c r="V2835" s="44">
        <f>IF(AND(P2835&gt;=Calendar!$K$2,P2835&lt;EDATE(Calendar!$K$2,1),OR(Calendar!$K$4="*",N2835=Calendar!$K$4)),P2835*100+COUNTIFS($P$6:$P$3271,P2835,$Q$6:$Q$3271,"&lt;="&amp;Q2835,$N$6:$N$3271,Calendar!$K$4),"")</f>
        <v/>
      </c>
      <c r="W2835" s="44">
        <f>IF(AND(B2835=Queue!$C$4,OR(Queue!$K$4="*",N2835=Queue!$K$4)),Q2835,"")</f>
        <v/>
      </c>
    </row>
    <row r="2836">
      <c r="A2836" s="35">
        <f>IF(M2836="","",HYPERLINK("https://www.youtube.com/watch?v="&amp;M2836,"▶"))</f>
        <v/>
      </c>
      <c r="B2836" s="36">
        <f>IF(C2836&lt;&gt;"",C2836,IF(P2836&lt;=IFERROR(INDEX(tblChannels[Watched Through],MATCH(N2836,tblChannels[Channel ID],0)),0),"Watched","Unwatched"))</f>
        <v/>
      </c>
      <c r="C2836" s="37" t="n"/>
      <c r="D2836" s="38" t="n"/>
      <c r="E2836" s="39" t="n">
        <v>41989.3625</v>
      </c>
      <c r="F2836" s="47" t="inlineStr">
        <is>
          <t>Super Carlin Brothers</t>
        </is>
      </c>
      <c r="G2836" t="inlineStr">
        <is>
          <t>Do Bagels Google Autofill</t>
        </is>
      </c>
      <c r="H2836" s="41" t="n">
        <v>0.002766203703703704</v>
      </c>
      <c r="I2836" s="42" t="n">
        <v>219836</v>
      </c>
      <c r="J2836" s="42" t="n">
        <v>3353</v>
      </c>
      <c r="K2836" s="42" t="n">
        <v>502</v>
      </c>
      <c r="L2836" s="43" t="n"/>
      <c r="M2836" s="44" t="n"/>
      <c r="N2836" s="44" t="inlineStr">
        <is>
          <t>UCKZo4N0lVPccBkSiuyVh4yg</t>
        </is>
      </c>
      <c r="O2836" s="45" t="n">
        <v>41989.57083333333</v>
      </c>
      <c r="P2836" s="46" t="n">
        <v>41989</v>
      </c>
      <c r="Q2836" s="44" t="n">
        <v>436</v>
      </c>
      <c r="R2836" s="44" t="inlineStr">
        <is>
          <t>No Video ID yet</t>
        </is>
      </c>
      <c r="S2836" s="46" t="n"/>
      <c r="T2836" s="46" t="n"/>
      <c r="U2836" s="44" t="n"/>
      <c r="V2836" s="44">
        <f>IF(AND(P2836&gt;=Calendar!$K$2,P2836&lt;EDATE(Calendar!$K$2,1),OR(Calendar!$K$4="*",N2836=Calendar!$K$4)),P2836*100+COUNTIFS($P$6:$P$3271,P2836,$Q$6:$Q$3271,"&lt;="&amp;Q2836,$N$6:$N$3271,Calendar!$K$4),"")</f>
        <v/>
      </c>
      <c r="W2836" s="44">
        <f>IF(AND(B2836=Queue!$C$4,OR(Queue!$K$4="*",N2836=Queue!$K$4)),Q2836,"")</f>
        <v/>
      </c>
    </row>
    <row r="2837">
      <c r="A2837" s="35">
        <f>IF(M2837="","",HYPERLINK("https://www.youtube.com/watch?v="&amp;M2837,"▶"))</f>
        <v/>
      </c>
      <c r="B2837" s="36">
        <f>IF(C2837&lt;&gt;"",C2837,IF(P2837&lt;=IFERROR(INDEX(tblChannels[Watched Through],MATCH(N2837,tblChannels[Channel ID],0)),0),"Watched","Unwatched"))</f>
        <v/>
      </c>
      <c r="C2837" s="37" t="n"/>
      <c r="D2837" s="38" t="n"/>
      <c r="E2837" s="39" t="n">
        <v>41984.96944444445</v>
      </c>
      <c r="F2837" s="47" t="inlineStr">
        <is>
          <t>Super Carlin Brothers</t>
        </is>
      </c>
      <c r="G2837" t="inlineStr">
        <is>
          <t>Trashcan Society</t>
        </is>
      </c>
      <c r="H2837" s="41" t="n">
        <v>0.003784722222222222</v>
      </c>
      <c r="I2837" s="42" t="n">
        <v>16758</v>
      </c>
      <c r="J2837" s="42" t="n">
        <v>602</v>
      </c>
      <c r="K2837" s="42" t="n">
        <v>116</v>
      </c>
      <c r="L2837" s="43" t="n"/>
      <c r="M2837" s="44" t="n"/>
      <c r="N2837" s="44" t="inlineStr">
        <is>
          <t>UCKZo4N0lVPccBkSiuyVh4yg</t>
        </is>
      </c>
      <c r="O2837" s="45" t="n">
        <v>41985.17777777778</v>
      </c>
      <c r="P2837" s="46" t="n">
        <v>41984</v>
      </c>
      <c r="Q2837" s="44" t="n">
        <v>435</v>
      </c>
      <c r="R2837" s="44" t="inlineStr">
        <is>
          <t>No Video ID yet</t>
        </is>
      </c>
      <c r="S2837" s="46" t="n"/>
      <c r="T2837" s="46" t="n"/>
      <c r="U2837" s="44" t="n"/>
      <c r="V2837" s="44">
        <f>IF(AND(P2837&gt;=Calendar!$K$2,P2837&lt;EDATE(Calendar!$K$2,1),OR(Calendar!$K$4="*",N2837=Calendar!$K$4)),P2837*100+COUNTIFS($P$6:$P$3271,P2837,$Q$6:$Q$3271,"&lt;="&amp;Q2837,$N$6:$N$3271,Calendar!$K$4),"")</f>
        <v/>
      </c>
      <c r="W2837" s="44">
        <f>IF(AND(B2837=Queue!$C$4,OR(Queue!$K$4="*",N2837=Queue!$K$4)),Q2837,"")</f>
        <v/>
      </c>
    </row>
    <row r="2838">
      <c r="A2838" s="35">
        <f>IF(M2838="","",HYPERLINK("https://www.youtube.com/watch?v="&amp;M2838,"▶"))</f>
        <v/>
      </c>
      <c r="B2838" s="36">
        <f>IF(C2838&lt;&gt;"",C2838,IF(P2838&lt;=IFERROR(INDEX(tblChannels[Watched Through],MATCH(N2838,tblChannels[Channel ID],0)),0),"Watched","Unwatched"))</f>
        <v/>
      </c>
      <c r="C2838" s="37" t="n"/>
      <c r="D2838" s="38" t="n"/>
      <c r="E2838" s="39" t="n">
        <v>41982.92013888889</v>
      </c>
      <c r="F2838" s="47" t="inlineStr">
        <is>
          <t>Super Carlin Brothers</t>
        </is>
      </c>
      <c r="G2838" t="inlineStr">
        <is>
          <t>WE GOT ENGAGED!!</t>
        </is>
      </c>
      <c r="H2838" s="41" t="n">
        <v>0.003993055555555555</v>
      </c>
      <c r="I2838" s="42" t="n">
        <v>232244</v>
      </c>
      <c r="J2838" s="42" t="n">
        <v>6292</v>
      </c>
      <c r="K2838" s="42" t="n">
        <v>993</v>
      </c>
      <c r="L2838" s="43" t="n"/>
      <c r="M2838" s="44" t="n"/>
      <c r="N2838" s="44" t="inlineStr">
        <is>
          <t>UCKZo4N0lVPccBkSiuyVh4yg</t>
        </is>
      </c>
      <c r="O2838" s="45" t="n">
        <v>41983.12847222222</v>
      </c>
      <c r="P2838" s="46" t="n">
        <v>41982</v>
      </c>
      <c r="Q2838" s="44" t="n">
        <v>434</v>
      </c>
      <c r="R2838" s="44" t="inlineStr">
        <is>
          <t>No Video ID yet</t>
        </is>
      </c>
      <c r="S2838" s="46" t="n"/>
      <c r="T2838" s="46" t="n"/>
      <c r="U2838" s="44" t="n"/>
      <c r="V2838" s="44">
        <f>IF(AND(P2838&gt;=Calendar!$K$2,P2838&lt;EDATE(Calendar!$K$2,1),OR(Calendar!$K$4="*",N2838=Calendar!$K$4)),P2838*100+COUNTIFS($P$6:$P$3271,P2838,$Q$6:$Q$3271,"&lt;="&amp;Q2838,$N$6:$N$3271,Calendar!$K$4),"")</f>
        <v/>
      </c>
      <c r="W2838" s="44">
        <f>IF(AND(B2838=Queue!$C$4,OR(Queue!$K$4="*",N2838=Queue!$K$4)),Q2838,"")</f>
        <v/>
      </c>
    </row>
    <row r="2839">
      <c r="A2839" s="35">
        <f>IF(M2839="","",HYPERLINK("https://www.youtube.com/watch?v="&amp;M2839,"▶"))</f>
        <v/>
      </c>
      <c r="B2839" s="36">
        <f>IF(C2839&lt;&gt;"",C2839,IF(P2839&lt;=IFERROR(INDEX(tblChannels[Watched Through],MATCH(N2839,tblChannels[Channel ID],0)),0),"Watched","Unwatched"))</f>
        <v/>
      </c>
      <c r="C2839" s="37" t="n"/>
      <c r="D2839" s="38" t="n"/>
      <c r="E2839" s="39" t="n">
        <v>41977.79791666667</v>
      </c>
      <c r="F2839" s="47" t="inlineStr">
        <is>
          <t>Super Carlin Brothers</t>
        </is>
      </c>
      <c r="G2839" t="inlineStr">
        <is>
          <t>The Create Your Player Theory</t>
        </is>
      </c>
      <c r="H2839" s="41" t="n">
        <v>0.00425925925925926</v>
      </c>
      <c r="I2839" s="42" t="n">
        <v>56500</v>
      </c>
      <c r="J2839" s="42" t="n">
        <v>1365</v>
      </c>
      <c r="K2839" s="42" t="n">
        <v>180</v>
      </c>
      <c r="L2839" s="43" t="n"/>
      <c r="M2839" s="44" t="n"/>
      <c r="N2839" s="44" t="inlineStr">
        <is>
          <t>UCKZo4N0lVPccBkSiuyVh4yg</t>
        </is>
      </c>
      <c r="O2839" s="45" t="n">
        <v>41978.00625</v>
      </c>
      <c r="P2839" s="46" t="n">
        <v>41977</v>
      </c>
      <c r="Q2839" s="44" t="n">
        <v>433</v>
      </c>
      <c r="R2839" s="44" t="inlineStr">
        <is>
          <t>No Video ID yet</t>
        </is>
      </c>
      <c r="S2839" s="46" t="n"/>
      <c r="T2839" s="46" t="n"/>
      <c r="U2839" s="44" t="n"/>
      <c r="V2839" s="44">
        <f>IF(AND(P2839&gt;=Calendar!$K$2,P2839&lt;EDATE(Calendar!$K$2,1),OR(Calendar!$K$4="*",N2839=Calendar!$K$4)),P2839*100+COUNTIFS($P$6:$P$3271,P2839,$Q$6:$Q$3271,"&lt;="&amp;Q2839,$N$6:$N$3271,Calendar!$K$4),"")</f>
        <v/>
      </c>
      <c r="W2839" s="44">
        <f>IF(AND(B2839=Queue!$C$4,OR(Queue!$K$4="*",N2839=Queue!$K$4)),Q2839,"")</f>
        <v/>
      </c>
    </row>
    <row r="2840">
      <c r="A2840" s="35">
        <f>IF(M2840="","",HYPERLINK("https://www.youtube.com/watch?v="&amp;M2840,"▶"))</f>
        <v/>
      </c>
      <c r="B2840" s="36">
        <f>IF(C2840&lt;&gt;"",C2840,IF(P2840&lt;=IFERROR(INDEX(tblChannels[Watched Through],MATCH(N2840,tblChannels[Channel ID],0)),0),"Watched","Unwatched"))</f>
        <v/>
      </c>
      <c r="C2840" s="37" t="n"/>
      <c r="D2840" s="38" t="n"/>
      <c r="E2840" s="39" t="n">
        <v>41975.90833333333</v>
      </c>
      <c r="F2840" s="47" t="inlineStr">
        <is>
          <t>Super Carlin Brothers</t>
        </is>
      </c>
      <c r="G2840" t="inlineStr">
        <is>
          <t>ASK J! The Future, White Girl Words and Zombies!</t>
        </is>
      </c>
      <c r="H2840" s="41" t="n">
        <v>0.003125</v>
      </c>
      <c r="I2840" s="42" t="n">
        <v>41889</v>
      </c>
      <c r="J2840" s="42" t="n">
        <v>919</v>
      </c>
      <c r="K2840" s="42" t="n">
        <v>319</v>
      </c>
      <c r="L2840" s="43" t="n"/>
      <c r="M2840" s="44" t="n"/>
      <c r="N2840" s="44" t="inlineStr">
        <is>
          <t>UCKZo4N0lVPccBkSiuyVh4yg</t>
        </is>
      </c>
      <c r="O2840" s="45" t="n">
        <v>41976.11666666667</v>
      </c>
      <c r="P2840" s="46" t="n">
        <v>41975</v>
      </c>
      <c r="Q2840" s="44" t="n">
        <v>432</v>
      </c>
      <c r="R2840" s="44" t="inlineStr">
        <is>
          <t>No Video ID yet</t>
        </is>
      </c>
      <c r="S2840" s="46" t="n"/>
      <c r="T2840" s="46" t="n"/>
      <c r="U2840" s="44" t="n"/>
      <c r="V2840" s="44">
        <f>IF(AND(P2840&gt;=Calendar!$K$2,P2840&lt;EDATE(Calendar!$K$2,1),OR(Calendar!$K$4="*",N2840=Calendar!$K$4)),P2840*100+COUNTIFS($P$6:$P$3271,P2840,$Q$6:$Q$3271,"&lt;="&amp;Q2840,$N$6:$N$3271,Calendar!$K$4),"")</f>
        <v/>
      </c>
      <c r="W2840" s="44">
        <f>IF(AND(B2840=Queue!$C$4,OR(Queue!$K$4="*",N2840=Queue!$K$4)),Q2840,"")</f>
        <v/>
      </c>
    </row>
    <row r="2841">
      <c r="A2841" s="35">
        <f>IF(M2841="","",HYPERLINK("https://www.youtube.com/watch?v="&amp;M2841,"▶"))</f>
        <v/>
      </c>
      <c r="B2841" s="36">
        <f>IF(C2841&lt;&gt;"",C2841,IF(P2841&lt;=IFERROR(INDEX(tblChannels[Watched Through],MATCH(N2841,tblChannels[Channel ID],0)),0),"Watched","Unwatched"))</f>
        <v/>
      </c>
      <c r="C2841" s="37" t="n"/>
      <c r="D2841" s="38" t="n"/>
      <c r="E2841" s="39" t="n">
        <v>41968.96180555555</v>
      </c>
      <c r="F2841" s="47" t="inlineStr">
        <is>
          <t>Super Carlin Brothers</t>
        </is>
      </c>
      <c r="G2841" t="inlineStr">
        <is>
          <t>Loot Crate Unboxing | BATTLE</t>
        </is>
      </c>
      <c r="H2841" s="41" t="n">
        <v>0.004884259259259259</v>
      </c>
      <c r="I2841" s="42" t="n">
        <v>74817</v>
      </c>
      <c r="J2841" s="42" t="n">
        <v>1230</v>
      </c>
      <c r="K2841" s="42" t="n">
        <v>600</v>
      </c>
      <c r="L2841" s="43" t="n"/>
      <c r="M2841" s="44" t="n"/>
      <c r="N2841" s="44" t="inlineStr">
        <is>
          <t>UCKZo4N0lVPccBkSiuyVh4yg</t>
        </is>
      </c>
      <c r="O2841" s="45" t="n">
        <v>41969.17013888889</v>
      </c>
      <c r="P2841" s="46" t="n">
        <v>41968</v>
      </c>
      <c r="Q2841" s="44" t="n">
        <v>431</v>
      </c>
      <c r="R2841" s="44" t="inlineStr">
        <is>
          <t>No Video ID yet</t>
        </is>
      </c>
      <c r="S2841" s="46" t="n"/>
      <c r="T2841" s="46" t="n"/>
      <c r="U2841" s="44" t="n"/>
      <c r="V2841" s="44">
        <f>IF(AND(P2841&gt;=Calendar!$K$2,P2841&lt;EDATE(Calendar!$K$2,1),OR(Calendar!$K$4="*",N2841=Calendar!$K$4)),P2841*100+COUNTIFS($P$6:$P$3271,P2841,$Q$6:$Q$3271,"&lt;="&amp;Q2841,$N$6:$N$3271,Calendar!$K$4),"")</f>
        <v/>
      </c>
      <c r="W2841" s="44">
        <f>IF(AND(B2841=Queue!$C$4,OR(Queue!$K$4="*",N2841=Queue!$K$4)),Q2841,"")</f>
        <v/>
      </c>
    </row>
    <row r="2842">
      <c r="A2842" s="35">
        <f>IF(M2842="","",HYPERLINK("https://www.youtube.com/watch?v="&amp;M2842,"▶"))</f>
        <v/>
      </c>
      <c r="B2842" s="36">
        <f>IF(C2842&lt;&gt;"",C2842,IF(P2842&lt;=IFERROR(INDEX(tblChannels[Watched Through],MATCH(N2842,tblChannels[Channel ID],0)),0),"Watched","Unwatched"))</f>
        <v/>
      </c>
      <c r="C2842" s="37" t="n"/>
      <c r="D2842" s="38" t="n"/>
      <c r="E2842" s="39" t="n">
        <v>41963.80416666667</v>
      </c>
      <c r="F2842" s="47" t="inlineStr">
        <is>
          <t>Super Carlin Brothers</t>
        </is>
      </c>
      <c r="G2842" t="inlineStr">
        <is>
          <t>STAINLESS STEEL Episode of SCB</t>
        </is>
      </c>
      <c r="H2842" s="41" t="n">
        <v>0.003321759259259259</v>
      </c>
      <c r="I2842" s="42" t="n">
        <v>9494</v>
      </c>
      <c r="J2842" s="42" t="n">
        <v>286</v>
      </c>
      <c r="K2842" s="42" t="n">
        <v>42</v>
      </c>
      <c r="L2842" s="43" t="n"/>
      <c r="M2842" s="44" t="n"/>
      <c r="N2842" s="44" t="inlineStr">
        <is>
          <t>UCKZo4N0lVPccBkSiuyVh4yg</t>
        </is>
      </c>
      <c r="O2842" s="45" t="n">
        <v>41964.0125</v>
      </c>
      <c r="P2842" s="46" t="n">
        <v>41963</v>
      </c>
      <c r="Q2842" s="44" t="n">
        <v>430</v>
      </c>
      <c r="R2842" s="44" t="inlineStr">
        <is>
          <t>No Video ID yet</t>
        </is>
      </c>
      <c r="S2842" s="46" t="n"/>
      <c r="T2842" s="46" t="n"/>
      <c r="U2842" s="44" t="n"/>
      <c r="V2842" s="44">
        <f>IF(AND(P2842&gt;=Calendar!$K$2,P2842&lt;EDATE(Calendar!$K$2,1),OR(Calendar!$K$4="*",N2842=Calendar!$K$4)),P2842*100+COUNTIFS($P$6:$P$3271,P2842,$Q$6:$Q$3271,"&lt;="&amp;Q2842,$N$6:$N$3271,Calendar!$K$4),"")</f>
        <v/>
      </c>
      <c r="W2842" s="44">
        <f>IF(AND(B2842=Queue!$C$4,OR(Queue!$K$4="*",N2842=Queue!$K$4)),Q2842,"")</f>
        <v/>
      </c>
    </row>
    <row r="2843">
      <c r="A2843" s="35">
        <f>IF(M2843="","",HYPERLINK("https://www.youtube.com/watch?v="&amp;M2843,"▶"))</f>
        <v/>
      </c>
      <c r="B2843" s="36">
        <f>IF(C2843&lt;&gt;"",C2843,IF(P2843&lt;=IFERROR(INDEX(tblChannels[Watched Through],MATCH(N2843,tblChannels[Channel ID],0)),0),"Watched","Unwatched"))</f>
        <v/>
      </c>
      <c r="C2843" s="37" t="n"/>
      <c r="D2843" s="38" t="n"/>
      <c r="E2843" s="39" t="n">
        <v>41961.9</v>
      </c>
      <c r="F2843" s="47" t="inlineStr">
        <is>
          <t>Super Carlin Brothers</t>
        </is>
      </c>
      <c r="G2843" t="inlineStr">
        <is>
          <t>How to Relax</t>
        </is>
      </c>
      <c r="H2843" s="41" t="n">
        <v>0.003113425925925926</v>
      </c>
      <c r="I2843" s="42" t="n">
        <v>39057</v>
      </c>
      <c r="J2843" s="42" t="n">
        <v>942</v>
      </c>
      <c r="K2843" s="42" t="n">
        <v>192</v>
      </c>
      <c r="L2843" s="43" t="n"/>
      <c r="M2843" s="44" t="n"/>
      <c r="N2843" s="44" t="inlineStr">
        <is>
          <t>UCKZo4N0lVPccBkSiuyVh4yg</t>
        </is>
      </c>
      <c r="O2843" s="45" t="n">
        <v>41962.10833333333</v>
      </c>
      <c r="P2843" s="46" t="n">
        <v>41961</v>
      </c>
      <c r="Q2843" s="44" t="n">
        <v>429</v>
      </c>
      <c r="R2843" s="44" t="inlineStr">
        <is>
          <t>No Video ID yet</t>
        </is>
      </c>
      <c r="S2843" s="46" t="n"/>
      <c r="T2843" s="46" t="n"/>
      <c r="U2843" s="44" t="n"/>
      <c r="V2843" s="44">
        <f>IF(AND(P2843&gt;=Calendar!$K$2,P2843&lt;EDATE(Calendar!$K$2,1),OR(Calendar!$K$4="*",N2843=Calendar!$K$4)),P2843*100+COUNTIFS($P$6:$P$3271,P2843,$Q$6:$Q$3271,"&lt;="&amp;Q2843,$N$6:$N$3271,Calendar!$K$4),"")</f>
        <v/>
      </c>
      <c r="W2843" s="44">
        <f>IF(AND(B2843=Queue!$C$4,OR(Queue!$K$4="*",N2843=Queue!$K$4)),Q2843,"")</f>
        <v/>
      </c>
    </row>
    <row r="2844">
      <c r="A2844" s="35">
        <f>IF(M2844="","",HYPERLINK("https://www.youtube.com/watch?v="&amp;M2844,"▶"))</f>
        <v/>
      </c>
      <c r="B2844" s="36">
        <f>IF(C2844&lt;&gt;"",C2844,IF(P2844&lt;=IFERROR(INDEX(tblChannels[Watched Through],MATCH(N2844,tblChannels[Channel ID],0)),0),"Watched","Unwatched"))</f>
        <v/>
      </c>
      <c r="C2844" s="37" t="n"/>
      <c r="D2844" s="38" t="n"/>
      <c r="E2844" s="39" t="n">
        <v>41956.80763888889</v>
      </c>
      <c r="F2844" s="47" t="inlineStr">
        <is>
          <t>Super Carlin Brothers</t>
        </is>
      </c>
      <c r="G2844" t="inlineStr">
        <is>
          <t>Middle Child SYNDROME</t>
        </is>
      </c>
      <c r="H2844" s="41" t="n">
        <v>0.003090277777777778</v>
      </c>
      <c r="I2844" s="42" t="n">
        <v>145383</v>
      </c>
      <c r="J2844" s="42" t="n">
        <v>3384</v>
      </c>
      <c r="K2844" s="42" t="n">
        <v>1442</v>
      </c>
      <c r="L2844" s="43" t="n"/>
      <c r="M2844" s="44" t="n"/>
      <c r="N2844" s="44" t="inlineStr">
        <is>
          <t>UCKZo4N0lVPccBkSiuyVh4yg</t>
        </is>
      </c>
      <c r="O2844" s="45" t="n">
        <v>41957.01597222222</v>
      </c>
      <c r="P2844" s="46" t="n">
        <v>41956</v>
      </c>
      <c r="Q2844" s="44" t="n">
        <v>428</v>
      </c>
      <c r="R2844" s="44" t="inlineStr">
        <is>
          <t>No Video ID yet</t>
        </is>
      </c>
      <c r="S2844" s="46" t="n"/>
      <c r="T2844" s="46" t="n"/>
      <c r="U2844" s="44" t="n"/>
      <c r="V2844" s="44">
        <f>IF(AND(P2844&gt;=Calendar!$K$2,P2844&lt;EDATE(Calendar!$K$2,1),OR(Calendar!$K$4="*",N2844=Calendar!$K$4)),P2844*100+COUNTIFS($P$6:$P$3271,P2844,$Q$6:$Q$3271,"&lt;="&amp;Q2844,$N$6:$N$3271,Calendar!$K$4),"")</f>
        <v/>
      </c>
      <c r="W2844" s="44">
        <f>IF(AND(B2844=Queue!$C$4,OR(Queue!$K$4="*",N2844=Queue!$K$4)),Q2844,"")</f>
        <v/>
      </c>
    </row>
    <row r="2845">
      <c r="A2845" s="35">
        <f>IF(M2845="","",HYPERLINK("https://www.youtube.com/watch?v="&amp;M2845,"▶"))</f>
        <v/>
      </c>
      <c r="B2845" s="36">
        <f>IF(C2845&lt;&gt;"",C2845,IF(P2845&lt;=IFERROR(INDEX(tblChannels[Watched Through],MATCH(N2845,tblChannels[Channel ID],0)),0),"Watched","Unwatched"))</f>
        <v/>
      </c>
      <c r="C2845" s="37" t="n"/>
      <c r="D2845" s="38" t="n"/>
      <c r="E2845" s="39" t="n">
        <v>41954.92083333333</v>
      </c>
      <c r="F2845" s="47" t="inlineStr">
        <is>
          <t>Super Carlin Brothers</t>
        </is>
      </c>
      <c r="G2845" t="inlineStr">
        <is>
          <t>Fear vs Phobia</t>
        </is>
      </c>
      <c r="H2845" s="41" t="n">
        <v>0.003611111111111111</v>
      </c>
      <c r="I2845" s="42" t="n">
        <v>236509</v>
      </c>
      <c r="J2845" s="42" t="n">
        <v>5355</v>
      </c>
      <c r="K2845" s="42" t="n">
        <v>2825</v>
      </c>
      <c r="L2845" s="43" t="n"/>
      <c r="M2845" s="44" t="n"/>
      <c r="N2845" s="44" t="inlineStr">
        <is>
          <t>UCKZo4N0lVPccBkSiuyVh4yg</t>
        </is>
      </c>
      <c r="O2845" s="45" t="n">
        <v>41955.12916666667</v>
      </c>
      <c r="P2845" s="46" t="n">
        <v>41954</v>
      </c>
      <c r="Q2845" s="44" t="n">
        <v>427</v>
      </c>
      <c r="R2845" s="44" t="inlineStr">
        <is>
          <t>No Video ID yet</t>
        </is>
      </c>
      <c r="S2845" s="46" t="n"/>
      <c r="T2845" s="46" t="n"/>
      <c r="U2845" s="44" t="n"/>
      <c r="V2845" s="44">
        <f>IF(AND(P2845&gt;=Calendar!$K$2,P2845&lt;EDATE(Calendar!$K$2,1),OR(Calendar!$K$4="*",N2845=Calendar!$K$4)),P2845*100+COUNTIFS($P$6:$P$3271,P2845,$Q$6:$Q$3271,"&lt;="&amp;Q2845,$N$6:$N$3271,Calendar!$K$4),"")</f>
        <v/>
      </c>
      <c r="W2845" s="44">
        <f>IF(AND(B2845=Queue!$C$4,OR(Queue!$K$4="*",N2845=Queue!$K$4)),Q2845,"")</f>
        <v/>
      </c>
    </row>
    <row r="2846">
      <c r="A2846" s="35">
        <f>IF(M2846="","",HYPERLINK("https://www.youtube.com/watch?v="&amp;M2846,"▶"))</f>
        <v/>
      </c>
      <c r="B2846" s="36">
        <f>IF(C2846&lt;&gt;"",C2846,IF(P2846&lt;=IFERROR(INDEX(tblChannels[Watched Through],MATCH(N2846,tblChannels[Channel ID],0)),0),"Watched","Unwatched"))</f>
        <v/>
      </c>
      <c r="C2846" s="37" t="n"/>
      <c r="D2846" s="38" t="n"/>
      <c r="E2846" s="39" t="n">
        <v>41949.87083333333</v>
      </c>
      <c r="F2846" s="47" t="inlineStr">
        <is>
          <t>Super Carlin Brothers</t>
        </is>
      </c>
      <c r="G2846" t="inlineStr">
        <is>
          <t>Batman Politics!</t>
        </is>
      </c>
      <c r="H2846" s="41" t="n">
        <v>0.00318287037037037</v>
      </c>
      <c r="I2846" s="42" t="n">
        <v>41647</v>
      </c>
      <c r="J2846" s="42" t="n">
        <v>962</v>
      </c>
      <c r="K2846" s="42" t="n">
        <v>141</v>
      </c>
      <c r="L2846" s="43" t="n"/>
      <c r="M2846" s="44" t="n"/>
      <c r="N2846" s="44" t="inlineStr">
        <is>
          <t>UCKZo4N0lVPccBkSiuyVh4yg</t>
        </is>
      </c>
      <c r="O2846" s="45" t="n">
        <v>41950.07916666667</v>
      </c>
      <c r="P2846" s="46" t="n">
        <v>41949</v>
      </c>
      <c r="Q2846" s="44" t="n">
        <v>426</v>
      </c>
      <c r="R2846" s="44" t="inlineStr">
        <is>
          <t>No Video ID yet</t>
        </is>
      </c>
      <c r="S2846" s="46" t="n"/>
      <c r="T2846" s="46" t="n"/>
      <c r="U2846" s="44" t="n"/>
      <c r="V2846" s="44">
        <f>IF(AND(P2846&gt;=Calendar!$K$2,P2846&lt;EDATE(Calendar!$K$2,1),OR(Calendar!$K$4="*",N2846=Calendar!$K$4)),P2846*100+COUNTIFS($P$6:$P$3271,P2846,$Q$6:$Q$3271,"&lt;="&amp;Q2846,$N$6:$N$3271,Calendar!$K$4),"")</f>
        <v/>
      </c>
      <c r="W2846" s="44">
        <f>IF(AND(B2846=Queue!$C$4,OR(Queue!$K$4="*",N2846=Queue!$K$4)),Q2846,"")</f>
        <v/>
      </c>
    </row>
    <row r="2847">
      <c r="A2847" s="35">
        <f>IF(M2847="","",HYPERLINK("https://www.youtube.com/watch?v="&amp;M2847,"▶"))</f>
        <v/>
      </c>
      <c r="B2847" s="36">
        <f>IF(C2847&lt;&gt;"",C2847,IF(P2847&lt;=IFERROR(INDEX(tblChannels[Watched Through],MATCH(N2847,tblChannels[Channel ID],0)),0),"Watched","Unwatched"))</f>
        <v/>
      </c>
      <c r="C2847" s="37" t="n"/>
      <c r="D2847" s="38" t="n"/>
      <c r="E2847" s="39" t="n">
        <v>41949.18055555555</v>
      </c>
      <c r="F2847" s="49" t="inlineStr">
        <is>
          <t>Super Carlin Gaming</t>
        </is>
      </c>
      <c r="G2847" t="inlineStr">
        <is>
          <t>Pokemon FireRed Nuzlocke Challenge #24: I HATE PEACHES</t>
        </is>
      </c>
      <c r="H2847" s="41" t="n">
        <v>0.01033564814814815</v>
      </c>
      <c r="I2847" s="42" t="n">
        <v>29707</v>
      </c>
      <c r="J2847" s="42" t="n">
        <v>582</v>
      </c>
      <c r="K2847" s="42" t="n">
        <v>310</v>
      </c>
      <c r="L2847" s="43" t="n"/>
      <c r="M2847" s="44" t="n"/>
      <c r="N2847" s="44" t="inlineStr">
        <is>
          <t>UCor_9jRnNNZVzTuQ92PKsaQ</t>
        </is>
      </c>
      <c r="O2847" s="45" t="n">
        <v>41949.38888888889</v>
      </c>
      <c r="P2847" s="46" t="n">
        <v>41949</v>
      </c>
      <c r="Q2847" s="44" t="n">
        <v>425</v>
      </c>
      <c r="R2847" s="44" t="inlineStr">
        <is>
          <t>No Video ID yet</t>
        </is>
      </c>
      <c r="S2847" s="46" t="n"/>
      <c r="T2847" s="46" t="n"/>
      <c r="U2847" s="44" t="n"/>
      <c r="V2847" s="44">
        <f>IF(AND(P2847&gt;=Calendar!$K$2,P2847&lt;EDATE(Calendar!$K$2,1),OR(Calendar!$K$4="*",N2847=Calendar!$K$4)),P2847*100+COUNTIFS($P$6:$P$3271,P2847,$Q$6:$Q$3271,"&lt;="&amp;Q2847,$N$6:$N$3271,Calendar!$K$4),"")</f>
        <v/>
      </c>
      <c r="W2847" s="44">
        <f>IF(AND(B2847=Queue!$C$4,OR(Queue!$K$4="*",N2847=Queue!$K$4)),Q2847,"")</f>
        <v/>
      </c>
    </row>
    <row r="2848">
      <c r="A2848" s="35">
        <f>IF(M2848="","",HYPERLINK("https://www.youtube.com/watch?v="&amp;M2848,"▶"))</f>
        <v/>
      </c>
      <c r="B2848" s="36">
        <f>IF(C2848&lt;&gt;"",C2848,IF(P2848&lt;=IFERROR(INDEX(tblChannels[Watched Through],MATCH(N2848,tblChannels[Channel ID],0)),0),"Watched","Unwatched"))</f>
        <v/>
      </c>
      <c r="C2848" s="37" t="n"/>
      <c r="D2848" s="38" t="n"/>
      <c r="E2848" s="39" t="n">
        <v>41947.91875</v>
      </c>
      <c r="F2848" s="47" t="inlineStr">
        <is>
          <t>Super Carlin Brothers</t>
        </is>
      </c>
      <c r="G2848" t="inlineStr">
        <is>
          <t>Does Darth Vader Google Autofill</t>
        </is>
      </c>
      <c r="H2848" s="41" t="n">
        <v>0.004861111111111111</v>
      </c>
      <c r="I2848" s="42" t="n">
        <v>310917</v>
      </c>
      <c r="J2848" s="42" t="n">
        <v>7182</v>
      </c>
      <c r="K2848" s="42" t="n">
        <v>1383</v>
      </c>
      <c r="L2848" s="43" t="n"/>
      <c r="M2848" s="44" t="n"/>
      <c r="N2848" s="44" t="inlineStr">
        <is>
          <t>UCKZo4N0lVPccBkSiuyVh4yg</t>
        </is>
      </c>
      <c r="O2848" s="45" t="n">
        <v>41948.12708333333</v>
      </c>
      <c r="P2848" s="46" t="n">
        <v>41947</v>
      </c>
      <c r="Q2848" s="44" t="n">
        <v>424</v>
      </c>
      <c r="R2848" s="44" t="inlineStr">
        <is>
          <t>No Video ID yet</t>
        </is>
      </c>
      <c r="S2848" s="46" t="n"/>
      <c r="T2848" s="46" t="n"/>
      <c r="U2848" s="44" t="n"/>
      <c r="V2848" s="44">
        <f>IF(AND(P2848&gt;=Calendar!$K$2,P2848&lt;EDATE(Calendar!$K$2,1),OR(Calendar!$K$4="*",N2848=Calendar!$K$4)),P2848*100+COUNTIFS($P$6:$P$3271,P2848,$Q$6:$Q$3271,"&lt;="&amp;Q2848,$N$6:$N$3271,Calendar!$K$4),"")</f>
        <v/>
      </c>
      <c r="W2848" s="44">
        <f>IF(AND(B2848=Queue!$C$4,OR(Queue!$K$4="*",N2848=Queue!$K$4)),Q2848,"")</f>
        <v/>
      </c>
    </row>
    <row r="2849">
      <c r="A2849" s="35">
        <f>IF(M2849="","",HYPERLINK("https://www.youtube.com/watch?v="&amp;M2849,"▶"))</f>
        <v/>
      </c>
      <c r="B2849" s="36">
        <f>IF(C2849&lt;&gt;"",C2849,IF(P2849&lt;=IFERROR(INDEX(tblChannels[Watched Through],MATCH(N2849,tblChannels[Channel ID],0)),0),"Watched","Unwatched"))</f>
        <v/>
      </c>
      <c r="C2849" s="37" t="n"/>
      <c r="D2849" s="38" t="n"/>
      <c r="E2849" s="39" t="n">
        <v>41942.87986111111</v>
      </c>
      <c r="F2849" s="47" t="inlineStr">
        <is>
          <t>Super Carlin Brothers</t>
        </is>
      </c>
      <c r="G2849" t="inlineStr">
        <is>
          <t>What is a Giraffalent?!</t>
        </is>
      </c>
      <c r="H2849" s="41" t="n">
        <v>0.003217592592592593</v>
      </c>
      <c r="I2849" s="42" t="n">
        <v>54909</v>
      </c>
      <c r="J2849" s="42" t="n">
        <v>1085</v>
      </c>
      <c r="K2849" s="42" t="n">
        <v>128</v>
      </c>
      <c r="L2849" s="43" t="n"/>
      <c r="M2849" s="44" t="n"/>
      <c r="N2849" s="44" t="inlineStr">
        <is>
          <t>UCKZo4N0lVPccBkSiuyVh4yg</t>
        </is>
      </c>
      <c r="O2849" s="45" t="n">
        <v>41943.04652777778</v>
      </c>
      <c r="P2849" s="46" t="n">
        <v>41942</v>
      </c>
      <c r="Q2849" s="44" t="n">
        <v>423</v>
      </c>
      <c r="R2849" s="44" t="inlineStr">
        <is>
          <t>No Video ID yet</t>
        </is>
      </c>
      <c r="S2849" s="46" t="n"/>
      <c r="T2849" s="46" t="n"/>
      <c r="U2849" s="44" t="n"/>
      <c r="V2849" s="44">
        <f>IF(AND(P2849&gt;=Calendar!$K$2,P2849&lt;EDATE(Calendar!$K$2,1),OR(Calendar!$K$4="*",N2849=Calendar!$K$4)),P2849*100+COUNTIFS($P$6:$P$3271,P2849,$Q$6:$Q$3271,"&lt;="&amp;Q2849,$N$6:$N$3271,Calendar!$K$4),"")</f>
        <v/>
      </c>
      <c r="W2849" s="44">
        <f>IF(AND(B2849=Queue!$C$4,OR(Queue!$K$4="*",N2849=Queue!$K$4)),Q2849,"")</f>
        <v/>
      </c>
    </row>
    <row r="2850">
      <c r="A2850" s="35">
        <f>IF(M2850="","",HYPERLINK("https://www.youtube.com/watch?v="&amp;M2850,"▶"))</f>
        <v/>
      </c>
      <c r="B2850" s="36">
        <f>IF(C2850&lt;&gt;"",C2850,IF(P2850&lt;=IFERROR(INDEX(tblChannels[Watched Through],MATCH(N2850,tblChannels[Channel ID],0)),0),"Watched","Unwatched"))</f>
        <v/>
      </c>
      <c r="C2850" s="37" t="n"/>
      <c r="D2850" s="38" t="n"/>
      <c r="E2850" s="39" t="n">
        <v>41940.99583333333</v>
      </c>
      <c r="F2850" s="47" t="inlineStr">
        <is>
          <t>Super Carlin Brothers</t>
        </is>
      </c>
      <c r="G2850" t="inlineStr">
        <is>
          <t>Who is Doctor Strange?</t>
        </is>
      </c>
      <c r="H2850" s="41" t="n">
        <v>0.004699074074074074</v>
      </c>
      <c r="I2850" s="42" t="n">
        <v>184477</v>
      </c>
      <c r="J2850" s="42" t="n">
        <v>3829</v>
      </c>
      <c r="K2850" s="42" t="n">
        <v>563</v>
      </c>
      <c r="L2850" s="43" t="n"/>
      <c r="M2850" s="44" t="n"/>
      <c r="N2850" s="44" t="inlineStr">
        <is>
          <t>UCKZo4N0lVPccBkSiuyVh4yg</t>
        </is>
      </c>
      <c r="O2850" s="45" t="n">
        <v>41941.1625</v>
      </c>
      <c r="P2850" s="46" t="n">
        <v>41940</v>
      </c>
      <c r="Q2850" s="44" t="n">
        <v>422</v>
      </c>
      <c r="R2850" s="44" t="inlineStr">
        <is>
          <t>No Video ID yet</t>
        </is>
      </c>
      <c r="S2850" s="46" t="n"/>
      <c r="T2850" s="46" t="n"/>
      <c r="U2850" s="44" t="n"/>
      <c r="V2850" s="44">
        <f>IF(AND(P2850&gt;=Calendar!$K$2,P2850&lt;EDATE(Calendar!$K$2,1),OR(Calendar!$K$4="*",N2850=Calendar!$K$4)),P2850*100+COUNTIFS($P$6:$P$3271,P2850,$Q$6:$Q$3271,"&lt;="&amp;Q2850,$N$6:$N$3271,Calendar!$K$4),"")</f>
        <v/>
      </c>
      <c r="W2850" s="44">
        <f>IF(AND(B2850=Queue!$C$4,OR(Queue!$K$4="*",N2850=Queue!$K$4)),Q2850,"")</f>
        <v/>
      </c>
    </row>
    <row r="2851">
      <c r="A2851" s="35">
        <f>IF(M2851="","",HYPERLINK("https://www.youtube.com/watch?v="&amp;M2851,"▶"))</f>
        <v/>
      </c>
      <c r="B2851" s="36">
        <f>IF(C2851&lt;&gt;"",C2851,IF(P2851&lt;=IFERROR(INDEX(tblChannels[Watched Through],MATCH(N2851,tblChannels[Channel ID],0)),0),"Watched","Unwatched"))</f>
        <v/>
      </c>
      <c r="C2851" s="37" t="n"/>
      <c r="D2851" s="38" t="n"/>
      <c r="E2851" s="39" t="n">
        <v>41935.97430555556</v>
      </c>
      <c r="F2851" s="47" t="inlineStr">
        <is>
          <t>Super Carlin Brothers</t>
        </is>
      </c>
      <c r="G2851" t="inlineStr">
        <is>
          <t>Rated R Pixar: Finding Nemo</t>
        </is>
      </c>
      <c r="H2851" s="41" t="n">
        <v>0.005763888888888889</v>
      </c>
      <c r="I2851" s="42" t="n">
        <v>879793</v>
      </c>
      <c r="J2851" s="42" t="n">
        <v>11238</v>
      </c>
      <c r="K2851" s="42" t="n">
        <v>1032</v>
      </c>
      <c r="L2851" s="43" t="n"/>
      <c r="M2851" s="44" t="n"/>
      <c r="N2851" s="44" t="inlineStr">
        <is>
          <t>UCKZo4N0lVPccBkSiuyVh4yg</t>
        </is>
      </c>
      <c r="O2851" s="45" t="n">
        <v>41936.14097222222</v>
      </c>
      <c r="P2851" s="46" t="n">
        <v>41935</v>
      </c>
      <c r="Q2851" s="44" t="n">
        <v>421</v>
      </c>
      <c r="R2851" s="44" t="inlineStr">
        <is>
          <t>No Video ID yet</t>
        </is>
      </c>
      <c r="S2851" s="46" t="n"/>
      <c r="T2851" s="46" t="n"/>
      <c r="U2851" s="44" t="n"/>
      <c r="V2851" s="44">
        <f>IF(AND(P2851&gt;=Calendar!$K$2,P2851&lt;EDATE(Calendar!$K$2,1),OR(Calendar!$K$4="*",N2851=Calendar!$K$4)),P2851*100+COUNTIFS($P$6:$P$3271,P2851,$Q$6:$Q$3271,"&lt;="&amp;Q2851,$N$6:$N$3271,Calendar!$K$4),"")</f>
        <v/>
      </c>
      <c r="W2851" s="44">
        <f>IF(AND(B2851=Queue!$C$4,OR(Queue!$K$4="*",N2851=Queue!$K$4)),Q2851,"")</f>
        <v/>
      </c>
    </row>
    <row r="2852">
      <c r="A2852" s="35">
        <f>IF(M2852="","",HYPERLINK("https://www.youtube.com/watch?v="&amp;M2852,"▶"))</f>
        <v/>
      </c>
      <c r="B2852" s="36">
        <f>IF(C2852&lt;&gt;"",C2852,IF(P2852&lt;=IFERROR(INDEX(tblChannels[Watched Through],MATCH(N2852,tblChannels[Channel ID],0)),0),"Watched","Unwatched"))</f>
        <v/>
      </c>
      <c r="C2852" s="37" t="n"/>
      <c r="D2852" s="38" t="n"/>
      <c r="E2852" s="39" t="n">
        <v>41933.96388888889</v>
      </c>
      <c r="F2852" s="47" t="inlineStr">
        <is>
          <t>Super Carlin Brothers</t>
        </is>
      </c>
      <c r="G2852" t="inlineStr">
        <is>
          <t>Loot Crate UNBOXING - FEAR</t>
        </is>
      </c>
      <c r="H2852" s="41" t="n">
        <v>0.005046296296296296</v>
      </c>
      <c r="I2852" s="42" t="n">
        <v>71544</v>
      </c>
      <c r="J2852" s="42" t="n">
        <v>1311</v>
      </c>
      <c r="K2852" s="42" t="n">
        <v>139</v>
      </c>
      <c r="L2852" s="43" t="n"/>
      <c r="M2852" s="44" t="n"/>
      <c r="N2852" s="44" t="inlineStr">
        <is>
          <t>UCKZo4N0lVPccBkSiuyVh4yg</t>
        </is>
      </c>
      <c r="O2852" s="45" t="n">
        <v>41934.13055555556</v>
      </c>
      <c r="P2852" s="46" t="n">
        <v>41933</v>
      </c>
      <c r="Q2852" s="44" t="n">
        <v>420</v>
      </c>
      <c r="R2852" s="44" t="inlineStr">
        <is>
          <t>No Video ID yet</t>
        </is>
      </c>
      <c r="S2852" s="46" t="n"/>
      <c r="T2852" s="46" t="n"/>
      <c r="U2852" s="44" t="n"/>
      <c r="V2852" s="44">
        <f>IF(AND(P2852&gt;=Calendar!$K$2,P2852&lt;EDATE(Calendar!$K$2,1),OR(Calendar!$K$4="*",N2852=Calendar!$K$4)),P2852*100+COUNTIFS($P$6:$P$3271,P2852,$Q$6:$Q$3271,"&lt;="&amp;Q2852,$N$6:$N$3271,Calendar!$K$4),"")</f>
        <v/>
      </c>
      <c r="W2852" s="44">
        <f>IF(AND(B2852=Queue!$C$4,OR(Queue!$K$4="*",N2852=Queue!$K$4)),Q2852,"")</f>
        <v/>
      </c>
    </row>
    <row r="2853">
      <c r="A2853" s="35">
        <f>IF(M2853="","",HYPERLINK("https://www.youtube.com/watch?v="&amp;M2853,"▶"))</f>
        <v/>
      </c>
      <c r="B2853" s="36">
        <f>IF(C2853&lt;&gt;"",C2853,IF(P2853&lt;=IFERROR(INDEX(tblChannels[Watched Through],MATCH(N2853,tblChannels[Channel ID],0)),0),"Watched","Unwatched"))</f>
        <v/>
      </c>
      <c r="C2853" s="37" t="n"/>
      <c r="D2853" s="38" t="n"/>
      <c r="E2853" s="39" t="n">
        <v>41928.86805555555</v>
      </c>
      <c r="F2853" s="47" t="inlineStr">
        <is>
          <t>Super Carlin Brothers</t>
        </is>
      </c>
      <c r="G2853" t="inlineStr">
        <is>
          <t>COFFEE TIPS?!</t>
        </is>
      </c>
      <c r="H2853" s="41" t="n">
        <v>0.002824074074074074</v>
      </c>
      <c r="I2853" s="42" t="n">
        <v>10984</v>
      </c>
      <c r="J2853" s="42" t="n">
        <v>273</v>
      </c>
      <c r="K2853" s="42" t="n">
        <v>78</v>
      </c>
      <c r="L2853" s="43" t="n"/>
      <c r="M2853" s="44" t="n"/>
      <c r="N2853" s="44" t="inlineStr">
        <is>
          <t>UCKZo4N0lVPccBkSiuyVh4yg</t>
        </is>
      </c>
      <c r="O2853" s="45" t="n">
        <v>41929.03472222222</v>
      </c>
      <c r="P2853" s="46" t="n">
        <v>41928</v>
      </c>
      <c r="Q2853" s="44" t="n">
        <v>419</v>
      </c>
      <c r="R2853" s="44" t="inlineStr">
        <is>
          <t>No Video ID yet</t>
        </is>
      </c>
      <c r="S2853" s="46" t="n"/>
      <c r="T2853" s="46" t="n"/>
      <c r="U2853" s="44" t="n"/>
      <c r="V2853" s="44">
        <f>IF(AND(P2853&gt;=Calendar!$K$2,P2853&lt;EDATE(Calendar!$K$2,1),OR(Calendar!$K$4="*",N2853=Calendar!$K$4)),P2853*100+COUNTIFS($P$6:$P$3271,P2853,$Q$6:$Q$3271,"&lt;="&amp;Q2853,$N$6:$N$3271,Calendar!$K$4),"")</f>
        <v/>
      </c>
      <c r="W2853" s="44">
        <f>IF(AND(B2853=Queue!$C$4,OR(Queue!$K$4="*",N2853=Queue!$K$4)),Q2853,"")</f>
        <v/>
      </c>
    </row>
    <row r="2854">
      <c r="A2854" s="35">
        <f>IF(M2854="","",HYPERLINK("https://www.youtube.com/watch?v="&amp;M2854,"▶"))</f>
        <v/>
      </c>
      <c r="B2854" s="36">
        <f>IF(C2854&lt;&gt;"",C2854,IF(P2854&lt;=IFERROR(INDEX(tblChannels[Watched Through],MATCH(N2854,tblChannels[Channel ID],0)),0),"Watched","Unwatched"))</f>
        <v/>
      </c>
      <c r="C2854" s="37" t="n"/>
      <c r="D2854" s="38" t="n"/>
      <c r="E2854" s="39" t="n">
        <v>41926.88819444444</v>
      </c>
      <c r="F2854" s="47" t="inlineStr">
        <is>
          <t>Super Carlin Brothers</t>
        </is>
      </c>
      <c r="G2854" t="inlineStr">
        <is>
          <t>How to Sleep - The Early Bird Paradox</t>
        </is>
      </c>
      <c r="H2854" s="41" t="n">
        <v>0.0034375</v>
      </c>
      <c r="I2854" s="42" t="n">
        <v>194980</v>
      </c>
      <c r="J2854" s="42" t="n">
        <v>3696</v>
      </c>
      <c r="K2854" s="42" t="n">
        <v>888</v>
      </c>
      <c r="L2854" s="43" t="n"/>
      <c r="M2854" s="44" t="n"/>
      <c r="N2854" s="44" t="inlineStr">
        <is>
          <t>UCKZo4N0lVPccBkSiuyVh4yg</t>
        </is>
      </c>
      <c r="O2854" s="45" t="n">
        <v>41927.05486111111</v>
      </c>
      <c r="P2854" s="46" t="n">
        <v>41926</v>
      </c>
      <c r="Q2854" s="44" t="n">
        <v>418</v>
      </c>
      <c r="R2854" s="44" t="inlineStr">
        <is>
          <t>No Video ID yet</t>
        </is>
      </c>
      <c r="S2854" s="46" t="n"/>
      <c r="T2854" s="46" t="n"/>
      <c r="U2854" s="44" t="n"/>
      <c r="V2854" s="44">
        <f>IF(AND(P2854&gt;=Calendar!$K$2,P2854&lt;EDATE(Calendar!$K$2,1),OR(Calendar!$K$4="*",N2854=Calendar!$K$4)),P2854*100+COUNTIFS($P$6:$P$3271,P2854,$Q$6:$Q$3271,"&lt;="&amp;Q2854,$N$6:$N$3271,Calendar!$K$4),"")</f>
        <v/>
      </c>
      <c r="W2854" s="44">
        <f>IF(AND(B2854=Queue!$C$4,OR(Queue!$K$4="*",N2854=Queue!$K$4)),Q2854,"")</f>
        <v/>
      </c>
    </row>
    <row r="2855">
      <c r="A2855" s="35">
        <f>IF(M2855="","",HYPERLINK("https://www.youtube.com/watch?v="&amp;M2855,"▶"))</f>
        <v/>
      </c>
      <c r="B2855" s="36">
        <f>IF(C2855&lt;&gt;"",C2855,IF(P2855&lt;=IFERROR(INDEX(tblChannels[Watched Through],MATCH(N2855,tblChannels[Channel ID],0)),0),"Watched","Unwatched"))</f>
        <v/>
      </c>
      <c r="C2855" s="37" t="n"/>
      <c r="D2855" s="38" t="n"/>
      <c r="E2855" s="39" t="n">
        <v>41921.96527777778</v>
      </c>
      <c r="F2855" s="47" t="inlineStr">
        <is>
          <t>Super Carlin Brothers</t>
        </is>
      </c>
      <c r="G2855" t="inlineStr">
        <is>
          <t>My Quarter Life Crisis!</t>
        </is>
      </c>
      <c r="H2855" s="41" t="n">
        <v>0.003657407407407407</v>
      </c>
      <c r="I2855" s="42" t="n">
        <v>15340</v>
      </c>
      <c r="J2855" s="42" t="n">
        <v>413</v>
      </c>
      <c r="K2855" s="42" t="n">
        <v>86</v>
      </c>
      <c r="L2855" s="43" t="n"/>
      <c r="M2855" s="44" t="n"/>
      <c r="N2855" s="44" t="inlineStr">
        <is>
          <t>UCKZo4N0lVPccBkSiuyVh4yg</t>
        </is>
      </c>
      <c r="O2855" s="45" t="n">
        <v>41922.13194444445</v>
      </c>
      <c r="P2855" s="46" t="n">
        <v>41921</v>
      </c>
      <c r="Q2855" s="44" t="n">
        <v>417</v>
      </c>
      <c r="R2855" s="44" t="inlineStr">
        <is>
          <t>No Video ID yet</t>
        </is>
      </c>
      <c r="S2855" s="46" t="n"/>
      <c r="T2855" s="46" t="n"/>
      <c r="U2855" s="44" t="n"/>
      <c r="V2855" s="44">
        <f>IF(AND(P2855&gt;=Calendar!$K$2,P2855&lt;EDATE(Calendar!$K$2,1),OR(Calendar!$K$4="*",N2855=Calendar!$K$4)),P2855*100+COUNTIFS($P$6:$P$3271,P2855,$Q$6:$Q$3271,"&lt;="&amp;Q2855,$N$6:$N$3271,Calendar!$K$4),"")</f>
        <v/>
      </c>
      <c r="W2855" s="44">
        <f>IF(AND(B2855=Queue!$C$4,OR(Queue!$K$4="*",N2855=Queue!$K$4)),Q2855,"")</f>
        <v/>
      </c>
    </row>
    <row r="2856">
      <c r="A2856" s="35">
        <f>IF(M2856="","",HYPERLINK("https://www.youtube.com/watch?v="&amp;M2856,"▶"))</f>
        <v/>
      </c>
      <c r="B2856" s="36">
        <f>IF(C2856&lt;&gt;"",C2856,IF(P2856&lt;=IFERROR(INDEX(tblChannels[Watched Through],MATCH(N2856,tblChannels[Channel ID],0)),0),"Watched","Unwatched"))</f>
        <v/>
      </c>
      <c r="C2856" s="37" t="n"/>
      <c r="D2856" s="38" t="n"/>
      <c r="E2856" s="39" t="n">
        <v>41919.92638888889</v>
      </c>
      <c r="F2856" s="47" t="inlineStr">
        <is>
          <t>Super Carlin Brothers</t>
        </is>
      </c>
      <c r="G2856" t="inlineStr">
        <is>
          <t>In Defense of Slytherin</t>
        </is>
      </c>
      <c r="H2856" s="41" t="n">
        <v>0.003472222222222222</v>
      </c>
      <c r="I2856" s="42" t="n">
        <v>1476840</v>
      </c>
      <c r="J2856" s="42" t="n">
        <v>33397</v>
      </c>
      <c r="K2856" s="42" t="n">
        <v>15791</v>
      </c>
      <c r="L2856" s="43" t="n"/>
      <c r="M2856" s="44" t="n"/>
      <c r="N2856" s="44" t="inlineStr">
        <is>
          <t>UCKZo4N0lVPccBkSiuyVh4yg</t>
        </is>
      </c>
      <c r="O2856" s="45" t="n">
        <v>41920.09305555555</v>
      </c>
      <c r="P2856" s="46" t="n">
        <v>41919</v>
      </c>
      <c r="Q2856" s="44" t="n">
        <v>416</v>
      </c>
      <c r="R2856" s="44" t="inlineStr">
        <is>
          <t>No Video ID yet</t>
        </is>
      </c>
      <c r="S2856" s="46" t="n"/>
      <c r="T2856" s="46" t="n"/>
      <c r="U2856" s="44" t="n"/>
      <c r="V2856" s="44">
        <f>IF(AND(P2856&gt;=Calendar!$K$2,P2856&lt;EDATE(Calendar!$K$2,1),OR(Calendar!$K$4="*",N2856=Calendar!$K$4)),P2856*100+COUNTIFS($P$6:$P$3271,P2856,$Q$6:$Q$3271,"&lt;="&amp;Q2856,$N$6:$N$3271,Calendar!$K$4),"")</f>
        <v/>
      </c>
      <c r="W2856" s="44">
        <f>IF(AND(B2856=Queue!$C$4,OR(Queue!$K$4="*",N2856=Queue!$K$4)),Q2856,"")</f>
        <v/>
      </c>
    </row>
    <row r="2857">
      <c r="A2857" s="35">
        <f>IF(M2857="","",HYPERLINK("https://www.youtube.com/watch?v="&amp;M2857,"▶"))</f>
        <v/>
      </c>
      <c r="B2857" s="36">
        <f>IF(C2857&lt;&gt;"",C2857,IF(P2857&lt;=IFERROR(INDEX(tblChannels[Watched Through],MATCH(N2857,tblChannels[Channel ID],0)),0),"Watched","Unwatched"))</f>
        <v/>
      </c>
      <c r="C2857" s="37" t="n"/>
      <c r="D2857" s="38" t="n"/>
      <c r="E2857" s="39" t="n">
        <v>41914.95347222222</v>
      </c>
      <c r="F2857" s="47" t="inlineStr">
        <is>
          <t>Super Carlin Brothers</t>
        </is>
      </c>
      <c r="G2857" t="inlineStr">
        <is>
          <t>THE LIONFISH INVASION</t>
        </is>
      </c>
      <c r="H2857" s="41" t="n">
        <v>0.002025462962962963</v>
      </c>
      <c r="I2857" s="42" t="n">
        <v>14183</v>
      </c>
      <c r="J2857" s="42" t="n">
        <v>409</v>
      </c>
      <c r="K2857" s="42" t="n">
        <v>77</v>
      </c>
      <c r="L2857" s="43" t="n"/>
      <c r="M2857" s="44" t="n"/>
      <c r="N2857" s="44" t="inlineStr">
        <is>
          <t>UCKZo4N0lVPccBkSiuyVh4yg</t>
        </is>
      </c>
      <c r="O2857" s="45" t="n">
        <v>41915.12013888889</v>
      </c>
      <c r="P2857" s="46" t="n">
        <v>41914</v>
      </c>
      <c r="Q2857" s="44" t="n">
        <v>415</v>
      </c>
      <c r="R2857" s="44" t="inlineStr">
        <is>
          <t>No Video ID yet</t>
        </is>
      </c>
      <c r="S2857" s="46" t="n"/>
      <c r="T2857" s="46" t="n"/>
      <c r="U2857" s="44" t="n"/>
      <c r="V2857" s="44">
        <f>IF(AND(P2857&gt;=Calendar!$K$2,P2857&lt;EDATE(Calendar!$K$2,1),OR(Calendar!$K$4="*",N2857=Calendar!$K$4)),P2857*100+COUNTIFS($P$6:$P$3271,P2857,$Q$6:$Q$3271,"&lt;="&amp;Q2857,$N$6:$N$3271,Calendar!$K$4),"")</f>
        <v/>
      </c>
      <c r="W2857" s="44">
        <f>IF(AND(B2857=Queue!$C$4,OR(Queue!$K$4="*",N2857=Queue!$K$4)),Q2857,"")</f>
        <v/>
      </c>
    </row>
    <row r="2858">
      <c r="A2858" s="35">
        <f>IF(M2858="","",HYPERLINK("https://www.youtube.com/watch?v="&amp;M2858,"▶"))</f>
        <v/>
      </c>
      <c r="B2858" s="36">
        <f>IF(C2858&lt;&gt;"",C2858,IF(P2858&lt;=IFERROR(INDEX(tblChannels[Watched Through],MATCH(N2858,tblChannels[Channel ID],0)),0),"Watched","Unwatched"))</f>
        <v/>
      </c>
      <c r="C2858" s="37" t="n"/>
      <c r="D2858" s="38" t="n"/>
      <c r="E2858" s="39" t="n">
        <v>41914.32569444444</v>
      </c>
      <c r="F2858" s="49" t="inlineStr">
        <is>
          <t>Super Carlin Gaming</t>
        </is>
      </c>
      <c r="G2858" t="inlineStr">
        <is>
          <t>Pokemon FireRed Nuzlocke Challenge #23: The Final Gym</t>
        </is>
      </c>
      <c r="H2858" s="41" t="n">
        <v>0.01034722222222222</v>
      </c>
      <c r="I2858" s="42" t="n">
        <v>22567</v>
      </c>
      <c r="J2858" s="42" t="n">
        <v>421</v>
      </c>
      <c r="K2858" s="42" t="n">
        <v>29</v>
      </c>
      <c r="L2858" s="43" t="n"/>
      <c r="M2858" s="44" t="n"/>
      <c r="N2858" s="44" t="inlineStr">
        <is>
          <t>UCor_9jRnNNZVzTuQ92PKsaQ</t>
        </is>
      </c>
      <c r="O2858" s="45" t="n">
        <v>41914.49236111111</v>
      </c>
      <c r="P2858" s="46" t="n">
        <v>41914</v>
      </c>
      <c r="Q2858" s="44" t="n">
        <v>414</v>
      </c>
      <c r="R2858" s="44" t="inlineStr">
        <is>
          <t>No Video ID yet</t>
        </is>
      </c>
      <c r="S2858" s="46" t="n"/>
      <c r="T2858" s="46" t="n"/>
      <c r="U2858" s="44" t="n"/>
      <c r="V2858" s="44">
        <f>IF(AND(P2858&gt;=Calendar!$K$2,P2858&lt;EDATE(Calendar!$K$2,1),OR(Calendar!$K$4="*",N2858=Calendar!$K$4)),P2858*100+COUNTIFS($P$6:$P$3271,P2858,$Q$6:$Q$3271,"&lt;="&amp;Q2858,$N$6:$N$3271,Calendar!$K$4),"")</f>
        <v/>
      </c>
      <c r="W2858" s="44">
        <f>IF(AND(B2858=Queue!$C$4,OR(Queue!$K$4="*",N2858=Queue!$K$4)),Q2858,"")</f>
        <v/>
      </c>
    </row>
    <row r="2859">
      <c r="A2859" s="35">
        <f>IF(M2859="","",HYPERLINK("https://www.youtube.com/watch?v="&amp;M2859,"▶"))</f>
        <v/>
      </c>
      <c r="B2859" s="36">
        <f>IF(C2859&lt;&gt;"",C2859,IF(P2859&lt;=IFERROR(INDEX(tblChannels[Watched Through],MATCH(N2859,tblChannels[Channel ID],0)),0),"Watched","Unwatched"))</f>
        <v/>
      </c>
      <c r="C2859" s="37" t="n"/>
      <c r="D2859" s="38" t="n"/>
      <c r="E2859" s="39" t="n">
        <v>41912.95902777778</v>
      </c>
      <c r="F2859" s="47" t="inlineStr">
        <is>
          <t>Super Carlin Brothers</t>
        </is>
      </c>
      <c r="G2859" t="inlineStr">
        <is>
          <t>Do Zombies Google Autofill</t>
        </is>
      </c>
      <c r="H2859" s="41" t="n">
        <v>0.00380787037037037</v>
      </c>
      <c r="I2859" s="42" t="n">
        <v>233976</v>
      </c>
      <c r="J2859" s="42" t="n">
        <v>3633</v>
      </c>
      <c r="K2859" s="42" t="n">
        <v>1307</v>
      </c>
      <c r="L2859" s="43" t="n"/>
      <c r="M2859" s="44" t="n"/>
      <c r="N2859" s="44" t="inlineStr">
        <is>
          <t>UCKZo4N0lVPccBkSiuyVh4yg</t>
        </is>
      </c>
      <c r="O2859" s="45" t="n">
        <v>41913.12569444445</v>
      </c>
      <c r="P2859" s="46" t="n">
        <v>41912</v>
      </c>
      <c r="Q2859" s="44" t="n">
        <v>413</v>
      </c>
      <c r="R2859" s="44" t="inlineStr">
        <is>
          <t>No Video ID yet</t>
        </is>
      </c>
      <c r="S2859" s="46" t="n"/>
      <c r="T2859" s="46" t="n"/>
      <c r="U2859" s="44" t="n"/>
      <c r="V2859" s="44">
        <f>IF(AND(P2859&gt;=Calendar!$K$2,P2859&lt;EDATE(Calendar!$K$2,1),OR(Calendar!$K$4="*",N2859=Calendar!$K$4)),P2859*100+COUNTIFS($P$6:$P$3271,P2859,$Q$6:$Q$3271,"&lt;="&amp;Q2859,$N$6:$N$3271,Calendar!$K$4),"")</f>
        <v/>
      </c>
      <c r="W2859" s="44">
        <f>IF(AND(B2859=Queue!$C$4,OR(Queue!$K$4="*",N2859=Queue!$K$4)),Q2859,"")</f>
        <v/>
      </c>
    </row>
    <row r="2860">
      <c r="A2860" s="35">
        <f>IF(M2860="","",HYPERLINK("https://www.youtube.com/watch?v="&amp;M2860,"▶"))</f>
        <v/>
      </c>
      <c r="B2860" s="36">
        <f>IF(C2860&lt;&gt;"",C2860,IF(P2860&lt;=IFERROR(INDEX(tblChannels[Watched Through],MATCH(N2860,tblChannels[Channel ID],0)),0),"Watched","Unwatched"))</f>
        <v/>
      </c>
      <c r="C2860" s="37" t="n"/>
      <c r="D2860" s="38" t="n"/>
      <c r="E2860" s="39" t="n">
        <v>41907.99791666667</v>
      </c>
      <c r="F2860" s="47" t="inlineStr">
        <is>
          <t>Super Carlin Brothers</t>
        </is>
      </c>
      <c r="G2860" t="inlineStr">
        <is>
          <t>Rated R Pixar: Monsters, Inc.</t>
        </is>
      </c>
      <c r="H2860" s="41" t="n">
        <v>0.003020833333333333</v>
      </c>
      <c r="I2860" s="42" t="n">
        <v>262625</v>
      </c>
      <c r="J2860" s="42" t="n">
        <v>3844</v>
      </c>
      <c r="K2860" s="42" t="n">
        <v>257</v>
      </c>
      <c r="L2860" s="43" t="n"/>
      <c r="M2860" s="44" t="n"/>
      <c r="N2860" s="44" t="inlineStr">
        <is>
          <t>UCKZo4N0lVPccBkSiuyVh4yg</t>
        </is>
      </c>
      <c r="O2860" s="45" t="n">
        <v>41908.16458333333</v>
      </c>
      <c r="P2860" s="46" t="n">
        <v>41907</v>
      </c>
      <c r="Q2860" s="44" t="n">
        <v>412</v>
      </c>
      <c r="R2860" s="44" t="inlineStr">
        <is>
          <t>No Video ID yet</t>
        </is>
      </c>
      <c r="S2860" s="46" t="n"/>
      <c r="T2860" s="46" t="n"/>
      <c r="U2860" s="44" t="n"/>
      <c r="V2860" s="44">
        <f>IF(AND(P2860&gt;=Calendar!$K$2,P2860&lt;EDATE(Calendar!$K$2,1),OR(Calendar!$K$4="*",N2860=Calendar!$K$4)),P2860*100+COUNTIFS($P$6:$P$3271,P2860,$Q$6:$Q$3271,"&lt;="&amp;Q2860,$N$6:$N$3271,Calendar!$K$4),"")</f>
        <v/>
      </c>
      <c r="W2860" s="44">
        <f>IF(AND(B2860=Queue!$C$4,OR(Queue!$K$4="*",N2860=Queue!$K$4)),Q2860,"")</f>
        <v/>
      </c>
    </row>
    <row r="2861">
      <c r="A2861" s="35">
        <f>IF(M2861="","",HYPERLINK("https://www.youtube.com/watch?v="&amp;M2861,"▶"))</f>
        <v/>
      </c>
      <c r="B2861" s="36">
        <f>IF(C2861&lt;&gt;"",C2861,IF(P2861&lt;=IFERROR(INDEX(tblChannels[Watched Through],MATCH(N2861,tblChannels[Channel ID],0)),0),"Watched","Unwatched"))</f>
        <v/>
      </c>
      <c r="C2861" s="37" t="n"/>
      <c r="D2861" s="38" t="n"/>
      <c r="E2861" s="39" t="n">
        <v>41905.96111111111</v>
      </c>
      <c r="F2861" s="47" t="inlineStr">
        <is>
          <t>Super Carlin Brothers</t>
        </is>
      </c>
      <c r="G2861" t="inlineStr">
        <is>
          <t>Loot Crate UNBOXING! - JUXTABROS!</t>
        </is>
      </c>
      <c r="H2861" s="41" t="n">
        <v>0.004178240740740741</v>
      </c>
      <c r="I2861" s="42" t="n">
        <v>61042</v>
      </c>
      <c r="J2861" s="42" t="n">
        <v>1065</v>
      </c>
      <c r="K2861" s="42" t="n">
        <v>153</v>
      </c>
      <c r="L2861" s="43" t="n"/>
      <c r="M2861" s="44" t="n"/>
      <c r="N2861" s="44" t="inlineStr">
        <is>
          <t>UCKZo4N0lVPccBkSiuyVh4yg</t>
        </is>
      </c>
      <c r="O2861" s="45" t="n">
        <v>41906.12777777778</v>
      </c>
      <c r="P2861" s="46" t="n">
        <v>41905</v>
      </c>
      <c r="Q2861" s="44" t="n">
        <v>411</v>
      </c>
      <c r="R2861" s="44" t="inlineStr">
        <is>
          <t>No Video ID yet</t>
        </is>
      </c>
      <c r="S2861" s="46" t="n"/>
      <c r="T2861" s="46" t="n"/>
      <c r="U2861" s="44" t="n"/>
      <c r="V2861" s="44">
        <f>IF(AND(P2861&gt;=Calendar!$K$2,P2861&lt;EDATE(Calendar!$K$2,1),OR(Calendar!$K$4="*",N2861=Calendar!$K$4)),P2861*100+COUNTIFS($P$6:$P$3271,P2861,$Q$6:$Q$3271,"&lt;="&amp;Q2861,$N$6:$N$3271,Calendar!$K$4),"")</f>
        <v/>
      </c>
      <c r="W2861" s="44">
        <f>IF(AND(B2861=Queue!$C$4,OR(Queue!$K$4="*",N2861=Queue!$K$4)),Q2861,"")</f>
        <v/>
      </c>
    </row>
    <row r="2862">
      <c r="A2862" s="35">
        <f>IF(M2862="","",HYPERLINK("https://www.youtube.com/watch?v="&amp;M2862,"▶"))</f>
        <v/>
      </c>
      <c r="B2862" s="36">
        <f>IF(C2862&lt;&gt;"",C2862,IF(P2862&lt;=IFERROR(INDEX(tblChannels[Watched Through],MATCH(N2862,tblChannels[Channel ID],0)),0),"Watched","Unwatched"))</f>
        <v/>
      </c>
      <c r="C2862" s="37" t="n"/>
      <c r="D2862" s="38" t="n"/>
      <c r="E2862" s="39" t="n">
        <v>41900.95486111111</v>
      </c>
      <c r="F2862" s="47" t="inlineStr">
        <is>
          <t>Super Carlin Brothers</t>
        </is>
      </c>
      <c r="G2862" t="inlineStr">
        <is>
          <t>A Common Vlog</t>
        </is>
      </c>
      <c r="H2862" s="41" t="n">
        <v>0.00244212962962963</v>
      </c>
      <c r="I2862" s="42" t="n">
        <v>10878</v>
      </c>
      <c r="J2862" s="42" t="n">
        <v>270</v>
      </c>
      <c r="K2862" s="42" t="n">
        <v>139</v>
      </c>
      <c r="L2862" s="43" t="n"/>
      <c r="M2862" s="44" t="n"/>
      <c r="N2862" s="44" t="inlineStr">
        <is>
          <t>UCKZo4N0lVPccBkSiuyVh4yg</t>
        </is>
      </c>
      <c r="O2862" s="45" t="n">
        <v>41901.12152777778</v>
      </c>
      <c r="P2862" s="46" t="n">
        <v>41900</v>
      </c>
      <c r="Q2862" s="44" t="n">
        <v>410</v>
      </c>
      <c r="R2862" s="44" t="inlineStr">
        <is>
          <t>No Video ID yet</t>
        </is>
      </c>
      <c r="S2862" s="46" t="n"/>
      <c r="T2862" s="46" t="n"/>
      <c r="U2862" s="44" t="n"/>
      <c r="V2862" s="44">
        <f>IF(AND(P2862&gt;=Calendar!$K$2,P2862&lt;EDATE(Calendar!$K$2,1),OR(Calendar!$K$4="*",N2862=Calendar!$K$4)),P2862*100+COUNTIFS($P$6:$P$3271,P2862,$Q$6:$Q$3271,"&lt;="&amp;Q2862,$N$6:$N$3271,Calendar!$K$4),"")</f>
        <v/>
      </c>
      <c r="W2862" s="44">
        <f>IF(AND(B2862=Queue!$C$4,OR(Queue!$K$4="*",N2862=Queue!$K$4)),Q2862,"")</f>
        <v/>
      </c>
    </row>
    <row r="2863">
      <c r="A2863" s="35">
        <f>IF(M2863="","",HYPERLINK("https://www.youtube.com/watch?v="&amp;M2863,"▶"))</f>
        <v/>
      </c>
      <c r="B2863" s="36">
        <f>IF(C2863&lt;&gt;"",C2863,IF(P2863&lt;=IFERROR(INDEX(tblChannels[Watched Through],MATCH(N2863,tblChannels[Channel ID],0)),0),"Watched","Unwatched"))</f>
        <v/>
      </c>
      <c r="C2863" s="37" t="n"/>
      <c r="D2863" s="38" t="n"/>
      <c r="E2863" s="39" t="n">
        <v>41898.90902777778</v>
      </c>
      <c r="F2863" s="47" t="inlineStr">
        <is>
          <t>Super Carlin Brothers</t>
        </is>
      </c>
      <c r="G2863" t="inlineStr">
        <is>
          <t>Theory: Guardians of the Galaxy is The Lego Movie</t>
        </is>
      </c>
      <c r="H2863" s="41" t="n">
        <v>0.003460648148148148</v>
      </c>
      <c r="I2863" s="42" t="n">
        <v>921713</v>
      </c>
      <c r="J2863" s="42" t="n">
        <v>13527</v>
      </c>
      <c r="K2863" s="42" t="n">
        <v>2093</v>
      </c>
      <c r="L2863" s="43" t="n"/>
      <c r="M2863" s="44" t="n"/>
      <c r="N2863" s="44" t="inlineStr">
        <is>
          <t>UCKZo4N0lVPccBkSiuyVh4yg</t>
        </is>
      </c>
      <c r="O2863" s="45" t="n">
        <v>41899.07569444444</v>
      </c>
      <c r="P2863" s="46" t="n">
        <v>41898</v>
      </c>
      <c r="Q2863" s="44" t="n">
        <v>409</v>
      </c>
      <c r="R2863" s="44" t="inlineStr">
        <is>
          <t>No Video ID yet</t>
        </is>
      </c>
      <c r="S2863" s="46" t="n"/>
      <c r="T2863" s="46" t="n"/>
      <c r="U2863" s="44" t="n"/>
      <c r="V2863" s="44">
        <f>IF(AND(P2863&gt;=Calendar!$K$2,P2863&lt;EDATE(Calendar!$K$2,1),OR(Calendar!$K$4="*",N2863=Calendar!$K$4)),P2863*100+COUNTIFS($P$6:$P$3271,P2863,$Q$6:$Q$3271,"&lt;="&amp;Q2863,$N$6:$N$3271,Calendar!$K$4),"")</f>
        <v/>
      </c>
      <c r="W2863" s="44">
        <f>IF(AND(B2863=Queue!$C$4,OR(Queue!$K$4="*",N2863=Queue!$K$4)),Q2863,"")</f>
        <v/>
      </c>
    </row>
    <row r="2864">
      <c r="A2864" s="35">
        <f>IF(M2864="","",HYPERLINK("https://www.youtube.com/watch?v="&amp;M2864,"▶"))</f>
        <v/>
      </c>
      <c r="B2864" s="36">
        <f>IF(C2864&lt;&gt;"",C2864,IF(P2864&lt;=IFERROR(INDEX(tblChannels[Watched Through],MATCH(N2864,tblChannels[Channel ID],0)),0),"Watched","Unwatched"))</f>
        <v/>
      </c>
      <c r="C2864" s="37" t="n"/>
      <c r="D2864" s="38" t="n"/>
      <c r="E2864" s="39" t="n">
        <v>41893.95069444444</v>
      </c>
      <c r="F2864" s="47" t="inlineStr">
        <is>
          <t>Super Carlin Brothers</t>
        </is>
      </c>
      <c r="G2864" t="inlineStr">
        <is>
          <t>Where Were You?</t>
        </is>
      </c>
      <c r="H2864" s="41" t="n">
        <v>0.002233796296296296</v>
      </c>
      <c r="I2864" s="42" t="n">
        <v>16447</v>
      </c>
      <c r="J2864" s="42" t="n">
        <v>420</v>
      </c>
      <c r="K2864" s="42" t="n">
        <v>213</v>
      </c>
      <c r="L2864" s="43" t="n"/>
      <c r="M2864" s="44" t="n"/>
      <c r="N2864" s="44" t="inlineStr">
        <is>
          <t>UCKZo4N0lVPccBkSiuyVh4yg</t>
        </is>
      </c>
      <c r="O2864" s="45" t="n">
        <v>41894.11736111111</v>
      </c>
      <c r="P2864" s="46" t="n">
        <v>41893</v>
      </c>
      <c r="Q2864" s="44" t="n">
        <v>408</v>
      </c>
      <c r="R2864" s="44" t="inlineStr">
        <is>
          <t>No Video ID yet</t>
        </is>
      </c>
      <c r="S2864" s="46" t="n"/>
      <c r="T2864" s="46" t="n"/>
      <c r="U2864" s="44" t="n"/>
      <c r="V2864" s="44">
        <f>IF(AND(P2864&gt;=Calendar!$K$2,P2864&lt;EDATE(Calendar!$K$2,1),OR(Calendar!$K$4="*",N2864=Calendar!$K$4)),P2864*100+COUNTIFS($P$6:$P$3271,P2864,$Q$6:$Q$3271,"&lt;="&amp;Q2864,$N$6:$N$3271,Calendar!$K$4),"")</f>
        <v/>
      </c>
      <c r="W2864" s="44">
        <f>IF(AND(B2864=Queue!$C$4,OR(Queue!$K$4="*",N2864=Queue!$K$4)),Q2864,"")</f>
        <v/>
      </c>
    </row>
    <row r="2865">
      <c r="A2865" s="35">
        <f>IF(M2865="","",HYPERLINK("https://www.youtube.com/watch?v="&amp;M2865,"▶"))</f>
        <v/>
      </c>
      <c r="B2865" s="36">
        <f>IF(C2865&lt;&gt;"",C2865,IF(P2865&lt;=IFERROR(INDEX(tblChannels[Watched Through],MATCH(N2865,tblChannels[Channel ID],0)),0),"Watched","Unwatched"))</f>
        <v/>
      </c>
      <c r="C2865" s="37" t="n"/>
      <c r="D2865" s="38" t="n"/>
      <c r="E2865" s="39" t="n">
        <v>41893.87986111111</v>
      </c>
      <c r="F2865" s="49" t="inlineStr">
        <is>
          <t>Super Carlin Gaming</t>
        </is>
      </c>
      <c r="G2865" t="inlineStr">
        <is>
          <t>Pokemon FireRed Nuzlocke Challenge #22: Donatello vs Blaine</t>
        </is>
      </c>
      <c r="H2865" s="41" t="n">
        <v>0.01447916666666667</v>
      </c>
      <c r="I2865" s="42" t="n">
        <v>23605</v>
      </c>
      <c r="J2865" s="42" t="n">
        <v>429</v>
      </c>
      <c r="K2865" s="42" t="n">
        <v>48</v>
      </c>
      <c r="L2865" s="43" t="n"/>
      <c r="M2865" s="44" t="n"/>
      <c r="N2865" s="44" t="inlineStr">
        <is>
          <t>UCor_9jRnNNZVzTuQ92PKsaQ</t>
        </is>
      </c>
      <c r="O2865" s="45" t="n">
        <v>41894.04652777778</v>
      </c>
      <c r="P2865" s="46" t="n">
        <v>41893</v>
      </c>
      <c r="Q2865" s="44" t="n">
        <v>407</v>
      </c>
      <c r="R2865" s="44" t="inlineStr">
        <is>
          <t>No Video ID yet</t>
        </is>
      </c>
      <c r="S2865" s="46" t="n"/>
      <c r="T2865" s="46" t="n"/>
      <c r="U2865" s="44" t="n"/>
      <c r="V2865" s="44">
        <f>IF(AND(P2865&gt;=Calendar!$K$2,P2865&lt;EDATE(Calendar!$K$2,1),OR(Calendar!$K$4="*",N2865=Calendar!$K$4)),P2865*100+COUNTIFS($P$6:$P$3271,P2865,$Q$6:$Q$3271,"&lt;="&amp;Q2865,$N$6:$N$3271,Calendar!$K$4),"")</f>
        <v/>
      </c>
      <c r="W2865" s="44">
        <f>IF(AND(B2865=Queue!$C$4,OR(Queue!$K$4="*",N2865=Queue!$K$4)),Q2865,"")</f>
        <v/>
      </c>
    </row>
    <row r="2866">
      <c r="A2866" s="35">
        <f>IF(M2866="","",HYPERLINK("https://www.youtube.com/watch?v="&amp;M2866,"▶"))</f>
        <v/>
      </c>
      <c r="B2866" s="36">
        <f>IF(C2866&lt;&gt;"",C2866,IF(P2866&lt;=IFERROR(INDEX(tblChannels[Watched Through],MATCH(N2866,tblChannels[Channel ID],0)),0),"Watched","Unwatched"))</f>
        <v/>
      </c>
      <c r="C2866" s="37" t="n"/>
      <c r="D2866" s="38" t="n"/>
      <c r="E2866" s="39" t="n">
        <v>41891.99791666667</v>
      </c>
      <c r="F2866" s="47" t="inlineStr">
        <is>
          <t>Super Carlin Brothers</t>
        </is>
      </c>
      <c r="G2866" t="inlineStr">
        <is>
          <t>How To Make Money by Drinking Water</t>
        </is>
      </c>
      <c r="H2866" s="41" t="n">
        <v>0.003587962962962963</v>
      </c>
      <c r="I2866" s="42" t="n">
        <v>243074</v>
      </c>
      <c r="J2866" s="42" t="n">
        <v>5043</v>
      </c>
      <c r="K2866" s="42" t="n">
        <v>698</v>
      </c>
      <c r="L2866" s="43" t="n"/>
      <c r="M2866" s="44" t="n"/>
      <c r="N2866" s="44" t="inlineStr">
        <is>
          <t>UCKZo4N0lVPccBkSiuyVh4yg</t>
        </is>
      </c>
      <c r="O2866" s="45" t="n">
        <v>41892.16458333333</v>
      </c>
      <c r="P2866" s="46" t="n">
        <v>41891</v>
      </c>
      <c r="Q2866" s="44" t="n">
        <v>406</v>
      </c>
      <c r="R2866" s="44" t="inlineStr">
        <is>
          <t>No Video ID yet</t>
        </is>
      </c>
      <c r="S2866" s="46" t="n"/>
      <c r="T2866" s="46" t="n"/>
      <c r="U2866" s="44" t="n"/>
      <c r="V2866" s="44">
        <f>IF(AND(P2866&gt;=Calendar!$K$2,P2866&lt;EDATE(Calendar!$K$2,1),OR(Calendar!$K$4="*",N2866=Calendar!$K$4)),P2866*100+COUNTIFS($P$6:$P$3271,P2866,$Q$6:$Q$3271,"&lt;="&amp;Q2866,$N$6:$N$3271,Calendar!$K$4),"")</f>
        <v/>
      </c>
      <c r="W2866" s="44">
        <f>IF(AND(B2866=Queue!$C$4,OR(Queue!$K$4="*",N2866=Queue!$K$4)),Q2866,"")</f>
        <v/>
      </c>
    </row>
    <row r="2867">
      <c r="A2867" s="35">
        <f>IF(M2867="","",HYPERLINK("https://www.youtube.com/watch?v="&amp;M2867,"▶"))</f>
        <v/>
      </c>
      <c r="B2867" s="36">
        <f>IF(C2867&lt;&gt;"",C2867,IF(P2867&lt;=IFERROR(INDEX(tblChannels[Watched Through],MATCH(N2867,tblChannels[Channel ID],0)),0),"Watched","Unwatched"))</f>
        <v/>
      </c>
      <c r="C2867" s="37" t="n"/>
      <c r="D2867" s="38" t="n"/>
      <c r="E2867" s="39" t="n">
        <v>41886.98541666667</v>
      </c>
      <c r="F2867" s="47" t="inlineStr">
        <is>
          <t>Super Carlin Brothers</t>
        </is>
      </c>
      <c r="G2867" t="inlineStr">
        <is>
          <t>Rated-R Pixar: Toy Story</t>
        </is>
      </c>
      <c r="H2867" s="41" t="n">
        <v>0.002916666666666667</v>
      </c>
      <c r="I2867" s="42" t="n">
        <v>579164</v>
      </c>
      <c r="J2867" s="42" t="n">
        <v>7481</v>
      </c>
      <c r="K2867" s="42" t="n">
        <v>537</v>
      </c>
      <c r="L2867" s="43" t="n"/>
      <c r="M2867" s="44" t="n"/>
      <c r="N2867" s="44" t="inlineStr">
        <is>
          <t>UCKZo4N0lVPccBkSiuyVh4yg</t>
        </is>
      </c>
      <c r="O2867" s="45" t="n">
        <v>41887.15208333333</v>
      </c>
      <c r="P2867" s="46" t="n">
        <v>41886</v>
      </c>
      <c r="Q2867" s="44" t="n">
        <v>405</v>
      </c>
      <c r="R2867" s="44" t="inlineStr">
        <is>
          <t>No Video ID yet</t>
        </is>
      </c>
      <c r="S2867" s="46" t="n"/>
      <c r="T2867" s="46" t="n"/>
      <c r="U2867" s="44" t="n"/>
      <c r="V2867" s="44">
        <f>IF(AND(P2867&gt;=Calendar!$K$2,P2867&lt;EDATE(Calendar!$K$2,1),OR(Calendar!$K$4="*",N2867=Calendar!$K$4)),P2867*100+COUNTIFS($P$6:$P$3271,P2867,$Q$6:$Q$3271,"&lt;="&amp;Q2867,$N$6:$N$3271,Calendar!$K$4),"")</f>
        <v/>
      </c>
      <c r="W2867" s="44">
        <f>IF(AND(B2867=Queue!$C$4,OR(Queue!$K$4="*",N2867=Queue!$K$4)),Q2867,"")</f>
        <v/>
      </c>
    </row>
    <row r="2868">
      <c r="A2868" s="35">
        <f>IF(M2868="","",HYPERLINK("https://www.youtube.com/watch?v="&amp;M2868,"▶"))</f>
        <v/>
      </c>
      <c r="B2868" s="36">
        <f>IF(C2868&lt;&gt;"",C2868,IF(P2868&lt;=IFERROR(INDEX(tblChannels[Watched Through],MATCH(N2868,tblChannels[Channel ID],0)),0),"Watched","Unwatched"))</f>
        <v/>
      </c>
      <c r="C2868" s="37" t="n"/>
      <c r="D2868" s="38" t="n"/>
      <c r="E2868" s="39" t="n">
        <v>41884.92013888889</v>
      </c>
      <c r="F2868" s="47" t="inlineStr">
        <is>
          <t>Super Carlin Brothers</t>
        </is>
      </c>
      <c r="G2868" t="inlineStr">
        <is>
          <t>49 Lies &amp; 1 Truth | North Carolina</t>
        </is>
      </c>
      <c r="H2868" s="41" t="n">
        <v>0.004143518518518519</v>
      </c>
      <c r="I2868" s="42" t="n">
        <v>64087</v>
      </c>
      <c r="J2868" s="42" t="n">
        <v>1142</v>
      </c>
      <c r="K2868" s="42" t="n">
        <v>503</v>
      </c>
      <c r="L2868" s="43" t="n"/>
      <c r="M2868" s="44" t="n"/>
      <c r="N2868" s="44" t="inlineStr">
        <is>
          <t>UCKZo4N0lVPccBkSiuyVh4yg</t>
        </is>
      </c>
      <c r="O2868" s="45" t="n">
        <v>41885.08680555555</v>
      </c>
      <c r="P2868" s="46" t="n">
        <v>41884</v>
      </c>
      <c r="Q2868" s="44" t="n">
        <v>404</v>
      </c>
      <c r="R2868" s="44" t="inlineStr">
        <is>
          <t>No Video ID yet</t>
        </is>
      </c>
      <c r="S2868" s="46" t="n"/>
      <c r="T2868" s="46" t="n"/>
      <c r="U2868" s="44" t="n"/>
      <c r="V2868" s="44">
        <f>IF(AND(P2868&gt;=Calendar!$K$2,P2868&lt;EDATE(Calendar!$K$2,1),OR(Calendar!$K$4="*",N2868=Calendar!$K$4)),P2868*100+COUNTIFS($P$6:$P$3271,P2868,$Q$6:$Q$3271,"&lt;="&amp;Q2868,$N$6:$N$3271,Calendar!$K$4),"")</f>
        <v/>
      </c>
      <c r="W2868" s="44">
        <f>IF(AND(B2868=Queue!$C$4,OR(Queue!$K$4="*",N2868=Queue!$K$4)),Q2868,"")</f>
        <v/>
      </c>
    </row>
    <row r="2869">
      <c r="A2869" s="35">
        <f>IF(M2869="","",HYPERLINK("https://www.youtube.com/watch?v="&amp;M2869,"▶"))</f>
        <v/>
      </c>
      <c r="B2869" s="36">
        <f>IF(C2869&lt;&gt;"",C2869,IF(P2869&lt;=IFERROR(INDEX(tblChannels[Watched Through],MATCH(N2869,tblChannels[Channel ID],0)),0),"Watched","Unwatched"))</f>
        <v/>
      </c>
      <c r="C2869" s="37" t="n"/>
      <c r="D2869" s="38" t="n"/>
      <c r="E2869" s="39" t="n">
        <v>41879.91111111111</v>
      </c>
      <c r="F2869" s="47" t="inlineStr">
        <is>
          <t>Super Carlin Brothers</t>
        </is>
      </c>
      <c r="G2869" t="inlineStr">
        <is>
          <t>LEGO Speed Build | Conference Table</t>
        </is>
      </c>
      <c r="H2869" s="41" t="n">
        <v>0.001319444444444444</v>
      </c>
      <c r="I2869" s="42" t="n">
        <v>28691</v>
      </c>
      <c r="J2869" s="42" t="n">
        <v>598</v>
      </c>
      <c r="K2869" s="42" t="n">
        <v>106</v>
      </c>
      <c r="L2869" s="43" t="n"/>
      <c r="M2869" s="44" t="n"/>
      <c r="N2869" s="44" t="inlineStr">
        <is>
          <t>UCKZo4N0lVPccBkSiuyVh4yg</t>
        </is>
      </c>
      <c r="O2869" s="45" t="n">
        <v>41880.07777777778</v>
      </c>
      <c r="P2869" s="46" t="n">
        <v>41879</v>
      </c>
      <c r="Q2869" s="44" t="n">
        <v>403</v>
      </c>
      <c r="R2869" s="44" t="inlineStr">
        <is>
          <t>No Video ID yet</t>
        </is>
      </c>
      <c r="S2869" s="46" t="n"/>
      <c r="T2869" s="46" t="n"/>
      <c r="U2869" s="44" t="n"/>
      <c r="V2869" s="44">
        <f>IF(AND(P2869&gt;=Calendar!$K$2,P2869&lt;EDATE(Calendar!$K$2,1),OR(Calendar!$K$4="*",N2869=Calendar!$K$4)),P2869*100+COUNTIFS($P$6:$P$3271,P2869,$Q$6:$Q$3271,"&lt;="&amp;Q2869,$N$6:$N$3271,Calendar!$K$4),"")</f>
        <v/>
      </c>
      <c r="W2869" s="44">
        <f>IF(AND(B2869=Queue!$C$4,OR(Queue!$K$4="*",N2869=Queue!$K$4)),Q2869,"")</f>
        <v/>
      </c>
    </row>
    <row r="2870">
      <c r="A2870" s="35">
        <f>IF(M2870="","",HYPERLINK("https://www.youtube.com/watch?v="&amp;M2870,"▶"))</f>
        <v/>
      </c>
      <c r="B2870" s="36">
        <f>IF(C2870&lt;&gt;"",C2870,IF(P2870&lt;=IFERROR(INDEX(tblChannels[Watched Through],MATCH(N2870,tblChannels[Channel ID],0)),0),"Watched","Unwatched"))</f>
        <v/>
      </c>
      <c r="C2870" s="37" t="n"/>
      <c r="D2870" s="38" t="n"/>
      <c r="E2870" s="39" t="n">
        <v>41877.79861111111</v>
      </c>
      <c r="F2870" s="47" t="inlineStr">
        <is>
          <t>Super Carlin Brothers</t>
        </is>
      </c>
      <c r="G2870" t="inlineStr">
        <is>
          <t>Identity Crisis</t>
        </is>
      </c>
      <c r="H2870" s="41" t="n">
        <v>0.002939814814814815</v>
      </c>
      <c r="I2870" s="42" t="n">
        <v>21125</v>
      </c>
      <c r="J2870" s="42" t="n">
        <v>553</v>
      </c>
      <c r="K2870" s="42" t="n">
        <v>139</v>
      </c>
      <c r="L2870" s="43" t="n"/>
      <c r="M2870" s="44" t="n"/>
      <c r="N2870" s="44" t="inlineStr">
        <is>
          <t>UCKZo4N0lVPccBkSiuyVh4yg</t>
        </is>
      </c>
      <c r="O2870" s="45" t="n">
        <v>41877.96527777778</v>
      </c>
      <c r="P2870" s="46" t="n">
        <v>41877</v>
      </c>
      <c r="Q2870" s="44" t="n">
        <v>402</v>
      </c>
      <c r="R2870" s="44" t="inlineStr">
        <is>
          <t>No Video ID yet</t>
        </is>
      </c>
      <c r="S2870" s="46" t="n"/>
      <c r="T2870" s="46" t="n"/>
      <c r="U2870" s="44" t="n"/>
      <c r="V2870" s="44">
        <f>IF(AND(P2870&gt;=Calendar!$K$2,P2870&lt;EDATE(Calendar!$K$2,1),OR(Calendar!$K$4="*",N2870=Calendar!$K$4)),P2870*100+COUNTIFS($P$6:$P$3271,P2870,$Q$6:$Q$3271,"&lt;="&amp;Q2870,$N$6:$N$3271,Calendar!$K$4),"")</f>
        <v/>
      </c>
      <c r="W2870" s="44">
        <f>IF(AND(B2870=Queue!$C$4,OR(Queue!$K$4="*",N2870=Queue!$K$4)),Q2870,"")</f>
        <v/>
      </c>
    </row>
    <row r="2871">
      <c r="A2871" s="35">
        <f>IF(M2871="","",HYPERLINK("https://www.youtube.com/watch?v="&amp;M2871,"▶"))</f>
        <v/>
      </c>
      <c r="B2871" s="36">
        <f>IF(C2871&lt;&gt;"",C2871,IF(P2871&lt;=IFERROR(INDEX(tblChannels[Watched Through],MATCH(N2871,tblChannels[Channel ID],0)),0),"Watched","Unwatched"))</f>
        <v/>
      </c>
      <c r="C2871" s="37" t="n"/>
      <c r="D2871" s="38" t="n"/>
      <c r="E2871" s="39" t="n">
        <v>41876.90208333333</v>
      </c>
      <c r="F2871" s="49" t="inlineStr">
        <is>
          <t>Super Carlin Gaming</t>
        </is>
      </c>
      <c r="G2871" t="inlineStr">
        <is>
          <t>Pokemon FireRed Nuzlocke Challenge #21: Roseki Arrives!</t>
        </is>
      </c>
      <c r="H2871" s="41" t="n">
        <v>0.01453703703703704</v>
      </c>
      <c r="I2871" s="42" t="n">
        <v>24489</v>
      </c>
      <c r="J2871" s="42" t="n">
        <v>417</v>
      </c>
      <c r="K2871" s="42" t="n">
        <v>42</v>
      </c>
      <c r="L2871" s="43" t="n"/>
      <c r="M2871" s="44" t="n"/>
      <c r="N2871" s="44" t="inlineStr">
        <is>
          <t>UCor_9jRnNNZVzTuQ92PKsaQ</t>
        </is>
      </c>
      <c r="O2871" s="45" t="n">
        <v>41877.06875</v>
      </c>
      <c r="P2871" s="46" t="n">
        <v>41876</v>
      </c>
      <c r="Q2871" s="44" t="n">
        <v>401</v>
      </c>
      <c r="R2871" s="44" t="inlineStr">
        <is>
          <t>No Video ID yet</t>
        </is>
      </c>
      <c r="S2871" s="46" t="n"/>
      <c r="T2871" s="46" t="n"/>
      <c r="U2871" s="44" t="n"/>
      <c r="V2871" s="44">
        <f>IF(AND(P2871&gt;=Calendar!$K$2,P2871&lt;EDATE(Calendar!$K$2,1),OR(Calendar!$K$4="*",N2871=Calendar!$K$4)),P2871*100+COUNTIFS($P$6:$P$3271,P2871,$Q$6:$Q$3271,"&lt;="&amp;Q2871,$N$6:$N$3271,Calendar!$K$4),"")</f>
        <v/>
      </c>
      <c r="W2871" s="44">
        <f>IF(AND(B2871=Queue!$C$4,OR(Queue!$K$4="*",N2871=Queue!$K$4)),Q2871,"")</f>
        <v/>
      </c>
    </row>
    <row r="2872">
      <c r="A2872" s="35">
        <f>IF(M2872="","",HYPERLINK("https://www.youtube.com/watch?v="&amp;M2872,"▶"))</f>
        <v/>
      </c>
      <c r="B2872" s="36">
        <f>IF(C2872&lt;&gt;"",C2872,IF(P2872&lt;=IFERROR(INDEX(tblChannels[Watched Through],MATCH(N2872,tblChannels[Channel ID],0)),0),"Watched","Unwatched"))</f>
        <v/>
      </c>
      <c r="C2872" s="37" t="n"/>
      <c r="D2872" s="38" t="n"/>
      <c r="E2872" s="39" t="n">
        <v>41872.88125</v>
      </c>
      <c r="F2872" s="47" t="inlineStr">
        <is>
          <t>Super Carlin Brothers</t>
        </is>
      </c>
      <c r="G2872" t="inlineStr">
        <is>
          <t>Motivation: Surviving Year One</t>
        </is>
      </c>
      <c r="H2872" s="41" t="n">
        <v>0.00369212962962963</v>
      </c>
      <c r="I2872" s="42" t="n">
        <v>12474</v>
      </c>
      <c r="J2872" s="42" t="n">
        <v>370</v>
      </c>
      <c r="K2872" s="42" t="n">
        <v>50</v>
      </c>
      <c r="L2872" s="43" t="n"/>
      <c r="M2872" s="44" t="n"/>
      <c r="N2872" s="44" t="inlineStr">
        <is>
          <t>UCKZo4N0lVPccBkSiuyVh4yg</t>
        </is>
      </c>
      <c r="O2872" s="45" t="n">
        <v>41873.04791666667</v>
      </c>
      <c r="P2872" s="46" t="n">
        <v>41872</v>
      </c>
      <c r="Q2872" s="44" t="n">
        <v>400</v>
      </c>
      <c r="R2872" s="44" t="inlineStr">
        <is>
          <t>No Video ID yet</t>
        </is>
      </c>
      <c r="S2872" s="46" t="n"/>
      <c r="T2872" s="46" t="n"/>
      <c r="U2872" s="44" t="n"/>
      <c r="V2872" s="44">
        <f>IF(AND(P2872&gt;=Calendar!$K$2,P2872&lt;EDATE(Calendar!$K$2,1),OR(Calendar!$K$4="*",N2872=Calendar!$K$4)),P2872*100+COUNTIFS($P$6:$P$3271,P2872,$Q$6:$Q$3271,"&lt;="&amp;Q2872,$N$6:$N$3271,Calendar!$K$4),"")</f>
        <v/>
      </c>
      <c r="W2872" s="44">
        <f>IF(AND(B2872=Queue!$C$4,OR(Queue!$K$4="*",N2872=Queue!$K$4)),Q2872,"")</f>
        <v/>
      </c>
    </row>
    <row r="2873">
      <c r="A2873" s="35">
        <f>IF(M2873="","",HYPERLINK("https://www.youtube.com/watch?v="&amp;M2873,"▶"))</f>
        <v/>
      </c>
      <c r="B2873" s="36">
        <f>IF(C2873&lt;&gt;"",C2873,IF(P2873&lt;=IFERROR(INDEX(tblChannels[Watched Through],MATCH(N2873,tblChannels[Channel ID],0)),0),"Watched","Unwatched"))</f>
        <v/>
      </c>
      <c r="C2873" s="37" t="n"/>
      <c r="D2873" s="38" t="n"/>
      <c r="E2873" s="39" t="n">
        <v>41870.87291666667</v>
      </c>
      <c r="F2873" s="47" t="inlineStr">
        <is>
          <t>Super Carlin Brothers</t>
        </is>
      </c>
      <c r="G2873" t="inlineStr">
        <is>
          <t>Ice Bucket Challenge | SuperCarlinBrothers</t>
        </is>
      </c>
      <c r="H2873" s="41" t="n">
        <v>0.00306712962962963</v>
      </c>
      <c r="I2873" s="42" t="n">
        <v>44654</v>
      </c>
      <c r="J2873" s="42" t="n">
        <v>1279</v>
      </c>
      <c r="K2873" s="42" t="n">
        <v>107</v>
      </c>
      <c r="L2873" s="43" t="n"/>
      <c r="M2873" s="44" t="n"/>
      <c r="N2873" s="44" t="inlineStr">
        <is>
          <t>UCKZo4N0lVPccBkSiuyVh4yg</t>
        </is>
      </c>
      <c r="O2873" s="45" t="n">
        <v>41871.03958333333</v>
      </c>
      <c r="P2873" s="46" t="n">
        <v>41870</v>
      </c>
      <c r="Q2873" s="44" t="n">
        <v>399</v>
      </c>
      <c r="R2873" s="44" t="inlineStr">
        <is>
          <t>No Video ID yet</t>
        </is>
      </c>
      <c r="S2873" s="46" t="n"/>
      <c r="T2873" s="46" t="n"/>
      <c r="U2873" s="44" t="n"/>
      <c r="V2873" s="44">
        <f>IF(AND(P2873&gt;=Calendar!$K$2,P2873&lt;EDATE(Calendar!$K$2,1),OR(Calendar!$K$4="*",N2873=Calendar!$K$4)),P2873*100+COUNTIFS($P$6:$P$3271,P2873,$Q$6:$Q$3271,"&lt;="&amp;Q2873,$N$6:$N$3271,Calendar!$K$4),"")</f>
        <v/>
      </c>
      <c r="W2873" s="44">
        <f>IF(AND(B2873=Queue!$C$4,OR(Queue!$K$4="*",N2873=Queue!$K$4)),Q2873,"")</f>
        <v/>
      </c>
    </row>
    <row r="2874">
      <c r="A2874" s="35">
        <f>IF(M2874="","",HYPERLINK("https://www.youtube.com/watch?v="&amp;M2874,"▶"))</f>
        <v/>
      </c>
      <c r="B2874" s="36">
        <f>IF(C2874&lt;&gt;"",C2874,IF(P2874&lt;=IFERROR(INDEX(tblChannels[Watched Through],MATCH(N2874,tblChannels[Channel ID],0)),0),"Watched","Unwatched"))</f>
        <v/>
      </c>
      <c r="C2874" s="37" t="n"/>
      <c r="D2874" s="38" t="n"/>
      <c r="E2874" s="39" t="n">
        <v>41865.98541666667</v>
      </c>
      <c r="F2874" s="47" t="inlineStr">
        <is>
          <t>Super Carlin Brothers</t>
        </is>
      </c>
      <c r="G2874" t="inlineStr">
        <is>
          <t>Password Therapy</t>
        </is>
      </c>
      <c r="H2874" s="41" t="n">
        <v>0.002824074074074074</v>
      </c>
      <c r="I2874" s="42" t="n">
        <v>24859</v>
      </c>
      <c r="J2874" s="42" t="n">
        <v>660</v>
      </c>
      <c r="K2874" s="42" t="n">
        <v>130</v>
      </c>
      <c r="L2874" s="43" t="n"/>
      <c r="M2874" s="44" t="n"/>
      <c r="N2874" s="44" t="inlineStr">
        <is>
          <t>UCKZo4N0lVPccBkSiuyVh4yg</t>
        </is>
      </c>
      <c r="O2874" s="45" t="n">
        <v>41866.15208333333</v>
      </c>
      <c r="P2874" s="46" t="n">
        <v>41865</v>
      </c>
      <c r="Q2874" s="44" t="n">
        <v>398</v>
      </c>
      <c r="R2874" s="44" t="inlineStr">
        <is>
          <t>No Video ID yet</t>
        </is>
      </c>
      <c r="S2874" s="46" t="n"/>
      <c r="T2874" s="46" t="n"/>
      <c r="U2874" s="44" t="n"/>
      <c r="V2874" s="44">
        <f>IF(AND(P2874&gt;=Calendar!$K$2,P2874&lt;EDATE(Calendar!$K$2,1),OR(Calendar!$K$4="*",N2874=Calendar!$K$4)),P2874*100+COUNTIFS($P$6:$P$3271,P2874,$Q$6:$Q$3271,"&lt;="&amp;Q2874,$N$6:$N$3271,Calendar!$K$4),"")</f>
        <v/>
      </c>
      <c r="W2874" s="44">
        <f>IF(AND(B2874=Queue!$C$4,OR(Queue!$K$4="*",N2874=Queue!$K$4)),Q2874,"")</f>
        <v/>
      </c>
    </row>
    <row r="2875">
      <c r="A2875" s="35">
        <f>IF(M2875="","",HYPERLINK("https://www.youtube.com/watch?v="&amp;M2875,"▶"))</f>
        <v/>
      </c>
      <c r="B2875" s="36">
        <f>IF(C2875&lt;&gt;"",C2875,IF(P2875&lt;=IFERROR(INDEX(tblChannels[Watched Through],MATCH(N2875,tblChannels[Channel ID],0)),0),"Watched","Unwatched"))</f>
        <v/>
      </c>
      <c r="C2875" s="37" t="n"/>
      <c r="D2875" s="38" t="n"/>
      <c r="E2875" s="39" t="n">
        <v>41863.94722222222</v>
      </c>
      <c r="F2875" s="47" t="inlineStr">
        <is>
          <t>Super Carlin Brothers</t>
        </is>
      </c>
      <c r="G2875" t="inlineStr">
        <is>
          <t>The Mustache Dilemma</t>
        </is>
      </c>
      <c r="H2875" s="41" t="n">
        <v>0.002789351851851852</v>
      </c>
      <c r="I2875" s="42" t="n">
        <v>74823</v>
      </c>
      <c r="J2875" s="42" t="n">
        <v>1748</v>
      </c>
      <c r="K2875" s="42" t="n">
        <v>219</v>
      </c>
      <c r="L2875" s="43" t="n"/>
      <c r="M2875" s="44" t="n"/>
      <c r="N2875" s="44" t="inlineStr">
        <is>
          <t>UCKZo4N0lVPccBkSiuyVh4yg</t>
        </is>
      </c>
      <c r="O2875" s="45" t="n">
        <v>41864.11388888889</v>
      </c>
      <c r="P2875" s="46" t="n">
        <v>41863</v>
      </c>
      <c r="Q2875" s="44" t="n">
        <v>397</v>
      </c>
      <c r="R2875" s="44" t="inlineStr">
        <is>
          <t>No Video ID yet</t>
        </is>
      </c>
      <c r="S2875" s="46" t="n"/>
      <c r="T2875" s="46" t="n"/>
      <c r="U2875" s="44" t="n"/>
      <c r="V2875" s="44">
        <f>IF(AND(P2875&gt;=Calendar!$K$2,P2875&lt;EDATE(Calendar!$K$2,1),OR(Calendar!$K$4="*",N2875=Calendar!$K$4)),P2875*100+COUNTIFS($P$6:$P$3271,P2875,$Q$6:$Q$3271,"&lt;="&amp;Q2875,$N$6:$N$3271,Calendar!$K$4),"")</f>
        <v/>
      </c>
      <c r="W2875" s="44">
        <f>IF(AND(B2875=Queue!$C$4,OR(Queue!$K$4="*",N2875=Queue!$K$4)),Q2875,"")</f>
        <v/>
      </c>
    </row>
    <row r="2876">
      <c r="A2876" s="35">
        <f>IF(M2876="","",HYPERLINK("https://www.youtube.com/watch?v="&amp;M2876,"▶"))</f>
        <v/>
      </c>
      <c r="B2876" s="36">
        <f>IF(C2876&lt;&gt;"",C2876,IF(P2876&lt;=IFERROR(INDEX(tblChannels[Watched Through],MATCH(N2876,tblChannels[Channel ID],0)),0),"Watched","Unwatched"))</f>
        <v/>
      </c>
      <c r="C2876" s="37" t="n"/>
      <c r="D2876" s="38" t="n"/>
      <c r="E2876" s="39" t="n">
        <v>41858.91666666666</v>
      </c>
      <c r="F2876" s="47" t="inlineStr">
        <is>
          <t>Super Carlin Brothers</t>
        </is>
      </c>
      <c r="G2876" t="inlineStr">
        <is>
          <t>How to Cut a Watermelon with Rubber Bands</t>
        </is>
      </c>
      <c r="H2876" s="41" t="n">
        <v>0.001724537037037037</v>
      </c>
      <c r="I2876" s="42" t="n">
        <v>63319</v>
      </c>
      <c r="J2876" s="42" t="n">
        <v>1389</v>
      </c>
      <c r="K2876" s="42" t="n">
        <v>135</v>
      </c>
      <c r="L2876" s="43" t="n"/>
      <c r="M2876" s="44" t="n"/>
      <c r="N2876" s="44" t="inlineStr">
        <is>
          <t>UCKZo4N0lVPccBkSiuyVh4yg</t>
        </is>
      </c>
      <c r="O2876" s="45" t="n">
        <v>41859.08333333334</v>
      </c>
      <c r="P2876" s="46" t="n">
        <v>41858</v>
      </c>
      <c r="Q2876" s="44" t="n">
        <v>396</v>
      </c>
      <c r="R2876" s="44" t="inlineStr">
        <is>
          <t>No Video ID yet</t>
        </is>
      </c>
      <c r="S2876" s="46" t="n"/>
      <c r="T2876" s="46" t="n"/>
      <c r="U2876" s="44" t="n"/>
      <c r="V2876" s="44">
        <f>IF(AND(P2876&gt;=Calendar!$K$2,P2876&lt;EDATE(Calendar!$K$2,1),OR(Calendar!$K$4="*",N2876=Calendar!$K$4)),P2876*100+COUNTIFS($P$6:$P$3271,P2876,$Q$6:$Q$3271,"&lt;="&amp;Q2876,$N$6:$N$3271,Calendar!$K$4),"")</f>
        <v/>
      </c>
      <c r="W2876" s="44">
        <f>IF(AND(B2876=Queue!$C$4,OR(Queue!$K$4="*",N2876=Queue!$K$4)),Q2876,"")</f>
        <v/>
      </c>
    </row>
    <row r="2877">
      <c r="A2877" s="35">
        <f>IF(M2877="","",HYPERLINK("https://www.youtube.com/watch?v="&amp;M2877,"▶"))</f>
        <v/>
      </c>
      <c r="B2877" s="36">
        <f>IF(C2877&lt;&gt;"",C2877,IF(P2877&lt;=IFERROR(INDEX(tblChannels[Watched Through],MATCH(N2877,tblChannels[Channel ID],0)),0),"Watched","Unwatched"))</f>
        <v/>
      </c>
      <c r="C2877" s="37" t="n"/>
      <c r="D2877" s="38" t="n"/>
      <c r="E2877" s="39" t="n">
        <v>41856.94444444445</v>
      </c>
      <c r="F2877" s="47" t="inlineStr">
        <is>
          <t>Super Carlin Brothers</t>
        </is>
      </c>
      <c r="G2877" t="inlineStr">
        <is>
          <t>JUXTABROS! - Beaches and Werewolves!</t>
        </is>
      </c>
      <c r="H2877" s="41" t="n">
        <v>0.008726851851851852</v>
      </c>
      <c r="I2877" s="42" t="n">
        <v>54409</v>
      </c>
      <c r="J2877" s="42" t="n">
        <v>1010</v>
      </c>
      <c r="K2877" s="42" t="n">
        <v>352</v>
      </c>
      <c r="L2877" s="43" t="n"/>
      <c r="M2877" s="44" t="n"/>
      <c r="N2877" s="44" t="inlineStr">
        <is>
          <t>UCKZo4N0lVPccBkSiuyVh4yg</t>
        </is>
      </c>
      <c r="O2877" s="45" t="n">
        <v>41857.11111111111</v>
      </c>
      <c r="P2877" s="46" t="n">
        <v>41856</v>
      </c>
      <c r="Q2877" s="44" t="n">
        <v>395</v>
      </c>
      <c r="R2877" s="44" t="inlineStr">
        <is>
          <t>No Video ID yet</t>
        </is>
      </c>
      <c r="S2877" s="46" t="n"/>
      <c r="T2877" s="46" t="n"/>
      <c r="U2877" s="44" t="n"/>
      <c r="V2877" s="44">
        <f>IF(AND(P2877&gt;=Calendar!$K$2,P2877&lt;EDATE(Calendar!$K$2,1),OR(Calendar!$K$4="*",N2877=Calendar!$K$4)),P2877*100+COUNTIFS($P$6:$P$3271,P2877,$Q$6:$Q$3271,"&lt;="&amp;Q2877,$N$6:$N$3271,Calendar!$K$4),"")</f>
        <v/>
      </c>
      <c r="W2877" s="44">
        <f>IF(AND(B2877=Queue!$C$4,OR(Queue!$K$4="*",N2877=Queue!$K$4)),Q2877,"")</f>
        <v/>
      </c>
    </row>
    <row r="2878">
      <c r="A2878" s="35">
        <f>IF(M2878="","",HYPERLINK("https://www.youtube.com/watch?v="&amp;M2878,"▶"))</f>
        <v/>
      </c>
      <c r="B2878" s="36">
        <f>IF(C2878&lt;&gt;"",C2878,IF(P2878&lt;=IFERROR(INDEX(tblChannels[Watched Through],MATCH(N2878,tblChannels[Channel ID],0)),0),"Watched","Unwatched"))</f>
        <v/>
      </c>
      <c r="C2878" s="37" t="n"/>
      <c r="D2878" s="38" t="n"/>
      <c r="E2878" s="39" t="n">
        <v>41852.00763888889</v>
      </c>
      <c r="F2878" s="47" t="inlineStr">
        <is>
          <t>Super Carlin Brothers</t>
        </is>
      </c>
      <c r="G2878" t="inlineStr">
        <is>
          <t>The Tale of Generosity's Umbrella</t>
        </is>
      </c>
      <c r="H2878" s="41" t="n">
        <v>0.002604166666666667</v>
      </c>
      <c r="I2878" s="42" t="n">
        <v>15886</v>
      </c>
      <c r="J2878" s="42" t="n">
        <v>466</v>
      </c>
      <c r="K2878" s="42" t="n">
        <v>59</v>
      </c>
      <c r="L2878" s="43" t="n"/>
      <c r="M2878" s="44" t="n"/>
      <c r="N2878" s="44" t="inlineStr">
        <is>
          <t>UCKZo4N0lVPccBkSiuyVh4yg</t>
        </is>
      </c>
      <c r="O2878" s="45" t="n">
        <v>41852.17430555556</v>
      </c>
      <c r="P2878" s="46" t="n">
        <v>41852</v>
      </c>
      <c r="Q2878" s="44" t="n">
        <v>394</v>
      </c>
      <c r="R2878" s="44" t="inlineStr">
        <is>
          <t>No Video ID yet</t>
        </is>
      </c>
      <c r="S2878" s="46" t="n"/>
      <c r="T2878" s="46" t="n"/>
      <c r="U2878" s="44" t="n"/>
      <c r="V2878" s="44">
        <f>IF(AND(P2878&gt;=Calendar!$K$2,P2878&lt;EDATE(Calendar!$K$2,1),OR(Calendar!$K$4="*",N2878=Calendar!$K$4)),P2878*100+COUNTIFS($P$6:$P$3271,P2878,$Q$6:$Q$3271,"&lt;="&amp;Q2878,$N$6:$N$3271,Calendar!$K$4),"")</f>
        <v/>
      </c>
      <c r="W2878" s="44">
        <f>IF(AND(B2878=Queue!$C$4,OR(Queue!$K$4="*",N2878=Queue!$K$4)),Q2878,"")</f>
        <v/>
      </c>
    </row>
    <row r="2879">
      <c r="A2879" s="35">
        <f>IF(M2879="","",HYPERLINK("https://www.youtube.com/watch?v="&amp;M2879,"▶"))</f>
        <v/>
      </c>
      <c r="B2879" s="36">
        <f>IF(C2879&lt;&gt;"",C2879,IF(P2879&lt;=IFERROR(INDEX(tblChannels[Watched Through],MATCH(N2879,tblChannels[Channel ID],0)),0),"Watched","Unwatched"))</f>
        <v/>
      </c>
      <c r="C2879" s="37" t="n"/>
      <c r="D2879" s="38" t="n"/>
      <c r="E2879" s="39" t="n">
        <v>41849.93472222222</v>
      </c>
      <c r="F2879" s="47" t="inlineStr">
        <is>
          <t>Super Carlin Brothers</t>
        </is>
      </c>
      <c r="G2879" t="inlineStr">
        <is>
          <t>Frozen Theory: The Prince of Arendelle</t>
        </is>
      </c>
      <c r="H2879" s="41" t="n">
        <v>0.004097222222222223</v>
      </c>
      <c r="I2879" s="42" t="n">
        <v>2157902</v>
      </c>
      <c r="J2879" s="42" t="n">
        <v>35906</v>
      </c>
      <c r="K2879" s="42" t="n">
        <v>7526</v>
      </c>
      <c r="L2879" s="43" t="n"/>
      <c r="M2879" s="44" t="n"/>
      <c r="N2879" s="44" t="inlineStr">
        <is>
          <t>UCKZo4N0lVPccBkSiuyVh4yg</t>
        </is>
      </c>
      <c r="O2879" s="45" t="n">
        <v>41850.10138888889</v>
      </c>
      <c r="P2879" s="46" t="n">
        <v>41849</v>
      </c>
      <c r="Q2879" s="44" t="n">
        <v>393</v>
      </c>
      <c r="R2879" s="44" t="inlineStr">
        <is>
          <t>No Video ID yet</t>
        </is>
      </c>
      <c r="S2879" s="46" t="n"/>
      <c r="T2879" s="46" t="n"/>
      <c r="U2879" s="44" t="n"/>
      <c r="V2879" s="44">
        <f>IF(AND(P2879&gt;=Calendar!$K$2,P2879&lt;EDATE(Calendar!$K$2,1),OR(Calendar!$K$4="*",N2879=Calendar!$K$4)),P2879*100+COUNTIFS($P$6:$P$3271,P2879,$Q$6:$Q$3271,"&lt;="&amp;Q2879,$N$6:$N$3271,Calendar!$K$4),"")</f>
        <v/>
      </c>
      <c r="W2879" s="44">
        <f>IF(AND(B2879=Queue!$C$4,OR(Queue!$K$4="*",N2879=Queue!$K$4)),Q2879,"")</f>
        <v/>
      </c>
    </row>
    <row r="2880">
      <c r="A2880" s="35">
        <f>IF(M2880="","",HYPERLINK("https://www.youtube.com/watch?v="&amp;M2880,"▶"))</f>
        <v/>
      </c>
      <c r="B2880" s="36">
        <f>IF(C2880&lt;&gt;"",C2880,IF(P2880&lt;=IFERROR(INDEX(tblChannels[Watched Through],MATCH(N2880,tblChannels[Channel ID],0)),0),"Watched","Unwatched"))</f>
        <v/>
      </c>
      <c r="C2880" s="37" t="n"/>
      <c r="D2880" s="38" t="n"/>
      <c r="E2880" s="39" t="n">
        <v>41847.57638888889</v>
      </c>
      <c r="F2880" s="49" t="inlineStr">
        <is>
          <t>Super Carlin Gaming</t>
        </is>
      </c>
      <c r="G2880" t="inlineStr">
        <is>
          <t>Pokemon FireRed Nuzlocke Challenge #20: Quest for Articuno!</t>
        </is>
      </c>
      <c r="H2880" s="41" t="n">
        <v>0.01881944444444444</v>
      </c>
      <c r="I2880" s="42" t="n">
        <v>26139</v>
      </c>
      <c r="J2880" s="42" t="n">
        <v>479</v>
      </c>
      <c r="K2880" s="42" t="n">
        <v>174</v>
      </c>
      <c r="L2880" s="43" t="n"/>
      <c r="M2880" s="44" t="n"/>
      <c r="N2880" s="44" t="inlineStr">
        <is>
          <t>UCor_9jRnNNZVzTuQ92PKsaQ</t>
        </is>
      </c>
      <c r="O2880" s="45" t="n">
        <v>41847.74305555555</v>
      </c>
      <c r="P2880" s="46" t="n">
        <v>41847</v>
      </c>
      <c r="Q2880" s="44" t="n">
        <v>392</v>
      </c>
      <c r="R2880" s="44" t="inlineStr">
        <is>
          <t>No Video ID yet</t>
        </is>
      </c>
      <c r="S2880" s="46" t="n"/>
      <c r="T2880" s="46" t="n"/>
      <c r="U2880" s="44" t="n"/>
      <c r="V2880" s="44">
        <f>IF(AND(P2880&gt;=Calendar!$K$2,P2880&lt;EDATE(Calendar!$K$2,1),OR(Calendar!$K$4="*",N2880=Calendar!$K$4)),P2880*100+COUNTIFS($P$6:$P$3271,P2880,$Q$6:$Q$3271,"&lt;="&amp;Q2880,$N$6:$N$3271,Calendar!$K$4),"")</f>
        <v/>
      </c>
      <c r="W2880" s="44">
        <f>IF(AND(B2880=Queue!$C$4,OR(Queue!$K$4="*",N2880=Queue!$K$4)),Q2880,"")</f>
        <v/>
      </c>
    </row>
    <row r="2881">
      <c r="A2881" s="35">
        <f>IF(M2881="","",HYPERLINK("https://www.youtube.com/watch?v="&amp;M2881,"▶"))</f>
        <v/>
      </c>
      <c r="B2881" s="36">
        <f>IF(C2881&lt;&gt;"",C2881,IF(P2881&lt;=IFERROR(INDEX(tblChannels[Watched Through],MATCH(N2881,tblChannels[Channel ID],0)),0),"Watched","Unwatched"))</f>
        <v/>
      </c>
      <c r="C2881" s="37" t="n"/>
      <c r="D2881" s="38" t="n"/>
      <c r="E2881" s="39" t="n">
        <v>41844.54166666666</v>
      </c>
      <c r="F2881" s="47" t="inlineStr">
        <is>
          <t>Super Carlin Brothers</t>
        </is>
      </c>
      <c r="G2881" t="inlineStr">
        <is>
          <t>I HEART SPICY</t>
        </is>
      </c>
      <c r="H2881" s="41" t="n">
        <v>0.002939814814814815</v>
      </c>
      <c r="I2881" s="42" t="n">
        <v>19373</v>
      </c>
      <c r="J2881" s="42" t="n">
        <v>395</v>
      </c>
      <c r="K2881" s="42" t="n">
        <v>208</v>
      </c>
      <c r="L2881" s="43" t="n"/>
      <c r="M2881" s="44" t="n"/>
      <c r="N2881" s="44" t="inlineStr">
        <is>
          <t>UCKZo4N0lVPccBkSiuyVh4yg</t>
        </is>
      </c>
      <c r="O2881" s="45" t="n">
        <v>41844.70833333334</v>
      </c>
      <c r="P2881" s="46" t="n">
        <v>41844</v>
      </c>
      <c r="Q2881" s="44" t="n">
        <v>391</v>
      </c>
      <c r="R2881" s="44" t="inlineStr">
        <is>
          <t>No Video ID yet</t>
        </is>
      </c>
      <c r="S2881" s="46" t="n"/>
      <c r="T2881" s="46" t="n"/>
      <c r="U2881" s="44" t="n"/>
      <c r="V2881" s="44">
        <f>IF(AND(P2881&gt;=Calendar!$K$2,P2881&lt;EDATE(Calendar!$K$2,1),OR(Calendar!$K$4="*",N2881=Calendar!$K$4)),P2881*100+COUNTIFS($P$6:$P$3271,P2881,$Q$6:$Q$3271,"&lt;="&amp;Q2881,$N$6:$N$3271,Calendar!$K$4),"")</f>
        <v/>
      </c>
      <c r="W2881" s="44">
        <f>IF(AND(B2881=Queue!$C$4,OR(Queue!$K$4="*",N2881=Queue!$K$4)),Q2881,"")</f>
        <v/>
      </c>
    </row>
    <row r="2882">
      <c r="A2882" s="35">
        <f>IF(M2882="","",HYPERLINK("https://www.youtube.com/watch?v="&amp;M2882,"▶"))</f>
        <v/>
      </c>
      <c r="B2882" s="36">
        <f>IF(C2882&lt;&gt;"",C2882,IF(P2882&lt;=IFERROR(INDEX(tblChannels[Watched Through],MATCH(N2882,tblChannels[Channel ID],0)),0),"Watched","Unwatched"))</f>
        <v/>
      </c>
      <c r="C2882" s="37" t="n"/>
      <c r="D2882" s="38" t="n"/>
      <c r="E2882" s="39" t="n">
        <v>41843.98819444444</v>
      </c>
      <c r="F2882" s="49" t="inlineStr">
        <is>
          <t>Super Carlin Gaming</t>
        </is>
      </c>
      <c r="G2882" t="inlineStr">
        <is>
          <t>Pokemon FireRed Nuzlocke Challenge #19: KOGA</t>
        </is>
      </c>
      <c r="H2882" s="41" t="n">
        <v>0.01484953703703704</v>
      </c>
      <c r="I2882" s="42" t="n">
        <v>23863</v>
      </c>
      <c r="J2882" s="42" t="n">
        <v>424</v>
      </c>
      <c r="K2882" s="42" t="n">
        <v>52</v>
      </c>
      <c r="L2882" s="43" t="n"/>
      <c r="M2882" s="44" t="n"/>
      <c r="N2882" s="44" t="inlineStr">
        <is>
          <t>UCor_9jRnNNZVzTuQ92PKsaQ</t>
        </is>
      </c>
      <c r="O2882" s="45" t="n">
        <v>41844.15486111111</v>
      </c>
      <c r="P2882" s="46" t="n">
        <v>41843</v>
      </c>
      <c r="Q2882" s="44" t="n">
        <v>390</v>
      </c>
      <c r="R2882" s="44" t="inlineStr">
        <is>
          <t>No Video ID yet</t>
        </is>
      </c>
      <c r="S2882" s="46" t="n"/>
      <c r="T2882" s="46" t="n"/>
      <c r="U2882" s="44" t="n"/>
      <c r="V2882" s="44">
        <f>IF(AND(P2882&gt;=Calendar!$K$2,P2882&lt;EDATE(Calendar!$K$2,1),OR(Calendar!$K$4="*",N2882=Calendar!$K$4)),P2882*100+COUNTIFS($P$6:$P$3271,P2882,$Q$6:$Q$3271,"&lt;="&amp;Q2882,$N$6:$N$3271,Calendar!$K$4),"")</f>
        <v/>
      </c>
      <c r="W2882" s="44">
        <f>IF(AND(B2882=Queue!$C$4,OR(Queue!$K$4="*",N2882=Queue!$K$4)),Q2882,"")</f>
        <v/>
      </c>
    </row>
    <row r="2883">
      <c r="A2883" s="35">
        <f>IF(M2883="","",HYPERLINK("https://www.youtube.com/watch?v="&amp;M2883,"▶"))</f>
        <v/>
      </c>
      <c r="B2883" s="36">
        <f>IF(C2883&lt;&gt;"",C2883,IF(P2883&lt;=IFERROR(INDEX(tblChannels[Watched Through],MATCH(N2883,tblChannels[Channel ID],0)),0),"Watched","Unwatched"))</f>
        <v/>
      </c>
      <c r="C2883" s="37" t="n"/>
      <c r="D2883" s="38" t="n"/>
      <c r="E2883" s="39" t="n">
        <v>41842.90694444445</v>
      </c>
      <c r="F2883" s="47" t="inlineStr">
        <is>
          <t>Super Carlin Brothers</t>
        </is>
      </c>
      <c r="G2883" t="inlineStr">
        <is>
          <t>Infinity and Beyond!</t>
        </is>
      </c>
      <c r="H2883" s="41" t="n">
        <v>0.003252314814814815</v>
      </c>
      <c r="I2883" s="42" t="n">
        <v>221908</v>
      </c>
      <c r="J2883" s="42" t="n">
        <v>3054</v>
      </c>
      <c r="K2883" s="42" t="n">
        <v>591</v>
      </c>
      <c r="L2883" s="43" t="n"/>
      <c r="M2883" s="44" t="n"/>
      <c r="N2883" s="44" t="inlineStr">
        <is>
          <t>UCKZo4N0lVPccBkSiuyVh4yg</t>
        </is>
      </c>
      <c r="O2883" s="45" t="n">
        <v>41843.07361111111</v>
      </c>
      <c r="P2883" s="46" t="n">
        <v>41842</v>
      </c>
      <c r="Q2883" s="44" t="n">
        <v>389</v>
      </c>
      <c r="R2883" s="44" t="inlineStr">
        <is>
          <t>No Video ID yet</t>
        </is>
      </c>
      <c r="S2883" s="46" t="n"/>
      <c r="T2883" s="46" t="n"/>
      <c r="U2883" s="44" t="n"/>
      <c r="V2883" s="44">
        <f>IF(AND(P2883&gt;=Calendar!$K$2,P2883&lt;EDATE(Calendar!$K$2,1),OR(Calendar!$K$4="*",N2883=Calendar!$K$4)),P2883*100+COUNTIFS($P$6:$P$3271,P2883,$Q$6:$Q$3271,"&lt;="&amp;Q2883,$N$6:$N$3271,Calendar!$K$4),"")</f>
        <v/>
      </c>
      <c r="W2883" s="44">
        <f>IF(AND(B2883=Queue!$C$4,OR(Queue!$K$4="*",N2883=Queue!$K$4)),Q2883,"")</f>
        <v/>
      </c>
    </row>
    <row r="2884">
      <c r="A2884" s="35">
        <f>IF(M2884="","",HYPERLINK("https://www.youtube.com/watch?v="&amp;M2884,"▶"))</f>
        <v/>
      </c>
      <c r="B2884" s="36">
        <f>IF(C2884&lt;&gt;"",C2884,IF(P2884&lt;=IFERROR(INDEX(tblChannels[Watched Through],MATCH(N2884,tblChannels[Channel ID],0)),0),"Watched","Unwatched"))</f>
        <v/>
      </c>
      <c r="C2884" s="37" t="n"/>
      <c r="D2884" s="38" t="n"/>
      <c r="E2884" s="39" t="n">
        <v>41837.96666666667</v>
      </c>
      <c r="F2884" s="47" t="inlineStr">
        <is>
          <t>Super Carlin Brothers</t>
        </is>
      </c>
      <c r="G2884" t="inlineStr">
        <is>
          <t>Chilly Bump Getting Whore</t>
        </is>
      </c>
      <c r="H2884" s="41" t="n">
        <v>0.002534722222222222</v>
      </c>
      <c r="I2884" s="42" t="n">
        <v>16435</v>
      </c>
      <c r="J2884" s="42" t="n">
        <v>345</v>
      </c>
      <c r="K2884" s="42" t="n">
        <v>140</v>
      </c>
      <c r="L2884" s="43" t="n"/>
      <c r="M2884" s="44" t="n"/>
      <c r="N2884" s="44" t="inlineStr">
        <is>
          <t>UCKZo4N0lVPccBkSiuyVh4yg</t>
        </is>
      </c>
      <c r="O2884" s="45" t="n">
        <v>41838.13333333333</v>
      </c>
      <c r="P2884" s="46" t="n">
        <v>41837</v>
      </c>
      <c r="Q2884" s="44" t="n">
        <v>388</v>
      </c>
      <c r="R2884" s="44" t="inlineStr">
        <is>
          <t>No Video ID yet</t>
        </is>
      </c>
      <c r="S2884" s="46" t="n"/>
      <c r="T2884" s="46" t="n"/>
      <c r="U2884" s="44" t="n"/>
      <c r="V2884" s="44">
        <f>IF(AND(P2884&gt;=Calendar!$K$2,P2884&lt;EDATE(Calendar!$K$2,1),OR(Calendar!$K$4="*",N2884=Calendar!$K$4)),P2884*100+COUNTIFS($P$6:$P$3271,P2884,$Q$6:$Q$3271,"&lt;="&amp;Q2884,$N$6:$N$3271,Calendar!$K$4),"")</f>
        <v/>
      </c>
      <c r="W2884" s="44">
        <f>IF(AND(B2884=Queue!$C$4,OR(Queue!$K$4="*",N2884=Queue!$K$4)),Q2884,"")</f>
        <v/>
      </c>
    </row>
    <row r="2885">
      <c r="A2885" s="35">
        <f>IF(M2885="","",HYPERLINK("https://www.youtube.com/watch?v="&amp;M2885,"▶"))</f>
        <v/>
      </c>
      <c r="B2885" s="36">
        <f>IF(C2885&lt;&gt;"",C2885,IF(P2885&lt;=IFERROR(INDEX(tblChannels[Watched Through],MATCH(N2885,tblChannels[Channel ID],0)),0),"Watched","Unwatched"))</f>
        <v/>
      </c>
      <c r="C2885" s="37" t="n"/>
      <c r="D2885" s="38" t="n"/>
      <c r="E2885" s="39" t="n">
        <v>41835.99652777778</v>
      </c>
      <c r="F2885" s="47" t="inlineStr">
        <is>
          <t>Super Carlin Brothers</t>
        </is>
      </c>
      <c r="G2885" t="inlineStr">
        <is>
          <t>Are Narwhals Google Autofill</t>
        </is>
      </c>
      <c r="H2885" s="41" t="n">
        <v>0.003703703703703704</v>
      </c>
      <c r="I2885" s="42" t="n">
        <v>348327</v>
      </c>
      <c r="J2885" s="42" t="n">
        <v>5354</v>
      </c>
      <c r="K2885" s="42" t="n">
        <v>1148</v>
      </c>
      <c r="L2885" s="43" t="n"/>
      <c r="M2885" s="44" t="n"/>
      <c r="N2885" s="44" t="inlineStr">
        <is>
          <t>UCKZo4N0lVPccBkSiuyVh4yg</t>
        </is>
      </c>
      <c r="O2885" s="45" t="n">
        <v>41836.16319444445</v>
      </c>
      <c r="P2885" s="46" t="n">
        <v>41835</v>
      </c>
      <c r="Q2885" s="44" t="n">
        <v>387</v>
      </c>
      <c r="R2885" s="44" t="inlineStr">
        <is>
          <t>No Video ID yet</t>
        </is>
      </c>
      <c r="S2885" s="46" t="n"/>
      <c r="T2885" s="46" t="n"/>
      <c r="U2885" s="44" t="n"/>
      <c r="V2885" s="44">
        <f>IF(AND(P2885&gt;=Calendar!$K$2,P2885&lt;EDATE(Calendar!$K$2,1),OR(Calendar!$K$4="*",N2885=Calendar!$K$4)),P2885*100+COUNTIFS($P$6:$P$3271,P2885,$Q$6:$Q$3271,"&lt;="&amp;Q2885,$N$6:$N$3271,Calendar!$K$4),"")</f>
        <v/>
      </c>
      <c r="W2885" s="44">
        <f>IF(AND(B2885=Queue!$C$4,OR(Queue!$K$4="*",N2885=Queue!$K$4)),Q2885,"")</f>
        <v/>
      </c>
    </row>
    <row r="2886">
      <c r="A2886" s="35">
        <f>IF(M2886="","",HYPERLINK("https://www.youtube.com/watch?v="&amp;M2886,"▶"))</f>
        <v/>
      </c>
      <c r="B2886" s="36">
        <f>IF(C2886&lt;&gt;"",C2886,IF(P2886&lt;=IFERROR(INDEX(tblChannels[Watched Through],MATCH(N2886,tblChannels[Channel ID],0)),0),"Watched","Unwatched"))</f>
        <v/>
      </c>
      <c r="C2886" s="37" t="n"/>
      <c r="D2886" s="38" t="n"/>
      <c r="E2886" s="39" t="n">
        <v>41830.95347222222</v>
      </c>
      <c r="F2886" s="47" t="inlineStr">
        <is>
          <t>Super Carlin Brothers</t>
        </is>
      </c>
      <c r="G2886" t="inlineStr">
        <is>
          <t>The Sloth Theory</t>
        </is>
      </c>
      <c r="H2886" s="41" t="n">
        <v>0.003032407407407407</v>
      </c>
      <c r="I2886" s="42" t="n">
        <v>258642</v>
      </c>
      <c r="J2886" s="42" t="n">
        <v>4234</v>
      </c>
      <c r="K2886" s="42" t="n">
        <v>929</v>
      </c>
      <c r="L2886" s="43" t="n"/>
      <c r="M2886" s="44" t="n"/>
      <c r="N2886" s="44" t="inlineStr">
        <is>
          <t>UCKZo4N0lVPccBkSiuyVh4yg</t>
        </is>
      </c>
      <c r="O2886" s="45" t="n">
        <v>41831.12013888889</v>
      </c>
      <c r="P2886" s="46" t="n">
        <v>41830</v>
      </c>
      <c r="Q2886" s="44" t="n">
        <v>386</v>
      </c>
      <c r="R2886" s="44" t="inlineStr">
        <is>
          <t>No Video ID yet</t>
        </is>
      </c>
      <c r="S2886" s="46" t="n"/>
      <c r="T2886" s="46" t="n"/>
      <c r="U2886" s="44" t="n"/>
      <c r="V2886" s="44">
        <f>IF(AND(P2886&gt;=Calendar!$K$2,P2886&lt;EDATE(Calendar!$K$2,1),OR(Calendar!$K$4="*",N2886=Calendar!$K$4)),P2886*100+COUNTIFS($P$6:$P$3271,P2886,$Q$6:$Q$3271,"&lt;="&amp;Q2886,$N$6:$N$3271,Calendar!$K$4),"")</f>
        <v/>
      </c>
      <c r="W2886" s="44">
        <f>IF(AND(B2886=Queue!$C$4,OR(Queue!$K$4="*",N2886=Queue!$K$4)),Q2886,"")</f>
        <v/>
      </c>
    </row>
    <row r="2887">
      <c r="A2887" s="35">
        <f>IF(M2887="","",HYPERLINK("https://www.youtube.com/watch?v="&amp;M2887,"▶"))</f>
        <v/>
      </c>
      <c r="B2887" s="36">
        <f>IF(C2887&lt;&gt;"",C2887,IF(P2887&lt;=IFERROR(INDEX(tblChannels[Watched Through],MATCH(N2887,tblChannels[Channel ID],0)),0),"Watched","Unwatched"))</f>
        <v/>
      </c>
      <c r="C2887" s="37" t="n"/>
      <c r="D2887" s="38" t="n"/>
      <c r="E2887" s="39" t="n">
        <v>41828.90972222222</v>
      </c>
      <c r="F2887" s="47" t="inlineStr">
        <is>
          <t>Super Carlin Brothers</t>
        </is>
      </c>
      <c r="G2887" t="inlineStr">
        <is>
          <t>The Coffee Creamer Challenge!</t>
        </is>
      </c>
      <c r="H2887" s="41" t="n">
        <v>0.003599537037037037</v>
      </c>
      <c r="I2887" s="42" t="n">
        <v>69614</v>
      </c>
      <c r="J2887" s="42" t="n">
        <v>1601</v>
      </c>
      <c r="K2887" s="42" t="n">
        <v>204</v>
      </c>
      <c r="L2887" s="43" t="n"/>
      <c r="M2887" s="44" t="n"/>
      <c r="N2887" s="44" t="inlineStr">
        <is>
          <t>UCKZo4N0lVPccBkSiuyVh4yg</t>
        </is>
      </c>
      <c r="O2887" s="45" t="n">
        <v>41829.07638888889</v>
      </c>
      <c r="P2887" s="46" t="n">
        <v>41828</v>
      </c>
      <c r="Q2887" s="44" t="n">
        <v>385</v>
      </c>
      <c r="R2887" s="44" t="inlineStr">
        <is>
          <t>No Video ID yet</t>
        </is>
      </c>
      <c r="S2887" s="46" t="n"/>
      <c r="T2887" s="46" t="n"/>
      <c r="U2887" s="44" t="n"/>
      <c r="V2887" s="44">
        <f>IF(AND(P2887&gt;=Calendar!$K$2,P2887&lt;EDATE(Calendar!$K$2,1),OR(Calendar!$K$4="*",N2887=Calendar!$K$4)),P2887*100+COUNTIFS($P$6:$P$3271,P2887,$Q$6:$Q$3271,"&lt;="&amp;Q2887,$N$6:$N$3271,Calendar!$K$4),"")</f>
        <v/>
      </c>
      <c r="W2887" s="44">
        <f>IF(AND(B2887=Queue!$C$4,OR(Queue!$K$4="*",N2887=Queue!$K$4)),Q2887,"")</f>
        <v/>
      </c>
    </row>
    <row r="2888">
      <c r="A2888" s="35">
        <f>IF(M2888="","",HYPERLINK("https://www.youtube.com/watch?v="&amp;M2888,"▶"))</f>
        <v/>
      </c>
      <c r="B2888" s="36">
        <f>IF(C2888&lt;&gt;"",C2888,IF(P2888&lt;=IFERROR(INDEX(tblChannels[Watched Through],MATCH(N2888,tblChannels[Channel ID],0)),0),"Watched","Unwatched"))</f>
        <v/>
      </c>
      <c r="C2888" s="37" t="n"/>
      <c r="D2888" s="38" t="n"/>
      <c r="E2888" s="39" t="n">
        <v>41827.94097222222</v>
      </c>
      <c r="F2888" s="49" t="inlineStr">
        <is>
          <t>Super Carlin Gaming</t>
        </is>
      </c>
      <c r="G2888" t="inlineStr">
        <is>
          <t>Pokemon FireRed Nuzlocke Challenge #18: Twig vs Sabrina</t>
        </is>
      </c>
      <c r="H2888" s="41" t="n">
        <v>0.007974537037037037</v>
      </c>
      <c r="I2888" s="42" t="n">
        <v>22811</v>
      </c>
      <c r="J2888" s="42" t="n">
        <v>396</v>
      </c>
      <c r="K2888" s="42" t="n">
        <v>30</v>
      </c>
      <c r="L2888" s="43" t="n"/>
      <c r="M2888" s="44" t="n"/>
      <c r="N2888" s="44" t="inlineStr">
        <is>
          <t>UCor_9jRnNNZVzTuQ92PKsaQ</t>
        </is>
      </c>
      <c r="O2888" s="45" t="n">
        <v>41828.10763888889</v>
      </c>
      <c r="P2888" s="46" t="n">
        <v>41827</v>
      </c>
      <c r="Q2888" s="44" t="n">
        <v>384</v>
      </c>
      <c r="R2888" s="44" t="inlineStr">
        <is>
          <t>No Video ID yet</t>
        </is>
      </c>
      <c r="S2888" s="46" t="n"/>
      <c r="T2888" s="46" t="n"/>
      <c r="U2888" s="44" t="n"/>
      <c r="V2888" s="44">
        <f>IF(AND(P2888&gt;=Calendar!$K$2,P2888&lt;EDATE(Calendar!$K$2,1),OR(Calendar!$K$4="*",N2888=Calendar!$K$4)),P2888*100+COUNTIFS($P$6:$P$3271,P2888,$Q$6:$Q$3271,"&lt;="&amp;Q2888,$N$6:$N$3271,Calendar!$K$4),"")</f>
        <v/>
      </c>
      <c r="W2888" s="44">
        <f>IF(AND(B2888=Queue!$C$4,OR(Queue!$K$4="*",N2888=Queue!$K$4)),Q2888,"")</f>
        <v/>
      </c>
    </row>
    <row r="2889">
      <c r="A2889" s="35">
        <f>IF(M2889="","",HYPERLINK("https://www.youtube.com/watch?v="&amp;M2889,"▶"))</f>
        <v/>
      </c>
      <c r="B2889" s="36">
        <f>IF(C2889&lt;&gt;"",C2889,IF(P2889&lt;=IFERROR(INDEX(tblChannels[Watched Through],MATCH(N2889,tblChannels[Channel ID],0)),0),"Watched","Unwatched"))</f>
        <v/>
      </c>
      <c r="C2889" s="37" t="n"/>
      <c r="D2889" s="38" t="n"/>
      <c r="E2889" s="39" t="n">
        <v>41824.52916666667</v>
      </c>
      <c r="F2889" s="49" t="inlineStr">
        <is>
          <t>Super Carlin Gaming</t>
        </is>
      </c>
      <c r="G2889" t="inlineStr">
        <is>
          <t>Pokemon FireRed Nuzlocke Challenge #17: PEACHES AND GIOVANNI!</t>
        </is>
      </c>
      <c r="H2889" s="41" t="n">
        <v>0.01487268518518518</v>
      </c>
      <c r="I2889" s="42" t="n">
        <v>24863</v>
      </c>
      <c r="J2889" s="42" t="n">
        <v>425</v>
      </c>
      <c r="K2889" s="42" t="n">
        <v>40</v>
      </c>
      <c r="L2889" s="43" t="n"/>
      <c r="M2889" s="44" t="n"/>
      <c r="N2889" s="44" t="inlineStr">
        <is>
          <t>UCor_9jRnNNZVzTuQ92PKsaQ</t>
        </is>
      </c>
      <c r="O2889" s="45" t="n">
        <v>41824.69583333333</v>
      </c>
      <c r="P2889" s="46" t="n">
        <v>41824</v>
      </c>
      <c r="Q2889" s="44" t="n">
        <v>383</v>
      </c>
      <c r="R2889" s="44" t="inlineStr">
        <is>
          <t>No Video ID yet</t>
        </is>
      </c>
      <c r="S2889" s="46" t="n"/>
      <c r="T2889" s="46" t="n"/>
      <c r="U2889" s="44" t="n"/>
      <c r="V2889" s="44">
        <f>IF(AND(P2889&gt;=Calendar!$K$2,P2889&lt;EDATE(Calendar!$K$2,1),OR(Calendar!$K$4="*",N2889=Calendar!$K$4)),P2889*100+COUNTIFS($P$6:$P$3271,P2889,$Q$6:$Q$3271,"&lt;="&amp;Q2889,$N$6:$N$3271,Calendar!$K$4),"")</f>
        <v/>
      </c>
      <c r="W2889" s="44">
        <f>IF(AND(B2889=Queue!$C$4,OR(Queue!$K$4="*",N2889=Queue!$K$4)),Q2889,"")</f>
        <v/>
      </c>
    </row>
    <row r="2890">
      <c r="A2890" s="35">
        <f>IF(M2890="","",HYPERLINK("https://www.youtube.com/watch?v="&amp;M2890,"▶"))</f>
        <v/>
      </c>
      <c r="B2890" s="36">
        <f>IF(C2890&lt;&gt;"",C2890,IF(P2890&lt;=IFERROR(INDEX(tblChannels[Watched Through],MATCH(N2890,tblChannels[Channel ID],0)),0),"Watched","Unwatched"))</f>
        <v/>
      </c>
      <c r="C2890" s="37" t="n"/>
      <c r="D2890" s="38" t="n"/>
      <c r="E2890" s="39" t="n">
        <v>41824.00625</v>
      </c>
      <c r="F2890" s="47" t="inlineStr">
        <is>
          <t>Super Carlin Brothers</t>
        </is>
      </c>
      <c r="G2890" t="inlineStr">
        <is>
          <t>SEEING THE FUTURE</t>
        </is>
      </c>
      <c r="H2890" s="41" t="n">
        <v>0.003344907407407408</v>
      </c>
      <c r="I2890" s="42" t="n">
        <v>20641</v>
      </c>
      <c r="J2890" s="42" t="n">
        <v>461</v>
      </c>
      <c r="K2890" s="42" t="n">
        <v>140</v>
      </c>
      <c r="L2890" s="43" t="n"/>
      <c r="M2890" s="44" t="n"/>
      <c r="N2890" s="44" t="inlineStr">
        <is>
          <t>UCKZo4N0lVPccBkSiuyVh4yg</t>
        </is>
      </c>
      <c r="O2890" s="45" t="n">
        <v>41824.17291666667</v>
      </c>
      <c r="P2890" s="46" t="n">
        <v>41824</v>
      </c>
      <c r="Q2890" s="44" t="n">
        <v>382</v>
      </c>
      <c r="R2890" s="44" t="inlineStr">
        <is>
          <t>No Video ID yet</t>
        </is>
      </c>
      <c r="S2890" s="46" t="n"/>
      <c r="T2890" s="46" t="n"/>
      <c r="U2890" s="44" t="n"/>
      <c r="V2890" s="44">
        <f>IF(AND(P2890&gt;=Calendar!$K$2,P2890&lt;EDATE(Calendar!$K$2,1),OR(Calendar!$K$4="*",N2890=Calendar!$K$4)),P2890*100+COUNTIFS($P$6:$P$3271,P2890,$Q$6:$Q$3271,"&lt;="&amp;Q2890,$N$6:$N$3271,Calendar!$K$4),"")</f>
        <v/>
      </c>
      <c r="W2890" s="44">
        <f>IF(AND(B2890=Queue!$C$4,OR(Queue!$K$4="*",N2890=Queue!$K$4)),Q2890,"")</f>
        <v/>
      </c>
    </row>
    <row r="2891">
      <c r="A2891" s="35">
        <f>IF(M2891="","",HYPERLINK("https://www.youtube.com/watch?v="&amp;M2891,"▶"))</f>
        <v/>
      </c>
      <c r="B2891" s="36">
        <f>IF(C2891&lt;&gt;"",C2891,IF(P2891&lt;=IFERROR(INDEX(tblChannels[Watched Through],MATCH(N2891,tblChannels[Channel ID],0)),0),"Watched","Unwatched"))</f>
        <v/>
      </c>
      <c r="C2891" s="37" t="n"/>
      <c r="D2891" s="38" t="n"/>
      <c r="E2891" s="39" t="n">
        <v>41821.93472222222</v>
      </c>
      <c r="F2891" s="47" t="inlineStr">
        <is>
          <t>Super Carlin Brothers</t>
        </is>
      </c>
      <c r="G2891" t="inlineStr">
        <is>
          <t>DID YOU REALLY SEE THAT??</t>
        </is>
      </c>
      <c r="H2891" s="41" t="n">
        <v>0.003414351851851852</v>
      </c>
      <c r="I2891" s="42" t="n">
        <v>233129</v>
      </c>
      <c r="J2891" s="42" t="n">
        <v>3386</v>
      </c>
      <c r="K2891" s="42" t="n">
        <v>578</v>
      </c>
      <c r="L2891" s="43" t="n"/>
      <c r="M2891" s="44" t="n"/>
      <c r="N2891" s="44" t="inlineStr">
        <is>
          <t>UCKZo4N0lVPccBkSiuyVh4yg</t>
        </is>
      </c>
      <c r="O2891" s="45" t="n">
        <v>41822.10138888889</v>
      </c>
      <c r="P2891" s="46" t="n">
        <v>41821</v>
      </c>
      <c r="Q2891" s="44" t="n">
        <v>381</v>
      </c>
      <c r="R2891" s="44" t="inlineStr">
        <is>
          <t>No Video ID yet</t>
        </is>
      </c>
      <c r="S2891" s="46" t="n"/>
      <c r="T2891" s="46" t="n"/>
      <c r="U2891" s="44" t="n"/>
      <c r="V2891" s="44">
        <f>IF(AND(P2891&gt;=Calendar!$K$2,P2891&lt;EDATE(Calendar!$K$2,1),OR(Calendar!$K$4="*",N2891=Calendar!$K$4)),P2891*100+COUNTIFS($P$6:$P$3271,P2891,$Q$6:$Q$3271,"&lt;="&amp;Q2891,$N$6:$N$3271,Calendar!$K$4),"")</f>
        <v/>
      </c>
      <c r="W2891" s="44">
        <f>IF(AND(B2891=Queue!$C$4,OR(Queue!$K$4="*",N2891=Queue!$K$4)),Q2891,"")</f>
        <v/>
      </c>
    </row>
    <row r="2892">
      <c r="A2892" s="35">
        <f>IF(M2892="","",HYPERLINK("https://www.youtube.com/watch?v="&amp;M2892,"▶"))</f>
        <v/>
      </c>
      <c r="B2892" s="36">
        <f>IF(C2892&lt;&gt;"",C2892,IF(P2892&lt;=IFERROR(INDEX(tblChannels[Watched Through],MATCH(N2892,tblChannels[Channel ID],0)),0),"Watched","Unwatched"))</f>
        <v/>
      </c>
      <c r="C2892" s="37" t="n"/>
      <c r="D2892" s="38" t="n"/>
      <c r="E2892" s="39" t="n">
        <v>41821.30555555555</v>
      </c>
      <c r="F2892" s="49" t="inlineStr">
        <is>
          <t>Super Carlin Gaming</t>
        </is>
      </c>
      <c r="G2892" t="inlineStr">
        <is>
          <t>Pokemon FireRed Nuzlocke #16 - SILPH Co.</t>
        </is>
      </c>
      <c r="H2892" s="41" t="n">
        <v>0.01342592592592593</v>
      </c>
      <c r="I2892" s="42" t="n">
        <v>25379</v>
      </c>
      <c r="J2892" s="42" t="n">
        <v>423</v>
      </c>
      <c r="K2892" s="42" t="n">
        <v>32</v>
      </c>
      <c r="L2892" s="43" t="n"/>
      <c r="M2892" s="44" t="n"/>
      <c r="N2892" s="44" t="inlineStr">
        <is>
          <t>UCor_9jRnNNZVzTuQ92PKsaQ</t>
        </is>
      </c>
      <c r="O2892" s="45" t="n">
        <v>41821.47222222222</v>
      </c>
      <c r="P2892" s="46" t="n">
        <v>41821</v>
      </c>
      <c r="Q2892" s="44" t="n">
        <v>380</v>
      </c>
      <c r="R2892" s="44" t="inlineStr">
        <is>
          <t>No Video ID yet</t>
        </is>
      </c>
      <c r="S2892" s="46" t="n"/>
      <c r="T2892" s="46" t="n"/>
      <c r="U2892" s="44" t="n"/>
      <c r="V2892" s="44">
        <f>IF(AND(P2892&gt;=Calendar!$K$2,P2892&lt;EDATE(Calendar!$K$2,1),OR(Calendar!$K$4="*",N2892=Calendar!$K$4)),P2892*100+COUNTIFS($P$6:$P$3271,P2892,$Q$6:$Q$3271,"&lt;="&amp;Q2892,$N$6:$N$3271,Calendar!$K$4),"")</f>
        <v/>
      </c>
      <c r="W2892" s="44">
        <f>IF(AND(B2892=Queue!$C$4,OR(Queue!$K$4="*",N2892=Queue!$K$4)),Q2892,"")</f>
        <v/>
      </c>
    </row>
    <row r="2893">
      <c r="A2893" s="35">
        <f>IF(M2893="","",HYPERLINK("https://www.youtube.com/watch?v="&amp;M2893,"▶"))</f>
        <v/>
      </c>
      <c r="B2893" s="36">
        <f>IF(C2893&lt;&gt;"",C2893,IF(P2893&lt;=IFERROR(INDEX(tblChannels[Watched Through],MATCH(N2893,tblChannels[Channel ID],0)),0),"Watched","Unwatched"))</f>
        <v/>
      </c>
      <c r="C2893" s="37" t="n"/>
      <c r="D2893" s="38" t="n"/>
      <c r="E2893" s="39" t="n">
        <v>41816.625</v>
      </c>
      <c r="F2893" s="47" t="inlineStr">
        <is>
          <t>Super Carlin Brothers</t>
        </is>
      </c>
      <c r="G2893" t="inlineStr">
        <is>
          <t>Guilty Pleasure</t>
        </is>
      </c>
      <c r="H2893" s="41" t="n">
        <v>0.003657407407407407</v>
      </c>
      <c r="I2893" s="42" t="n">
        <v>22733</v>
      </c>
      <c r="J2893" s="42" t="n">
        <v>405</v>
      </c>
      <c r="K2893" s="42" t="n">
        <v>103</v>
      </c>
      <c r="L2893" s="43" t="n"/>
      <c r="M2893" s="44" t="n"/>
      <c r="N2893" s="44" t="inlineStr">
        <is>
          <t>UCKZo4N0lVPccBkSiuyVh4yg</t>
        </is>
      </c>
      <c r="O2893" s="45" t="n">
        <v>41816.79166666666</v>
      </c>
      <c r="P2893" s="46" t="n">
        <v>41816</v>
      </c>
      <c r="Q2893" s="44" t="n">
        <v>379</v>
      </c>
      <c r="R2893" s="44" t="inlineStr">
        <is>
          <t>No Video ID yet</t>
        </is>
      </c>
      <c r="S2893" s="46" t="n"/>
      <c r="T2893" s="46" t="n"/>
      <c r="U2893" s="44" t="n"/>
      <c r="V2893" s="44">
        <f>IF(AND(P2893&gt;=Calendar!$K$2,P2893&lt;EDATE(Calendar!$K$2,1),OR(Calendar!$K$4="*",N2893=Calendar!$K$4)),P2893*100+COUNTIFS($P$6:$P$3271,P2893,$Q$6:$Q$3271,"&lt;="&amp;Q2893,$N$6:$N$3271,Calendar!$K$4),"")</f>
        <v/>
      </c>
      <c r="W2893" s="44">
        <f>IF(AND(B2893=Queue!$C$4,OR(Queue!$K$4="*",N2893=Queue!$K$4)),Q2893,"")</f>
        <v/>
      </c>
    </row>
    <row r="2894">
      <c r="A2894" s="35">
        <f>IF(M2894="","",HYPERLINK("https://www.youtube.com/watch?v="&amp;M2894,"▶"))</f>
        <v/>
      </c>
      <c r="B2894" s="36">
        <f>IF(C2894&lt;&gt;"",C2894,IF(P2894&lt;=IFERROR(INDEX(tblChannels[Watched Through],MATCH(N2894,tblChannels[Channel ID],0)),0),"Watched","Unwatched"))</f>
        <v/>
      </c>
      <c r="C2894" s="37" t="n"/>
      <c r="D2894" s="38" t="n"/>
      <c r="E2894" s="39" t="n">
        <v>41814.41666666666</v>
      </c>
      <c r="F2894" s="47" t="inlineStr">
        <is>
          <t>Super Carlin Brothers</t>
        </is>
      </c>
      <c r="G2894" t="inlineStr">
        <is>
          <t>A $100 DONUT!?</t>
        </is>
      </c>
      <c r="H2894" s="41" t="n">
        <v>0.002962962962962963</v>
      </c>
      <c r="I2894" s="42" t="n">
        <v>164926</v>
      </c>
      <c r="J2894" s="42" t="n">
        <v>2948</v>
      </c>
      <c r="K2894" s="42" t="n">
        <v>2581</v>
      </c>
      <c r="L2894" s="43" t="n"/>
      <c r="M2894" s="44" t="n"/>
      <c r="N2894" s="44" t="inlineStr">
        <is>
          <t>UCKZo4N0lVPccBkSiuyVh4yg</t>
        </is>
      </c>
      <c r="O2894" s="45" t="n">
        <v>41814.58333333334</v>
      </c>
      <c r="P2894" s="46" t="n">
        <v>41814</v>
      </c>
      <c r="Q2894" s="44" t="n">
        <v>378</v>
      </c>
      <c r="R2894" s="44" t="inlineStr">
        <is>
          <t>No Video ID yet</t>
        </is>
      </c>
      <c r="S2894" s="46" t="n"/>
      <c r="T2894" s="46" t="n"/>
      <c r="U2894" s="44" t="n"/>
      <c r="V2894" s="44">
        <f>IF(AND(P2894&gt;=Calendar!$K$2,P2894&lt;EDATE(Calendar!$K$2,1),OR(Calendar!$K$4="*",N2894=Calendar!$K$4)),P2894*100+COUNTIFS($P$6:$P$3271,P2894,$Q$6:$Q$3271,"&lt;="&amp;Q2894,$N$6:$N$3271,Calendar!$K$4),"")</f>
        <v/>
      </c>
      <c r="W2894" s="44">
        <f>IF(AND(B2894=Queue!$C$4,OR(Queue!$K$4="*",N2894=Queue!$K$4)),Q2894,"")</f>
        <v/>
      </c>
    </row>
    <row r="2895">
      <c r="A2895" s="35">
        <f>IF(M2895="","",HYPERLINK("https://www.youtube.com/watch?v="&amp;M2895,"▶"))</f>
        <v/>
      </c>
      <c r="B2895" s="36">
        <f>IF(C2895&lt;&gt;"",C2895,IF(P2895&lt;=IFERROR(INDEX(tblChannels[Watched Through],MATCH(N2895,tblChannels[Channel ID],0)),0),"Watched","Unwatched"))</f>
        <v/>
      </c>
      <c r="C2895" s="37" t="n"/>
      <c r="D2895" s="38" t="n"/>
      <c r="E2895" s="39" t="n">
        <v>41810.28472222222</v>
      </c>
      <c r="F2895" s="47" t="inlineStr">
        <is>
          <t>Super Carlin Brothers</t>
        </is>
      </c>
      <c r="G2895" t="inlineStr">
        <is>
          <t>The Sweet Color Brown</t>
        </is>
      </c>
      <c r="H2895" s="41" t="n">
        <v>0.002835648148148148</v>
      </c>
      <c r="I2895" s="42" t="n">
        <v>23492</v>
      </c>
      <c r="J2895" s="42" t="n">
        <v>519</v>
      </c>
      <c r="K2895" s="42" t="n">
        <v>326</v>
      </c>
      <c r="L2895" s="43" t="n"/>
      <c r="M2895" s="44" t="n"/>
      <c r="N2895" s="44" t="inlineStr">
        <is>
          <t>UCKZo4N0lVPccBkSiuyVh4yg</t>
        </is>
      </c>
      <c r="O2895" s="45" t="n">
        <v>41810.45138888889</v>
      </c>
      <c r="P2895" s="46" t="n">
        <v>41810</v>
      </c>
      <c r="Q2895" s="44" t="n">
        <v>377</v>
      </c>
      <c r="R2895" s="44" t="inlineStr">
        <is>
          <t>No Video ID yet</t>
        </is>
      </c>
      <c r="S2895" s="46" t="n"/>
      <c r="T2895" s="46" t="n"/>
      <c r="U2895" s="44" t="n"/>
      <c r="V2895" s="44">
        <f>IF(AND(P2895&gt;=Calendar!$K$2,P2895&lt;EDATE(Calendar!$K$2,1),OR(Calendar!$K$4="*",N2895=Calendar!$K$4)),P2895*100+COUNTIFS($P$6:$P$3271,P2895,$Q$6:$Q$3271,"&lt;="&amp;Q2895,$N$6:$N$3271,Calendar!$K$4),"")</f>
        <v/>
      </c>
      <c r="W2895" s="44">
        <f>IF(AND(B2895=Queue!$C$4,OR(Queue!$K$4="*",N2895=Queue!$K$4)),Q2895,"")</f>
        <v/>
      </c>
    </row>
    <row r="2896">
      <c r="A2896" s="35">
        <f>IF(M2896="","",HYPERLINK("https://www.youtube.com/watch?v="&amp;M2896,"▶"))</f>
        <v/>
      </c>
      <c r="B2896" s="36">
        <f>IF(C2896&lt;&gt;"",C2896,IF(P2896&lt;=IFERROR(INDEX(tblChannels[Watched Through],MATCH(N2896,tblChannels[Channel ID],0)),0),"Watched","Unwatched"))</f>
        <v/>
      </c>
      <c r="C2896" s="37" t="n"/>
      <c r="D2896" s="38" t="n"/>
      <c r="E2896" s="39" t="n">
        <v>41807.91736111111</v>
      </c>
      <c r="F2896" s="47" t="inlineStr">
        <is>
          <t>Super Carlin Brothers</t>
        </is>
      </c>
      <c r="G2896" t="inlineStr">
        <is>
          <t>What Not to Wear!</t>
        </is>
      </c>
      <c r="H2896" s="41" t="n">
        <v>0.004976851851851852</v>
      </c>
      <c r="I2896" s="42" t="n">
        <v>166303</v>
      </c>
      <c r="J2896" s="42" t="n">
        <v>3195</v>
      </c>
      <c r="K2896" s="42" t="n">
        <v>802</v>
      </c>
      <c r="L2896" s="43" t="n"/>
      <c r="M2896" s="44" t="n"/>
      <c r="N2896" s="44" t="inlineStr">
        <is>
          <t>UCKZo4N0lVPccBkSiuyVh4yg</t>
        </is>
      </c>
      <c r="O2896" s="45" t="n">
        <v>41808.08402777778</v>
      </c>
      <c r="P2896" s="46" t="n">
        <v>41807</v>
      </c>
      <c r="Q2896" s="44" t="n">
        <v>376</v>
      </c>
      <c r="R2896" s="44" t="inlineStr">
        <is>
          <t>No Video ID yet</t>
        </is>
      </c>
      <c r="S2896" s="46" t="n"/>
      <c r="T2896" s="46" t="n"/>
      <c r="U2896" s="44" t="n"/>
      <c r="V2896" s="44">
        <f>IF(AND(P2896&gt;=Calendar!$K$2,P2896&lt;EDATE(Calendar!$K$2,1),OR(Calendar!$K$4="*",N2896=Calendar!$K$4)),P2896*100+COUNTIFS($P$6:$P$3271,P2896,$Q$6:$Q$3271,"&lt;="&amp;Q2896,$N$6:$N$3271,Calendar!$K$4),"")</f>
        <v/>
      </c>
      <c r="W2896" s="44">
        <f>IF(AND(B2896=Queue!$C$4,OR(Queue!$K$4="*",N2896=Queue!$K$4)),Q2896,"")</f>
        <v/>
      </c>
    </row>
    <row r="2897">
      <c r="A2897" s="35">
        <f>IF(M2897="","",HYPERLINK("https://www.youtube.com/watch?v="&amp;M2897,"▶"))</f>
        <v/>
      </c>
      <c r="B2897" s="36">
        <f>IF(C2897&lt;&gt;"",C2897,IF(P2897&lt;=IFERROR(INDEX(tblChannels[Watched Through],MATCH(N2897,tblChannels[Channel ID],0)),0),"Watched","Unwatched"))</f>
        <v/>
      </c>
      <c r="C2897" s="37" t="n"/>
      <c r="D2897" s="38" t="n"/>
      <c r="E2897" s="39" t="n">
        <v>41802.94027777778</v>
      </c>
      <c r="F2897" s="47" t="inlineStr">
        <is>
          <t>Super Carlin Brothers</t>
        </is>
      </c>
      <c r="G2897" t="inlineStr">
        <is>
          <t>JUXTABROS! End of Year 2!</t>
        </is>
      </c>
      <c r="H2897" s="41" t="n">
        <v>0.01042824074074074</v>
      </c>
      <c r="I2897" s="42" t="n">
        <v>76843</v>
      </c>
      <c r="J2897" s="42" t="n">
        <v>1870</v>
      </c>
      <c r="K2897" s="42" t="n">
        <v>590</v>
      </c>
      <c r="L2897" s="43" t="n"/>
      <c r="M2897" s="44" t="n"/>
      <c r="N2897" s="44" t="inlineStr">
        <is>
          <t>UCKZo4N0lVPccBkSiuyVh4yg</t>
        </is>
      </c>
      <c r="O2897" s="45" t="n">
        <v>41803.10694444444</v>
      </c>
      <c r="P2897" s="46" t="n">
        <v>41802</v>
      </c>
      <c r="Q2897" s="44" t="n">
        <v>375</v>
      </c>
      <c r="R2897" s="44" t="inlineStr">
        <is>
          <t>No Video ID yet</t>
        </is>
      </c>
      <c r="S2897" s="46" t="n"/>
      <c r="T2897" s="46" t="n"/>
      <c r="U2897" s="44" t="n"/>
      <c r="V2897" s="44">
        <f>IF(AND(P2897&gt;=Calendar!$K$2,P2897&lt;EDATE(Calendar!$K$2,1),OR(Calendar!$K$4="*",N2897=Calendar!$K$4)),P2897*100+COUNTIFS($P$6:$P$3271,P2897,$Q$6:$Q$3271,"&lt;="&amp;Q2897,$N$6:$N$3271,Calendar!$K$4),"")</f>
        <v/>
      </c>
      <c r="W2897" s="44">
        <f>IF(AND(B2897=Queue!$C$4,OR(Queue!$K$4="*",N2897=Queue!$K$4)),Q2897,"")</f>
        <v/>
      </c>
    </row>
    <row r="2898">
      <c r="A2898" s="35">
        <f>IF(M2898="","",HYPERLINK("https://www.youtube.com/watch?v="&amp;M2898,"▶"))</f>
        <v/>
      </c>
      <c r="B2898" s="36">
        <f>IF(C2898&lt;&gt;"",C2898,IF(P2898&lt;=IFERROR(INDEX(tblChannels[Watched Through],MATCH(N2898,tblChannels[Channel ID],0)),0),"Watched","Unwatched"))</f>
        <v/>
      </c>
      <c r="C2898" s="37" t="n"/>
      <c r="D2898" s="38" t="n"/>
      <c r="E2898" s="39" t="n">
        <v>41800.99722222222</v>
      </c>
      <c r="F2898" s="47" t="inlineStr">
        <is>
          <t>Super Carlin Brothers</t>
        </is>
      </c>
      <c r="G2898" t="inlineStr">
        <is>
          <t>Is Harry Potter Google Autofill</t>
        </is>
      </c>
      <c r="H2898" s="41" t="n">
        <v>0.004548611111111111</v>
      </c>
      <c r="I2898" s="42" t="n">
        <v>815522</v>
      </c>
      <c r="J2898" s="42" t="n">
        <v>14180</v>
      </c>
      <c r="K2898" s="42" t="n">
        <v>6367</v>
      </c>
      <c r="L2898" s="43" t="n"/>
      <c r="M2898" s="44" t="n"/>
      <c r="N2898" s="44" t="inlineStr">
        <is>
          <t>UCKZo4N0lVPccBkSiuyVh4yg</t>
        </is>
      </c>
      <c r="O2898" s="45" t="n">
        <v>41801.16388888889</v>
      </c>
      <c r="P2898" s="46" t="n">
        <v>41800</v>
      </c>
      <c r="Q2898" s="44" t="n">
        <v>374</v>
      </c>
      <c r="R2898" s="44" t="inlineStr">
        <is>
          <t>No Video ID yet</t>
        </is>
      </c>
      <c r="S2898" s="46" t="n"/>
      <c r="T2898" s="46" t="n"/>
      <c r="U2898" s="44" t="n"/>
      <c r="V2898" s="44">
        <f>IF(AND(P2898&gt;=Calendar!$K$2,P2898&lt;EDATE(Calendar!$K$2,1),OR(Calendar!$K$4="*",N2898=Calendar!$K$4)),P2898*100+COUNTIFS($P$6:$P$3271,P2898,$Q$6:$Q$3271,"&lt;="&amp;Q2898,$N$6:$N$3271,Calendar!$K$4),"")</f>
        <v/>
      </c>
      <c r="W2898" s="44">
        <f>IF(AND(B2898=Queue!$C$4,OR(Queue!$K$4="*",N2898=Queue!$K$4)),Q2898,"")</f>
        <v/>
      </c>
    </row>
    <row r="2899">
      <c r="A2899" s="35">
        <f>IF(M2899="","",HYPERLINK("https://www.youtube.com/watch?v="&amp;M2899,"▶"))</f>
        <v/>
      </c>
      <c r="B2899" s="36">
        <f>IF(C2899&lt;&gt;"",C2899,IF(P2899&lt;=IFERROR(INDEX(tblChannels[Watched Through],MATCH(N2899,tblChannels[Channel ID],0)),0),"Watched","Unwatched"))</f>
        <v/>
      </c>
      <c r="C2899" s="37" t="n"/>
      <c r="D2899" s="38" t="n"/>
      <c r="E2899" s="39" t="n">
        <v>41795.9875</v>
      </c>
      <c r="F2899" s="47" t="inlineStr">
        <is>
          <t>Super Carlin Brothers</t>
        </is>
      </c>
      <c r="G2899" t="inlineStr">
        <is>
          <t>Protect Your Details!!!</t>
        </is>
      </c>
      <c r="H2899" s="41" t="n">
        <v>0.002280092592592593</v>
      </c>
      <c r="I2899" s="42" t="n">
        <v>9408</v>
      </c>
      <c r="J2899" s="42" t="n">
        <v>248</v>
      </c>
      <c r="K2899" s="42" t="n">
        <v>61</v>
      </c>
      <c r="L2899" s="43" t="n"/>
      <c r="M2899" s="44" t="n"/>
      <c r="N2899" s="44" t="inlineStr">
        <is>
          <t>UCKZo4N0lVPccBkSiuyVh4yg</t>
        </is>
      </c>
      <c r="O2899" s="45" t="n">
        <v>41796.15416666667</v>
      </c>
      <c r="P2899" s="46" t="n">
        <v>41795</v>
      </c>
      <c r="Q2899" s="44" t="n">
        <v>373</v>
      </c>
      <c r="R2899" s="44" t="inlineStr">
        <is>
          <t>No Video ID yet</t>
        </is>
      </c>
      <c r="S2899" s="46" t="n"/>
      <c r="T2899" s="46" t="n"/>
      <c r="U2899" s="44" t="n"/>
      <c r="V2899" s="44">
        <f>IF(AND(P2899&gt;=Calendar!$K$2,P2899&lt;EDATE(Calendar!$K$2,1),OR(Calendar!$K$4="*",N2899=Calendar!$K$4)),P2899*100+COUNTIFS($P$6:$P$3271,P2899,$Q$6:$Q$3271,"&lt;="&amp;Q2899,$N$6:$N$3271,Calendar!$K$4),"")</f>
        <v/>
      </c>
      <c r="W2899" s="44">
        <f>IF(AND(B2899=Queue!$C$4,OR(Queue!$K$4="*",N2899=Queue!$K$4)),Q2899,"")</f>
        <v/>
      </c>
    </row>
    <row r="2900">
      <c r="A2900" s="35">
        <f>IF(M2900="","",HYPERLINK("https://www.youtube.com/watch?v="&amp;M2900,"▶"))</f>
        <v/>
      </c>
      <c r="B2900" s="36">
        <f>IF(C2900&lt;&gt;"",C2900,IF(P2900&lt;=IFERROR(INDEX(tblChannels[Watched Through],MATCH(N2900,tblChannels[Channel ID],0)),0),"Watched","Unwatched"))</f>
        <v/>
      </c>
      <c r="C2900" s="37" t="n"/>
      <c r="D2900" s="38" t="n"/>
      <c r="E2900" s="39" t="n">
        <v>41793.93263888889</v>
      </c>
      <c r="F2900" s="47" t="inlineStr">
        <is>
          <t>Super Carlin Brothers</t>
        </is>
      </c>
      <c r="G2900" t="inlineStr">
        <is>
          <t>How To Walk Down Walls!</t>
        </is>
      </c>
      <c r="H2900" s="41" t="n">
        <v>0.004884259259259259</v>
      </c>
      <c r="I2900" s="42" t="n">
        <v>42205</v>
      </c>
      <c r="J2900" s="42" t="n">
        <v>862</v>
      </c>
      <c r="K2900" s="42" t="n">
        <v>182</v>
      </c>
      <c r="L2900" s="43" t="n"/>
      <c r="M2900" s="44" t="n"/>
      <c r="N2900" s="44" t="inlineStr">
        <is>
          <t>UCKZo4N0lVPccBkSiuyVh4yg</t>
        </is>
      </c>
      <c r="O2900" s="45" t="n">
        <v>41794.09930555556</v>
      </c>
      <c r="P2900" s="46" t="n">
        <v>41793</v>
      </c>
      <c r="Q2900" s="44" t="n">
        <v>372</v>
      </c>
      <c r="R2900" s="44" t="inlineStr">
        <is>
          <t>No Video ID yet</t>
        </is>
      </c>
      <c r="S2900" s="46" t="n"/>
      <c r="T2900" s="46" t="n"/>
      <c r="U2900" s="44" t="n"/>
      <c r="V2900" s="44">
        <f>IF(AND(P2900&gt;=Calendar!$K$2,P2900&lt;EDATE(Calendar!$K$2,1),OR(Calendar!$K$4="*",N2900=Calendar!$K$4)),P2900*100+COUNTIFS($P$6:$P$3271,P2900,$Q$6:$Q$3271,"&lt;="&amp;Q2900,$N$6:$N$3271,Calendar!$K$4),"")</f>
        <v/>
      </c>
      <c r="W2900" s="44">
        <f>IF(AND(B2900=Queue!$C$4,OR(Queue!$K$4="*",N2900=Queue!$K$4)),Q2900,"")</f>
        <v/>
      </c>
    </row>
    <row r="2901">
      <c r="A2901" s="35">
        <f>IF(M2901="","",HYPERLINK("https://www.youtube.com/watch?v="&amp;M2901,"▶"))</f>
        <v/>
      </c>
      <c r="B2901" s="36">
        <f>IF(C2901&lt;&gt;"",C2901,IF(P2901&lt;=IFERROR(INDEX(tblChannels[Watched Through],MATCH(N2901,tblChannels[Channel ID],0)),0),"Watched","Unwatched"))</f>
        <v/>
      </c>
      <c r="C2901" s="37" t="n"/>
      <c r="D2901" s="38" t="n"/>
      <c r="E2901" s="39" t="n">
        <v>41788.95763888889</v>
      </c>
      <c r="F2901" s="47" t="inlineStr">
        <is>
          <t>Super Carlin Brothers</t>
        </is>
      </c>
      <c r="G2901" t="inlineStr">
        <is>
          <t>What is Love?!</t>
        </is>
      </c>
      <c r="H2901" s="41" t="n">
        <v>0.002222222222222222</v>
      </c>
      <c r="I2901" s="42" t="n">
        <v>12776</v>
      </c>
      <c r="J2901" s="42" t="n">
        <v>322</v>
      </c>
      <c r="K2901" s="42" t="n">
        <v>82</v>
      </c>
      <c r="L2901" s="43" t="n"/>
      <c r="M2901" s="44" t="n"/>
      <c r="N2901" s="44" t="inlineStr">
        <is>
          <t>UCKZo4N0lVPccBkSiuyVh4yg</t>
        </is>
      </c>
      <c r="O2901" s="45" t="n">
        <v>41789.12430555555</v>
      </c>
      <c r="P2901" s="46" t="n">
        <v>41788</v>
      </c>
      <c r="Q2901" s="44" t="n">
        <v>371</v>
      </c>
      <c r="R2901" s="44" t="inlineStr">
        <is>
          <t>No Video ID yet</t>
        </is>
      </c>
      <c r="S2901" s="46" t="n"/>
      <c r="T2901" s="46" t="n"/>
      <c r="U2901" s="44" t="n"/>
      <c r="V2901" s="44">
        <f>IF(AND(P2901&gt;=Calendar!$K$2,P2901&lt;EDATE(Calendar!$K$2,1),OR(Calendar!$K$4="*",N2901=Calendar!$K$4)),P2901*100+COUNTIFS($P$6:$P$3271,P2901,$Q$6:$Q$3271,"&lt;="&amp;Q2901,$N$6:$N$3271,Calendar!$K$4),"")</f>
        <v/>
      </c>
      <c r="W2901" s="44">
        <f>IF(AND(B2901=Queue!$C$4,OR(Queue!$K$4="*",N2901=Queue!$K$4)),Q2901,"")</f>
        <v/>
      </c>
    </row>
    <row r="2902">
      <c r="A2902" s="35">
        <f>IF(M2902="","",HYPERLINK("https://www.youtube.com/watch?v="&amp;M2902,"▶"))</f>
        <v/>
      </c>
      <c r="B2902" s="36">
        <f>IF(C2902&lt;&gt;"",C2902,IF(P2902&lt;=IFERROR(INDEX(tblChannels[Watched Through],MATCH(N2902,tblChannels[Channel ID],0)),0),"Watched","Unwatched"))</f>
        <v/>
      </c>
      <c r="C2902" s="37" t="n"/>
      <c r="D2902" s="38" t="n"/>
      <c r="E2902" s="39" t="n">
        <v>41787.86527777778</v>
      </c>
      <c r="F2902" s="49" t="inlineStr">
        <is>
          <t>Super Carlin Gaming</t>
        </is>
      </c>
      <c r="G2902" t="inlineStr">
        <is>
          <t>Pokemon FireRed Nuzlocke Challenge #15: REVENGE OF INFERNO</t>
        </is>
      </c>
      <c r="H2902" s="41" t="n">
        <v>0.007905092592592592</v>
      </c>
      <c r="I2902" s="42" t="n">
        <v>25714</v>
      </c>
      <c r="J2902" s="42" t="n">
        <v>382</v>
      </c>
      <c r="K2902" s="42" t="n">
        <v>46</v>
      </c>
      <c r="L2902" s="43" t="n"/>
      <c r="M2902" s="44" t="n"/>
      <c r="N2902" s="44" t="inlineStr">
        <is>
          <t>UCor_9jRnNNZVzTuQ92PKsaQ</t>
        </is>
      </c>
      <c r="O2902" s="45" t="n">
        <v>41788.03194444445</v>
      </c>
      <c r="P2902" s="46" t="n">
        <v>41787</v>
      </c>
      <c r="Q2902" s="44" t="n">
        <v>370</v>
      </c>
      <c r="R2902" s="44" t="inlineStr">
        <is>
          <t>No Video ID yet</t>
        </is>
      </c>
      <c r="S2902" s="46" t="n"/>
      <c r="T2902" s="46" t="n"/>
      <c r="U2902" s="44" t="n"/>
      <c r="V2902" s="44">
        <f>IF(AND(P2902&gt;=Calendar!$K$2,P2902&lt;EDATE(Calendar!$K$2,1),OR(Calendar!$K$4="*",N2902=Calendar!$K$4)),P2902*100+COUNTIFS($P$6:$P$3271,P2902,$Q$6:$Q$3271,"&lt;="&amp;Q2902,$N$6:$N$3271,Calendar!$K$4),"")</f>
        <v/>
      </c>
      <c r="W2902" s="44">
        <f>IF(AND(B2902=Queue!$C$4,OR(Queue!$K$4="*",N2902=Queue!$K$4)),Q2902,"")</f>
        <v/>
      </c>
    </row>
    <row r="2903">
      <c r="A2903" s="35">
        <f>IF(M2903="","",HYPERLINK("https://www.youtube.com/watch?v="&amp;M2903,"▶"))</f>
        <v/>
      </c>
      <c r="B2903" s="36">
        <f>IF(C2903&lt;&gt;"",C2903,IF(P2903&lt;=IFERROR(INDEX(tblChannels[Watched Through],MATCH(N2903,tblChannels[Channel ID],0)),0),"Watched","Unwatched"))</f>
        <v/>
      </c>
      <c r="C2903" s="37" t="n"/>
      <c r="D2903" s="38" t="n"/>
      <c r="E2903" s="39" t="n">
        <v>41786.91458333333</v>
      </c>
      <c r="F2903" s="47" t="inlineStr">
        <is>
          <t>Super Carlin Brothers</t>
        </is>
      </c>
      <c r="G2903" t="inlineStr">
        <is>
          <t>The Case of Sherlock's Birthday</t>
        </is>
      </c>
      <c r="H2903" s="41" t="n">
        <v>0.003946759259259259</v>
      </c>
      <c r="I2903" s="42" t="n">
        <v>137249</v>
      </c>
      <c r="J2903" s="42" t="n">
        <v>2436</v>
      </c>
      <c r="K2903" s="42" t="n">
        <v>335</v>
      </c>
      <c r="L2903" s="43" t="n"/>
      <c r="M2903" s="44" t="n"/>
      <c r="N2903" s="44" t="inlineStr">
        <is>
          <t>UCKZo4N0lVPccBkSiuyVh4yg</t>
        </is>
      </c>
      <c r="O2903" s="45" t="n">
        <v>41787.08125</v>
      </c>
      <c r="P2903" s="46" t="n">
        <v>41786</v>
      </c>
      <c r="Q2903" s="44" t="n">
        <v>369</v>
      </c>
      <c r="R2903" s="44" t="inlineStr">
        <is>
          <t>No Video ID yet</t>
        </is>
      </c>
      <c r="S2903" s="46" t="n"/>
      <c r="T2903" s="46" t="n"/>
      <c r="U2903" s="44" t="n"/>
      <c r="V2903" s="44">
        <f>IF(AND(P2903&gt;=Calendar!$K$2,P2903&lt;EDATE(Calendar!$K$2,1),OR(Calendar!$K$4="*",N2903=Calendar!$K$4)),P2903*100+COUNTIFS($P$6:$P$3271,P2903,$Q$6:$Q$3271,"&lt;="&amp;Q2903,$N$6:$N$3271,Calendar!$K$4),"")</f>
        <v/>
      </c>
      <c r="W2903" s="44">
        <f>IF(AND(B2903=Queue!$C$4,OR(Queue!$K$4="*",N2903=Queue!$K$4)),Q2903,"")</f>
        <v/>
      </c>
    </row>
    <row r="2904">
      <c r="A2904" s="35">
        <f>IF(M2904="","",HYPERLINK("https://www.youtube.com/watch?v="&amp;M2904,"▶"))</f>
        <v/>
      </c>
      <c r="B2904" s="36">
        <f>IF(C2904&lt;&gt;"",C2904,IF(P2904&lt;=IFERROR(INDEX(tblChannels[Watched Through],MATCH(N2904,tblChannels[Channel ID],0)),0),"Watched","Unwatched"))</f>
        <v/>
      </c>
      <c r="C2904" s="37" t="n"/>
      <c r="D2904" s="38" t="n"/>
      <c r="E2904" s="39" t="n">
        <v>41781.9875</v>
      </c>
      <c r="F2904" s="47" t="inlineStr">
        <is>
          <t>Super Carlin Brothers</t>
        </is>
      </c>
      <c r="G2904" t="inlineStr">
        <is>
          <t>Best of the Worst</t>
        </is>
      </c>
      <c r="H2904" s="41" t="n">
        <v>0.002199074074074074</v>
      </c>
      <c r="I2904" s="42" t="n">
        <v>10475</v>
      </c>
      <c r="J2904" s="42" t="n">
        <v>282</v>
      </c>
      <c r="K2904" s="42" t="n">
        <v>41</v>
      </c>
      <c r="L2904" s="43" t="n"/>
      <c r="M2904" s="44" t="n"/>
      <c r="N2904" s="44" t="inlineStr">
        <is>
          <t>UCKZo4N0lVPccBkSiuyVh4yg</t>
        </is>
      </c>
      <c r="O2904" s="45" t="n">
        <v>41782.15416666667</v>
      </c>
      <c r="P2904" s="46" t="n">
        <v>41781</v>
      </c>
      <c r="Q2904" s="44" t="n">
        <v>368</v>
      </c>
      <c r="R2904" s="44" t="inlineStr">
        <is>
          <t>No Video ID yet</t>
        </is>
      </c>
      <c r="S2904" s="46" t="n"/>
      <c r="T2904" s="46" t="n"/>
      <c r="U2904" s="44" t="n"/>
      <c r="V2904" s="44">
        <f>IF(AND(P2904&gt;=Calendar!$K$2,P2904&lt;EDATE(Calendar!$K$2,1),OR(Calendar!$K$4="*",N2904=Calendar!$K$4)),P2904*100+COUNTIFS($P$6:$P$3271,P2904,$Q$6:$Q$3271,"&lt;="&amp;Q2904,$N$6:$N$3271,Calendar!$K$4),"")</f>
        <v/>
      </c>
      <c r="W2904" s="44">
        <f>IF(AND(B2904=Queue!$C$4,OR(Queue!$K$4="*",N2904=Queue!$K$4)),Q2904,"")</f>
        <v/>
      </c>
    </row>
    <row r="2905">
      <c r="A2905" s="35">
        <f>IF(M2905="","",HYPERLINK("https://www.youtube.com/watch?v="&amp;M2905,"▶"))</f>
        <v/>
      </c>
      <c r="B2905" s="36">
        <f>IF(C2905&lt;&gt;"",C2905,IF(P2905&lt;=IFERROR(INDEX(tblChannels[Watched Through],MATCH(N2905,tblChannels[Channel ID],0)),0),"Watched","Unwatched"))</f>
        <v/>
      </c>
      <c r="C2905" s="37" t="n"/>
      <c r="D2905" s="38" t="n"/>
      <c r="E2905" s="39" t="n">
        <v>41781.90972222222</v>
      </c>
      <c r="F2905" s="49" t="inlineStr">
        <is>
          <t>Super Carlin Gaming</t>
        </is>
      </c>
      <c r="G2905" t="inlineStr">
        <is>
          <t>Pokemon FireRed Nuzlocke Challenge #14: Kill the birds!</t>
        </is>
      </c>
      <c r="H2905" s="41" t="n">
        <v>0.01489583333333333</v>
      </c>
      <c r="I2905" s="42" t="n">
        <v>27556</v>
      </c>
      <c r="J2905" s="42" t="n">
        <v>477</v>
      </c>
      <c r="K2905" s="42" t="n">
        <v>74</v>
      </c>
      <c r="L2905" s="43" t="n"/>
      <c r="M2905" s="44" t="n"/>
      <c r="N2905" s="44" t="inlineStr">
        <is>
          <t>UCor_9jRnNNZVzTuQ92PKsaQ</t>
        </is>
      </c>
      <c r="O2905" s="45" t="n">
        <v>41782.07638888889</v>
      </c>
      <c r="P2905" s="46" t="n">
        <v>41781</v>
      </c>
      <c r="Q2905" s="44" t="n">
        <v>367</v>
      </c>
      <c r="R2905" s="44" t="inlineStr">
        <is>
          <t>No Video ID yet</t>
        </is>
      </c>
      <c r="S2905" s="46" t="n"/>
      <c r="T2905" s="46" t="n"/>
      <c r="U2905" s="44" t="n"/>
      <c r="V2905" s="44">
        <f>IF(AND(P2905&gt;=Calendar!$K$2,P2905&lt;EDATE(Calendar!$K$2,1),OR(Calendar!$K$4="*",N2905=Calendar!$K$4)),P2905*100+COUNTIFS($P$6:$P$3271,P2905,$Q$6:$Q$3271,"&lt;="&amp;Q2905,$N$6:$N$3271,Calendar!$K$4),"")</f>
        <v/>
      </c>
      <c r="W2905" s="44">
        <f>IF(AND(B2905=Queue!$C$4,OR(Queue!$K$4="*",N2905=Queue!$K$4)),Q2905,"")</f>
        <v/>
      </c>
    </row>
    <row r="2906">
      <c r="A2906" s="35">
        <f>IF(M2906="","",HYPERLINK("https://www.youtube.com/watch?v="&amp;M2906,"▶"))</f>
        <v/>
      </c>
      <c r="B2906" s="36">
        <f>IF(C2906&lt;&gt;"",C2906,IF(P2906&lt;=IFERROR(INDEX(tblChannels[Watched Through],MATCH(N2906,tblChannels[Channel ID],0)),0),"Watched","Unwatched"))</f>
        <v/>
      </c>
      <c r="C2906" s="37" t="n"/>
      <c r="D2906" s="38" t="n"/>
      <c r="E2906" s="39" t="n">
        <v>41779.97916666666</v>
      </c>
      <c r="F2906" s="47" t="inlineStr">
        <is>
          <t>Super Carlin Brothers</t>
        </is>
      </c>
      <c r="G2906" t="inlineStr">
        <is>
          <t>Beauty and the Beast makes no sense!</t>
        </is>
      </c>
      <c r="H2906" s="41" t="n">
        <v>0.003935185185185185</v>
      </c>
      <c r="I2906" s="42" t="n">
        <v>1663521</v>
      </c>
      <c r="J2906" s="42" t="n">
        <v>31321</v>
      </c>
      <c r="K2906" s="42" t="n">
        <v>5375</v>
      </c>
      <c r="L2906" s="43" t="n"/>
      <c r="M2906" s="44" t="n"/>
      <c r="N2906" s="44" t="inlineStr">
        <is>
          <t>UCKZo4N0lVPccBkSiuyVh4yg</t>
        </is>
      </c>
      <c r="O2906" s="45" t="n">
        <v>41780.14583333334</v>
      </c>
      <c r="P2906" s="46" t="n">
        <v>41779</v>
      </c>
      <c r="Q2906" s="44" t="n">
        <v>366</v>
      </c>
      <c r="R2906" s="44" t="inlineStr">
        <is>
          <t>No Video ID yet</t>
        </is>
      </c>
      <c r="S2906" s="46" t="n"/>
      <c r="T2906" s="46" t="n"/>
      <c r="U2906" s="44" t="n"/>
      <c r="V2906" s="44">
        <f>IF(AND(P2906&gt;=Calendar!$K$2,P2906&lt;EDATE(Calendar!$K$2,1),OR(Calendar!$K$4="*",N2906=Calendar!$K$4)),P2906*100+COUNTIFS($P$6:$P$3271,P2906,$Q$6:$Q$3271,"&lt;="&amp;Q2906,$N$6:$N$3271,Calendar!$K$4),"")</f>
        <v/>
      </c>
      <c r="W2906" s="44">
        <f>IF(AND(B2906=Queue!$C$4,OR(Queue!$K$4="*",N2906=Queue!$K$4)),Q2906,"")</f>
        <v/>
      </c>
    </row>
    <row r="2907">
      <c r="A2907" s="35">
        <f>IF(M2907="","",HYPERLINK("https://www.youtube.com/watch?v="&amp;M2907,"▶"))</f>
        <v/>
      </c>
      <c r="B2907" s="36">
        <f>IF(C2907&lt;&gt;"",C2907,IF(P2907&lt;=IFERROR(INDEX(tblChannels[Watched Through],MATCH(N2907,tblChannels[Channel ID],0)),0),"Watched","Unwatched"))</f>
        <v/>
      </c>
      <c r="C2907" s="37" t="n"/>
      <c r="D2907" s="38" t="n"/>
      <c r="E2907" s="39" t="n">
        <v>41774.88472222222</v>
      </c>
      <c r="F2907" s="47" t="inlineStr">
        <is>
          <t>Super Carlin Brothers</t>
        </is>
      </c>
      <c r="G2907" t="inlineStr">
        <is>
          <t>What is a Villain's End Goal?</t>
        </is>
      </c>
      <c r="H2907" s="41" t="n">
        <v>0.002025462962962963</v>
      </c>
      <c r="I2907" s="42" t="n">
        <v>63287</v>
      </c>
      <c r="J2907" s="42" t="n">
        <v>1396</v>
      </c>
      <c r="K2907" s="42" t="n">
        <v>276</v>
      </c>
      <c r="L2907" s="43" t="n"/>
      <c r="M2907" s="44" t="n"/>
      <c r="N2907" s="44" t="inlineStr">
        <is>
          <t>UCKZo4N0lVPccBkSiuyVh4yg</t>
        </is>
      </c>
      <c r="O2907" s="45" t="n">
        <v>41775.05138888889</v>
      </c>
      <c r="P2907" s="46" t="n">
        <v>41774</v>
      </c>
      <c r="Q2907" s="44" t="n">
        <v>365</v>
      </c>
      <c r="R2907" s="44" t="inlineStr">
        <is>
          <t>No Video ID yet</t>
        </is>
      </c>
      <c r="S2907" s="46" t="n"/>
      <c r="T2907" s="46" t="n"/>
      <c r="U2907" s="44" t="n"/>
      <c r="V2907" s="44">
        <f>IF(AND(P2907&gt;=Calendar!$K$2,P2907&lt;EDATE(Calendar!$K$2,1),OR(Calendar!$K$4="*",N2907=Calendar!$K$4)),P2907*100+COUNTIFS($P$6:$P$3271,P2907,$Q$6:$Q$3271,"&lt;="&amp;Q2907,$N$6:$N$3271,Calendar!$K$4),"")</f>
        <v/>
      </c>
      <c r="W2907" s="44">
        <f>IF(AND(B2907=Queue!$C$4,OR(Queue!$K$4="*",N2907=Queue!$K$4)),Q2907,"")</f>
        <v/>
      </c>
    </row>
    <row r="2908">
      <c r="A2908" s="35">
        <f>IF(M2908="","",HYPERLINK("https://www.youtube.com/watch?v="&amp;M2908,"▶"))</f>
        <v/>
      </c>
      <c r="B2908" s="36">
        <f>IF(C2908&lt;&gt;"",C2908,IF(P2908&lt;=IFERROR(INDEX(tblChannels[Watched Through],MATCH(N2908,tblChannels[Channel ID],0)),0),"Watched","Unwatched"))</f>
        <v/>
      </c>
      <c r="C2908" s="37" t="n"/>
      <c r="D2908" s="38" t="n"/>
      <c r="E2908" s="39" t="n">
        <v>41772.95763888889</v>
      </c>
      <c r="F2908" s="47" t="inlineStr">
        <is>
          <t>Super Carlin Brothers</t>
        </is>
      </c>
      <c r="G2908" t="inlineStr">
        <is>
          <t>Star Wars Theory: WE ARE ALL SITH</t>
        </is>
      </c>
      <c r="H2908" s="41" t="n">
        <v>0.004178240740740741</v>
      </c>
      <c r="I2908" s="42" t="n">
        <v>1055209</v>
      </c>
      <c r="J2908" s="42" t="n">
        <v>17753</v>
      </c>
      <c r="K2908" s="42" t="n">
        <v>4978</v>
      </c>
      <c r="L2908" s="43" t="n"/>
      <c r="M2908" s="44" t="n"/>
      <c r="N2908" s="44" t="inlineStr">
        <is>
          <t>UCKZo4N0lVPccBkSiuyVh4yg</t>
        </is>
      </c>
      <c r="O2908" s="45" t="n">
        <v>41773.12430555555</v>
      </c>
      <c r="P2908" s="46" t="n">
        <v>41772</v>
      </c>
      <c r="Q2908" s="44" t="n">
        <v>364</v>
      </c>
      <c r="R2908" s="44" t="inlineStr">
        <is>
          <t>No Video ID yet</t>
        </is>
      </c>
      <c r="S2908" s="46" t="n"/>
      <c r="T2908" s="46" t="n"/>
      <c r="U2908" s="44" t="n"/>
      <c r="V2908" s="44">
        <f>IF(AND(P2908&gt;=Calendar!$K$2,P2908&lt;EDATE(Calendar!$K$2,1),OR(Calendar!$K$4="*",N2908=Calendar!$K$4)),P2908*100+COUNTIFS($P$6:$P$3271,P2908,$Q$6:$Q$3271,"&lt;="&amp;Q2908,$N$6:$N$3271,Calendar!$K$4),"")</f>
        <v/>
      </c>
      <c r="W2908" s="44">
        <f>IF(AND(B2908=Queue!$C$4,OR(Queue!$K$4="*",N2908=Queue!$K$4)),Q2908,"")</f>
        <v/>
      </c>
    </row>
    <row r="2909">
      <c r="A2909" s="35">
        <f>IF(M2909="","",HYPERLINK("https://www.youtube.com/watch?v="&amp;M2909,"▶"))</f>
        <v/>
      </c>
      <c r="B2909" s="36">
        <f>IF(C2909&lt;&gt;"",C2909,IF(P2909&lt;=IFERROR(INDEX(tblChannels[Watched Through],MATCH(N2909,tblChannels[Channel ID],0)),0),"Watched","Unwatched"))</f>
        <v/>
      </c>
      <c r="C2909" s="37" t="n"/>
      <c r="D2909" s="38" t="n"/>
      <c r="E2909" s="39" t="n">
        <v>41767.96597222222</v>
      </c>
      <c r="F2909" s="47" t="inlineStr">
        <is>
          <t>Super Carlin Brothers</t>
        </is>
      </c>
      <c r="G2909" t="inlineStr">
        <is>
          <t>Being Your Character</t>
        </is>
      </c>
      <c r="H2909" s="41" t="n">
        <v>0.002233796296296296</v>
      </c>
      <c r="I2909" s="42" t="n">
        <v>24774</v>
      </c>
      <c r="J2909" s="42" t="n">
        <v>502</v>
      </c>
      <c r="K2909" s="42" t="n">
        <v>101</v>
      </c>
      <c r="L2909" s="43" t="n"/>
      <c r="M2909" s="44" t="n"/>
      <c r="N2909" s="44" t="inlineStr">
        <is>
          <t>UCKZo4N0lVPccBkSiuyVh4yg</t>
        </is>
      </c>
      <c r="O2909" s="45" t="n">
        <v>41768.13263888889</v>
      </c>
      <c r="P2909" s="46" t="n">
        <v>41767</v>
      </c>
      <c r="Q2909" s="44" t="n">
        <v>363</v>
      </c>
      <c r="R2909" s="44" t="inlineStr">
        <is>
          <t>No Video ID yet</t>
        </is>
      </c>
      <c r="S2909" s="46" t="n"/>
      <c r="T2909" s="46" t="n"/>
      <c r="U2909" s="44" t="n"/>
      <c r="V2909" s="44">
        <f>IF(AND(P2909&gt;=Calendar!$K$2,P2909&lt;EDATE(Calendar!$K$2,1),OR(Calendar!$K$4="*",N2909=Calendar!$K$4)),P2909*100+COUNTIFS($P$6:$P$3271,P2909,$Q$6:$Q$3271,"&lt;="&amp;Q2909,$N$6:$N$3271,Calendar!$K$4),"")</f>
        <v/>
      </c>
      <c r="W2909" s="44">
        <f>IF(AND(B2909=Queue!$C$4,OR(Queue!$K$4="*",N2909=Queue!$K$4)),Q2909,"")</f>
        <v/>
      </c>
    </row>
    <row r="2910">
      <c r="A2910" s="35">
        <f>IF(M2910="","",HYPERLINK("https://www.youtube.com/watch?v="&amp;M2910,"▶"))</f>
        <v/>
      </c>
      <c r="B2910" s="36">
        <f>IF(C2910&lt;&gt;"",C2910,IF(P2910&lt;=IFERROR(INDEX(tblChannels[Watched Through],MATCH(N2910,tblChannels[Channel ID],0)),0),"Watched","Unwatched"))</f>
        <v/>
      </c>
      <c r="C2910" s="37" t="n"/>
      <c r="D2910" s="38" t="n"/>
      <c r="E2910" s="39" t="n">
        <v>41765.96111111111</v>
      </c>
      <c r="F2910" s="47" t="inlineStr">
        <is>
          <t>Super Carlin Brothers</t>
        </is>
      </c>
      <c r="G2910" t="inlineStr">
        <is>
          <t>Star Wars Theory: JEDI ARE EVIL</t>
        </is>
      </c>
      <c r="H2910" s="41" t="n">
        <v>0.005775462962962963</v>
      </c>
      <c r="I2910" s="42" t="n">
        <v>3033549</v>
      </c>
      <c r="J2910" s="42" t="n">
        <v>32897</v>
      </c>
      <c r="K2910" s="42" t="n">
        <v>8156</v>
      </c>
      <c r="L2910" s="43" t="n"/>
      <c r="M2910" s="44" t="n"/>
      <c r="N2910" s="44" t="inlineStr">
        <is>
          <t>UCKZo4N0lVPccBkSiuyVh4yg</t>
        </is>
      </c>
      <c r="O2910" s="45" t="n">
        <v>41766.12777777778</v>
      </c>
      <c r="P2910" s="46" t="n">
        <v>41765</v>
      </c>
      <c r="Q2910" s="44" t="n">
        <v>362</v>
      </c>
      <c r="R2910" s="44" t="inlineStr">
        <is>
          <t>No Video ID yet</t>
        </is>
      </c>
      <c r="S2910" s="46" t="n"/>
      <c r="T2910" s="46" t="n"/>
      <c r="U2910" s="44" t="n"/>
      <c r="V2910" s="44">
        <f>IF(AND(P2910&gt;=Calendar!$K$2,P2910&lt;EDATE(Calendar!$K$2,1),OR(Calendar!$K$4="*",N2910=Calendar!$K$4)),P2910*100+COUNTIFS($P$6:$P$3271,P2910,$Q$6:$Q$3271,"&lt;="&amp;Q2910,$N$6:$N$3271,Calendar!$K$4),"")</f>
        <v/>
      </c>
      <c r="W2910" s="44">
        <f>IF(AND(B2910=Queue!$C$4,OR(Queue!$K$4="*",N2910=Queue!$K$4)),Q2910,"")</f>
        <v/>
      </c>
    </row>
    <row r="2911">
      <c r="A2911" s="35">
        <f>IF(M2911="","",HYPERLINK("https://www.youtube.com/watch?v="&amp;M2911,"▶"))</f>
        <v/>
      </c>
      <c r="B2911" s="36">
        <f>IF(C2911&lt;&gt;"",C2911,IF(P2911&lt;=IFERROR(INDEX(tblChannels[Watched Through],MATCH(N2911,tblChannels[Channel ID],0)),0),"Watched","Unwatched"))</f>
        <v/>
      </c>
      <c r="C2911" s="37" t="n"/>
      <c r="D2911" s="38" t="n"/>
      <c r="E2911" s="39" t="n">
        <v>41761.98194444444</v>
      </c>
      <c r="F2911" s="47" t="inlineStr">
        <is>
          <t>Super Carlin Brothers</t>
        </is>
      </c>
      <c r="G2911" t="inlineStr">
        <is>
          <t>Pop Culture vs Culture</t>
        </is>
      </c>
      <c r="H2911" s="41" t="n">
        <v>0.003009259259259259</v>
      </c>
      <c r="I2911" s="42" t="n">
        <v>18053</v>
      </c>
      <c r="J2911" s="42" t="n">
        <v>381</v>
      </c>
      <c r="K2911" s="42" t="n">
        <v>70</v>
      </c>
      <c r="L2911" s="43" t="n"/>
      <c r="M2911" s="44" t="n"/>
      <c r="N2911" s="44" t="inlineStr">
        <is>
          <t>UCKZo4N0lVPccBkSiuyVh4yg</t>
        </is>
      </c>
      <c r="O2911" s="45" t="n">
        <v>41762.14861111111</v>
      </c>
      <c r="P2911" s="46" t="n">
        <v>41761</v>
      </c>
      <c r="Q2911" s="44" t="n">
        <v>361</v>
      </c>
      <c r="R2911" s="44" t="inlineStr">
        <is>
          <t>No Video ID yet</t>
        </is>
      </c>
      <c r="S2911" s="46" t="n"/>
      <c r="T2911" s="46" t="n"/>
      <c r="U2911" s="44" t="n"/>
      <c r="V2911" s="44">
        <f>IF(AND(P2911&gt;=Calendar!$K$2,P2911&lt;EDATE(Calendar!$K$2,1),OR(Calendar!$K$4="*",N2911=Calendar!$K$4)),P2911*100+COUNTIFS($P$6:$P$3271,P2911,$Q$6:$Q$3271,"&lt;="&amp;Q2911,$N$6:$N$3271,Calendar!$K$4),"")</f>
        <v/>
      </c>
      <c r="W2911" s="44">
        <f>IF(AND(B2911=Queue!$C$4,OR(Queue!$K$4="*",N2911=Queue!$K$4)),Q2911,"")</f>
        <v/>
      </c>
    </row>
    <row r="2912">
      <c r="A2912" s="35">
        <f>IF(M2912="","",HYPERLINK("https://www.youtube.com/watch?v="&amp;M2912,"▶"))</f>
        <v/>
      </c>
      <c r="B2912" s="36">
        <f>IF(C2912&lt;&gt;"",C2912,IF(P2912&lt;=IFERROR(INDEX(tblChannels[Watched Through],MATCH(N2912,tblChannels[Channel ID],0)),0),"Watched","Unwatched"))</f>
        <v/>
      </c>
      <c r="C2912" s="37" t="n"/>
      <c r="D2912" s="38" t="n"/>
      <c r="E2912" s="39" t="n">
        <v>41758.99791666667</v>
      </c>
      <c r="F2912" s="47" t="inlineStr">
        <is>
          <t>Super Carlin Brothers</t>
        </is>
      </c>
      <c r="G2912" t="inlineStr">
        <is>
          <t>Google Autofill: Who Would Win in a Fight!?</t>
        </is>
      </c>
      <c r="H2912" s="41" t="n">
        <v>0.004120370370370371</v>
      </c>
      <c r="I2912" s="42" t="n">
        <v>320038</v>
      </c>
      <c r="J2912" s="42" t="n">
        <v>5336</v>
      </c>
      <c r="K2912" s="42" t="n">
        <v>3402</v>
      </c>
      <c r="L2912" s="43" t="n"/>
      <c r="M2912" s="44" t="n"/>
      <c r="N2912" s="44" t="inlineStr">
        <is>
          <t>UCKZo4N0lVPccBkSiuyVh4yg</t>
        </is>
      </c>
      <c r="O2912" s="45" t="n">
        <v>41759.16458333333</v>
      </c>
      <c r="P2912" s="46" t="n">
        <v>41758</v>
      </c>
      <c r="Q2912" s="44" t="n">
        <v>360</v>
      </c>
      <c r="R2912" s="44" t="inlineStr">
        <is>
          <t>No Video ID yet</t>
        </is>
      </c>
      <c r="S2912" s="46" t="n"/>
      <c r="T2912" s="46" t="n"/>
      <c r="U2912" s="44" t="n"/>
      <c r="V2912" s="44">
        <f>IF(AND(P2912&gt;=Calendar!$K$2,P2912&lt;EDATE(Calendar!$K$2,1),OR(Calendar!$K$4="*",N2912=Calendar!$K$4)),P2912*100+COUNTIFS($P$6:$P$3271,P2912,$Q$6:$Q$3271,"&lt;="&amp;Q2912,$N$6:$N$3271,Calendar!$K$4),"")</f>
        <v/>
      </c>
      <c r="W2912" s="44">
        <f>IF(AND(B2912=Queue!$C$4,OR(Queue!$K$4="*",N2912=Queue!$K$4)),Q2912,"")</f>
        <v/>
      </c>
    </row>
    <row r="2913">
      <c r="A2913" s="35">
        <f>IF(M2913="","",HYPERLINK("https://www.youtube.com/watch?v="&amp;M2913,"▶"))</f>
        <v/>
      </c>
      <c r="B2913" s="36">
        <f>IF(C2913&lt;&gt;"",C2913,IF(P2913&lt;=IFERROR(INDEX(tblChannels[Watched Through],MATCH(N2913,tblChannels[Channel ID],0)),0),"Watched","Unwatched"))</f>
        <v/>
      </c>
      <c r="C2913" s="37" t="n"/>
      <c r="D2913" s="38" t="n"/>
      <c r="E2913" s="39" t="n">
        <v>41753.96319444444</v>
      </c>
      <c r="F2913" s="47" t="inlineStr">
        <is>
          <t>Super Carlin Brothers</t>
        </is>
      </c>
      <c r="G2913" t="inlineStr">
        <is>
          <t>Happiness isn't Interesting</t>
        </is>
      </c>
      <c r="H2913" s="41" t="n">
        <v>0.001805555555555555</v>
      </c>
      <c r="I2913" s="42" t="n">
        <v>10974</v>
      </c>
      <c r="J2913" s="42" t="n">
        <v>351</v>
      </c>
      <c r="K2913" s="42" t="n">
        <v>120</v>
      </c>
      <c r="L2913" s="43" t="n"/>
      <c r="M2913" s="44" t="n"/>
      <c r="N2913" s="44" t="inlineStr">
        <is>
          <t>UCKZo4N0lVPccBkSiuyVh4yg</t>
        </is>
      </c>
      <c r="O2913" s="45" t="n">
        <v>41754.12986111111</v>
      </c>
      <c r="P2913" s="46" t="n">
        <v>41753</v>
      </c>
      <c r="Q2913" s="44" t="n">
        <v>359</v>
      </c>
      <c r="R2913" s="44" t="inlineStr">
        <is>
          <t>No Video ID yet</t>
        </is>
      </c>
      <c r="S2913" s="46" t="n"/>
      <c r="T2913" s="46" t="n"/>
      <c r="U2913" s="44" t="n"/>
      <c r="V2913" s="44">
        <f>IF(AND(P2913&gt;=Calendar!$K$2,P2913&lt;EDATE(Calendar!$K$2,1),OR(Calendar!$K$4="*",N2913=Calendar!$K$4)),P2913*100+COUNTIFS($P$6:$P$3271,P2913,$Q$6:$Q$3271,"&lt;="&amp;Q2913,$N$6:$N$3271,Calendar!$K$4),"")</f>
        <v/>
      </c>
      <c r="W2913" s="44">
        <f>IF(AND(B2913=Queue!$C$4,OR(Queue!$K$4="*",N2913=Queue!$K$4)),Q2913,"")</f>
        <v/>
      </c>
    </row>
    <row r="2914">
      <c r="A2914" s="35">
        <f>IF(M2914="","",HYPERLINK("https://www.youtube.com/watch?v="&amp;M2914,"▶"))</f>
        <v/>
      </c>
      <c r="B2914" s="36">
        <f>IF(C2914&lt;&gt;"",C2914,IF(P2914&lt;=IFERROR(INDEX(tblChannels[Watched Through],MATCH(N2914,tblChannels[Channel ID],0)),0),"Watched","Unwatched"))</f>
        <v/>
      </c>
      <c r="C2914" s="37" t="n"/>
      <c r="D2914" s="38" t="n"/>
      <c r="E2914" s="39" t="n">
        <v>41751.90833333333</v>
      </c>
      <c r="F2914" s="47" t="inlineStr">
        <is>
          <t>Super Carlin Brothers</t>
        </is>
      </c>
      <c r="G2914" t="inlineStr">
        <is>
          <t>Narwhal Appreciation Day!</t>
        </is>
      </c>
      <c r="H2914" s="41" t="n">
        <v>0.002557870370370371</v>
      </c>
      <c r="I2914" s="42" t="n">
        <v>34521</v>
      </c>
      <c r="J2914" s="42" t="n">
        <v>846</v>
      </c>
      <c r="K2914" s="42" t="n">
        <v>258</v>
      </c>
      <c r="L2914" s="43" t="n"/>
      <c r="M2914" s="44" t="n"/>
      <c r="N2914" s="44" t="inlineStr">
        <is>
          <t>UCKZo4N0lVPccBkSiuyVh4yg</t>
        </is>
      </c>
      <c r="O2914" s="45" t="n">
        <v>41752.075</v>
      </c>
      <c r="P2914" s="46" t="n">
        <v>41751</v>
      </c>
      <c r="Q2914" s="44" t="n">
        <v>358</v>
      </c>
      <c r="R2914" s="44" t="inlineStr">
        <is>
          <t>No Video ID yet</t>
        </is>
      </c>
      <c r="S2914" s="46" t="n"/>
      <c r="T2914" s="46" t="n"/>
      <c r="U2914" s="44" t="n"/>
      <c r="V2914" s="44">
        <f>IF(AND(P2914&gt;=Calendar!$K$2,P2914&lt;EDATE(Calendar!$K$2,1),OR(Calendar!$K$4="*",N2914=Calendar!$K$4)),P2914*100+COUNTIFS($P$6:$P$3271,P2914,$Q$6:$Q$3271,"&lt;="&amp;Q2914,$N$6:$N$3271,Calendar!$K$4),"")</f>
        <v/>
      </c>
      <c r="W2914" s="44">
        <f>IF(AND(B2914=Queue!$C$4,OR(Queue!$K$4="*",N2914=Queue!$K$4)),Q2914,"")</f>
        <v/>
      </c>
    </row>
    <row r="2915">
      <c r="A2915" s="35">
        <f>IF(M2915="","",HYPERLINK("https://www.youtube.com/watch?v="&amp;M2915,"▶"))</f>
        <v/>
      </c>
      <c r="B2915" s="36">
        <f>IF(C2915&lt;&gt;"",C2915,IF(P2915&lt;=IFERROR(INDEX(tblChannels[Watched Through],MATCH(N2915,tblChannels[Channel ID],0)),0),"Watched","Unwatched"))</f>
        <v/>
      </c>
      <c r="C2915" s="37" t="n"/>
      <c r="D2915" s="38" t="n"/>
      <c r="E2915" s="39" t="n">
        <v>41746.92083333333</v>
      </c>
      <c r="F2915" s="47" t="inlineStr">
        <is>
          <t>Super Carlin Brothers</t>
        </is>
      </c>
      <c r="G2915" t="inlineStr">
        <is>
          <t>Theory: GoT Next Mona Lisa?</t>
        </is>
      </c>
      <c r="H2915" s="41" t="n">
        <v>0.001643518518518519</v>
      </c>
      <c r="I2915" s="42" t="n">
        <v>93643</v>
      </c>
      <c r="J2915" s="42" t="n">
        <v>814</v>
      </c>
      <c r="K2915" s="42" t="n">
        <v>93</v>
      </c>
      <c r="L2915" s="43" t="n"/>
      <c r="M2915" s="44" t="n"/>
      <c r="N2915" s="44" t="inlineStr">
        <is>
          <t>UCKZo4N0lVPccBkSiuyVh4yg</t>
        </is>
      </c>
      <c r="O2915" s="45" t="n">
        <v>41747.0875</v>
      </c>
      <c r="P2915" s="46" t="n">
        <v>41746</v>
      </c>
      <c r="Q2915" s="44" t="n">
        <v>357</v>
      </c>
      <c r="R2915" s="44" t="inlineStr">
        <is>
          <t>No Video ID yet</t>
        </is>
      </c>
      <c r="S2915" s="46" t="n"/>
      <c r="T2915" s="46" t="n"/>
      <c r="U2915" s="44" t="n"/>
      <c r="V2915" s="44">
        <f>IF(AND(P2915&gt;=Calendar!$K$2,P2915&lt;EDATE(Calendar!$K$2,1),OR(Calendar!$K$4="*",N2915=Calendar!$K$4)),P2915*100+COUNTIFS($P$6:$P$3271,P2915,$Q$6:$Q$3271,"&lt;="&amp;Q2915,$N$6:$N$3271,Calendar!$K$4),"")</f>
        <v/>
      </c>
      <c r="W2915" s="44">
        <f>IF(AND(B2915=Queue!$C$4,OR(Queue!$K$4="*",N2915=Queue!$K$4)),Q2915,"")</f>
        <v/>
      </c>
    </row>
    <row r="2916">
      <c r="A2916" s="35">
        <f>IF(M2916="","",HYPERLINK("https://www.youtube.com/watch?v="&amp;M2916,"▶"))</f>
        <v/>
      </c>
      <c r="B2916" s="36">
        <f>IF(C2916&lt;&gt;"",C2916,IF(P2916&lt;=IFERROR(INDEX(tblChannels[Watched Through],MATCH(N2916,tblChannels[Channel ID],0)),0),"Watched","Unwatched"))</f>
        <v/>
      </c>
      <c r="C2916" s="37" t="n"/>
      <c r="D2916" s="38" t="n"/>
      <c r="E2916" s="39" t="n">
        <v>41744.92847222222</v>
      </c>
      <c r="F2916" s="47" t="inlineStr">
        <is>
          <t>Super Carlin Brothers</t>
        </is>
      </c>
      <c r="G2916" t="inlineStr">
        <is>
          <t>OVER PREPARED!</t>
        </is>
      </c>
      <c r="H2916" s="41" t="n">
        <v>0.003530092592592592</v>
      </c>
      <c r="I2916" s="42" t="n">
        <v>59064</v>
      </c>
      <c r="J2916" s="42" t="n">
        <v>1145</v>
      </c>
      <c r="K2916" s="42" t="n">
        <v>141</v>
      </c>
      <c r="L2916" s="43" t="n"/>
      <c r="M2916" s="44" t="n"/>
      <c r="N2916" s="44" t="inlineStr">
        <is>
          <t>UCKZo4N0lVPccBkSiuyVh4yg</t>
        </is>
      </c>
      <c r="O2916" s="45" t="n">
        <v>41745.09513888889</v>
      </c>
      <c r="P2916" s="46" t="n">
        <v>41744</v>
      </c>
      <c r="Q2916" s="44" t="n">
        <v>356</v>
      </c>
      <c r="R2916" s="44" t="inlineStr">
        <is>
          <t>No Video ID yet</t>
        </is>
      </c>
      <c r="S2916" s="46" t="n"/>
      <c r="T2916" s="46" t="n"/>
      <c r="U2916" s="44" t="n"/>
      <c r="V2916" s="44">
        <f>IF(AND(P2916&gt;=Calendar!$K$2,P2916&lt;EDATE(Calendar!$K$2,1),OR(Calendar!$K$4="*",N2916=Calendar!$K$4)),P2916*100+COUNTIFS($P$6:$P$3271,P2916,$Q$6:$Q$3271,"&lt;="&amp;Q2916,$N$6:$N$3271,Calendar!$K$4),"")</f>
        <v/>
      </c>
      <c r="W2916" s="44">
        <f>IF(AND(B2916=Queue!$C$4,OR(Queue!$K$4="*",N2916=Queue!$K$4)),Q2916,"")</f>
        <v/>
      </c>
    </row>
    <row r="2917">
      <c r="A2917" s="35">
        <f>IF(M2917="","",HYPERLINK("https://www.youtube.com/watch?v="&amp;M2917,"▶"))</f>
        <v/>
      </c>
      <c r="B2917" s="36">
        <f>IF(C2917&lt;&gt;"",C2917,IF(P2917&lt;=IFERROR(INDEX(tblChannels[Watched Through],MATCH(N2917,tblChannels[Channel ID],0)),0),"Watched","Unwatched"))</f>
        <v/>
      </c>
      <c r="C2917" s="37" t="n"/>
      <c r="D2917" s="38" t="n"/>
      <c r="E2917" s="39" t="n">
        <v>41739.85416666666</v>
      </c>
      <c r="F2917" s="47" t="inlineStr">
        <is>
          <t>Super Carlin Brothers</t>
        </is>
      </c>
      <c r="G2917" t="inlineStr">
        <is>
          <t>Hulu Plus is Evil... Kinda Pt. 2</t>
        </is>
      </c>
      <c r="H2917" s="41" t="n">
        <v>0.00193287037037037</v>
      </c>
      <c r="I2917" s="42" t="n">
        <v>12995</v>
      </c>
      <c r="J2917" s="42" t="n">
        <v>227</v>
      </c>
      <c r="K2917" s="42" t="n">
        <v>53</v>
      </c>
      <c r="L2917" s="43" t="n"/>
      <c r="M2917" s="44" t="n"/>
      <c r="N2917" s="44" t="inlineStr">
        <is>
          <t>UCKZo4N0lVPccBkSiuyVh4yg</t>
        </is>
      </c>
      <c r="O2917" s="45" t="n">
        <v>41740.02083333334</v>
      </c>
      <c r="P2917" s="46" t="n">
        <v>41739</v>
      </c>
      <c r="Q2917" s="44" t="n">
        <v>355</v>
      </c>
      <c r="R2917" s="44" t="inlineStr">
        <is>
          <t>No Video ID yet</t>
        </is>
      </c>
      <c r="S2917" s="46" t="n"/>
      <c r="T2917" s="46" t="n"/>
      <c r="U2917" s="44" t="n"/>
      <c r="V2917" s="44">
        <f>IF(AND(P2917&gt;=Calendar!$K$2,P2917&lt;EDATE(Calendar!$K$2,1),OR(Calendar!$K$4="*",N2917=Calendar!$K$4)),P2917*100+COUNTIFS($P$6:$P$3271,P2917,$Q$6:$Q$3271,"&lt;="&amp;Q2917,$N$6:$N$3271,Calendar!$K$4),"")</f>
        <v/>
      </c>
      <c r="W2917" s="44">
        <f>IF(AND(B2917=Queue!$C$4,OR(Queue!$K$4="*",N2917=Queue!$K$4)),Q2917,"")</f>
        <v/>
      </c>
    </row>
    <row r="2918">
      <c r="A2918" s="35">
        <f>IF(M2918="","",HYPERLINK("https://www.youtube.com/watch?v="&amp;M2918,"▶"))</f>
        <v/>
      </c>
      <c r="B2918" s="36">
        <f>IF(C2918&lt;&gt;"",C2918,IF(P2918&lt;=IFERROR(INDEX(tblChannels[Watched Through],MATCH(N2918,tblChannels[Channel ID],0)),0),"Watched","Unwatched"))</f>
        <v/>
      </c>
      <c r="C2918" s="37" t="n"/>
      <c r="D2918" s="38" t="n"/>
      <c r="E2918" s="39" t="n">
        <v>41738.94791666666</v>
      </c>
      <c r="F2918" s="49" t="inlineStr">
        <is>
          <t>Super Carlin Gaming</t>
        </is>
      </c>
      <c r="G2918" t="inlineStr">
        <is>
          <t>Pokemon FireRed Nuzlocke Challenge #13 - THUNDERBOLT</t>
        </is>
      </c>
      <c r="H2918" s="41" t="n">
        <v>0.01436342592592593</v>
      </c>
      <c r="I2918" s="42" t="n">
        <v>29982</v>
      </c>
      <c r="J2918" s="42" t="n">
        <v>449</v>
      </c>
      <c r="K2918" s="42" t="n">
        <v>101</v>
      </c>
      <c r="L2918" s="43" t="n"/>
      <c r="M2918" s="44" t="n"/>
      <c r="N2918" s="44" t="inlineStr">
        <is>
          <t>UCor_9jRnNNZVzTuQ92PKsaQ</t>
        </is>
      </c>
      <c r="O2918" s="45" t="n">
        <v>41739.11458333334</v>
      </c>
      <c r="P2918" s="46" t="n">
        <v>41738</v>
      </c>
      <c r="Q2918" s="44" t="n">
        <v>354</v>
      </c>
      <c r="R2918" s="44" t="inlineStr">
        <is>
          <t>No Video ID yet</t>
        </is>
      </c>
      <c r="S2918" s="46" t="n"/>
      <c r="T2918" s="46" t="n"/>
      <c r="U2918" s="44" t="n"/>
      <c r="V2918" s="44">
        <f>IF(AND(P2918&gt;=Calendar!$K$2,P2918&lt;EDATE(Calendar!$K$2,1),OR(Calendar!$K$4="*",N2918=Calendar!$K$4)),P2918*100+COUNTIFS($P$6:$P$3271,P2918,$Q$6:$Q$3271,"&lt;="&amp;Q2918,$N$6:$N$3271,Calendar!$K$4),"")</f>
        <v/>
      </c>
      <c r="W2918" s="44">
        <f>IF(AND(B2918=Queue!$C$4,OR(Queue!$K$4="*",N2918=Queue!$K$4)),Q2918,"")</f>
        <v/>
      </c>
    </row>
    <row r="2919">
      <c r="A2919" s="35">
        <f>IF(M2919="","",HYPERLINK("https://www.youtube.com/watch?v="&amp;M2919,"▶"))</f>
        <v/>
      </c>
      <c r="B2919" s="36">
        <f>IF(C2919&lt;&gt;"",C2919,IF(P2919&lt;=IFERROR(INDEX(tblChannels[Watched Through],MATCH(N2919,tblChannels[Channel ID],0)),0),"Watched","Unwatched"))</f>
        <v/>
      </c>
      <c r="C2919" s="37" t="n"/>
      <c r="D2919" s="38" t="n"/>
      <c r="E2919" s="39" t="n">
        <v>41737.99097222222</v>
      </c>
      <c r="F2919" s="47" t="inlineStr">
        <is>
          <t>Super Carlin Brothers</t>
        </is>
      </c>
      <c r="G2919" t="inlineStr">
        <is>
          <t>Ask J #7 - Narwhals and Bacon</t>
        </is>
      </c>
      <c r="H2919" s="41" t="n">
        <v>0.002916666666666667</v>
      </c>
      <c r="I2919" s="42" t="n">
        <v>38214</v>
      </c>
      <c r="J2919" s="42" t="n">
        <v>696</v>
      </c>
      <c r="K2919" s="42" t="n">
        <v>279</v>
      </c>
      <c r="L2919" s="43" t="n"/>
      <c r="M2919" s="44" t="n"/>
      <c r="N2919" s="44" t="inlineStr">
        <is>
          <t>UCKZo4N0lVPccBkSiuyVh4yg</t>
        </is>
      </c>
      <c r="O2919" s="45" t="n">
        <v>41738.15763888889</v>
      </c>
      <c r="P2919" s="46" t="n">
        <v>41737</v>
      </c>
      <c r="Q2919" s="44" t="n">
        <v>353</v>
      </c>
      <c r="R2919" s="44" t="inlineStr">
        <is>
          <t>No Video ID yet</t>
        </is>
      </c>
      <c r="S2919" s="46" t="n"/>
      <c r="T2919" s="46" t="n"/>
      <c r="U2919" s="44" t="n"/>
      <c r="V2919" s="44">
        <f>IF(AND(P2919&gt;=Calendar!$K$2,P2919&lt;EDATE(Calendar!$K$2,1),OR(Calendar!$K$4="*",N2919=Calendar!$K$4)),P2919*100+COUNTIFS($P$6:$P$3271,P2919,$Q$6:$Q$3271,"&lt;="&amp;Q2919,$N$6:$N$3271,Calendar!$K$4),"")</f>
        <v/>
      </c>
      <c r="W2919" s="44">
        <f>IF(AND(B2919=Queue!$C$4,OR(Queue!$K$4="*",N2919=Queue!$K$4)),Q2919,"")</f>
        <v/>
      </c>
    </row>
    <row r="2920">
      <c r="A2920" s="35">
        <f>IF(M2920="","",HYPERLINK("https://www.youtube.com/watch?v="&amp;M2920,"▶"))</f>
        <v/>
      </c>
      <c r="B2920" s="36">
        <f>IF(C2920&lt;&gt;"",C2920,IF(P2920&lt;=IFERROR(INDEX(tblChannels[Watched Through],MATCH(N2920,tblChannels[Channel ID],0)),0),"Watched","Unwatched"))</f>
        <v/>
      </c>
      <c r="C2920" s="37" t="n"/>
      <c r="D2920" s="38" t="n"/>
      <c r="E2920" s="39" t="n">
        <v>41732.86319444444</v>
      </c>
      <c r="F2920" s="47" t="inlineStr">
        <is>
          <t>Super Carlin Brothers</t>
        </is>
      </c>
      <c r="G2920" t="inlineStr">
        <is>
          <t>Video Game Freakout</t>
        </is>
      </c>
      <c r="H2920" s="41" t="n">
        <v>0.002824074074074074</v>
      </c>
      <c r="I2920" s="42" t="n">
        <v>15194</v>
      </c>
      <c r="J2920" s="42" t="n">
        <v>282</v>
      </c>
      <c r="K2920" s="42" t="n">
        <v>64</v>
      </c>
      <c r="L2920" s="43" t="n"/>
      <c r="M2920" s="44" t="n"/>
      <c r="N2920" s="44" t="inlineStr">
        <is>
          <t>UCKZo4N0lVPccBkSiuyVh4yg</t>
        </is>
      </c>
      <c r="O2920" s="45" t="n">
        <v>41733.02986111111</v>
      </c>
      <c r="P2920" s="46" t="n">
        <v>41732</v>
      </c>
      <c r="Q2920" s="44" t="n">
        <v>352</v>
      </c>
      <c r="R2920" s="44" t="inlineStr">
        <is>
          <t>No Video ID yet</t>
        </is>
      </c>
      <c r="S2920" s="46" t="n"/>
      <c r="T2920" s="46" t="n"/>
      <c r="U2920" s="44" t="n"/>
      <c r="V2920" s="44">
        <f>IF(AND(P2920&gt;=Calendar!$K$2,P2920&lt;EDATE(Calendar!$K$2,1),OR(Calendar!$K$4="*",N2920=Calendar!$K$4)),P2920*100+COUNTIFS($P$6:$P$3271,P2920,$Q$6:$Q$3271,"&lt;="&amp;Q2920,$N$6:$N$3271,Calendar!$K$4),"")</f>
        <v/>
      </c>
      <c r="W2920" s="44">
        <f>IF(AND(B2920=Queue!$C$4,OR(Queue!$K$4="*",N2920=Queue!$K$4)),Q2920,"")</f>
        <v/>
      </c>
    </row>
    <row r="2921">
      <c r="A2921" s="35">
        <f>IF(M2921="","",HYPERLINK("https://www.youtube.com/watch?v="&amp;M2921,"▶"))</f>
        <v/>
      </c>
      <c r="B2921" s="36">
        <f>IF(C2921&lt;&gt;"",C2921,IF(P2921&lt;=IFERROR(INDEX(tblChannels[Watched Through],MATCH(N2921,tblChannels[Channel ID],0)),0),"Watched","Unwatched"))</f>
        <v/>
      </c>
      <c r="C2921" s="37" t="n"/>
      <c r="D2921" s="38" t="n"/>
      <c r="E2921" s="39" t="n">
        <v>41732.31736111111</v>
      </c>
      <c r="F2921" s="49" t="inlineStr">
        <is>
          <t>Super Carlin Gaming</t>
        </is>
      </c>
      <c r="G2921" t="inlineStr">
        <is>
          <t>Pokemon FireRed Nuzlocke Challenge #12 - Munchlax Breeding</t>
        </is>
      </c>
      <c r="H2921" s="41" t="n">
        <v>0.01748842592592592</v>
      </c>
      <c r="I2921" s="42" t="n">
        <v>34104</v>
      </c>
      <c r="J2921" s="42" t="n">
        <v>495</v>
      </c>
      <c r="K2921" s="42" t="n">
        <v>74</v>
      </c>
      <c r="L2921" s="43" t="n"/>
      <c r="M2921" s="44" t="n"/>
      <c r="N2921" s="44" t="inlineStr">
        <is>
          <t>UCor_9jRnNNZVzTuQ92PKsaQ</t>
        </is>
      </c>
      <c r="O2921" s="45" t="n">
        <v>41732.48402777778</v>
      </c>
      <c r="P2921" s="46" t="n">
        <v>41732</v>
      </c>
      <c r="Q2921" s="44" t="n">
        <v>351</v>
      </c>
      <c r="R2921" s="44" t="inlineStr">
        <is>
          <t>No Video ID yet</t>
        </is>
      </c>
      <c r="S2921" s="46" t="n"/>
      <c r="T2921" s="46" t="n"/>
      <c r="U2921" s="44" t="n"/>
      <c r="V2921" s="44">
        <f>IF(AND(P2921&gt;=Calendar!$K$2,P2921&lt;EDATE(Calendar!$K$2,1),OR(Calendar!$K$4="*",N2921=Calendar!$K$4)),P2921*100+COUNTIFS($P$6:$P$3271,P2921,$Q$6:$Q$3271,"&lt;="&amp;Q2921,$N$6:$N$3271,Calendar!$K$4),"")</f>
        <v/>
      </c>
      <c r="W2921" s="44">
        <f>IF(AND(B2921=Queue!$C$4,OR(Queue!$K$4="*",N2921=Queue!$K$4)),Q2921,"")</f>
        <v/>
      </c>
    </row>
    <row r="2922">
      <c r="A2922" s="35">
        <f>IF(M2922="","",HYPERLINK("https://www.youtube.com/watch?v="&amp;M2922,"▶"))</f>
        <v/>
      </c>
      <c r="B2922" s="36">
        <f>IF(C2922&lt;&gt;"",C2922,IF(P2922&lt;=IFERROR(INDEX(tblChannels[Watched Through],MATCH(N2922,tblChannels[Channel ID],0)),0),"Watched","Unwatched"))</f>
        <v/>
      </c>
      <c r="C2922" s="37" t="n"/>
      <c r="D2922" s="38" t="n"/>
      <c r="E2922" s="39" t="n">
        <v>41730.96319444444</v>
      </c>
      <c r="F2922" s="47" t="inlineStr">
        <is>
          <t>Super Carlin Brothers</t>
        </is>
      </c>
      <c r="G2922" t="inlineStr">
        <is>
          <t>Ben Quit</t>
        </is>
      </c>
      <c r="H2922" s="41" t="n">
        <v>0.003784722222222222</v>
      </c>
      <c r="I2922" s="42" t="n">
        <v>734863</v>
      </c>
      <c r="J2922" s="42" t="n">
        <v>15210</v>
      </c>
      <c r="K2922" s="42" t="n">
        <v>3703</v>
      </c>
      <c r="L2922" s="43" t="n"/>
      <c r="M2922" s="44" t="n"/>
      <c r="N2922" s="44" t="inlineStr">
        <is>
          <t>UCKZo4N0lVPccBkSiuyVh4yg</t>
        </is>
      </c>
      <c r="O2922" s="45" t="n">
        <v>41731.12986111111</v>
      </c>
      <c r="P2922" s="46" t="n">
        <v>41730</v>
      </c>
      <c r="Q2922" s="44" t="n">
        <v>350</v>
      </c>
      <c r="R2922" s="44" t="inlineStr">
        <is>
          <t>No Video ID yet</t>
        </is>
      </c>
      <c r="S2922" s="46" t="n"/>
      <c r="T2922" s="46" t="n"/>
      <c r="U2922" s="44" t="n"/>
      <c r="V2922" s="44">
        <f>IF(AND(P2922&gt;=Calendar!$K$2,P2922&lt;EDATE(Calendar!$K$2,1),OR(Calendar!$K$4="*",N2922=Calendar!$K$4)),P2922*100+COUNTIFS($P$6:$P$3271,P2922,$Q$6:$Q$3271,"&lt;="&amp;Q2922,$N$6:$N$3271,Calendar!$K$4),"")</f>
        <v/>
      </c>
      <c r="W2922" s="44">
        <f>IF(AND(B2922=Queue!$C$4,OR(Queue!$K$4="*",N2922=Queue!$K$4)),Q2922,"")</f>
        <v/>
      </c>
    </row>
    <row r="2923">
      <c r="A2923" s="35">
        <f>IF(M2923="","",HYPERLINK("https://www.youtube.com/watch?v="&amp;M2923,"▶"))</f>
        <v/>
      </c>
      <c r="B2923" s="36">
        <f>IF(C2923&lt;&gt;"",C2923,IF(P2923&lt;=IFERROR(INDEX(tblChannels[Watched Through],MATCH(N2923,tblChannels[Channel ID],0)),0),"Watched","Unwatched"))</f>
        <v/>
      </c>
      <c r="C2923" s="37" t="n"/>
      <c r="D2923" s="38" t="n"/>
      <c r="E2923" s="39" t="n">
        <v>41725.92291666667</v>
      </c>
      <c r="F2923" s="47" t="inlineStr">
        <is>
          <t>Super Carlin Brothers</t>
        </is>
      </c>
      <c r="G2923" t="inlineStr">
        <is>
          <t>Buyers Remorse</t>
        </is>
      </c>
      <c r="H2923" s="41" t="n">
        <v>0.001898148148148148</v>
      </c>
      <c r="I2923" s="42" t="n">
        <v>15994</v>
      </c>
      <c r="J2923" s="42" t="n">
        <v>268</v>
      </c>
      <c r="K2923" s="42" t="n">
        <v>46</v>
      </c>
      <c r="L2923" s="43" t="n"/>
      <c r="M2923" s="44" t="n"/>
      <c r="N2923" s="44" t="inlineStr">
        <is>
          <t>UCKZo4N0lVPccBkSiuyVh4yg</t>
        </is>
      </c>
      <c r="O2923" s="45" t="n">
        <v>41726.08958333333</v>
      </c>
      <c r="P2923" s="46" t="n">
        <v>41725</v>
      </c>
      <c r="Q2923" s="44" t="n">
        <v>349</v>
      </c>
      <c r="R2923" s="44" t="inlineStr">
        <is>
          <t>No Video ID yet</t>
        </is>
      </c>
      <c r="S2923" s="46" t="n"/>
      <c r="T2923" s="46" t="n"/>
      <c r="U2923" s="44" t="n"/>
      <c r="V2923" s="44">
        <f>IF(AND(P2923&gt;=Calendar!$K$2,P2923&lt;EDATE(Calendar!$K$2,1),OR(Calendar!$K$4="*",N2923=Calendar!$K$4)),P2923*100+COUNTIFS($P$6:$P$3271,P2923,$Q$6:$Q$3271,"&lt;="&amp;Q2923,$N$6:$N$3271,Calendar!$K$4),"")</f>
        <v/>
      </c>
      <c r="W2923" s="44">
        <f>IF(AND(B2923=Queue!$C$4,OR(Queue!$K$4="*",N2923=Queue!$K$4)),Q2923,"")</f>
        <v/>
      </c>
    </row>
    <row r="2924">
      <c r="A2924" s="35">
        <f>IF(M2924="","",HYPERLINK("https://www.youtube.com/watch?v="&amp;M2924,"▶"))</f>
        <v/>
      </c>
      <c r="B2924" s="36">
        <f>IF(C2924&lt;&gt;"",C2924,IF(P2924&lt;=IFERROR(INDEX(tblChannels[Watched Through],MATCH(N2924,tblChannels[Channel ID],0)),0),"Watched","Unwatched"))</f>
        <v/>
      </c>
      <c r="C2924" s="37" t="n"/>
      <c r="D2924" s="38" t="n"/>
      <c r="E2924" s="39" t="n">
        <v>41723.91111111111</v>
      </c>
      <c r="F2924" s="47" t="inlineStr">
        <is>
          <t>Super Carlin Brothers</t>
        </is>
      </c>
      <c r="G2924" t="inlineStr">
        <is>
          <t>Is Batman Google Autofill</t>
        </is>
      </c>
      <c r="H2924" s="41" t="n">
        <v>0.004085648148148148</v>
      </c>
      <c r="I2924" s="42" t="n">
        <v>269859</v>
      </c>
      <c r="J2924" s="42" t="n">
        <v>3877</v>
      </c>
      <c r="K2924" s="42" t="n">
        <v>897</v>
      </c>
      <c r="L2924" s="43" t="n"/>
      <c r="M2924" s="44" t="n"/>
      <c r="N2924" s="44" t="inlineStr">
        <is>
          <t>UCKZo4N0lVPccBkSiuyVh4yg</t>
        </is>
      </c>
      <c r="O2924" s="45" t="n">
        <v>41724.07777777778</v>
      </c>
      <c r="P2924" s="46" t="n">
        <v>41723</v>
      </c>
      <c r="Q2924" s="44" t="n">
        <v>348</v>
      </c>
      <c r="R2924" s="44" t="inlineStr">
        <is>
          <t>No Video ID yet</t>
        </is>
      </c>
      <c r="S2924" s="46" t="n"/>
      <c r="T2924" s="46" t="n"/>
      <c r="U2924" s="44" t="n"/>
      <c r="V2924" s="44">
        <f>IF(AND(P2924&gt;=Calendar!$K$2,P2924&lt;EDATE(Calendar!$K$2,1),OR(Calendar!$K$4="*",N2924=Calendar!$K$4)),P2924*100+COUNTIFS($P$6:$P$3271,P2924,$Q$6:$Q$3271,"&lt;="&amp;Q2924,$N$6:$N$3271,Calendar!$K$4),"")</f>
        <v/>
      </c>
      <c r="W2924" s="44">
        <f>IF(AND(B2924=Queue!$C$4,OR(Queue!$K$4="*",N2924=Queue!$K$4)),Q2924,"")</f>
        <v/>
      </c>
    </row>
    <row r="2925">
      <c r="A2925" s="35">
        <f>IF(M2925="","",HYPERLINK("https://www.youtube.com/watch?v="&amp;M2925,"▶"))</f>
        <v/>
      </c>
      <c r="B2925" s="36">
        <f>IF(C2925&lt;&gt;"",C2925,IF(P2925&lt;=IFERROR(INDEX(tblChannels[Watched Through],MATCH(N2925,tblChannels[Channel ID],0)),0),"Watched","Unwatched"))</f>
        <v/>
      </c>
      <c r="C2925" s="37" t="n"/>
      <c r="D2925" s="38" t="n"/>
      <c r="E2925" s="39" t="n">
        <v>41718.97361111111</v>
      </c>
      <c r="F2925" s="47" t="inlineStr">
        <is>
          <t>Super Carlin Brothers</t>
        </is>
      </c>
      <c r="G2925" t="inlineStr">
        <is>
          <t>Being Challenged</t>
        </is>
      </c>
      <c r="H2925" s="41" t="n">
        <v>0.003842592592592593</v>
      </c>
      <c r="I2925" s="42" t="n">
        <v>10621</v>
      </c>
      <c r="J2925" s="42" t="n">
        <v>247</v>
      </c>
      <c r="K2925" s="42" t="n">
        <v>24</v>
      </c>
      <c r="L2925" s="43" t="n"/>
      <c r="M2925" s="44" t="n"/>
      <c r="N2925" s="44" t="inlineStr">
        <is>
          <t>UCKZo4N0lVPccBkSiuyVh4yg</t>
        </is>
      </c>
      <c r="O2925" s="45" t="n">
        <v>41719.14027777778</v>
      </c>
      <c r="P2925" s="46" t="n">
        <v>41718</v>
      </c>
      <c r="Q2925" s="44" t="n">
        <v>347</v>
      </c>
      <c r="R2925" s="44" t="inlineStr">
        <is>
          <t>No Video ID yet</t>
        </is>
      </c>
      <c r="S2925" s="46" t="n"/>
      <c r="T2925" s="46" t="n"/>
      <c r="U2925" s="44" t="n"/>
      <c r="V2925" s="44">
        <f>IF(AND(P2925&gt;=Calendar!$K$2,P2925&lt;EDATE(Calendar!$K$2,1),OR(Calendar!$K$4="*",N2925=Calendar!$K$4)),P2925*100+COUNTIFS($P$6:$P$3271,P2925,$Q$6:$Q$3271,"&lt;="&amp;Q2925,$N$6:$N$3271,Calendar!$K$4),"")</f>
        <v/>
      </c>
      <c r="W2925" s="44">
        <f>IF(AND(B2925=Queue!$C$4,OR(Queue!$K$4="*",N2925=Queue!$K$4)),Q2925,"")</f>
        <v/>
      </c>
    </row>
    <row r="2926">
      <c r="A2926" s="35">
        <f>IF(M2926="","",HYPERLINK("https://www.youtube.com/watch?v="&amp;M2926,"▶"))</f>
        <v/>
      </c>
      <c r="B2926" s="36">
        <f>IF(C2926&lt;&gt;"",C2926,IF(P2926&lt;=IFERROR(INDEX(tblChannels[Watched Through],MATCH(N2926,tblChannels[Channel ID],0)),0),"Watched","Unwatched"))</f>
        <v/>
      </c>
      <c r="C2926" s="37" t="n"/>
      <c r="D2926" s="38" t="n"/>
      <c r="E2926" s="39" t="n">
        <v>41716.92638888889</v>
      </c>
      <c r="F2926" s="47" t="inlineStr">
        <is>
          <t>Super Carlin Brothers</t>
        </is>
      </c>
      <c r="G2926" t="inlineStr">
        <is>
          <t>OVER THE EDGE!</t>
        </is>
      </c>
      <c r="H2926" s="41" t="n">
        <v>0.003171296296296296</v>
      </c>
      <c r="I2926" s="42" t="n">
        <v>22696</v>
      </c>
      <c r="J2926" s="42" t="n">
        <v>597</v>
      </c>
      <c r="K2926" s="42" t="n">
        <v>232</v>
      </c>
      <c r="L2926" s="43" t="n"/>
      <c r="M2926" s="44" t="n"/>
      <c r="N2926" s="44" t="inlineStr">
        <is>
          <t>UCKZo4N0lVPccBkSiuyVh4yg</t>
        </is>
      </c>
      <c r="O2926" s="45" t="n">
        <v>41717.09305555555</v>
      </c>
      <c r="P2926" s="46" t="n">
        <v>41716</v>
      </c>
      <c r="Q2926" s="44" t="n">
        <v>346</v>
      </c>
      <c r="R2926" s="44" t="inlineStr">
        <is>
          <t>No Video ID yet</t>
        </is>
      </c>
      <c r="S2926" s="46" t="n"/>
      <c r="T2926" s="46" t="n"/>
      <c r="U2926" s="44" t="n"/>
      <c r="V2926" s="44">
        <f>IF(AND(P2926&gt;=Calendar!$K$2,P2926&lt;EDATE(Calendar!$K$2,1),OR(Calendar!$K$4="*",N2926=Calendar!$K$4)),P2926*100+COUNTIFS($P$6:$P$3271,P2926,$Q$6:$Q$3271,"&lt;="&amp;Q2926,$N$6:$N$3271,Calendar!$K$4),"")</f>
        <v/>
      </c>
      <c r="W2926" s="44">
        <f>IF(AND(B2926=Queue!$C$4,OR(Queue!$K$4="*",N2926=Queue!$K$4)),Q2926,"")</f>
        <v/>
      </c>
    </row>
    <row r="2927">
      <c r="A2927" s="35">
        <f>IF(M2927="","",HYPERLINK("https://www.youtube.com/watch?v="&amp;M2927,"▶"))</f>
        <v/>
      </c>
      <c r="B2927" s="36">
        <f>IF(C2927&lt;&gt;"",C2927,IF(P2927&lt;=IFERROR(INDEX(tblChannels[Watched Through],MATCH(N2927,tblChannels[Channel ID],0)),0),"Watched","Unwatched"))</f>
        <v/>
      </c>
      <c r="C2927" s="37" t="n"/>
      <c r="D2927" s="38" t="n"/>
      <c r="E2927" s="39" t="n">
        <v>41711.92638888889</v>
      </c>
      <c r="F2927" s="47" t="inlineStr">
        <is>
          <t>Super Carlin Brothers</t>
        </is>
      </c>
      <c r="G2927" t="inlineStr">
        <is>
          <t>Toilet Talk</t>
        </is>
      </c>
      <c r="H2927" s="41" t="n">
        <v>0.002314814814814815</v>
      </c>
      <c r="I2927" s="42" t="n">
        <v>11102</v>
      </c>
      <c r="J2927" s="42" t="n">
        <v>253</v>
      </c>
      <c r="K2927" s="42" t="n">
        <v>71</v>
      </c>
      <c r="L2927" s="43" t="n"/>
      <c r="M2927" s="44" t="n"/>
      <c r="N2927" s="44" t="inlineStr">
        <is>
          <t>UCKZo4N0lVPccBkSiuyVh4yg</t>
        </is>
      </c>
      <c r="O2927" s="45" t="n">
        <v>41712.09305555555</v>
      </c>
      <c r="P2927" s="46" t="n">
        <v>41711</v>
      </c>
      <c r="Q2927" s="44" t="n">
        <v>345</v>
      </c>
      <c r="R2927" s="44" t="inlineStr">
        <is>
          <t>No Video ID yet</t>
        </is>
      </c>
      <c r="S2927" s="46" t="n"/>
      <c r="T2927" s="46" t="n"/>
      <c r="U2927" s="44" t="n"/>
      <c r="V2927" s="44">
        <f>IF(AND(P2927&gt;=Calendar!$K$2,P2927&lt;EDATE(Calendar!$K$2,1),OR(Calendar!$K$4="*",N2927=Calendar!$K$4)),P2927*100+COUNTIFS($P$6:$P$3271,P2927,$Q$6:$Q$3271,"&lt;="&amp;Q2927,$N$6:$N$3271,Calendar!$K$4),"")</f>
        <v/>
      </c>
      <c r="W2927" s="44">
        <f>IF(AND(B2927=Queue!$C$4,OR(Queue!$K$4="*",N2927=Queue!$K$4)),Q2927,"")</f>
        <v/>
      </c>
    </row>
    <row r="2928">
      <c r="A2928" s="35">
        <f>IF(M2928="","",HYPERLINK("https://www.youtube.com/watch?v="&amp;M2928,"▶"))</f>
        <v/>
      </c>
      <c r="B2928" s="36">
        <f>IF(C2928&lt;&gt;"",C2928,IF(P2928&lt;=IFERROR(INDEX(tblChannels[Watched Through],MATCH(N2928,tblChannels[Channel ID],0)),0),"Watched","Unwatched"))</f>
        <v/>
      </c>
      <c r="C2928" s="37" t="n"/>
      <c r="D2928" s="38" t="n"/>
      <c r="E2928" s="39" t="n">
        <v>41709.85416666666</v>
      </c>
      <c r="F2928" s="47" t="inlineStr">
        <is>
          <t>Super Carlin Brothers</t>
        </is>
      </c>
      <c r="G2928" t="inlineStr">
        <is>
          <t>SPEED READING!!!</t>
        </is>
      </c>
      <c r="H2928" s="41" t="n">
        <v>0.002777777777777778</v>
      </c>
      <c r="I2928" s="42" t="n">
        <v>52375</v>
      </c>
      <c r="J2928" s="42" t="n">
        <v>1318</v>
      </c>
      <c r="K2928" s="42" t="n">
        <v>215</v>
      </c>
      <c r="L2928" s="43" t="n"/>
      <c r="M2928" s="44" t="n"/>
      <c r="N2928" s="44" t="inlineStr">
        <is>
          <t>UCKZo4N0lVPccBkSiuyVh4yg</t>
        </is>
      </c>
      <c r="O2928" s="45" t="n">
        <v>41710.02083333334</v>
      </c>
      <c r="P2928" s="46" t="n">
        <v>41709</v>
      </c>
      <c r="Q2928" s="44" t="n">
        <v>344</v>
      </c>
      <c r="R2928" s="44" t="inlineStr">
        <is>
          <t>No Video ID yet</t>
        </is>
      </c>
      <c r="S2928" s="46" t="n"/>
      <c r="T2928" s="46" t="n"/>
      <c r="U2928" s="44" t="n"/>
      <c r="V2928" s="44">
        <f>IF(AND(P2928&gt;=Calendar!$K$2,P2928&lt;EDATE(Calendar!$K$2,1),OR(Calendar!$K$4="*",N2928=Calendar!$K$4)),P2928*100+COUNTIFS($P$6:$P$3271,P2928,$Q$6:$Q$3271,"&lt;="&amp;Q2928,$N$6:$N$3271,Calendar!$K$4),"")</f>
        <v/>
      </c>
      <c r="W2928" s="44">
        <f>IF(AND(B2928=Queue!$C$4,OR(Queue!$K$4="*",N2928=Queue!$K$4)),Q2928,"")</f>
        <v/>
      </c>
    </row>
    <row r="2929">
      <c r="A2929" s="35">
        <f>IF(M2929="","",HYPERLINK("https://www.youtube.com/watch?v="&amp;M2929,"▶"))</f>
        <v/>
      </c>
      <c r="B2929" s="36">
        <f>IF(C2929&lt;&gt;"",C2929,IF(P2929&lt;=IFERROR(INDEX(tblChannels[Watched Through],MATCH(N2929,tblChannels[Channel ID],0)),0),"Watched","Unwatched"))</f>
        <v/>
      </c>
      <c r="C2929" s="37" t="n"/>
      <c r="D2929" s="38" t="n"/>
      <c r="E2929" s="39" t="n">
        <v>41704.97291666667</v>
      </c>
      <c r="F2929" s="47" t="inlineStr">
        <is>
          <t>Super Carlin Brothers</t>
        </is>
      </c>
      <c r="G2929" t="inlineStr">
        <is>
          <t>What is it all for?</t>
        </is>
      </c>
      <c r="H2929" s="41" t="n">
        <v>0.002314814814814815</v>
      </c>
      <c r="I2929" s="42" t="n">
        <v>8392</v>
      </c>
      <c r="J2929" s="42" t="n">
        <v>191</v>
      </c>
      <c r="K2929" s="42" t="n">
        <v>31</v>
      </c>
      <c r="L2929" s="43" t="n"/>
      <c r="M2929" s="44" t="n"/>
      <c r="N2929" s="44" t="inlineStr">
        <is>
          <t>UCKZo4N0lVPccBkSiuyVh4yg</t>
        </is>
      </c>
      <c r="O2929" s="45" t="n">
        <v>41705.18125</v>
      </c>
      <c r="P2929" s="46" t="n">
        <v>41704</v>
      </c>
      <c r="Q2929" s="44" t="n">
        <v>343</v>
      </c>
      <c r="R2929" s="44" t="inlineStr">
        <is>
          <t>No Video ID yet</t>
        </is>
      </c>
      <c r="S2929" s="46" t="n"/>
      <c r="T2929" s="46" t="n"/>
      <c r="U2929" s="44" t="n"/>
      <c r="V2929" s="44">
        <f>IF(AND(P2929&gt;=Calendar!$K$2,P2929&lt;EDATE(Calendar!$K$2,1),OR(Calendar!$K$4="*",N2929=Calendar!$K$4)),P2929*100+COUNTIFS($P$6:$P$3271,P2929,$Q$6:$Q$3271,"&lt;="&amp;Q2929,$N$6:$N$3271,Calendar!$K$4),"")</f>
        <v/>
      </c>
      <c r="W2929" s="44">
        <f>IF(AND(B2929=Queue!$C$4,OR(Queue!$K$4="*",N2929=Queue!$K$4)),Q2929,"")</f>
        <v/>
      </c>
    </row>
    <row r="2930">
      <c r="A2930" s="35">
        <f>IF(M2930="","",HYPERLINK("https://www.youtube.com/watch?v="&amp;M2930,"▶"))</f>
        <v/>
      </c>
      <c r="B2930" s="36">
        <f>IF(C2930&lt;&gt;"",C2930,IF(P2930&lt;=IFERROR(INDEX(tblChannels[Watched Through],MATCH(N2930,tblChannels[Channel ID],0)),0),"Watched","Unwatched"))</f>
        <v/>
      </c>
      <c r="C2930" s="37" t="n"/>
      <c r="D2930" s="38" t="n"/>
      <c r="E2930" s="39" t="n">
        <v>41702.92222222222</v>
      </c>
      <c r="F2930" s="47" t="inlineStr">
        <is>
          <t>Super Carlin Brothers</t>
        </is>
      </c>
      <c r="G2930" t="inlineStr">
        <is>
          <t>Thoughts from Places: Snowshoe</t>
        </is>
      </c>
      <c r="H2930" s="41" t="n">
        <v>0.002453703703703704</v>
      </c>
      <c r="I2930" s="42" t="n">
        <v>7813</v>
      </c>
      <c r="J2930" s="42" t="n">
        <v>188</v>
      </c>
      <c r="K2930" s="42" t="n">
        <v>44</v>
      </c>
      <c r="L2930" s="43" t="n"/>
      <c r="M2930" s="44" t="n"/>
      <c r="N2930" s="44" t="inlineStr">
        <is>
          <t>UCKZo4N0lVPccBkSiuyVh4yg</t>
        </is>
      </c>
      <c r="O2930" s="45" t="n">
        <v>41703.13055555556</v>
      </c>
      <c r="P2930" s="46" t="n">
        <v>41702</v>
      </c>
      <c r="Q2930" s="44" t="n">
        <v>342</v>
      </c>
      <c r="R2930" s="44" t="inlineStr">
        <is>
          <t>No Video ID yet</t>
        </is>
      </c>
      <c r="S2930" s="46" t="n"/>
      <c r="T2930" s="46" t="n"/>
      <c r="U2930" s="44" t="n"/>
      <c r="V2930" s="44">
        <f>IF(AND(P2930&gt;=Calendar!$K$2,P2930&lt;EDATE(Calendar!$K$2,1),OR(Calendar!$K$4="*",N2930=Calendar!$K$4)),P2930*100+COUNTIFS($P$6:$P$3271,P2930,$Q$6:$Q$3271,"&lt;="&amp;Q2930,$N$6:$N$3271,Calendar!$K$4),"")</f>
        <v/>
      </c>
      <c r="W2930" s="44">
        <f>IF(AND(B2930=Queue!$C$4,OR(Queue!$K$4="*",N2930=Queue!$K$4)),Q2930,"")</f>
        <v/>
      </c>
    </row>
    <row r="2931">
      <c r="A2931" s="35">
        <f>IF(M2931="","",HYPERLINK("https://www.youtube.com/watch?v="&amp;M2931,"▶"))</f>
        <v/>
      </c>
      <c r="B2931" s="36">
        <f>IF(C2931&lt;&gt;"",C2931,IF(P2931&lt;=IFERROR(INDEX(tblChannels[Watched Through],MATCH(N2931,tblChannels[Channel ID],0)),0),"Watched","Unwatched"))</f>
        <v/>
      </c>
      <c r="C2931" s="37" t="n"/>
      <c r="D2931" s="38" t="n"/>
      <c r="E2931" s="39" t="n">
        <v>41697.92291666667</v>
      </c>
      <c r="F2931" s="47" t="inlineStr">
        <is>
          <t>Super Carlin Brothers</t>
        </is>
      </c>
      <c r="G2931" t="inlineStr">
        <is>
          <t>Little Luxuries</t>
        </is>
      </c>
      <c r="H2931" s="41" t="n">
        <v>0.0008564814814814815</v>
      </c>
      <c r="I2931" s="42" t="n">
        <v>8711</v>
      </c>
      <c r="J2931" s="42" t="n">
        <v>181</v>
      </c>
      <c r="K2931" s="42" t="n">
        <v>23</v>
      </c>
      <c r="L2931" s="43" t="n"/>
      <c r="M2931" s="44" t="n"/>
      <c r="N2931" s="44" t="inlineStr">
        <is>
          <t>UCKZo4N0lVPccBkSiuyVh4yg</t>
        </is>
      </c>
      <c r="O2931" s="45" t="n">
        <v>41698.13125</v>
      </c>
      <c r="P2931" s="46" t="n">
        <v>41697</v>
      </c>
      <c r="Q2931" s="44" t="n">
        <v>341</v>
      </c>
      <c r="R2931" s="44" t="inlineStr">
        <is>
          <t>No Video ID yet</t>
        </is>
      </c>
      <c r="S2931" s="46" t="n"/>
      <c r="T2931" s="46" t="n"/>
      <c r="U2931" s="44" t="n"/>
      <c r="V2931" s="44">
        <f>IF(AND(P2931&gt;=Calendar!$K$2,P2931&lt;EDATE(Calendar!$K$2,1),OR(Calendar!$K$4="*",N2931=Calendar!$K$4)),P2931*100+COUNTIFS($P$6:$P$3271,P2931,$Q$6:$Q$3271,"&lt;="&amp;Q2931,$N$6:$N$3271,Calendar!$K$4),"")</f>
        <v/>
      </c>
      <c r="W2931" s="44">
        <f>IF(AND(B2931=Queue!$C$4,OR(Queue!$K$4="*",N2931=Queue!$K$4)),Q2931,"")</f>
        <v/>
      </c>
    </row>
    <row r="2932">
      <c r="A2932" s="35">
        <f>IF(M2932="","",HYPERLINK("https://www.youtube.com/watch?v="&amp;M2932,"▶"))</f>
        <v/>
      </c>
      <c r="B2932" s="36">
        <f>IF(C2932&lt;&gt;"",C2932,IF(P2932&lt;=IFERROR(INDEX(tblChannels[Watched Through],MATCH(N2932,tblChannels[Channel ID],0)),0),"Watched","Unwatched"))</f>
        <v/>
      </c>
      <c r="C2932" s="37" t="n"/>
      <c r="D2932" s="38" t="n"/>
      <c r="E2932" s="39" t="n">
        <v>41696.01111111111</v>
      </c>
      <c r="F2932" s="47" t="inlineStr">
        <is>
          <t>Super Carlin Brothers</t>
        </is>
      </c>
      <c r="G2932" t="inlineStr">
        <is>
          <t>The Pixar Theory - Andy's Mom</t>
        </is>
      </c>
      <c r="H2932" s="41" t="n">
        <v>0.004340277777777778</v>
      </c>
      <c r="I2932" s="42" t="n">
        <v>2778276</v>
      </c>
      <c r="J2932" s="42" t="n">
        <v>34633</v>
      </c>
      <c r="K2932" s="42" t="n">
        <v>4272</v>
      </c>
      <c r="L2932" s="43" t="n"/>
      <c r="M2932" s="44" t="n"/>
      <c r="N2932" s="44" t="inlineStr">
        <is>
          <t>UCKZo4N0lVPccBkSiuyVh4yg</t>
        </is>
      </c>
      <c r="O2932" s="45" t="n">
        <v>41696.21944444445</v>
      </c>
      <c r="P2932" s="46" t="n">
        <v>41696</v>
      </c>
      <c r="Q2932" s="44" t="n">
        <v>340</v>
      </c>
      <c r="R2932" s="44" t="inlineStr">
        <is>
          <t>No Video ID yet</t>
        </is>
      </c>
      <c r="S2932" s="46" t="n"/>
      <c r="T2932" s="46" t="n"/>
      <c r="U2932" s="44" t="n"/>
      <c r="V2932" s="44">
        <f>IF(AND(P2932&gt;=Calendar!$K$2,P2932&lt;EDATE(Calendar!$K$2,1),OR(Calendar!$K$4="*",N2932=Calendar!$K$4)),P2932*100+COUNTIFS($P$6:$P$3271,P2932,$Q$6:$Q$3271,"&lt;="&amp;Q2932,$N$6:$N$3271,Calendar!$K$4),"")</f>
        <v/>
      </c>
      <c r="W2932" s="44">
        <f>IF(AND(B2932=Queue!$C$4,OR(Queue!$K$4="*",N2932=Queue!$K$4)),Q2932,"")</f>
        <v/>
      </c>
    </row>
    <row r="2933">
      <c r="A2933" s="35">
        <f>IF(M2933="","",HYPERLINK("https://www.youtube.com/watch?v="&amp;M2933,"▶"))</f>
        <v/>
      </c>
      <c r="B2933" s="36">
        <f>IF(C2933&lt;&gt;"",C2933,IF(P2933&lt;=IFERROR(INDEX(tblChannels[Watched Through],MATCH(N2933,tblChannels[Channel ID],0)),0),"Watched","Unwatched"))</f>
        <v/>
      </c>
      <c r="C2933" s="37" t="n"/>
      <c r="D2933" s="38" t="n"/>
      <c r="E2933" s="39" t="n">
        <v>41690.85486111111</v>
      </c>
      <c r="F2933" s="47" t="inlineStr">
        <is>
          <t>Super Carlin Brothers</t>
        </is>
      </c>
      <c r="G2933" t="inlineStr">
        <is>
          <t>Nostalgia</t>
        </is>
      </c>
      <c r="H2933" s="41" t="n">
        <v>0.00224537037037037</v>
      </c>
      <c r="I2933" s="42" t="n">
        <v>9812</v>
      </c>
      <c r="J2933" s="42" t="n">
        <v>235</v>
      </c>
      <c r="K2933" s="42" t="n">
        <v>52</v>
      </c>
      <c r="L2933" s="43" t="n"/>
      <c r="M2933" s="44" t="n"/>
      <c r="N2933" s="44" t="inlineStr">
        <is>
          <t>UCKZo4N0lVPccBkSiuyVh4yg</t>
        </is>
      </c>
      <c r="O2933" s="45" t="n">
        <v>41691.06319444445</v>
      </c>
      <c r="P2933" s="46" t="n">
        <v>41690</v>
      </c>
      <c r="Q2933" s="44" t="n">
        <v>339</v>
      </c>
      <c r="R2933" s="44" t="inlineStr">
        <is>
          <t>No Video ID yet</t>
        </is>
      </c>
      <c r="S2933" s="46" t="n"/>
      <c r="T2933" s="46" t="n"/>
      <c r="U2933" s="44" t="n"/>
      <c r="V2933" s="44">
        <f>IF(AND(P2933&gt;=Calendar!$K$2,P2933&lt;EDATE(Calendar!$K$2,1),OR(Calendar!$K$4="*",N2933=Calendar!$K$4)),P2933*100+COUNTIFS($P$6:$P$3271,P2933,$Q$6:$Q$3271,"&lt;="&amp;Q2933,$N$6:$N$3271,Calendar!$K$4),"")</f>
        <v/>
      </c>
      <c r="W2933" s="44">
        <f>IF(AND(B2933=Queue!$C$4,OR(Queue!$K$4="*",N2933=Queue!$K$4)),Q2933,"")</f>
        <v/>
      </c>
    </row>
    <row r="2934">
      <c r="A2934" s="35">
        <f>IF(M2934="","",HYPERLINK("https://www.youtube.com/watch?v="&amp;M2934,"▶"))</f>
        <v/>
      </c>
      <c r="B2934" s="36">
        <f>IF(C2934&lt;&gt;"",C2934,IF(P2934&lt;=IFERROR(INDEX(tblChannels[Watched Through],MATCH(N2934,tblChannels[Channel ID],0)),0),"Watched","Unwatched"))</f>
        <v/>
      </c>
      <c r="C2934" s="37" t="n"/>
      <c r="D2934" s="38" t="n"/>
      <c r="E2934" s="39" t="n">
        <v>41688.93402777778</v>
      </c>
      <c r="F2934" s="47" t="inlineStr">
        <is>
          <t>Super Carlin Brothers</t>
        </is>
      </c>
      <c r="G2934" t="inlineStr">
        <is>
          <t>EAT THE FROG!</t>
        </is>
      </c>
      <c r="H2934" s="41" t="n">
        <v>0.002407407407407408</v>
      </c>
      <c r="I2934" s="42" t="n">
        <v>26613</v>
      </c>
      <c r="J2934" s="42" t="n">
        <v>551</v>
      </c>
      <c r="K2934" s="42" t="n">
        <v>103</v>
      </c>
      <c r="L2934" s="43" t="n"/>
      <c r="M2934" s="44" t="n"/>
      <c r="N2934" s="44" t="inlineStr">
        <is>
          <t>UCKZo4N0lVPccBkSiuyVh4yg</t>
        </is>
      </c>
      <c r="O2934" s="45" t="n">
        <v>41689.14236111111</v>
      </c>
      <c r="P2934" s="46" t="n">
        <v>41688</v>
      </c>
      <c r="Q2934" s="44" t="n">
        <v>338</v>
      </c>
      <c r="R2934" s="44" t="inlineStr">
        <is>
          <t>No Video ID yet</t>
        </is>
      </c>
      <c r="S2934" s="46" t="n"/>
      <c r="T2934" s="46" t="n"/>
      <c r="U2934" s="44" t="n"/>
      <c r="V2934" s="44">
        <f>IF(AND(P2934&gt;=Calendar!$K$2,P2934&lt;EDATE(Calendar!$K$2,1),OR(Calendar!$K$4="*",N2934=Calendar!$K$4)),P2934*100+COUNTIFS($P$6:$P$3271,P2934,$Q$6:$Q$3271,"&lt;="&amp;Q2934,$N$6:$N$3271,Calendar!$K$4),"")</f>
        <v/>
      </c>
      <c r="W2934" s="44">
        <f>IF(AND(B2934=Queue!$C$4,OR(Queue!$K$4="*",N2934=Queue!$K$4)),Q2934,"")</f>
        <v/>
      </c>
    </row>
    <row r="2935">
      <c r="A2935" s="35">
        <f>IF(M2935="","",HYPERLINK("https://www.youtube.com/watch?v="&amp;M2935,"▶"))</f>
        <v/>
      </c>
      <c r="B2935" s="36">
        <f>IF(C2935&lt;&gt;"",C2935,IF(P2935&lt;=IFERROR(INDEX(tblChannels[Watched Through],MATCH(N2935,tblChannels[Channel ID],0)),0),"Watched","Unwatched"))</f>
        <v/>
      </c>
      <c r="C2935" s="37" t="n"/>
      <c r="D2935" s="38" t="n"/>
      <c r="E2935" s="39" t="n">
        <v>41683.70902777778</v>
      </c>
      <c r="F2935" s="47" t="inlineStr">
        <is>
          <t>Super Carlin Brothers</t>
        </is>
      </c>
      <c r="G2935" t="inlineStr">
        <is>
          <t>Acclimation</t>
        </is>
      </c>
      <c r="H2935" s="41" t="n">
        <v>0.002581018518518519</v>
      </c>
      <c r="I2935" s="42" t="n">
        <v>12727</v>
      </c>
      <c r="J2935" s="42" t="n">
        <v>310</v>
      </c>
      <c r="K2935" s="42" t="n">
        <v>48</v>
      </c>
      <c r="L2935" s="43" t="n"/>
      <c r="M2935" s="44" t="n"/>
      <c r="N2935" s="44" t="inlineStr">
        <is>
          <t>UCKZo4N0lVPccBkSiuyVh4yg</t>
        </is>
      </c>
      <c r="O2935" s="45" t="n">
        <v>41683.91736111111</v>
      </c>
      <c r="P2935" s="46" t="n">
        <v>41683</v>
      </c>
      <c r="Q2935" s="44" t="n">
        <v>337</v>
      </c>
      <c r="R2935" s="44" t="inlineStr">
        <is>
          <t>No Video ID yet</t>
        </is>
      </c>
      <c r="S2935" s="46" t="n"/>
      <c r="T2935" s="46" t="n"/>
      <c r="U2935" s="44" t="n"/>
      <c r="V2935" s="44">
        <f>IF(AND(P2935&gt;=Calendar!$K$2,P2935&lt;EDATE(Calendar!$K$2,1),OR(Calendar!$K$4="*",N2935=Calendar!$K$4)),P2935*100+COUNTIFS($P$6:$P$3271,P2935,$Q$6:$Q$3271,"&lt;="&amp;Q2935,$N$6:$N$3271,Calendar!$K$4),"")</f>
        <v/>
      </c>
      <c r="W2935" s="44">
        <f>IF(AND(B2935=Queue!$C$4,OR(Queue!$K$4="*",N2935=Queue!$K$4)),Q2935,"")</f>
        <v/>
      </c>
    </row>
    <row r="2936">
      <c r="A2936" s="35">
        <f>IF(M2936="","",HYPERLINK("https://www.youtube.com/watch?v="&amp;M2936,"▶"))</f>
        <v/>
      </c>
      <c r="B2936" s="36">
        <f>IF(C2936&lt;&gt;"",C2936,IF(P2936&lt;=IFERROR(INDEX(tblChannels[Watched Through],MATCH(N2936,tblChannels[Channel ID],0)),0),"Watched","Unwatched"))</f>
        <v/>
      </c>
      <c r="C2936" s="37" t="n"/>
      <c r="D2936" s="38" t="n"/>
      <c r="E2936" s="39" t="n">
        <v>41681.93541666667</v>
      </c>
      <c r="F2936" s="47" t="inlineStr">
        <is>
          <t>Super Carlin Brothers</t>
        </is>
      </c>
      <c r="G2936" t="inlineStr">
        <is>
          <t>Comfort Food</t>
        </is>
      </c>
      <c r="H2936" s="41" t="n">
        <v>0.002430555555555556</v>
      </c>
      <c r="I2936" s="42" t="n">
        <v>31148</v>
      </c>
      <c r="J2936" s="42" t="n">
        <v>665</v>
      </c>
      <c r="K2936" s="42" t="n">
        <v>153</v>
      </c>
      <c r="L2936" s="43" t="n"/>
      <c r="M2936" s="44" t="n"/>
      <c r="N2936" s="44" t="inlineStr">
        <is>
          <t>UCKZo4N0lVPccBkSiuyVh4yg</t>
        </is>
      </c>
      <c r="O2936" s="45" t="n">
        <v>41682.14375</v>
      </c>
      <c r="P2936" s="46" t="n">
        <v>41681</v>
      </c>
      <c r="Q2936" s="44" t="n">
        <v>336</v>
      </c>
      <c r="R2936" s="44" t="inlineStr">
        <is>
          <t>No Video ID yet</t>
        </is>
      </c>
      <c r="S2936" s="46" t="n"/>
      <c r="T2936" s="46" t="n"/>
      <c r="U2936" s="44" t="n"/>
      <c r="V2936" s="44">
        <f>IF(AND(P2936&gt;=Calendar!$K$2,P2936&lt;EDATE(Calendar!$K$2,1),OR(Calendar!$K$4="*",N2936=Calendar!$K$4)),P2936*100+COUNTIFS($P$6:$P$3271,P2936,$Q$6:$Q$3271,"&lt;="&amp;Q2936,$N$6:$N$3271,Calendar!$K$4),"")</f>
        <v/>
      </c>
      <c r="W2936" s="44">
        <f>IF(AND(B2936=Queue!$C$4,OR(Queue!$K$4="*",N2936=Queue!$K$4)),Q2936,"")</f>
        <v/>
      </c>
    </row>
    <row r="2937">
      <c r="A2937" s="35">
        <f>IF(M2937="","",HYPERLINK("https://www.youtube.com/watch?v="&amp;M2937,"▶"))</f>
        <v/>
      </c>
      <c r="B2937" s="36">
        <f>IF(C2937&lt;&gt;"",C2937,IF(P2937&lt;=IFERROR(INDEX(tblChannels[Watched Through],MATCH(N2937,tblChannels[Channel ID],0)),0),"Watched","Unwatched"))</f>
        <v/>
      </c>
      <c r="C2937" s="37" t="n"/>
      <c r="D2937" s="38" t="n"/>
      <c r="E2937" s="39" t="n">
        <v>41676.86180555556</v>
      </c>
      <c r="F2937" s="47" t="inlineStr">
        <is>
          <t>Super Carlin Brothers</t>
        </is>
      </c>
      <c r="G2937" t="inlineStr">
        <is>
          <t>Becoming Iconic</t>
        </is>
      </c>
      <c r="H2937" s="41" t="n">
        <v>0.002476851851851852</v>
      </c>
      <c r="I2937" s="42" t="n">
        <v>8467</v>
      </c>
      <c r="J2937" s="42" t="n">
        <v>189</v>
      </c>
      <c r="K2937" s="42" t="n">
        <v>39</v>
      </c>
      <c r="L2937" s="43" t="n"/>
      <c r="M2937" s="44" t="n"/>
      <c r="N2937" s="44" t="inlineStr">
        <is>
          <t>UCKZo4N0lVPccBkSiuyVh4yg</t>
        </is>
      </c>
      <c r="O2937" s="45" t="n">
        <v>41677.07013888889</v>
      </c>
      <c r="P2937" s="46" t="n">
        <v>41676</v>
      </c>
      <c r="Q2937" s="44" t="n">
        <v>335</v>
      </c>
      <c r="R2937" s="44" t="inlineStr">
        <is>
          <t>No Video ID yet</t>
        </is>
      </c>
      <c r="S2937" s="46" t="n"/>
      <c r="T2937" s="46" t="n"/>
      <c r="U2937" s="44" t="n"/>
      <c r="V2937" s="44">
        <f>IF(AND(P2937&gt;=Calendar!$K$2,P2937&lt;EDATE(Calendar!$K$2,1),OR(Calendar!$K$4="*",N2937=Calendar!$K$4)),P2937*100+COUNTIFS($P$6:$P$3271,P2937,$Q$6:$Q$3271,"&lt;="&amp;Q2937,$N$6:$N$3271,Calendar!$K$4),"")</f>
        <v/>
      </c>
      <c r="W2937" s="44">
        <f>IF(AND(B2937=Queue!$C$4,OR(Queue!$K$4="*",N2937=Queue!$K$4)),Q2937,"")</f>
        <v/>
      </c>
    </row>
    <row r="2938">
      <c r="A2938" s="35">
        <f>IF(M2938="","",HYPERLINK("https://www.youtube.com/watch?v="&amp;M2938,"▶"))</f>
        <v/>
      </c>
      <c r="B2938" s="36">
        <f>IF(C2938&lt;&gt;"",C2938,IF(P2938&lt;=IFERROR(INDEX(tblChannels[Watched Through],MATCH(N2938,tblChannels[Channel ID],0)),0),"Watched","Unwatched"))</f>
        <v/>
      </c>
      <c r="C2938" s="37" t="n"/>
      <c r="D2938" s="38" t="n"/>
      <c r="E2938" s="39" t="n">
        <v>41674.97152777778</v>
      </c>
      <c r="F2938" s="47" t="inlineStr">
        <is>
          <t>Super Carlin Brothers</t>
        </is>
      </c>
      <c r="G2938" t="inlineStr">
        <is>
          <t>9,497 Days Old!!</t>
        </is>
      </c>
      <c r="H2938" s="41" t="n">
        <v>0.002881944444444444</v>
      </c>
      <c r="I2938" s="42" t="n">
        <v>55384</v>
      </c>
      <c r="J2938" s="42" t="n">
        <v>1113</v>
      </c>
      <c r="K2938" s="42" t="n">
        <v>273</v>
      </c>
      <c r="L2938" s="43" t="n"/>
      <c r="M2938" s="44" t="n"/>
      <c r="N2938" s="44" t="inlineStr">
        <is>
          <t>UCKZo4N0lVPccBkSiuyVh4yg</t>
        </is>
      </c>
      <c r="O2938" s="45" t="n">
        <v>41675.17986111111</v>
      </c>
      <c r="P2938" s="46" t="n">
        <v>41674</v>
      </c>
      <c r="Q2938" s="44" t="n">
        <v>334</v>
      </c>
      <c r="R2938" s="44" t="inlineStr">
        <is>
          <t>No Video ID yet</t>
        </is>
      </c>
      <c r="S2938" s="46" t="n"/>
      <c r="T2938" s="46" t="n"/>
      <c r="U2938" s="44" t="n"/>
      <c r="V2938" s="44">
        <f>IF(AND(P2938&gt;=Calendar!$K$2,P2938&lt;EDATE(Calendar!$K$2,1),OR(Calendar!$K$4="*",N2938=Calendar!$K$4)),P2938*100+COUNTIFS($P$6:$P$3271,P2938,$Q$6:$Q$3271,"&lt;="&amp;Q2938,$N$6:$N$3271,Calendar!$K$4),"")</f>
        <v/>
      </c>
      <c r="W2938" s="44">
        <f>IF(AND(B2938=Queue!$C$4,OR(Queue!$K$4="*",N2938=Queue!$K$4)),Q2938,"")</f>
        <v/>
      </c>
    </row>
    <row r="2939">
      <c r="A2939" s="35">
        <f>IF(M2939="","",HYPERLINK("https://www.youtube.com/watch?v="&amp;M2939,"▶"))</f>
        <v/>
      </c>
      <c r="B2939" s="36">
        <f>IF(C2939&lt;&gt;"",C2939,IF(P2939&lt;=IFERROR(INDEX(tblChannels[Watched Through],MATCH(N2939,tblChannels[Channel ID],0)),0),"Watched","Unwatched"))</f>
        <v/>
      </c>
      <c r="C2939" s="37" t="n"/>
      <c r="D2939" s="38" t="n"/>
      <c r="E2939" s="39" t="n">
        <v>41669.96458333333</v>
      </c>
      <c r="F2939" s="47" t="inlineStr">
        <is>
          <t>Super Carlin Brothers</t>
        </is>
      </c>
      <c r="G2939" t="inlineStr">
        <is>
          <t>What is your Vision</t>
        </is>
      </c>
      <c r="H2939" s="41" t="n">
        <v>0.003090277777777778</v>
      </c>
      <c r="I2939" s="42" t="n">
        <v>14129</v>
      </c>
      <c r="J2939" s="42" t="n">
        <v>223</v>
      </c>
      <c r="K2939" s="42" t="n">
        <v>37</v>
      </c>
      <c r="L2939" s="43" t="n"/>
      <c r="M2939" s="44" t="n"/>
      <c r="N2939" s="44" t="inlineStr">
        <is>
          <t>UCKZo4N0lVPccBkSiuyVh4yg</t>
        </is>
      </c>
      <c r="O2939" s="45" t="n">
        <v>41670.17291666667</v>
      </c>
      <c r="P2939" s="46" t="n">
        <v>41669</v>
      </c>
      <c r="Q2939" s="44" t="n">
        <v>333</v>
      </c>
      <c r="R2939" s="44" t="inlineStr">
        <is>
          <t>No Video ID yet</t>
        </is>
      </c>
      <c r="S2939" s="46" t="n"/>
      <c r="T2939" s="46" t="n"/>
      <c r="U2939" s="44" t="n"/>
      <c r="V2939" s="44">
        <f>IF(AND(P2939&gt;=Calendar!$K$2,P2939&lt;EDATE(Calendar!$K$2,1),OR(Calendar!$K$4="*",N2939=Calendar!$K$4)),P2939*100+COUNTIFS($P$6:$P$3271,P2939,$Q$6:$Q$3271,"&lt;="&amp;Q2939,$N$6:$N$3271,Calendar!$K$4),"")</f>
        <v/>
      </c>
      <c r="W2939" s="44">
        <f>IF(AND(B2939=Queue!$C$4,OR(Queue!$K$4="*",N2939=Queue!$K$4)),Q2939,"")</f>
        <v/>
      </c>
    </row>
    <row r="2940">
      <c r="A2940" s="35">
        <f>IF(M2940="","",HYPERLINK("https://www.youtube.com/watch?v="&amp;M2940,"▶"))</f>
        <v/>
      </c>
      <c r="B2940" s="36">
        <f>IF(C2940&lt;&gt;"",C2940,IF(P2940&lt;=IFERROR(INDEX(tblChannels[Watched Through],MATCH(N2940,tblChannels[Channel ID],0)),0),"Watched","Unwatched"))</f>
        <v/>
      </c>
      <c r="C2940" s="37" t="n"/>
      <c r="D2940" s="38" t="n"/>
      <c r="E2940" s="39" t="n">
        <v>41668.02708333333</v>
      </c>
      <c r="F2940" s="47" t="inlineStr">
        <is>
          <t>Super Carlin Brothers</t>
        </is>
      </c>
      <c r="G2940" t="inlineStr">
        <is>
          <t>The Pixar Theory FAQs</t>
        </is>
      </c>
      <c r="H2940" s="41" t="n">
        <v>0.006724537037037037</v>
      </c>
      <c r="I2940" s="42" t="n">
        <v>1049255</v>
      </c>
      <c r="J2940" s="42" t="n">
        <v>13106</v>
      </c>
      <c r="K2940" s="42" t="n">
        <v>2096</v>
      </c>
      <c r="L2940" s="43" t="n"/>
      <c r="M2940" s="44" t="n"/>
      <c r="N2940" s="44" t="inlineStr">
        <is>
          <t>UCKZo4N0lVPccBkSiuyVh4yg</t>
        </is>
      </c>
      <c r="O2940" s="45" t="n">
        <v>41668.23541666667</v>
      </c>
      <c r="P2940" s="46" t="n">
        <v>41668</v>
      </c>
      <c r="Q2940" s="44" t="n">
        <v>332</v>
      </c>
      <c r="R2940" s="44" t="inlineStr">
        <is>
          <t>No Video ID yet</t>
        </is>
      </c>
      <c r="S2940" s="46" t="n"/>
      <c r="T2940" s="46" t="n"/>
      <c r="U2940" s="44" t="n"/>
      <c r="V2940" s="44">
        <f>IF(AND(P2940&gt;=Calendar!$K$2,P2940&lt;EDATE(Calendar!$K$2,1),OR(Calendar!$K$4="*",N2940=Calendar!$K$4)),P2940*100+COUNTIFS($P$6:$P$3271,P2940,$Q$6:$Q$3271,"&lt;="&amp;Q2940,$N$6:$N$3271,Calendar!$K$4),"")</f>
        <v/>
      </c>
      <c r="W2940" s="44">
        <f>IF(AND(B2940=Queue!$C$4,OR(Queue!$K$4="*",N2940=Queue!$K$4)),Q2940,"")</f>
        <v/>
      </c>
    </row>
    <row r="2941">
      <c r="A2941" s="35">
        <f>IF(M2941="","",HYPERLINK("https://www.youtube.com/watch?v="&amp;M2941,"▶"))</f>
        <v/>
      </c>
      <c r="B2941" s="36">
        <f>IF(C2941&lt;&gt;"",C2941,IF(P2941&lt;=IFERROR(INDEX(tblChannels[Watched Through],MATCH(N2941,tblChannels[Channel ID],0)),0),"Watched","Unwatched"))</f>
        <v/>
      </c>
      <c r="C2941" s="37" t="n"/>
      <c r="D2941" s="38" t="n"/>
      <c r="E2941" s="39" t="n">
        <v>41662.93888888889</v>
      </c>
      <c r="F2941" s="47" t="inlineStr">
        <is>
          <t>Super Carlin Brothers</t>
        </is>
      </c>
      <c r="G2941" t="inlineStr">
        <is>
          <t>Are We... Smart?</t>
        </is>
      </c>
      <c r="H2941" s="41" t="n">
        <v>0.003090277777777778</v>
      </c>
      <c r="I2941" s="42" t="n">
        <v>21118</v>
      </c>
      <c r="J2941" s="42" t="n">
        <v>413</v>
      </c>
      <c r="K2941" s="42" t="n">
        <v>114</v>
      </c>
      <c r="L2941" s="43" t="n"/>
      <c r="M2941" s="44" t="n"/>
      <c r="N2941" s="44" t="inlineStr">
        <is>
          <t>UCKZo4N0lVPccBkSiuyVh4yg</t>
        </is>
      </c>
      <c r="O2941" s="45" t="n">
        <v>41663.14722222222</v>
      </c>
      <c r="P2941" s="46" t="n">
        <v>41662</v>
      </c>
      <c r="Q2941" s="44" t="n">
        <v>331</v>
      </c>
      <c r="R2941" s="44" t="inlineStr">
        <is>
          <t>No Video ID yet</t>
        </is>
      </c>
      <c r="S2941" s="46" t="n"/>
      <c r="T2941" s="46" t="n"/>
      <c r="U2941" s="44" t="n"/>
      <c r="V2941" s="44">
        <f>IF(AND(P2941&gt;=Calendar!$K$2,P2941&lt;EDATE(Calendar!$K$2,1),OR(Calendar!$K$4="*",N2941=Calendar!$K$4)),P2941*100+COUNTIFS($P$6:$P$3271,P2941,$Q$6:$Q$3271,"&lt;="&amp;Q2941,$N$6:$N$3271,Calendar!$K$4),"")</f>
        <v/>
      </c>
      <c r="W2941" s="44">
        <f>IF(AND(B2941=Queue!$C$4,OR(Queue!$K$4="*",N2941=Queue!$K$4)),Q2941,"")</f>
        <v/>
      </c>
    </row>
    <row r="2942">
      <c r="A2942" s="35">
        <f>IF(M2942="","",HYPERLINK("https://www.youtube.com/watch?v="&amp;M2942,"▶"))</f>
        <v/>
      </c>
      <c r="B2942" s="36">
        <f>IF(C2942&lt;&gt;"",C2942,IF(P2942&lt;=IFERROR(INDEX(tblChannels[Watched Through],MATCH(N2942,tblChannels[Channel ID],0)),0),"Watched","Unwatched"))</f>
        <v/>
      </c>
      <c r="C2942" s="37" t="n"/>
      <c r="D2942" s="38" t="n"/>
      <c r="E2942" s="39" t="n">
        <v>41661.00347222222</v>
      </c>
      <c r="F2942" s="47" t="inlineStr">
        <is>
          <t>Super Carlin Brothers</t>
        </is>
      </c>
      <c r="G2942" t="inlineStr">
        <is>
          <t>World's Greatest Vlogger!!</t>
        </is>
      </c>
      <c r="H2942" s="41" t="n">
        <v>0.003472222222222222</v>
      </c>
      <c r="I2942" s="42" t="n">
        <v>17607</v>
      </c>
      <c r="J2942" s="42" t="n">
        <v>388</v>
      </c>
      <c r="K2942" s="42" t="n">
        <v>109</v>
      </c>
      <c r="L2942" s="43" t="n"/>
      <c r="M2942" s="44" t="n"/>
      <c r="N2942" s="44" t="inlineStr">
        <is>
          <t>UCKZo4N0lVPccBkSiuyVh4yg</t>
        </is>
      </c>
      <c r="O2942" s="45" t="n">
        <v>41661.21180555555</v>
      </c>
      <c r="P2942" s="46" t="n">
        <v>41661</v>
      </c>
      <c r="Q2942" s="44" t="n">
        <v>330</v>
      </c>
      <c r="R2942" s="44" t="inlineStr">
        <is>
          <t>No Video ID yet</t>
        </is>
      </c>
      <c r="S2942" s="46" t="n"/>
      <c r="T2942" s="46" t="n"/>
      <c r="U2942" s="44" t="n"/>
      <c r="V2942" s="44">
        <f>IF(AND(P2942&gt;=Calendar!$K$2,P2942&lt;EDATE(Calendar!$K$2,1),OR(Calendar!$K$4="*",N2942=Calendar!$K$4)),P2942*100+COUNTIFS($P$6:$P$3271,P2942,$Q$6:$Q$3271,"&lt;="&amp;Q2942,$N$6:$N$3271,Calendar!$K$4),"")</f>
        <v/>
      </c>
      <c r="W2942" s="44">
        <f>IF(AND(B2942=Queue!$C$4,OR(Queue!$K$4="*",N2942=Queue!$K$4)),Q2942,"")</f>
        <v/>
      </c>
    </row>
    <row r="2943">
      <c r="A2943" s="35">
        <f>IF(M2943="","",HYPERLINK("https://www.youtube.com/watch?v="&amp;M2943,"▶"))</f>
        <v/>
      </c>
      <c r="B2943" s="36">
        <f>IF(C2943&lt;&gt;"",C2943,IF(P2943&lt;=IFERROR(INDEX(tblChannels[Watched Through],MATCH(N2943,tblChannels[Channel ID],0)),0),"Watched","Unwatched"))</f>
        <v/>
      </c>
      <c r="C2943" s="37" t="n"/>
      <c r="D2943" s="38" t="n"/>
      <c r="E2943" s="39" t="n">
        <v>41655.94444444445</v>
      </c>
      <c r="F2943" s="47" t="inlineStr">
        <is>
          <t>Super Carlin Brothers</t>
        </is>
      </c>
      <c r="G2943" t="inlineStr">
        <is>
          <t>Thoughts... with Ben</t>
        </is>
      </c>
      <c r="H2943" s="41" t="n">
        <v>0.003391203703703704</v>
      </c>
      <c r="I2943" s="42" t="n">
        <v>9996</v>
      </c>
      <c r="J2943" s="42" t="n">
        <v>260</v>
      </c>
      <c r="K2943" s="42" t="n">
        <v>39</v>
      </c>
      <c r="L2943" s="43" t="n"/>
      <c r="M2943" s="44" t="n"/>
      <c r="N2943" s="44" t="inlineStr">
        <is>
          <t>UCKZo4N0lVPccBkSiuyVh4yg</t>
        </is>
      </c>
      <c r="O2943" s="45" t="n">
        <v>41656.15277777778</v>
      </c>
      <c r="P2943" s="46" t="n">
        <v>41655</v>
      </c>
      <c r="Q2943" s="44" t="n">
        <v>329</v>
      </c>
      <c r="R2943" s="44" t="inlineStr">
        <is>
          <t>No Video ID yet</t>
        </is>
      </c>
      <c r="S2943" s="46" t="n"/>
      <c r="T2943" s="46" t="n"/>
      <c r="U2943" s="44" t="n"/>
      <c r="V2943" s="44">
        <f>IF(AND(P2943&gt;=Calendar!$K$2,P2943&lt;EDATE(Calendar!$K$2,1),OR(Calendar!$K$4="*",N2943=Calendar!$K$4)),P2943*100+COUNTIFS($P$6:$P$3271,P2943,$Q$6:$Q$3271,"&lt;="&amp;Q2943,$N$6:$N$3271,Calendar!$K$4),"")</f>
        <v/>
      </c>
      <c r="W2943" s="44">
        <f>IF(AND(B2943=Queue!$C$4,OR(Queue!$K$4="*",N2943=Queue!$K$4)),Q2943,"")</f>
        <v/>
      </c>
    </row>
    <row r="2944">
      <c r="A2944" s="35">
        <f>IF(M2944="","",HYPERLINK("https://www.youtube.com/watch?v="&amp;M2944,"▶"))</f>
        <v/>
      </c>
      <c r="B2944" s="36">
        <f>IF(C2944&lt;&gt;"",C2944,IF(P2944&lt;=IFERROR(INDEX(tblChannels[Watched Through],MATCH(N2944,tblChannels[Channel ID],0)),0),"Watched","Unwatched"))</f>
        <v/>
      </c>
      <c r="C2944" s="37" t="n"/>
      <c r="D2944" s="38" t="n"/>
      <c r="E2944" s="39" t="n">
        <v>41655.70138888889</v>
      </c>
      <c r="F2944" s="49" t="inlineStr">
        <is>
          <t>Super Carlin Gaming</t>
        </is>
      </c>
      <c r="G2944" t="inlineStr">
        <is>
          <t>Pokemon FireRed Nuzlocke Challenge #11 - BURN!</t>
        </is>
      </c>
      <c r="H2944" s="41" t="n">
        <v>0.0121412037037037</v>
      </c>
      <c r="I2944" s="42" t="n">
        <v>30317</v>
      </c>
      <c r="J2944" s="42" t="n">
        <v>491</v>
      </c>
      <c r="K2944" s="42" t="n">
        <v>60</v>
      </c>
      <c r="L2944" s="43" t="n"/>
      <c r="M2944" s="44" t="n"/>
      <c r="N2944" s="44" t="inlineStr">
        <is>
          <t>UCor_9jRnNNZVzTuQ92PKsaQ</t>
        </is>
      </c>
      <c r="O2944" s="45" t="n">
        <v>41655.90972222222</v>
      </c>
      <c r="P2944" s="46" t="n">
        <v>41655</v>
      </c>
      <c r="Q2944" s="44" t="n">
        <v>328</v>
      </c>
      <c r="R2944" s="44" t="inlineStr">
        <is>
          <t>No Video ID yet</t>
        </is>
      </c>
      <c r="S2944" s="46" t="n"/>
      <c r="T2944" s="46" t="n"/>
      <c r="U2944" s="44" t="n"/>
      <c r="V2944" s="44">
        <f>IF(AND(P2944&gt;=Calendar!$K$2,P2944&lt;EDATE(Calendar!$K$2,1),OR(Calendar!$K$4="*",N2944=Calendar!$K$4)),P2944*100+COUNTIFS($P$6:$P$3271,P2944,$Q$6:$Q$3271,"&lt;="&amp;Q2944,$N$6:$N$3271,Calendar!$K$4),"")</f>
        <v/>
      </c>
      <c r="W2944" s="44">
        <f>IF(AND(B2944=Queue!$C$4,OR(Queue!$K$4="*",N2944=Queue!$K$4)),Q2944,"")</f>
        <v/>
      </c>
    </row>
    <row r="2945">
      <c r="A2945" s="35">
        <f>IF(M2945="","",HYPERLINK("https://www.youtube.com/watch?v="&amp;M2945,"▶"))</f>
        <v/>
      </c>
      <c r="B2945" s="36">
        <f>IF(C2945&lt;&gt;"",C2945,IF(P2945&lt;=IFERROR(INDEX(tblChannels[Watched Through],MATCH(N2945,tblChannels[Channel ID],0)),0),"Watched","Unwatched"))</f>
        <v/>
      </c>
      <c r="C2945" s="37" t="n"/>
      <c r="D2945" s="38" t="n"/>
      <c r="E2945" s="39" t="n">
        <v>41653.95</v>
      </c>
      <c r="F2945" s="47" t="inlineStr">
        <is>
          <t>Super Carlin Brothers</t>
        </is>
      </c>
      <c r="G2945" t="inlineStr">
        <is>
          <t>SINGING IN THE CAR! Beth's Top 25</t>
        </is>
      </c>
      <c r="H2945" s="41" t="n">
        <v>0.005358796296296296</v>
      </c>
      <c r="I2945" s="42" t="n">
        <v>53275</v>
      </c>
      <c r="J2945" s="42" t="n">
        <v>1347</v>
      </c>
      <c r="K2945" s="42" t="n">
        <v>249</v>
      </c>
      <c r="L2945" s="43" t="n"/>
      <c r="M2945" s="44" t="n"/>
      <c r="N2945" s="44" t="inlineStr">
        <is>
          <t>UCKZo4N0lVPccBkSiuyVh4yg</t>
        </is>
      </c>
      <c r="O2945" s="45" t="n">
        <v>41654.15833333333</v>
      </c>
      <c r="P2945" s="46" t="n">
        <v>41653</v>
      </c>
      <c r="Q2945" s="44" t="n">
        <v>327</v>
      </c>
      <c r="R2945" s="44" t="inlineStr">
        <is>
          <t>No Video ID yet</t>
        </is>
      </c>
      <c r="S2945" s="46" t="n"/>
      <c r="T2945" s="46" t="n"/>
      <c r="U2945" s="44" t="n"/>
      <c r="V2945" s="44">
        <f>IF(AND(P2945&gt;=Calendar!$K$2,P2945&lt;EDATE(Calendar!$K$2,1),OR(Calendar!$K$4="*",N2945=Calendar!$K$4)),P2945*100+COUNTIFS($P$6:$P$3271,P2945,$Q$6:$Q$3271,"&lt;="&amp;Q2945,$N$6:$N$3271,Calendar!$K$4),"")</f>
        <v/>
      </c>
      <c r="W2945" s="44">
        <f>IF(AND(B2945=Queue!$C$4,OR(Queue!$K$4="*",N2945=Queue!$K$4)),Q2945,"")</f>
        <v/>
      </c>
    </row>
    <row r="2946">
      <c r="A2946" s="35">
        <f>IF(M2946="","",HYPERLINK("https://www.youtube.com/watch?v="&amp;M2946,"▶"))</f>
        <v/>
      </c>
      <c r="B2946" s="36">
        <f>IF(C2946&lt;&gt;"",C2946,IF(P2946&lt;=IFERROR(INDEX(tblChannels[Watched Through],MATCH(N2946,tblChannels[Channel ID],0)),0),"Watched","Unwatched"))</f>
        <v/>
      </c>
      <c r="C2946" s="37" t="n"/>
      <c r="D2946" s="38" t="n"/>
      <c r="E2946" s="39" t="n">
        <v>41648.94166666667</v>
      </c>
      <c r="F2946" s="47" t="inlineStr">
        <is>
          <t>Super Carlin Brothers</t>
        </is>
      </c>
      <c r="G2946" t="inlineStr">
        <is>
          <t>Motivational Advice... With Ben</t>
        </is>
      </c>
      <c r="H2946" s="41" t="n">
        <v>0.002905092592592593</v>
      </c>
      <c r="I2946" s="42" t="n">
        <v>8639</v>
      </c>
      <c r="J2946" s="42" t="n">
        <v>195</v>
      </c>
      <c r="K2946" s="42" t="n">
        <v>38</v>
      </c>
      <c r="L2946" s="43" t="n"/>
      <c r="M2946" s="44" t="n"/>
      <c r="N2946" s="44" t="inlineStr">
        <is>
          <t>UCKZo4N0lVPccBkSiuyVh4yg</t>
        </is>
      </c>
      <c r="O2946" s="45" t="n">
        <v>41649.15</v>
      </c>
      <c r="P2946" s="46" t="n">
        <v>41648</v>
      </c>
      <c r="Q2946" s="44" t="n">
        <v>326</v>
      </c>
      <c r="R2946" s="44" t="inlineStr">
        <is>
          <t>No Video ID yet</t>
        </is>
      </c>
      <c r="S2946" s="46" t="n"/>
      <c r="T2946" s="46" t="n"/>
      <c r="U2946" s="44" t="n"/>
      <c r="V2946" s="44">
        <f>IF(AND(P2946&gt;=Calendar!$K$2,P2946&lt;EDATE(Calendar!$K$2,1),OR(Calendar!$K$4="*",N2946=Calendar!$K$4)),P2946*100+COUNTIFS($P$6:$P$3271,P2946,$Q$6:$Q$3271,"&lt;="&amp;Q2946,$N$6:$N$3271,Calendar!$K$4),"")</f>
        <v/>
      </c>
      <c r="W2946" s="44">
        <f>IF(AND(B2946=Queue!$C$4,OR(Queue!$K$4="*",N2946=Queue!$K$4)),Q2946,"")</f>
        <v/>
      </c>
    </row>
    <row r="2947">
      <c r="A2947" s="35">
        <f>IF(M2947="","",HYPERLINK("https://www.youtube.com/watch?v="&amp;M2947,"▶"))</f>
        <v/>
      </c>
      <c r="B2947" s="36">
        <f>IF(C2947&lt;&gt;"",C2947,IF(P2947&lt;=IFERROR(INDEX(tblChannels[Watched Through],MATCH(N2947,tblChannels[Channel ID],0)),0),"Watched","Unwatched"))</f>
        <v/>
      </c>
      <c r="C2947" s="37" t="n"/>
      <c r="D2947" s="38" t="n"/>
      <c r="E2947" s="39" t="n">
        <v>41646.91180555556</v>
      </c>
      <c r="F2947" s="47" t="inlineStr">
        <is>
          <t>Super Carlin Brothers</t>
        </is>
      </c>
      <c r="G2947" t="inlineStr">
        <is>
          <t>Worst Day of 2014!</t>
        </is>
      </c>
      <c r="H2947" s="41" t="n">
        <v>0.003171296296296296</v>
      </c>
      <c r="I2947" s="42" t="n">
        <v>39389</v>
      </c>
      <c r="J2947" s="42" t="n">
        <v>758</v>
      </c>
      <c r="K2947" s="42" t="n">
        <v>215</v>
      </c>
      <c r="L2947" s="43" t="n"/>
      <c r="M2947" s="44" t="n"/>
      <c r="N2947" s="44" t="inlineStr">
        <is>
          <t>UCKZo4N0lVPccBkSiuyVh4yg</t>
        </is>
      </c>
      <c r="O2947" s="45" t="n">
        <v>41647.12013888889</v>
      </c>
      <c r="P2947" s="46" t="n">
        <v>41646</v>
      </c>
      <c r="Q2947" s="44" t="n">
        <v>325</v>
      </c>
      <c r="R2947" s="44" t="inlineStr">
        <is>
          <t>No Video ID yet</t>
        </is>
      </c>
      <c r="S2947" s="46" t="n"/>
      <c r="T2947" s="46" t="n"/>
      <c r="U2947" s="44" t="n"/>
      <c r="V2947" s="44">
        <f>IF(AND(P2947&gt;=Calendar!$K$2,P2947&lt;EDATE(Calendar!$K$2,1),OR(Calendar!$K$4="*",N2947=Calendar!$K$4)),P2947*100+COUNTIFS($P$6:$P$3271,P2947,$Q$6:$Q$3271,"&lt;="&amp;Q2947,$N$6:$N$3271,Calendar!$K$4),"")</f>
        <v/>
      </c>
      <c r="W2947" s="44">
        <f>IF(AND(B2947=Queue!$C$4,OR(Queue!$K$4="*",N2947=Queue!$K$4)),Q2947,"")</f>
        <v/>
      </c>
    </row>
    <row r="2948">
      <c r="A2948" s="35">
        <f>IF(M2948="","",HYPERLINK("https://www.youtube.com/watch?v="&amp;M2948,"▶"))</f>
        <v/>
      </c>
      <c r="B2948" s="36">
        <f>IF(C2948&lt;&gt;"",C2948,IF(P2948&lt;=IFERROR(INDEX(tblChannels[Watched Through],MATCH(N2948,tblChannels[Channel ID],0)),0),"Watched","Unwatched"))</f>
        <v/>
      </c>
      <c r="C2948" s="37" t="n"/>
      <c r="D2948" s="38" t="n"/>
      <c r="E2948" s="39" t="n">
        <v>41641.98194444444</v>
      </c>
      <c r="F2948" s="47" t="inlineStr">
        <is>
          <t>Super Carlin Brothers</t>
        </is>
      </c>
      <c r="G2948" t="inlineStr">
        <is>
          <t>Million Dollar Idea</t>
        </is>
      </c>
      <c r="H2948" s="41" t="n">
        <v>0.002488425925925926</v>
      </c>
      <c r="I2948" s="42" t="n">
        <v>9300</v>
      </c>
      <c r="J2948" s="42" t="n">
        <v>258</v>
      </c>
      <c r="K2948" s="42" t="n">
        <v>73</v>
      </c>
      <c r="L2948" s="43" t="n"/>
      <c r="M2948" s="44" t="n"/>
      <c r="N2948" s="44" t="inlineStr">
        <is>
          <t>UCKZo4N0lVPccBkSiuyVh4yg</t>
        </is>
      </c>
      <c r="O2948" s="45" t="n">
        <v>41642.19027777778</v>
      </c>
      <c r="P2948" s="46" t="n">
        <v>41641</v>
      </c>
      <c r="Q2948" s="44" t="n">
        <v>324</v>
      </c>
      <c r="R2948" s="44" t="inlineStr">
        <is>
          <t>No Video ID yet</t>
        </is>
      </c>
      <c r="S2948" s="46" t="n"/>
      <c r="T2948" s="46" t="n"/>
      <c r="U2948" s="44" t="n"/>
      <c r="V2948" s="44">
        <f>IF(AND(P2948&gt;=Calendar!$K$2,P2948&lt;EDATE(Calendar!$K$2,1),OR(Calendar!$K$4="*",N2948=Calendar!$K$4)),P2948*100+COUNTIFS($P$6:$P$3271,P2948,$Q$6:$Q$3271,"&lt;="&amp;Q2948,$N$6:$N$3271,Calendar!$K$4),"")</f>
        <v/>
      </c>
      <c r="W2948" s="44">
        <f>IF(AND(B2948=Queue!$C$4,OR(Queue!$K$4="*",N2948=Queue!$K$4)),Q2948,"")</f>
        <v/>
      </c>
    </row>
    <row r="2949">
      <c r="A2949" s="35">
        <f>IF(M2949="","",HYPERLINK("https://www.youtube.com/watch?v="&amp;M2949,"▶"))</f>
        <v/>
      </c>
      <c r="B2949" s="36">
        <f>IF(C2949&lt;&gt;"",C2949,IF(P2949&lt;=IFERROR(INDEX(tblChannels[Watched Through],MATCH(N2949,tblChannels[Channel ID],0)),0),"Watched","Unwatched"))</f>
        <v/>
      </c>
      <c r="C2949" s="37" t="n"/>
      <c r="D2949" s="38" t="n"/>
      <c r="E2949" s="39" t="n">
        <v>41639.63055555556</v>
      </c>
      <c r="F2949" s="47" t="inlineStr">
        <is>
          <t>Super Carlin Brothers</t>
        </is>
      </c>
      <c r="G2949" t="inlineStr">
        <is>
          <t>Is Angry Birds for Kids?</t>
        </is>
      </c>
      <c r="H2949" s="41" t="n">
        <v>0.003460648148148148</v>
      </c>
      <c r="I2949" s="42" t="n">
        <v>171577</v>
      </c>
      <c r="J2949" s="42" t="n">
        <v>2513</v>
      </c>
      <c r="K2949" s="42" t="n">
        <v>432</v>
      </c>
      <c r="L2949" s="43" t="n"/>
      <c r="M2949" s="44" t="n"/>
      <c r="N2949" s="44" t="inlineStr">
        <is>
          <t>UCKZo4N0lVPccBkSiuyVh4yg</t>
        </is>
      </c>
      <c r="O2949" s="45" t="n">
        <v>41639.83888888889</v>
      </c>
      <c r="P2949" s="46" t="n">
        <v>41639</v>
      </c>
      <c r="Q2949" s="44" t="n">
        <v>323</v>
      </c>
      <c r="R2949" s="44" t="inlineStr">
        <is>
          <t>No Video ID yet</t>
        </is>
      </c>
      <c r="S2949" s="46" t="n"/>
      <c r="T2949" s="46" t="n"/>
      <c r="U2949" s="44" t="n"/>
      <c r="V2949" s="44">
        <f>IF(AND(P2949&gt;=Calendar!$K$2,P2949&lt;EDATE(Calendar!$K$2,1),OR(Calendar!$K$4="*",N2949=Calendar!$K$4)),P2949*100+COUNTIFS($P$6:$P$3271,P2949,$Q$6:$Q$3271,"&lt;="&amp;Q2949,$N$6:$N$3271,Calendar!$K$4),"")</f>
        <v/>
      </c>
      <c r="W2949" s="44">
        <f>IF(AND(B2949=Queue!$C$4,OR(Queue!$K$4="*",N2949=Queue!$K$4)),Q2949,"")</f>
        <v/>
      </c>
    </row>
    <row r="2950">
      <c r="A2950" s="35">
        <f>IF(M2950="","",HYPERLINK("https://www.youtube.com/watch?v="&amp;M2950,"▶"))</f>
        <v/>
      </c>
      <c r="B2950" s="36">
        <f>IF(C2950&lt;&gt;"",C2950,IF(P2950&lt;=IFERROR(INDEX(tblChannels[Watched Through],MATCH(N2950,tblChannels[Channel ID],0)),0),"Watched","Unwatched"))</f>
        <v/>
      </c>
      <c r="C2950" s="37" t="n"/>
      <c r="D2950" s="38" t="n"/>
      <c r="E2950" s="39" t="n">
        <v>41627.91736111111</v>
      </c>
      <c r="F2950" s="47" t="inlineStr">
        <is>
          <t>Super Carlin Brothers</t>
        </is>
      </c>
      <c r="G2950" t="inlineStr">
        <is>
          <t>Anti-Tourist</t>
        </is>
      </c>
      <c r="H2950" s="41" t="n">
        <v>0.002638888888888889</v>
      </c>
      <c r="I2950" s="42" t="n">
        <v>9404</v>
      </c>
      <c r="J2950" s="42" t="n">
        <v>229</v>
      </c>
      <c r="K2950" s="42" t="n">
        <v>55</v>
      </c>
      <c r="L2950" s="43" t="n"/>
      <c r="M2950" s="44" t="n"/>
      <c r="N2950" s="44" t="inlineStr">
        <is>
          <t>UCKZo4N0lVPccBkSiuyVh4yg</t>
        </is>
      </c>
      <c r="O2950" s="45" t="n">
        <v>41628.12569444445</v>
      </c>
      <c r="P2950" s="46" t="n">
        <v>41627</v>
      </c>
      <c r="Q2950" s="44" t="n">
        <v>322</v>
      </c>
      <c r="R2950" s="44" t="inlineStr">
        <is>
          <t>No Video ID yet</t>
        </is>
      </c>
      <c r="S2950" s="46" t="n"/>
      <c r="T2950" s="46" t="n"/>
      <c r="U2950" s="44" t="n"/>
      <c r="V2950" s="44">
        <f>IF(AND(P2950&gt;=Calendar!$K$2,P2950&lt;EDATE(Calendar!$K$2,1),OR(Calendar!$K$4="*",N2950=Calendar!$K$4)),P2950*100+COUNTIFS($P$6:$P$3271,P2950,$Q$6:$Q$3271,"&lt;="&amp;Q2950,$N$6:$N$3271,Calendar!$K$4),"")</f>
        <v/>
      </c>
      <c r="W2950" s="44">
        <f>IF(AND(B2950=Queue!$C$4,OR(Queue!$K$4="*",N2950=Queue!$K$4)),Q2950,"")</f>
        <v/>
      </c>
    </row>
    <row r="2951">
      <c r="A2951" s="35">
        <f>IF(M2951="","",HYPERLINK("https://www.youtube.com/watch?v="&amp;M2951,"▶"))</f>
        <v/>
      </c>
      <c r="B2951" s="36">
        <f>IF(C2951&lt;&gt;"",C2951,IF(P2951&lt;=IFERROR(INDEX(tblChannels[Watched Through],MATCH(N2951,tblChannels[Channel ID],0)),0),"Watched","Unwatched"))</f>
        <v/>
      </c>
      <c r="C2951" s="37" t="n"/>
      <c r="D2951" s="38" t="n"/>
      <c r="E2951" s="39" t="n">
        <v>41625.91805555556</v>
      </c>
      <c r="F2951" s="47" t="inlineStr">
        <is>
          <t>Super Carlin Brothers</t>
        </is>
      </c>
      <c r="G2951" t="inlineStr">
        <is>
          <t>Project For Awesome 2013: Big Brothers Big Sisters</t>
        </is>
      </c>
      <c r="H2951" s="41" t="n">
        <v>0.002604166666666667</v>
      </c>
      <c r="I2951" s="42" t="n">
        <v>8434</v>
      </c>
      <c r="J2951" s="42" t="n">
        <v>329</v>
      </c>
      <c r="K2951" s="42" t="n">
        <v>210</v>
      </c>
      <c r="L2951" s="43" t="n"/>
      <c r="M2951" s="44" t="n"/>
      <c r="N2951" s="44" t="inlineStr">
        <is>
          <t>UCKZo4N0lVPccBkSiuyVh4yg</t>
        </is>
      </c>
      <c r="O2951" s="45" t="n">
        <v>41626.12638888889</v>
      </c>
      <c r="P2951" s="46" t="n">
        <v>41625</v>
      </c>
      <c r="Q2951" s="44" t="n">
        <v>321</v>
      </c>
      <c r="R2951" s="44" t="inlineStr">
        <is>
          <t>No Video ID yet</t>
        </is>
      </c>
      <c r="S2951" s="46" t="n"/>
      <c r="T2951" s="46" t="n"/>
      <c r="U2951" s="44" t="n"/>
      <c r="V2951" s="44">
        <f>IF(AND(P2951&gt;=Calendar!$K$2,P2951&lt;EDATE(Calendar!$K$2,1),OR(Calendar!$K$4="*",N2951=Calendar!$K$4)),P2951*100+COUNTIFS($P$6:$P$3271,P2951,$Q$6:$Q$3271,"&lt;="&amp;Q2951,$N$6:$N$3271,Calendar!$K$4),"")</f>
        <v/>
      </c>
      <c r="W2951" s="44">
        <f>IF(AND(B2951=Queue!$C$4,OR(Queue!$K$4="*",N2951=Queue!$K$4)),Q2951,"")</f>
        <v/>
      </c>
    </row>
    <row r="2952">
      <c r="A2952" s="35">
        <f>IF(M2952="","",HYPERLINK("https://www.youtube.com/watch?v="&amp;M2952,"▶"))</f>
        <v/>
      </c>
      <c r="B2952" s="36">
        <f>IF(C2952&lt;&gt;"",C2952,IF(P2952&lt;=IFERROR(INDEX(tblChannels[Watched Through],MATCH(N2952,tblChannels[Channel ID],0)),0),"Watched","Unwatched"))</f>
        <v/>
      </c>
      <c r="C2952" s="37" t="n"/>
      <c r="D2952" s="38" t="n"/>
      <c r="E2952" s="39" t="n">
        <v>41625.87361111111</v>
      </c>
      <c r="F2952" s="49" t="inlineStr">
        <is>
          <t>Super Carlin Gaming</t>
        </is>
      </c>
      <c r="G2952" t="inlineStr">
        <is>
          <t>Pokemon FireRed Nuzlocke Challenge #10 - SELFDESTRUCT</t>
        </is>
      </c>
      <c r="H2952" s="41" t="n">
        <v>0.01685185185185185</v>
      </c>
      <c r="I2952" s="42" t="n">
        <v>34307</v>
      </c>
      <c r="J2952" s="42" t="n">
        <v>531</v>
      </c>
      <c r="K2952" s="42" t="n">
        <v>257</v>
      </c>
      <c r="L2952" s="43" t="n"/>
      <c r="M2952" s="44" t="n"/>
      <c r="N2952" s="44" t="inlineStr">
        <is>
          <t>UCor_9jRnNNZVzTuQ92PKsaQ</t>
        </is>
      </c>
      <c r="O2952" s="45" t="n">
        <v>41626.08194444444</v>
      </c>
      <c r="P2952" s="46" t="n">
        <v>41625</v>
      </c>
      <c r="Q2952" s="44" t="n">
        <v>320</v>
      </c>
      <c r="R2952" s="44" t="inlineStr">
        <is>
          <t>No Video ID yet</t>
        </is>
      </c>
      <c r="S2952" s="46" t="n"/>
      <c r="T2952" s="46" t="n"/>
      <c r="U2952" s="44" t="n"/>
      <c r="V2952" s="44">
        <f>IF(AND(P2952&gt;=Calendar!$K$2,P2952&lt;EDATE(Calendar!$K$2,1),OR(Calendar!$K$4="*",N2952=Calendar!$K$4)),P2952*100+COUNTIFS($P$6:$P$3271,P2952,$Q$6:$Q$3271,"&lt;="&amp;Q2952,$N$6:$N$3271,Calendar!$K$4),"")</f>
        <v/>
      </c>
      <c r="W2952" s="44">
        <f>IF(AND(B2952=Queue!$C$4,OR(Queue!$K$4="*",N2952=Queue!$K$4)),Q2952,"")</f>
        <v/>
      </c>
    </row>
    <row r="2953">
      <c r="A2953" s="35">
        <f>IF(M2953="","",HYPERLINK("https://www.youtube.com/watch?v="&amp;M2953,"▶"))</f>
        <v/>
      </c>
      <c r="B2953" s="36">
        <f>IF(C2953&lt;&gt;"",C2953,IF(P2953&lt;=IFERROR(INDEX(tblChannels[Watched Through],MATCH(N2953,tblChannels[Channel ID],0)),0),"Watched","Unwatched"))</f>
        <v/>
      </c>
      <c r="C2953" s="37" t="n"/>
      <c r="D2953" s="38" t="n"/>
      <c r="E2953" s="39" t="n">
        <v>41620.93055555555</v>
      </c>
      <c r="F2953" s="47" t="inlineStr">
        <is>
          <t>Super Carlin Brothers</t>
        </is>
      </c>
      <c r="G2953" t="inlineStr">
        <is>
          <t>Gift Giving Clichés</t>
        </is>
      </c>
      <c r="H2953" s="41" t="n">
        <v>0.002453703703703704</v>
      </c>
      <c r="I2953" s="42" t="n">
        <v>12069</v>
      </c>
      <c r="J2953" s="42" t="n">
        <v>270</v>
      </c>
      <c r="K2953" s="42" t="n">
        <v>40</v>
      </c>
      <c r="L2953" s="43" t="n"/>
      <c r="M2953" s="44" t="n"/>
      <c r="N2953" s="44" t="inlineStr">
        <is>
          <t>UCKZo4N0lVPccBkSiuyVh4yg</t>
        </is>
      </c>
      <c r="O2953" s="45" t="n">
        <v>41621.13888888889</v>
      </c>
      <c r="P2953" s="46" t="n">
        <v>41620</v>
      </c>
      <c r="Q2953" s="44" t="n">
        <v>319</v>
      </c>
      <c r="R2953" s="44" t="inlineStr">
        <is>
          <t>No Video ID yet</t>
        </is>
      </c>
      <c r="S2953" s="46" t="n"/>
      <c r="T2953" s="46" t="n"/>
      <c r="U2953" s="44" t="n"/>
      <c r="V2953" s="44">
        <f>IF(AND(P2953&gt;=Calendar!$K$2,P2953&lt;EDATE(Calendar!$K$2,1),OR(Calendar!$K$4="*",N2953=Calendar!$K$4)),P2953*100+COUNTIFS($P$6:$P$3271,P2953,$Q$6:$Q$3271,"&lt;="&amp;Q2953,$N$6:$N$3271,Calendar!$K$4),"")</f>
        <v/>
      </c>
      <c r="W2953" s="44">
        <f>IF(AND(B2953=Queue!$C$4,OR(Queue!$K$4="*",N2953=Queue!$K$4)),Q2953,"")</f>
        <v/>
      </c>
    </row>
    <row r="2954">
      <c r="A2954" s="35">
        <f>IF(M2954="","",HYPERLINK("https://www.youtube.com/watch?v="&amp;M2954,"▶"))</f>
        <v/>
      </c>
      <c r="B2954" s="36">
        <f>IF(C2954&lt;&gt;"",C2954,IF(P2954&lt;=IFERROR(INDEX(tblChannels[Watched Through],MATCH(N2954,tblChannels[Channel ID],0)),0),"Watched","Unwatched"))</f>
        <v/>
      </c>
      <c r="C2954" s="37" t="n"/>
      <c r="D2954" s="38" t="n"/>
      <c r="E2954" s="39" t="n">
        <v>41618.94513888889</v>
      </c>
      <c r="F2954" s="47" t="inlineStr">
        <is>
          <t>Super Carlin Brothers</t>
        </is>
      </c>
      <c r="G2954" t="inlineStr">
        <is>
          <t>12 Things You Will Do This Winter</t>
        </is>
      </c>
      <c r="H2954" s="41" t="n">
        <v>0.002280092592592593</v>
      </c>
      <c r="I2954" s="42" t="n">
        <v>45500</v>
      </c>
      <c r="J2954" s="42" t="n">
        <v>814</v>
      </c>
      <c r="K2954" s="42" t="n">
        <v>177</v>
      </c>
      <c r="L2954" s="43" t="n"/>
      <c r="M2954" s="44" t="n"/>
      <c r="N2954" s="44" t="inlineStr">
        <is>
          <t>UCKZo4N0lVPccBkSiuyVh4yg</t>
        </is>
      </c>
      <c r="O2954" s="45" t="n">
        <v>41619.15347222222</v>
      </c>
      <c r="P2954" s="46" t="n">
        <v>41618</v>
      </c>
      <c r="Q2954" s="44" t="n">
        <v>318</v>
      </c>
      <c r="R2954" s="44" t="inlineStr">
        <is>
          <t>No Video ID yet</t>
        </is>
      </c>
      <c r="S2954" s="46" t="n"/>
      <c r="T2954" s="46" t="n"/>
      <c r="U2954" s="44" t="n"/>
      <c r="V2954" s="44">
        <f>IF(AND(P2954&gt;=Calendar!$K$2,P2954&lt;EDATE(Calendar!$K$2,1),OR(Calendar!$K$4="*",N2954=Calendar!$K$4)),P2954*100+COUNTIFS($P$6:$P$3271,P2954,$Q$6:$Q$3271,"&lt;="&amp;Q2954,$N$6:$N$3271,Calendar!$K$4),"")</f>
        <v/>
      </c>
      <c r="W2954" s="44">
        <f>IF(AND(B2954=Queue!$C$4,OR(Queue!$K$4="*",N2954=Queue!$K$4)),Q2954,"")</f>
        <v/>
      </c>
    </row>
    <row r="2955">
      <c r="A2955" s="35">
        <f>IF(M2955="","",HYPERLINK("https://www.youtube.com/watch?v="&amp;M2955,"▶"))</f>
        <v/>
      </c>
      <c r="B2955" s="36">
        <f>IF(C2955&lt;&gt;"",C2955,IF(P2955&lt;=IFERROR(INDEX(tblChannels[Watched Through],MATCH(N2955,tblChannels[Channel ID],0)),0),"Watched","Unwatched"))</f>
        <v/>
      </c>
      <c r="C2955" s="37" t="n"/>
      <c r="D2955" s="38" t="n"/>
      <c r="E2955" s="39" t="n">
        <v>41613.97777777778</v>
      </c>
      <c r="F2955" s="47" t="inlineStr">
        <is>
          <t>Super Carlin Brothers</t>
        </is>
      </c>
      <c r="G2955" t="inlineStr">
        <is>
          <t>Amazon Drones</t>
        </is>
      </c>
      <c r="H2955" s="41" t="n">
        <v>0.001597222222222222</v>
      </c>
      <c r="I2955" s="42" t="n">
        <v>8282</v>
      </c>
      <c r="J2955" s="42" t="n">
        <v>169</v>
      </c>
      <c r="K2955" s="42" t="n">
        <v>28</v>
      </c>
      <c r="L2955" s="43" t="n"/>
      <c r="M2955" s="44" t="n"/>
      <c r="N2955" s="44" t="inlineStr">
        <is>
          <t>UCKZo4N0lVPccBkSiuyVh4yg</t>
        </is>
      </c>
      <c r="O2955" s="45" t="n">
        <v>41614.18611111111</v>
      </c>
      <c r="P2955" s="46" t="n">
        <v>41613</v>
      </c>
      <c r="Q2955" s="44" t="n">
        <v>317</v>
      </c>
      <c r="R2955" s="44" t="inlineStr">
        <is>
          <t>No Video ID yet</t>
        </is>
      </c>
      <c r="S2955" s="46" t="n"/>
      <c r="T2955" s="46" t="n"/>
      <c r="U2955" s="44" t="n"/>
      <c r="V2955" s="44">
        <f>IF(AND(P2955&gt;=Calendar!$K$2,P2955&lt;EDATE(Calendar!$K$2,1),OR(Calendar!$K$4="*",N2955=Calendar!$K$4)),P2955*100+COUNTIFS($P$6:$P$3271,P2955,$Q$6:$Q$3271,"&lt;="&amp;Q2955,$N$6:$N$3271,Calendar!$K$4),"")</f>
        <v/>
      </c>
      <c r="W2955" s="44">
        <f>IF(AND(B2955=Queue!$C$4,OR(Queue!$K$4="*",N2955=Queue!$K$4)),Q2955,"")</f>
        <v/>
      </c>
    </row>
    <row r="2956">
      <c r="A2956" s="35">
        <f>IF(M2956="","",HYPERLINK("https://www.youtube.com/watch?v="&amp;M2956,"▶"))</f>
        <v/>
      </c>
      <c r="B2956" s="36">
        <f>IF(C2956&lt;&gt;"",C2956,IF(P2956&lt;=IFERROR(INDEX(tblChannels[Watched Through],MATCH(N2956,tblChannels[Channel ID],0)),0),"Watched","Unwatched"))</f>
        <v/>
      </c>
      <c r="C2956" s="37" t="n"/>
      <c r="D2956" s="38" t="n"/>
      <c r="E2956" s="39" t="n">
        <v>41611.93194444444</v>
      </c>
      <c r="F2956" s="47" t="inlineStr">
        <is>
          <t>Super Carlin Brothers</t>
        </is>
      </c>
      <c r="G2956" t="inlineStr">
        <is>
          <t>YOU KNOW WHAT I MEAN!</t>
        </is>
      </c>
      <c r="H2956" s="41" t="n">
        <v>0.002395833333333333</v>
      </c>
      <c r="I2956" s="42" t="n">
        <v>42150</v>
      </c>
      <c r="J2956" s="42" t="n">
        <v>1272</v>
      </c>
      <c r="K2956" s="42" t="n">
        <v>173</v>
      </c>
      <c r="L2956" s="43" t="n"/>
      <c r="M2956" s="44" t="n"/>
      <c r="N2956" s="44" t="inlineStr">
        <is>
          <t>UCKZo4N0lVPccBkSiuyVh4yg</t>
        </is>
      </c>
      <c r="O2956" s="45" t="n">
        <v>41612.14027777778</v>
      </c>
      <c r="P2956" s="46" t="n">
        <v>41611</v>
      </c>
      <c r="Q2956" s="44" t="n">
        <v>316</v>
      </c>
      <c r="R2956" s="44" t="inlineStr">
        <is>
          <t>No Video ID yet</t>
        </is>
      </c>
      <c r="S2956" s="46" t="n"/>
      <c r="T2956" s="46" t="n"/>
      <c r="U2956" s="44" t="n"/>
      <c r="V2956" s="44">
        <f>IF(AND(P2956&gt;=Calendar!$K$2,P2956&lt;EDATE(Calendar!$K$2,1),OR(Calendar!$K$4="*",N2956=Calendar!$K$4)),P2956*100+COUNTIFS($P$6:$P$3271,P2956,$Q$6:$Q$3271,"&lt;="&amp;Q2956,$N$6:$N$3271,Calendar!$K$4),"")</f>
        <v/>
      </c>
      <c r="W2956" s="44">
        <f>IF(AND(B2956=Queue!$C$4,OR(Queue!$K$4="*",N2956=Queue!$K$4)),Q2956,"")</f>
        <v/>
      </c>
    </row>
    <row r="2957">
      <c r="A2957" s="35">
        <f>IF(M2957="","",HYPERLINK("https://www.youtube.com/watch?v="&amp;M2957,"▶"))</f>
        <v/>
      </c>
      <c r="B2957" s="36">
        <f>IF(C2957&lt;&gt;"",C2957,IF(P2957&lt;=IFERROR(INDEX(tblChannels[Watched Through],MATCH(N2957,tblChannels[Channel ID],0)),0),"Watched","Unwatched"))</f>
        <v/>
      </c>
      <c r="C2957" s="37" t="n"/>
      <c r="D2957" s="38" t="n"/>
      <c r="E2957" s="39" t="n">
        <v>41611.33611111111</v>
      </c>
      <c r="F2957" s="49" t="inlineStr">
        <is>
          <t>Super Carlin Gaming</t>
        </is>
      </c>
      <c r="G2957" t="inlineStr">
        <is>
          <t>Pokemon FireRed Nuzlocke Challenge #9 - FANG UNIT ALPHA</t>
        </is>
      </c>
      <c r="H2957" s="41" t="n">
        <v>0.01480324074074074</v>
      </c>
      <c r="I2957" s="42" t="n">
        <v>33926</v>
      </c>
      <c r="J2957" s="42" t="n">
        <v>530</v>
      </c>
      <c r="K2957" s="42" t="n">
        <v>45</v>
      </c>
      <c r="L2957" s="43" t="n"/>
      <c r="M2957" s="44" t="n"/>
      <c r="N2957" s="44" t="inlineStr">
        <is>
          <t>UCor_9jRnNNZVzTuQ92PKsaQ</t>
        </is>
      </c>
      <c r="O2957" s="45" t="n">
        <v>41611.54444444444</v>
      </c>
      <c r="P2957" s="46" t="n">
        <v>41611</v>
      </c>
      <c r="Q2957" s="44" t="n">
        <v>315</v>
      </c>
      <c r="R2957" s="44" t="inlineStr">
        <is>
          <t>No Video ID yet</t>
        </is>
      </c>
      <c r="S2957" s="46" t="n"/>
      <c r="T2957" s="46" t="n"/>
      <c r="U2957" s="44" t="n"/>
      <c r="V2957" s="44">
        <f>IF(AND(P2957&gt;=Calendar!$K$2,P2957&lt;EDATE(Calendar!$K$2,1),OR(Calendar!$K$4="*",N2957=Calendar!$K$4)),P2957*100+COUNTIFS($P$6:$P$3271,P2957,$Q$6:$Q$3271,"&lt;="&amp;Q2957,$N$6:$N$3271,Calendar!$K$4),"")</f>
        <v/>
      </c>
      <c r="W2957" s="44">
        <f>IF(AND(B2957=Queue!$C$4,OR(Queue!$K$4="*",N2957=Queue!$K$4)),Q2957,"")</f>
        <v/>
      </c>
    </row>
    <row r="2958">
      <c r="A2958" s="35">
        <f>IF(M2958="","",HYPERLINK("https://www.youtube.com/watch?v="&amp;M2958,"▶"))</f>
        <v/>
      </c>
      <c r="B2958" s="36">
        <f>IF(C2958&lt;&gt;"",C2958,IF(P2958&lt;=IFERROR(INDEX(tblChannels[Watched Through],MATCH(N2958,tblChannels[Channel ID],0)),0),"Watched","Unwatched"))</f>
        <v/>
      </c>
      <c r="C2958" s="37" t="n"/>
      <c r="D2958" s="38" t="n"/>
      <c r="E2958" s="39" t="n">
        <v>41606.61666666667</v>
      </c>
      <c r="F2958" s="47" t="inlineStr">
        <is>
          <t>Super Carlin Brothers</t>
        </is>
      </c>
      <c r="G2958" t="inlineStr">
        <is>
          <t>Juxtabros, Thanksgiving, and Apocalypse</t>
        </is>
      </c>
      <c r="H2958" s="41" t="n">
        <v>0.003159722222222222</v>
      </c>
      <c r="I2958" s="42" t="n">
        <v>47391</v>
      </c>
      <c r="J2958" s="42" t="n">
        <v>830</v>
      </c>
      <c r="K2958" s="42" t="n">
        <v>168</v>
      </c>
      <c r="L2958" s="43" t="n"/>
      <c r="M2958" s="44" t="n"/>
      <c r="N2958" s="44" t="inlineStr">
        <is>
          <t>UCKZo4N0lVPccBkSiuyVh4yg</t>
        </is>
      </c>
      <c r="O2958" s="45" t="n">
        <v>41606.825</v>
      </c>
      <c r="P2958" s="46" t="n">
        <v>41606</v>
      </c>
      <c r="Q2958" s="44" t="n">
        <v>314</v>
      </c>
      <c r="R2958" s="44" t="inlineStr">
        <is>
          <t>No Video ID yet</t>
        </is>
      </c>
      <c r="S2958" s="46" t="n"/>
      <c r="T2958" s="46" t="n"/>
      <c r="U2958" s="44" t="n"/>
      <c r="V2958" s="44">
        <f>IF(AND(P2958&gt;=Calendar!$K$2,P2958&lt;EDATE(Calendar!$K$2,1),OR(Calendar!$K$4="*",N2958=Calendar!$K$4)),P2958*100+COUNTIFS($P$6:$P$3271,P2958,$Q$6:$Q$3271,"&lt;="&amp;Q2958,$N$6:$N$3271,Calendar!$K$4),"")</f>
        <v/>
      </c>
      <c r="W2958" s="44">
        <f>IF(AND(B2958=Queue!$C$4,OR(Queue!$K$4="*",N2958=Queue!$K$4)),Q2958,"")</f>
        <v/>
      </c>
    </row>
    <row r="2959">
      <c r="A2959" s="35">
        <f>IF(M2959="","",HYPERLINK("https://www.youtube.com/watch?v="&amp;M2959,"▶"))</f>
        <v/>
      </c>
      <c r="B2959" s="36">
        <f>IF(C2959&lt;&gt;"",C2959,IF(P2959&lt;=IFERROR(INDEX(tblChannels[Watched Through],MATCH(N2959,tblChannels[Channel ID],0)),0),"Watched","Unwatched"))</f>
        <v/>
      </c>
      <c r="C2959" s="37" t="n"/>
      <c r="D2959" s="38" t="n"/>
      <c r="E2959" s="39" t="n">
        <v>41604.90347222222</v>
      </c>
      <c r="F2959" s="47" t="inlineStr">
        <is>
          <t>Super Carlin Brothers</t>
        </is>
      </c>
      <c r="G2959" t="inlineStr">
        <is>
          <t>THE COTTON BALL CHALLENGE WITH BETH!</t>
        </is>
      </c>
      <c r="H2959" s="41" t="n">
        <v>0.004780092592592593</v>
      </c>
      <c r="I2959" s="42" t="n">
        <v>85888</v>
      </c>
      <c r="J2959" s="42" t="n">
        <v>2579</v>
      </c>
      <c r="K2959" s="42" t="n">
        <v>139</v>
      </c>
      <c r="L2959" s="43" t="n"/>
      <c r="M2959" s="44" t="n"/>
      <c r="N2959" s="44" t="inlineStr">
        <is>
          <t>UCKZo4N0lVPccBkSiuyVh4yg</t>
        </is>
      </c>
      <c r="O2959" s="45" t="n">
        <v>41605.11180555556</v>
      </c>
      <c r="P2959" s="46" t="n">
        <v>41604</v>
      </c>
      <c r="Q2959" s="44" t="n">
        <v>313</v>
      </c>
      <c r="R2959" s="44" t="inlineStr">
        <is>
          <t>No Video ID yet</t>
        </is>
      </c>
      <c r="S2959" s="46" t="n"/>
      <c r="T2959" s="46" t="n"/>
      <c r="U2959" s="44" t="n"/>
      <c r="V2959" s="44">
        <f>IF(AND(P2959&gt;=Calendar!$K$2,P2959&lt;EDATE(Calendar!$K$2,1),OR(Calendar!$K$4="*",N2959=Calendar!$K$4)),P2959*100+COUNTIFS($P$6:$P$3271,P2959,$Q$6:$Q$3271,"&lt;="&amp;Q2959,$N$6:$N$3271,Calendar!$K$4),"")</f>
        <v/>
      </c>
      <c r="W2959" s="44">
        <f>IF(AND(B2959=Queue!$C$4,OR(Queue!$K$4="*",N2959=Queue!$K$4)),Q2959,"")</f>
        <v/>
      </c>
    </row>
    <row r="2960">
      <c r="A2960" s="35">
        <f>IF(M2960="","",HYPERLINK("https://www.youtube.com/watch?v="&amp;M2960,"▶"))</f>
        <v/>
      </c>
      <c r="B2960" s="36">
        <f>IF(C2960&lt;&gt;"",C2960,IF(P2960&lt;=IFERROR(INDEX(tblChannels[Watched Through],MATCH(N2960,tblChannels[Channel ID],0)),0),"Watched","Unwatched"))</f>
        <v/>
      </c>
      <c r="C2960" s="37" t="n"/>
      <c r="D2960" s="38" t="n"/>
      <c r="E2960" s="39" t="n">
        <v>41603.99930555555</v>
      </c>
      <c r="F2960" s="49" t="inlineStr">
        <is>
          <t>Super Carlin Gaming</t>
        </is>
      </c>
      <c r="G2960" t="inlineStr">
        <is>
          <t>Pokemon FireRed Nuzlocke Challenge #8 - Golden Boy!</t>
        </is>
      </c>
      <c r="H2960" s="41" t="n">
        <v>0.01667824074074074</v>
      </c>
      <c r="I2960" s="42" t="n">
        <v>36955</v>
      </c>
      <c r="J2960" s="42" t="n">
        <v>575</v>
      </c>
      <c r="K2960" s="42" t="n">
        <v>145</v>
      </c>
      <c r="L2960" s="43" t="n"/>
      <c r="M2960" s="44" t="n"/>
      <c r="N2960" s="44" t="inlineStr">
        <is>
          <t>UCor_9jRnNNZVzTuQ92PKsaQ</t>
        </is>
      </c>
      <c r="O2960" s="45" t="n">
        <v>41604.20763888889</v>
      </c>
      <c r="P2960" s="46" t="n">
        <v>41603</v>
      </c>
      <c r="Q2960" s="44" t="n">
        <v>312</v>
      </c>
      <c r="R2960" s="44" t="inlineStr">
        <is>
          <t>No Video ID yet</t>
        </is>
      </c>
      <c r="S2960" s="46" t="n"/>
      <c r="T2960" s="46" t="n"/>
      <c r="U2960" s="44" t="n"/>
      <c r="V2960" s="44">
        <f>IF(AND(P2960&gt;=Calendar!$K$2,P2960&lt;EDATE(Calendar!$K$2,1),OR(Calendar!$K$4="*",N2960=Calendar!$K$4)),P2960*100+COUNTIFS($P$6:$P$3271,P2960,$Q$6:$Q$3271,"&lt;="&amp;Q2960,$N$6:$N$3271,Calendar!$K$4),"")</f>
        <v/>
      </c>
      <c r="W2960" s="44">
        <f>IF(AND(B2960=Queue!$C$4,OR(Queue!$K$4="*",N2960=Queue!$K$4)),Q2960,"")</f>
        <v/>
      </c>
    </row>
    <row r="2961">
      <c r="A2961" s="35">
        <f>IF(M2961="","",HYPERLINK("https://www.youtube.com/watch?v="&amp;M2961,"▶"))</f>
        <v/>
      </c>
      <c r="B2961" s="36">
        <f>IF(C2961&lt;&gt;"",C2961,IF(P2961&lt;=IFERROR(INDEX(tblChannels[Watched Through],MATCH(N2961,tblChannels[Channel ID],0)),0),"Watched","Unwatched"))</f>
        <v/>
      </c>
      <c r="C2961" s="37" t="n"/>
      <c r="D2961" s="38" t="n"/>
      <c r="E2961" s="39" t="n">
        <v>41599.79375</v>
      </c>
      <c r="F2961" s="47" t="inlineStr">
        <is>
          <t>Super Carlin Brothers</t>
        </is>
      </c>
      <c r="G2961" t="inlineStr">
        <is>
          <t>What is Layman's Terms</t>
        </is>
      </c>
      <c r="H2961" s="41" t="n">
        <v>0.002465277777777778</v>
      </c>
      <c r="I2961" s="42" t="n">
        <v>26513</v>
      </c>
      <c r="J2961" s="42" t="n">
        <v>357</v>
      </c>
      <c r="K2961" s="42" t="n">
        <v>122</v>
      </c>
      <c r="L2961" s="43" t="n"/>
      <c r="M2961" s="44" t="n"/>
      <c r="N2961" s="44" t="inlineStr">
        <is>
          <t>UCKZo4N0lVPccBkSiuyVh4yg</t>
        </is>
      </c>
      <c r="O2961" s="45" t="n">
        <v>41600.00208333333</v>
      </c>
      <c r="P2961" s="46" t="n">
        <v>41599</v>
      </c>
      <c r="Q2961" s="44" t="n">
        <v>311</v>
      </c>
      <c r="R2961" s="44" t="inlineStr">
        <is>
          <t>No Video ID yet</t>
        </is>
      </c>
      <c r="S2961" s="46" t="n"/>
      <c r="T2961" s="46" t="n"/>
      <c r="U2961" s="44" t="n"/>
      <c r="V2961" s="44">
        <f>IF(AND(P2961&gt;=Calendar!$K$2,P2961&lt;EDATE(Calendar!$K$2,1),OR(Calendar!$K$4="*",N2961=Calendar!$K$4)),P2961*100+COUNTIFS($P$6:$P$3271,P2961,$Q$6:$Q$3271,"&lt;="&amp;Q2961,$N$6:$N$3271,Calendar!$K$4),"")</f>
        <v/>
      </c>
      <c r="W2961" s="44">
        <f>IF(AND(B2961=Queue!$C$4,OR(Queue!$K$4="*",N2961=Queue!$K$4)),Q2961,"")</f>
        <v/>
      </c>
    </row>
    <row r="2962">
      <c r="A2962" s="35">
        <f>IF(M2962="","",HYPERLINK("https://www.youtube.com/watch?v="&amp;M2962,"▶"))</f>
        <v/>
      </c>
      <c r="B2962" s="36">
        <f>IF(C2962&lt;&gt;"",C2962,IF(P2962&lt;=IFERROR(INDEX(tblChannels[Watched Through],MATCH(N2962,tblChannels[Channel ID],0)),0),"Watched","Unwatched"))</f>
        <v/>
      </c>
      <c r="C2962" s="37" t="n"/>
      <c r="D2962" s="38" t="n"/>
      <c r="E2962" s="39" t="n">
        <v>41598.98541666667</v>
      </c>
      <c r="F2962" s="49" t="inlineStr">
        <is>
          <t>Super Carlin Gaming</t>
        </is>
      </c>
      <c r="G2962" t="inlineStr">
        <is>
          <t>Pokemon FireRed Nuzlocke Challenge #7 - Dont try anything funny in the dark!</t>
        </is>
      </c>
      <c r="H2962" s="41" t="n">
        <v>0.02011574074074074</v>
      </c>
      <c r="I2962" s="42" t="n">
        <v>41137</v>
      </c>
      <c r="J2962" s="42" t="n">
        <v>656</v>
      </c>
      <c r="K2962" s="42" t="n">
        <v>107</v>
      </c>
      <c r="L2962" s="43" t="n"/>
      <c r="M2962" s="44" t="n"/>
      <c r="N2962" s="44" t="inlineStr">
        <is>
          <t>UCor_9jRnNNZVzTuQ92PKsaQ</t>
        </is>
      </c>
      <c r="O2962" s="45" t="n">
        <v>41599.19375</v>
      </c>
      <c r="P2962" s="46" t="n">
        <v>41598</v>
      </c>
      <c r="Q2962" s="44" t="n">
        <v>310</v>
      </c>
      <c r="R2962" s="44" t="inlineStr">
        <is>
          <t>No Video ID yet</t>
        </is>
      </c>
      <c r="S2962" s="46" t="n"/>
      <c r="T2962" s="46" t="n"/>
      <c r="U2962" s="44" t="n"/>
      <c r="V2962" s="44">
        <f>IF(AND(P2962&gt;=Calendar!$K$2,P2962&lt;EDATE(Calendar!$K$2,1),OR(Calendar!$K$4="*",N2962=Calendar!$K$4)),P2962*100+COUNTIFS($P$6:$P$3271,P2962,$Q$6:$Q$3271,"&lt;="&amp;Q2962,$N$6:$N$3271,Calendar!$K$4),"")</f>
        <v/>
      </c>
      <c r="W2962" s="44">
        <f>IF(AND(B2962=Queue!$C$4,OR(Queue!$K$4="*",N2962=Queue!$K$4)),Q2962,"")</f>
        <v/>
      </c>
    </row>
    <row r="2963">
      <c r="A2963" s="35">
        <f>IF(M2963="","",HYPERLINK("https://www.youtube.com/watch?v="&amp;M2963,"▶"))</f>
        <v/>
      </c>
      <c r="B2963" s="36">
        <f>IF(C2963&lt;&gt;"",C2963,IF(P2963&lt;=IFERROR(INDEX(tblChannels[Watched Through],MATCH(N2963,tblChannels[Channel ID],0)),0),"Watched","Unwatched"))</f>
        <v/>
      </c>
      <c r="C2963" s="37" t="n"/>
      <c r="D2963" s="38" t="n"/>
      <c r="E2963" s="39" t="n">
        <v>41597.97847222222</v>
      </c>
      <c r="F2963" s="47" t="inlineStr">
        <is>
          <t>Super Carlin Brothers</t>
        </is>
      </c>
      <c r="G2963" t="inlineStr">
        <is>
          <t>How to Public Speak</t>
        </is>
      </c>
      <c r="H2963" s="41" t="n">
        <v>0.003564814814814815</v>
      </c>
      <c r="I2963" s="42" t="n">
        <v>16598</v>
      </c>
      <c r="J2963" s="42" t="n">
        <v>526</v>
      </c>
      <c r="K2963" s="42" t="n">
        <v>97</v>
      </c>
      <c r="L2963" s="43" t="n"/>
      <c r="M2963" s="44" t="n"/>
      <c r="N2963" s="44" t="inlineStr">
        <is>
          <t>UCKZo4N0lVPccBkSiuyVh4yg</t>
        </is>
      </c>
      <c r="O2963" s="45" t="n">
        <v>41598.18680555555</v>
      </c>
      <c r="P2963" s="46" t="n">
        <v>41597</v>
      </c>
      <c r="Q2963" s="44" t="n">
        <v>309</v>
      </c>
      <c r="R2963" s="44" t="inlineStr">
        <is>
          <t>No Video ID yet</t>
        </is>
      </c>
      <c r="S2963" s="46" t="n"/>
      <c r="T2963" s="46" t="n"/>
      <c r="U2963" s="44" t="n"/>
      <c r="V2963" s="44">
        <f>IF(AND(P2963&gt;=Calendar!$K$2,P2963&lt;EDATE(Calendar!$K$2,1),OR(Calendar!$K$4="*",N2963=Calendar!$K$4)),P2963*100+COUNTIFS($P$6:$P$3271,P2963,$Q$6:$Q$3271,"&lt;="&amp;Q2963,$N$6:$N$3271,Calendar!$K$4),"")</f>
        <v/>
      </c>
      <c r="W2963" s="44">
        <f>IF(AND(B2963=Queue!$C$4,OR(Queue!$K$4="*",N2963=Queue!$K$4)),Q2963,"")</f>
        <v/>
      </c>
    </row>
    <row r="2964">
      <c r="A2964" s="35">
        <f>IF(M2964="","",HYPERLINK("https://www.youtube.com/watch?v="&amp;M2964,"▶"))</f>
        <v/>
      </c>
      <c r="B2964" s="36">
        <f>IF(C2964&lt;&gt;"",C2964,IF(P2964&lt;=IFERROR(INDEX(tblChannels[Watched Through],MATCH(N2964,tblChannels[Channel ID],0)),0),"Watched","Unwatched"))</f>
        <v/>
      </c>
      <c r="C2964" s="37" t="n"/>
      <c r="D2964" s="38" t="n"/>
      <c r="E2964" s="39" t="n">
        <v>41592.92013888889</v>
      </c>
      <c r="F2964" s="47" t="inlineStr">
        <is>
          <t>Super Carlin Brothers</t>
        </is>
      </c>
      <c r="G2964" t="inlineStr">
        <is>
          <t>My Idea</t>
        </is>
      </c>
      <c r="H2964" s="41" t="n">
        <v>0.002789351851851852</v>
      </c>
      <c r="I2964" s="42" t="n">
        <v>9692</v>
      </c>
      <c r="J2964" s="42" t="n">
        <v>239</v>
      </c>
      <c r="K2964" s="42" t="n">
        <v>63</v>
      </c>
      <c r="L2964" s="43" t="n"/>
      <c r="M2964" s="44" t="n"/>
      <c r="N2964" s="44" t="inlineStr">
        <is>
          <t>UCKZo4N0lVPccBkSiuyVh4yg</t>
        </is>
      </c>
      <c r="O2964" s="45" t="n">
        <v>41593.12847222222</v>
      </c>
      <c r="P2964" s="46" t="n">
        <v>41592</v>
      </c>
      <c r="Q2964" s="44" t="n">
        <v>308</v>
      </c>
      <c r="R2964" s="44" t="inlineStr">
        <is>
          <t>No Video ID yet</t>
        </is>
      </c>
      <c r="S2964" s="46" t="n"/>
      <c r="T2964" s="46" t="n"/>
      <c r="U2964" s="44" t="n"/>
      <c r="V2964" s="44">
        <f>IF(AND(P2964&gt;=Calendar!$K$2,P2964&lt;EDATE(Calendar!$K$2,1),OR(Calendar!$K$4="*",N2964=Calendar!$K$4)),P2964*100+COUNTIFS($P$6:$P$3271,P2964,$Q$6:$Q$3271,"&lt;="&amp;Q2964,$N$6:$N$3271,Calendar!$K$4),"")</f>
        <v/>
      </c>
      <c r="W2964" s="44">
        <f>IF(AND(B2964=Queue!$C$4,OR(Queue!$K$4="*",N2964=Queue!$K$4)),Q2964,"")</f>
        <v/>
      </c>
    </row>
    <row r="2965">
      <c r="A2965" s="35">
        <f>IF(M2965="","",HYPERLINK("https://www.youtube.com/watch?v="&amp;M2965,"▶"))</f>
        <v/>
      </c>
      <c r="B2965" s="36">
        <f>IF(C2965&lt;&gt;"",C2965,IF(P2965&lt;=IFERROR(INDEX(tblChannels[Watched Through],MATCH(N2965,tblChannels[Channel ID],0)),0),"Watched","Unwatched"))</f>
        <v/>
      </c>
      <c r="C2965" s="37" t="n"/>
      <c r="D2965" s="38" t="n"/>
      <c r="E2965" s="39" t="n">
        <v>41591.00416666667</v>
      </c>
      <c r="F2965" s="47" t="inlineStr">
        <is>
          <t>Super Carlin Brothers</t>
        </is>
      </c>
      <c r="G2965" t="inlineStr">
        <is>
          <t>Will I Google Autofill</t>
        </is>
      </c>
      <c r="H2965" s="41" t="n">
        <v>0.003240740740740741</v>
      </c>
      <c r="I2965" s="42" t="n">
        <v>250153</v>
      </c>
      <c r="J2965" s="42" t="n">
        <v>4254</v>
      </c>
      <c r="K2965" s="42" t="n">
        <v>494</v>
      </c>
      <c r="L2965" s="43" t="n"/>
      <c r="M2965" s="44" t="n"/>
      <c r="N2965" s="44" t="inlineStr">
        <is>
          <t>UCKZo4N0lVPccBkSiuyVh4yg</t>
        </is>
      </c>
      <c r="O2965" s="45" t="n">
        <v>41591.2125</v>
      </c>
      <c r="P2965" s="46" t="n">
        <v>41591</v>
      </c>
      <c r="Q2965" s="44" t="n">
        <v>307</v>
      </c>
      <c r="R2965" s="44" t="inlineStr">
        <is>
          <t>No Video ID yet</t>
        </is>
      </c>
      <c r="S2965" s="46" t="n"/>
      <c r="T2965" s="46" t="n"/>
      <c r="U2965" s="44" t="n"/>
      <c r="V2965" s="44">
        <f>IF(AND(P2965&gt;=Calendar!$K$2,P2965&lt;EDATE(Calendar!$K$2,1),OR(Calendar!$K$4="*",N2965=Calendar!$K$4)),P2965*100+COUNTIFS($P$6:$P$3271,P2965,$Q$6:$Q$3271,"&lt;="&amp;Q2965,$N$6:$N$3271,Calendar!$K$4),"")</f>
        <v/>
      </c>
      <c r="W2965" s="44">
        <f>IF(AND(B2965=Queue!$C$4,OR(Queue!$K$4="*",N2965=Queue!$K$4)),Q2965,"")</f>
        <v/>
      </c>
    </row>
    <row r="2966">
      <c r="A2966" s="35">
        <f>IF(M2966="","",HYPERLINK("https://www.youtube.com/watch?v="&amp;M2966,"▶"))</f>
        <v/>
      </c>
      <c r="B2966" s="36">
        <f>IF(C2966&lt;&gt;"",C2966,IF(P2966&lt;=IFERROR(INDEX(tblChannels[Watched Through],MATCH(N2966,tblChannels[Channel ID],0)),0),"Watched","Unwatched"))</f>
        <v/>
      </c>
      <c r="C2966" s="37" t="n"/>
      <c r="D2966" s="38" t="n"/>
      <c r="E2966" s="39" t="n">
        <v>41590.34583333333</v>
      </c>
      <c r="F2966" s="49" t="inlineStr">
        <is>
          <t>Super Carlin Gaming</t>
        </is>
      </c>
      <c r="G2966" t="inlineStr">
        <is>
          <t>Pokemon FireRed Nuzlocke Challenge #6 - SO MANY DIGLETTS</t>
        </is>
      </c>
      <c r="H2966" s="41" t="n">
        <v>0.01890046296296296</v>
      </c>
      <c r="I2966" s="42" t="n">
        <v>41942</v>
      </c>
      <c r="J2966" s="42" t="n">
        <v>642</v>
      </c>
      <c r="K2966" s="42" t="n">
        <v>175</v>
      </c>
      <c r="L2966" s="43" t="n"/>
      <c r="M2966" s="44" t="n"/>
      <c r="N2966" s="44" t="inlineStr">
        <is>
          <t>UCor_9jRnNNZVzTuQ92PKsaQ</t>
        </is>
      </c>
      <c r="O2966" s="45" t="n">
        <v>41590.55416666667</v>
      </c>
      <c r="P2966" s="46" t="n">
        <v>41590</v>
      </c>
      <c r="Q2966" s="44" t="n">
        <v>306</v>
      </c>
      <c r="R2966" s="44" t="inlineStr">
        <is>
          <t>No Video ID yet</t>
        </is>
      </c>
      <c r="S2966" s="46" t="n"/>
      <c r="T2966" s="46" t="n"/>
      <c r="U2966" s="44" t="n"/>
      <c r="V2966" s="44">
        <f>IF(AND(P2966&gt;=Calendar!$K$2,P2966&lt;EDATE(Calendar!$K$2,1),OR(Calendar!$K$4="*",N2966=Calendar!$K$4)),P2966*100+COUNTIFS($P$6:$P$3271,P2966,$Q$6:$Q$3271,"&lt;="&amp;Q2966,$N$6:$N$3271,Calendar!$K$4),"")</f>
        <v/>
      </c>
      <c r="W2966" s="44">
        <f>IF(AND(B2966=Queue!$C$4,OR(Queue!$K$4="*",N2966=Queue!$K$4)),Q2966,"")</f>
        <v/>
      </c>
    </row>
    <row r="2967">
      <c r="A2967" s="35">
        <f>IF(M2967="","",HYPERLINK("https://www.youtube.com/watch?v="&amp;M2967,"▶"))</f>
        <v/>
      </c>
      <c r="B2967" s="36">
        <f>IF(C2967&lt;&gt;"",C2967,IF(P2967&lt;=IFERROR(INDEX(tblChannels[Watched Through],MATCH(N2967,tblChannels[Channel ID],0)),0),"Watched","Unwatched"))</f>
        <v/>
      </c>
      <c r="C2967" s="37" t="n"/>
      <c r="D2967" s="38" t="n"/>
      <c r="E2967" s="39" t="n">
        <v>41583.86666666667</v>
      </c>
      <c r="F2967" s="47" t="inlineStr">
        <is>
          <t>Super Carlin Brothers</t>
        </is>
      </c>
      <c r="G2967" t="inlineStr">
        <is>
          <t>Machines Control Your Thoughts!</t>
        </is>
      </c>
      <c r="H2967" s="41" t="n">
        <v>0.00306712962962963</v>
      </c>
      <c r="I2967" s="42" t="n">
        <v>30918</v>
      </c>
      <c r="J2967" s="42" t="n">
        <v>776</v>
      </c>
      <c r="K2967" s="42" t="n">
        <v>162</v>
      </c>
      <c r="L2967" s="43" t="n"/>
      <c r="M2967" s="44" t="n"/>
      <c r="N2967" s="44" t="inlineStr">
        <is>
          <t>UCKZo4N0lVPccBkSiuyVh4yg</t>
        </is>
      </c>
      <c r="O2967" s="45" t="n">
        <v>41584.075</v>
      </c>
      <c r="P2967" s="46" t="n">
        <v>41583</v>
      </c>
      <c r="Q2967" s="44" t="n">
        <v>305</v>
      </c>
      <c r="R2967" s="44" t="inlineStr">
        <is>
          <t>No Video ID yet</t>
        </is>
      </c>
      <c r="S2967" s="46" t="n"/>
      <c r="T2967" s="46" t="n"/>
      <c r="U2967" s="44" t="n"/>
      <c r="V2967" s="44">
        <f>IF(AND(P2967&gt;=Calendar!$K$2,P2967&lt;EDATE(Calendar!$K$2,1),OR(Calendar!$K$4="*",N2967=Calendar!$K$4)),P2967*100+COUNTIFS($P$6:$P$3271,P2967,$Q$6:$Q$3271,"&lt;="&amp;Q2967,$N$6:$N$3271,Calendar!$K$4),"")</f>
        <v/>
      </c>
      <c r="W2967" s="44">
        <f>IF(AND(B2967=Queue!$C$4,OR(Queue!$K$4="*",N2967=Queue!$K$4)),Q2967,"")</f>
        <v/>
      </c>
    </row>
    <row r="2968">
      <c r="A2968" s="35">
        <f>IF(M2968="","",HYPERLINK("https://www.youtube.com/watch?v="&amp;M2968,"▶"))</f>
        <v/>
      </c>
      <c r="B2968" s="36">
        <f>IF(C2968&lt;&gt;"",C2968,IF(P2968&lt;=IFERROR(INDEX(tblChannels[Watched Through],MATCH(N2968,tblChannels[Channel ID],0)),0),"Watched","Unwatched"))</f>
        <v/>
      </c>
      <c r="C2968" s="37" t="n"/>
      <c r="D2968" s="38" t="n"/>
      <c r="E2968" s="39" t="n">
        <v>41578.88888888889</v>
      </c>
      <c r="F2968" s="47" t="inlineStr">
        <is>
          <t>Super Carlin Brothers</t>
        </is>
      </c>
      <c r="G2968" t="inlineStr">
        <is>
          <t>Halloween Curse</t>
        </is>
      </c>
      <c r="H2968" s="41" t="n">
        <v>0.0008217592592592593</v>
      </c>
      <c r="I2968" s="42" t="n">
        <v>9990</v>
      </c>
      <c r="J2968" s="42" t="n">
        <v>185</v>
      </c>
      <c r="K2968" s="42" t="n">
        <v>22</v>
      </c>
      <c r="L2968" s="43" t="n"/>
      <c r="M2968" s="44" t="n"/>
      <c r="N2968" s="44" t="inlineStr">
        <is>
          <t>UCKZo4N0lVPccBkSiuyVh4yg</t>
        </is>
      </c>
      <c r="O2968" s="45" t="n">
        <v>41579.05555555555</v>
      </c>
      <c r="P2968" s="46" t="n">
        <v>41578</v>
      </c>
      <c r="Q2968" s="44" t="n">
        <v>304</v>
      </c>
      <c r="R2968" s="44" t="inlineStr">
        <is>
          <t>No Video ID yet</t>
        </is>
      </c>
      <c r="S2968" s="46" t="n"/>
      <c r="T2968" s="46" t="n"/>
      <c r="U2968" s="44" t="n"/>
      <c r="V2968" s="44">
        <f>IF(AND(P2968&gt;=Calendar!$K$2,P2968&lt;EDATE(Calendar!$K$2,1),OR(Calendar!$K$4="*",N2968=Calendar!$K$4)),P2968*100+COUNTIFS($P$6:$P$3271,P2968,$Q$6:$Q$3271,"&lt;="&amp;Q2968,$N$6:$N$3271,Calendar!$K$4),"")</f>
        <v/>
      </c>
      <c r="W2968" s="44">
        <f>IF(AND(B2968=Queue!$C$4,OR(Queue!$K$4="*",N2968=Queue!$K$4)),Q2968,"")</f>
        <v/>
      </c>
    </row>
    <row r="2969">
      <c r="A2969" s="35">
        <f>IF(M2969="","",HYPERLINK("https://www.youtube.com/watch?v="&amp;M2969,"▶"))</f>
        <v/>
      </c>
      <c r="B2969" s="36">
        <f>IF(C2969&lt;&gt;"",C2969,IF(P2969&lt;=IFERROR(INDEX(tblChannels[Watched Through],MATCH(N2969,tblChannels[Channel ID],0)),0),"Watched","Unwatched"))</f>
        <v/>
      </c>
      <c r="C2969" s="37" t="n"/>
      <c r="D2969" s="38" t="n"/>
      <c r="E2969" s="39" t="n">
        <v>41576.88541666666</v>
      </c>
      <c r="F2969" s="47" t="inlineStr">
        <is>
          <t>Super Carlin Brothers</t>
        </is>
      </c>
      <c r="G2969" t="inlineStr">
        <is>
          <t>FIRST IMPRESSIONS</t>
        </is>
      </c>
      <c r="H2969" s="41" t="n">
        <v>0.002222222222222222</v>
      </c>
      <c r="I2969" s="42" t="n">
        <v>23007</v>
      </c>
      <c r="J2969" s="42" t="n">
        <v>497</v>
      </c>
      <c r="K2969" s="42" t="n">
        <v>73</v>
      </c>
      <c r="L2969" s="43" t="n"/>
      <c r="M2969" s="44" t="n"/>
      <c r="N2969" s="44" t="inlineStr">
        <is>
          <t>UCKZo4N0lVPccBkSiuyVh4yg</t>
        </is>
      </c>
      <c r="O2969" s="45" t="n">
        <v>41577.05208333334</v>
      </c>
      <c r="P2969" s="46" t="n">
        <v>41576</v>
      </c>
      <c r="Q2969" s="44" t="n">
        <v>303</v>
      </c>
      <c r="R2969" s="44" t="inlineStr">
        <is>
          <t>No Video ID yet</t>
        </is>
      </c>
      <c r="S2969" s="46" t="n"/>
      <c r="T2969" s="46" t="n"/>
      <c r="U2969" s="44" t="n"/>
      <c r="V2969" s="44">
        <f>IF(AND(P2969&gt;=Calendar!$K$2,P2969&lt;EDATE(Calendar!$K$2,1),OR(Calendar!$K$4="*",N2969=Calendar!$K$4)),P2969*100+COUNTIFS($P$6:$P$3271,P2969,$Q$6:$Q$3271,"&lt;="&amp;Q2969,$N$6:$N$3271,Calendar!$K$4),"")</f>
        <v/>
      </c>
      <c r="W2969" s="44">
        <f>IF(AND(B2969=Queue!$C$4,OR(Queue!$K$4="*",N2969=Queue!$K$4)),Q2969,"")</f>
        <v/>
      </c>
    </row>
    <row r="2970">
      <c r="A2970" s="35">
        <f>IF(M2970="","",HYPERLINK("https://www.youtube.com/watch?v="&amp;M2970,"▶"))</f>
        <v/>
      </c>
      <c r="B2970" s="36">
        <f>IF(C2970&lt;&gt;"",C2970,IF(P2970&lt;=IFERROR(INDEX(tblChannels[Watched Through],MATCH(N2970,tblChannels[Channel ID],0)),0),"Watched","Unwatched"))</f>
        <v/>
      </c>
      <c r="C2970" s="37" t="n"/>
      <c r="D2970" s="38" t="n"/>
      <c r="E2970" s="39" t="n">
        <v>41576.30763888889</v>
      </c>
      <c r="F2970" s="49" t="inlineStr">
        <is>
          <t>Super Carlin Gaming</t>
        </is>
      </c>
      <c r="G2970" t="inlineStr">
        <is>
          <t>Pokemon FireRed Nuzlocke Challenge #5 - Feisty Kids</t>
        </is>
      </c>
      <c r="H2970" s="41" t="n">
        <v>0.02023148148148148</v>
      </c>
      <c r="I2970" s="42" t="n">
        <v>47564</v>
      </c>
      <c r="J2970" s="42" t="n">
        <v>646</v>
      </c>
      <c r="K2970" s="42" t="n">
        <v>87</v>
      </c>
      <c r="L2970" s="43" t="n"/>
      <c r="M2970" s="44" t="n"/>
      <c r="N2970" s="44" t="inlineStr">
        <is>
          <t>UCor_9jRnNNZVzTuQ92PKsaQ</t>
        </is>
      </c>
      <c r="O2970" s="45" t="n">
        <v>41576.47430555556</v>
      </c>
      <c r="P2970" s="46" t="n">
        <v>41576</v>
      </c>
      <c r="Q2970" s="44" t="n">
        <v>302</v>
      </c>
      <c r="R2970" s="44" t="inlineStr">
        <is>
          <t>No Video ID yet</t>
        </is>
      </c>
      <c r="S2970" s="46" t="n"/>
      <c r="T2970" s="46" t="n"/>
      <c r="U2970" s="44" t="n"/>
      <c r="V2970" s="44">
        <f>IF(AND(P2970&gt;=Calendar!$K$2,P2970&lt;EDATE(Calendar!$K$2,1),OR(Calendar!$K$4="*",N2970=Calendar!$K$4)),P2970*100+COUNTIFS($P$6:$P$3271,P2970,$Q$6:$Q$3271,"&lt;="&amp;Q2970,$N$6:$N$3271,Calendar!$K$4),"")</f>
        <v/>
      </c>
      <c r="W2970" s="44">
        <f>IF(AND(B2970=Queue!$C$4,OR(Queue!$K$4="*",N2970=Queue!$K$4)),Q2970,"")</f>
        <v/>
      </c>
    </row>
    <row r="2971">
      <c r="A2971" s="35">
        <f>IF(M2971="","",HYPERLINK("https://www.youtube.com/watch?v="&amp;M2971,"▶"))</f>
        <v/>
      </c>
      <c r="B2971" s="36">
        <f>IF(C2971&lt;&gt;"",C2971,IF(P2971&lt;=IFERROR(INDEX(tblChannels[Watched Through],MATCH(N2971,tblChannels[Channel ID],0)),0),"Watched","Unwatched"))</f>
        <v/>
      </c>
      <c r="C2971" s="37" t="n"/>
      <c r="D2971" s="38" t="n"/>
      <c r="E2971" s="39" t="n">
        <v>41571.94513888889</v>
      </c>
      <c r="F2971" s="47" t="inlineStr">
        <is>
          <t>Super Carlin Brothers</t>
        </is>
      </c>
      <c r="G2971" t="inlineStr">
        <is>
          <t>Snapshot</t>
        </is>
      </c>
      <c r="H2971" s="41" t="n">
        <v>0.001539351851851852</v>
      </c>
      <c r="I2971" s="42" t="n">
        <v>8588</v>
      </c>
      <c r="J2971" s="42" t="n">
        <v>195</v>
      </c>
      <c r="K2971" s="42" t="n">
        <v>34</v>
      </c>
      <c r="L2971" s="43" t="n"/>
      <c r="M2971" s="44" t="n"/>
      <c r="N2971" s="44" t="inlineStr">
        <is>
          <t>UCKZo4N0lVPccBkSiuyVh4yg</t>
        </is>
      </c>
      <c r="O2971" s="45" t="n">
        <v>41572.11180555556</v>
      </c>
      <c r="P2971" s="46" t="n">
        <v>41571</v>
      </c>
      <c r="Q2971" s="44" t="n">
        <v>301</v>
      </c>
      <c r="R2971" s="44" t="inlineStr">
        <is>
          <t>No Video ID yet</t>
        </is>
      </c>
      <c r="S2971" s="46" t="n"/>
      <c r="T2971" s="46" t="n"/>
      <c r="U2971" s="44" t="n"/>
      <c r="V2971" s="44">
        <f>IF(AND(P2971&gt;=Calendar!$K$2,P2971&lt;EDATE(Calendar!$K$2,1),OR(Calendar!$K$4="*",N2971=Calendar!$K$4)),P2971*100+COUNTIFS($P$6:$P$3271,P2971,$Q$6:$Q$3271,"&lt;="&amp;Q2971,$N$6:$N$3271,Calendar!$K$4),"")</f>
        <v/>
      </c>
      <c r="W2971" s="44">
        <f>IF(AND(B2971=Queue!$C$4,OR(Queue!$K$4="*",N2971=Queue!$K$4)),Q2971,"")</f>
        <v/>
      </c>
    </row>
    <row r="2972">
      <c r="A2972" s="35">
        <f>IF(M2972="","",HYPERLINK("https://www.youtube.com/watch?v="&amp;M2972,"▶"))</f>
        <v/>
      </c>
      <c r="B2972" s="36">
        <f>IF(C2972&lt;&gt;"",C2972,IF(P2972&lt;=IFERROR(INDEX(tblChannels[Watched Through],MATCH(N2972,tblChannels[Channel ID],0)),0),"Watched","Unwatched"))</f>
        <v/>
      </c>
      <c r="C2972" s="37" t="n"/>
      <c r="D2972" s="38" t="n"/>
      <c r="E2972" s="39" t="n">
        <v>41569.92361111111</v>
      </c>
      <c r="F2972" s="47" t="inlineStr">
        <is>
          <t>Super Carlin Brothers</t>
        </is>
      </c>
      <c r="G2972" t="inlineStr">
        <is>
          <t>SMILE!</t>
        </is>
      </c>
      <c r="H2972" s="41" t="n">
        <v>0.001539351851851852</v>
      </c>
      <c r="I2972" s="42" t="n">
        <v>12641</v>
      </c>
      <c r="J2972" s="42" t="n">
        <v>461</v>
      </c>
      <c r="K2972" s="42" t="n">
        <v>73</v>
      </c>
      <c r="L2972" s="43" t="n"/>
      <c r="M2972" s="44" t="n"/>
      <c r="N2972" s="44" t="inlineStr">
        <is>
          <t>UCKZo4N0lVPccBkSiuyVh4yg</t>
        </is>
      </c>
      <c r="O2972" s="45" t="n">
        <v>41570.09027777778</v>
      </c>
      <c r="P2972" s="46" t="n">
        <v>41569</v>
      </c>
      <c r="Q2972" s="44" t="n">
        <v>300</v>
      </c>
      <c r="R2972" s="44" t="inlineStr">
        <is>
          <t>No Video ID yet</t>
        </is>
      </c>
      <c r="S2972" s="46" t="n"/>
      <c r="T2972" s="46" t="n"/>
      <c r="U2972" s="44" t="n"/>
      <c r="V2972" s="44">
        <f>IF(AND(P2972&gt;=Calendar!$K$2,P2972&lt;EDATE(Calendar!$K$2,1),OR(Calendar!$K$4="*",N2972=Calendar!$K$4)),P2972*100+COUNTIFS($P$6:$P$3271,P2972,$Q$6:$Q$3271,"&lt;="&amp;Q2972,$N$6:$N$3271,Calendar!$K$4),"")</f>
        <v/>
      </c>
      <c r="W2972" s="44">
        <f>IF(AND(B2972=Queue!$C$4,OR(Queue!$K$4="*",N2972=Queue!$K$4)),Q2972,"")</f>
        <v/>
      </c>
    </row>
    <row r="2973">
      <c r="A2973" s="35">
        <f>IF(M2973="","",HYPERLINK("https://www.youtube.com/watch?v="&amp;M2973,"▶"))</f>
        <v/>
      </c>
      <c r="B2973" s="36">
        <f>IF(C2973&lt;&gt;"",C2973,IF(P2973&lt;=IFERROR(INDEX(tblChannels[Watched Through],MATCH(N2973,tblChannels[Channel ID],0)),0),"Watched","Unwatched"))</f>
        <v/>
      </c>
      <c r="C2973" s="37" t="n"/>
      <c r="D2973" s="38" t="n"/>
      <c r="E2973" s="39" t="n">
        <v>41569.19097222222</v>
      </c>
      <c r="F2973" s="49" t="inlineStr">
        <is>
          <t>Super Carlin Gaming</t>
        </is>
      </c>
      <c r="G2973" t="inlineStr">
        <is>
          <t>Pokemon FireRed Nuzlocke Challenge #4 - Someone will die..</t>
        </is>
      </c>
      <c r="H2973" s="41" t="n">
        <v>0.01555555555555556</v>
      </c>
      <c r="I2973" s="42" t="n">
        <v>51625</v>
      </c>
      <c r="J2973" s="42" t="n">
        <v>696</v>
      </c>
      <c r="K2973" s="42" t="n">
        <v>134</v>
      </c>
      <c r="L2973" s="43" t="n"/>
      <c r="M2973" s="44" t="n"/>
      <c r="N2973" s="44" t="inlineStr">
        <is>
          <t>UCor_9jRnNNZVzTuQ92PKsaQ</t>
        </is>
      </c>
      <c r="O2973" s="45" t="n">
        <v>41569.35763888889</v>
      </c>
      <c r="P2973" s="46" t="n">
        <v>41569</v>
      </c>
      <c r="Q2973" s="44" t="n">
        <v>299</v>
      </c>
      <c r="R2973" s="44" t="inlineStr">
        <is>
          <t>No Video ID yet</t>
        </is>
      </c>
      <c r="S2973" s="46" t="n"/>
      <c r="T2973" s="46" t="n"/>
      <c r="U2973" s="44" t="n"/>
      <c r="V2973" s="44">
        <f>IF(AND(P2973&gt;=Calendar!$K$2,P2973&lt;EDATE(Calendar!$K$2,1),OR(Calendar!$K$4="*",N2973=Calendar!$K$4)),P2973*100+COUNTIFS($P$6:$P$3271,P2973,$Q$6:$Q$3271,"&lt;="&amp;Q2973,$N$6:$N$3271,Calendar!$K$4),"")</f>
        <v/>
      </c>
      <c r="W2973" s="44">
        <f>IF(AND(B2973=Queue!$C$4,OR(Queue!$K$4="*",N2973=Queue!$K$4)),Q2973,"")</f>
        <v/>
      </c>
    </row>
    <row r="2974">
      <c r="A2974" s="35">
        <f>IF(M2974="","",HYPERLINK("https://www.youtube.com/watch?v="&amp;M2974,"▶"))</f>
        <v/>
      </c>
      <c r="B2974" s="36">
        <f>IF(C2974&lt;&gt;"",C2974,IF(P2974&lt;=IFERROR(INDEX(tblChannels[Watched Through],MATCH(N2974,tblChannels[Channel ID],0)),0),"Watched","Unwatched"))</f>
        <v/>
      </c>
      <c r="C2974" s="37" t="n"/>
      <c r="D2974" s="38" t="n"/>
      <c r="E2974" s="39" t="n">
        <v>41564.77638888889</v>
      </c>
      <c r="F2974" s="47" t="inlineStr">
        <is>
          <t>Super Carlin Brothers</t>
        </is>
      </c>
      <c r="G2974" t="inlineStr">
        <is>
          <t>Bragging</t>
        </is>
      </c>
      <c r="H2974" s="41" t="n">
        <v>0.002766203703703704</v>
      </c>
      <c r="I2974" s="42" t="n">
        <v>9962</v>
      </c>
      <c r="J2974" s="42" t="n">
        <v>215</v>
      </c>
      <c r="K2974" s="42" t="n">
        <v>33</v>
      </c>
      <c r="L2974" s="43" t="n"/>
      <c r="M2974" s="44" t="n"/>
      <c r="N2974" s="44" t="inlineStr">
        <is>
          <t>UCKZo4N0lVPccBkSiuyVh4yg</t>
        </is>
      </c>
      <c r="O2974" s="45" t="n">
        <v>41564.94305555556</v>
      </c>
      <c r="P2974" s="46" t="n">
        <v>41564</v>
      </c>
      <c r="Q2974" s="44" t="n">
        <v>298</v>
      </c>
      <c r="R2974" s="44" t="inlineStr">
        <is>
          <t>No Video ID yet</t>
        </is>
      </c>
      <c r="S2974" s="46" t="n"/>
      <c r="T2974" s="46" t="n"/>
      <c r="U2974" s="44" t="n"/>
      <c r="V2974" s="44">
        <f>IF(AND(P2974&gt;=Calendar!$K$2,P2974&lt;EDATE(Calendar!$K$2,1),OR(Calendar!$K$4="*",N2974=Calendar!$K$4)),P2974*100+COUNTIFS($P$6:$P$3271,P2974,$Q$6:$Q$3271,"&lt;="&amp;Q2974,$N$6:$N$3271,Calendar!$K$4),"")</f>
        <v/>
      </c>
      <c r="W2974" s="44">
        <f>IF(AND(B2974=Queue!$C$4,OR(Queue!$K$4="*",N2974=Queue!$K$4)),Q2974,"")</f>
        <v/>
      </c>
    </row>
    <row r="2975">
      <c r="A2975" s="35">
        <f>IF(M2975="","",HYPERLINK("https://www.youtube.com/watch?v="&amp;M2975,"▶"))</f>
        <v/>
      </c>
      <c r="B2975" s="36">
        <f>IF(C2975&lt;&gt;"",C2975,IF(P2975&lt;=IFERROR(INDEX(tblChannels[Watched Through],MATCH(N2975,tblChannels[Channel ID],0)),0),"Watched","Unwatched"))</f>
        <v/>
      </c>
      <c r="C2975" s="37" t="n"/>
      <c r="D2975" s="38" t="n"/>
      <c r="E2975" s="39" t="n">
        <v>41562.85</v>
      </c>
      <c r="F2975" s="47" t="inlineStr">
        <is>
          <t>Super Carlin Brothers</t>
        </is>
      </c>
      <c r="G2975" t="inlineStr">
        <is>
          <t>The Other 90%</t>
        </is>
      </c>
      <c r="H2975" s="41" t="n">
        <v>0.003321759259259259</v>
      </c>
      <c r="I2975" s="42" t="n">
        <v>79641</v>
      </c>
      <c r="J2975" s="42" t="n">
        <v>1480</v>
      </c>
      <c r="K2975" s="42" t="n">
        <v>192</v>
      </c>
      <c r="L2975" s="43" t="n"/>
      <c r="M2975" s="44" t="n"/>
      <c r="N2975" s="44" t="inlineStr">
        <is>
          <t>UCKZo4N0lVPccBkSiuyVh4yg</t>
        </is>
      </c>
      <c r="O2975" s="45" t="n">
        <v>41563.01666666667</v>
      </c>
      <c r="P2975" s="46" t="n">
        <v>41562</v>
      </c>
      <c r="Q2975" s="44" t="n">
        <v>297</v>
      </c>
      <c r="R2975" s="44" t="inlineStr">
        <is>
          <t>No Video ID yet</t>
        </is>
      </c>
      <c r="S2975" s="46" t="n"/>
      <c r="T2975" s="46" t="n"/>
      <c r="U2975" s="44" t="n"/>
      <c r="V2975" s="44">
        <f>IF(AND(P2975&gt;=Calendar!$K$2,P2975&lt;EDATE(Calendar!$K$2,1),OR(Calendar!$K$4="*",N2975=Calendar!$K$4)),P2975*100+COUNTIFS($P$6:$P$3271,P2975,$Q$6:$Q$3271,"&lt;="&amp;Q2975,$N$6:$N$3271,Calendar!$K$4),"")</f>
        <v/>
      </c>
      <c r="W2975" s="44">
        <f>IF(AND(B2975=Queue!$C$4,OR(Queue!$K$4="*",N2975=Queue!$K$4)),Q2975,"")</f>
        <v/>
      </c>
    </row>
    <row r="2976">
      <c r="A2976" s="35">
        <f>IF(M2976="","",HYPERLINK("https://www.youtube.com/watch?v="&amp;M2976,"▶"))</f>
        <v/>
      </c>
      <c r="B2976" s="36">
        <f>IF(C2976&lt;&gt;"",C2976,IF(P2976&lt;=IFERROR(INDEX(tblChannels[Watched Through],MATCH(N2976,tblChannels[Channel ID],0)),0),"Watched","Unwatched"))</f>
        <v/>
      </c>
      <c r="C2976" s="37" t="n"/>
      <c r="D2976" s="38" t="n"/>
      <c r="E2976" s="39" t="n">
        <v>41560.75625</v>
      </c>
      <c r="F2976" s="49" t="inlineStr">
        <is>
          <t>Super Carlin Gaming</t>
        </is>
      </c>
      <c r="G2976" t="inlineStr">
        <is>
          <t>Pokemon FireRed Nuzlocke Challenge #3 - I like shorts!</t>
        </is>
      </c>
      <c r="H2976" s="41" t="n">
        <v>0.01733796296296296</v>
      </c>
      <c r="I2976" s="42" t="n">
        <v>56185</v>
      </c>
      <c r="J2976" s="42" t="n">
        <v>817</v>
      </c>
      <c r="K2976" s="42" t="n">
        <v>135</v>
      </c>
      <c r="L2976" s="43" t="n"/>
      <c r="M2976" s="44" t="n"/>
      <c r="N2976" s="44" t="inlineStr">
        <is>
          <t>UCor_9jRnNNZVzTuQ92PKsaQ</t>
        </is>
      </c>
      <c r="O2976" s="45" t="n">
        <v>41560.92291666667</v>
      </c>
      <c r="P2976" s="46" t="n">
        <v>41560</v>
      </c>
      <c r="Q2976" s="44" t="n">
        <v>296</v>
      </c>
      <c r="R2976" s="44" t="inlineStr">
        <is>
          <t>No Video ID yet</t>
        </is>
      </c>
      <c r="S2976" s="46" t="n"/>
      <c r="T2976" s="46" t="n"/>
      <c r="U2976" s="44" t="n"/>
      <c r="V2976" s="44">
        <f>IF(AND(P2976&gt;=Calendar!$K$2,P2976&lt;EDATE(Calendar!$K$2,1),OR(Calendar!$K$4="*",N2976=Calendar!$K$4)),P2976*100+COUNTIFS($P$6:$P$3271,P2976,$Q$6:$Q$3271,"&lt;="&amp;Q2976,$N$6:$N$3271,Calendar!$K$4),"")</f>
        <v/>
      </c>
      <c r="W2976" s="44">
        <f>IF(AND(B2976=Queue!$C$4,OR(Queue!$K$4="*",N2976=Queue!$K$4)),Q2976,"")</f>
        <v/>
      </c>
    </row>
    <row r="2977">
      <c r="A2977" s="35">
        <f>IF(M2977="","",HYPERLINK("https://www.youtube.com/watch?v="&amp;M2977,"▶"))</f>
        <v/>
      </c>
      <c r="B2977" s="36">
        <f>IF(C2977&lt;&gt;"",C2977,IF(P2977&lt;=IFERROR(INDEX(tblChannels[Watched Through],MATCH(N2977,tblChannels[Channel ID],0)),0),"Watched","Unwatched"))</f>
        <v/>
      </c>
      <c r="C2977" s="37" t="n"/>
      <c r="D2977" s="38" t="n"/>
      <c r="E2977" s="39" t="n">
        <v>41557.8875</v>
      </c>
      <c r="F2977" s="47" t="inlineStr">
        <is>
          <t>Super Carlin Brothers</t>
        </is>
      </c>
      <c r="G2977" t="inlineStr">
        <is>
          <t>10%</t>
        </is>
      </c>
      <c r="H2977" s="41" t="n">
        <v>0.002627314814814815</v>
      </c>
      <c r="I2977" s="42" t="n">
        <v>14287</v>
      </c>
      <c r="J2977" s="42" t="n">
        <v>281</v>
      </c>
      <c r="K2977" s="42" t="n">
        <v>20</v>
      </c>
      <c r="L2977" s="43" t="n"/>
      <c r="M2977" s="44" t="n"/>
      <c r="N2977" s="44" t="inlineStr">
        <is>
          <t>UCKZo4N0lVPccBkSiuyVh4yg</t>
        </is>
      </c>
      <c r="O2977" s="45" t="n">
        <v>41558.05416666667</v>
      </c>
      <c r="P2977" s="46" t="n">
        <v>41557</v>
      </c>
      <c r="Q2977" s="44" t="n">
        <v>295</v>
      </c>
      <c r="R2977" s="44" t="inlineStr">
        <is>
          <t>No Video ID yet</t>
        </is>
      </c>
      <c r="S2977" s="46" t="n"/>
      <c r="T2977" s="46" t="n"/>
      <c r="U2977" s="44" t="n"/>
      <c r="V2977" s="44">
        <f>IF(AND(P2977&gt;=Calendar!$K$2,P2977&lt;EDATE(Calendar!$K$2,1),OR(Calendar!$K$4="*",N2977=Calendar!$K$4)),P2977*100+COUNTIFS($P$6:$P$3271,P2977,$Q$6:$Q$3271,"&lt;="&amp;Q2977,$N$6:$N$3271,Calendar!$K$4),"")</f>
        <v/>
      </c>
      <c r="W2977" s="44">
        <f>IF(AND(B2977=Queue!$C$4,OR(Queue!$K$4="*",N2977=Queue!$K$4)),Q2977,"")</f>
        <v/>
      </c>
    </row>
    <row r="2978">
      <c r="A2978" s="35">
        <f>IF(M2978="","",HYPERLINK("https://www.youtube.com/watch?v="&amp;M2978,"▶"))</f>
        <v/>
      </c>
      <c r="B2978" s="36">
        <f>IF(C2978&lt;&gt;"",C2978,IF(P2978&lt;=IFERROR(INDEX(tblChannels[Watched Through],MATCH(N2978,tblChannels[Channel ID],0)),0),"Watched","Unwatched"))</f>
        <v/>
      </c>
      <c r="C2978" s="37" t="n"/>
      <c r="D2978" s="38" t="n"/>
      <c r="E2978" s="39" t="n">
        <v>41555.80972222222</v>
      </c>
      <c r="F2978" s="47" t="inlineStr">
        <is>
          <t>Super Carlin Brothers</t>
        </is>
      </c>
      <c r="G2978" t="inlineStr">
        <is>
          <t>NETFLIX Cheating</t>
        </is>
      </c>
      <c r="H2978" s="41" t="n">
        <v>0.002627314814814815</v>
      </c>
      <c r="I2978" s="42" t="n">
        <v>160433</v>
      </c>
      <c r="J2978" s="42" t="n">
        <v>2613</v>
      </c>
      <c r="K2978" s="42" t="n">
        <v>386</v>
      </c>
      <c r="L2978" s="43" t="n"/>
      <c r="M2978" s="44" t="n"/>
      <c r="N2978" s="44" t="inlineStr">
        <is>
          <t>UCKZo4N0lVPccBkSiuyVh4yg</t>
        </is>
      </c>
      <c r="O2978" s="45" t="n">
        <v>41555.97638888889</v>
      </c>
      <c r="P2978" s="46" t="n">
        <v>41555</v>
      </c>
      <c r="Q2978" s="44" t="n">
        <v>294</v>
      </c>
      <c r="R2978" s="44" t="inlineStr">
        <is>
          <t>No Video ID yet</t>
        </is>
      </c>
      <c r="S2978" s="46" t="n"/>
      <c r="T2978" s="46" t="n"/>
      <c r="U2978" s="44" t="n"/>
      <c r="V2978" s="44">
        <f>IF(AND(P2978&gt;=Calendar!$K$2,P2978&lt;EDATE(Calendar!$K$2,1),OR(Calendar!$K$4="*",N2978=Calendar!$K$4)),P2978*100+COUNTIFS($P$6:$P$3271,P2978,$Q$6:$Q$3271,"&lt;="&amp;Q2978,$N$6:$N$3271,Calendar!$K$4),"")</f>
        <v/>
      </c>
      <c r="W2978" s="44">
        <f>IF(AND(B2978=Queue!$C$4,OR(Queue!$K$4="*",N2978=Queue!$K$4)),Q2978,"")</f>
        <v/>
      </c>
    </row>
    <row r="2979">
      <c r="A2979" s="35">
        <f>IF(M2979="","",HYPERLINK("https://www.youtube.com/watch?v="&amp;M2979,"▶"))</f>
        <v/>
      </c>
      <c r="B2979" s="36">
        <f>IF(C2979&lt;&gt;"",C2979,IF(P2979&lt;=IFERROR(INDEX(tblChannels[Watched Through],MATCH(N2979,tblChannels[Channel ID],0)),0),"Watched","Unwatched"))</f>
        <v/>
      </c>
      <c r="C2979" s="37" t="n"/>
      <c r="D2979" s="38" t="n"/>
      <c r="E2979" s="39" t="n">
        <v>41553.44166666667</v>
      </c>
      <c r="F2979" s="49" t="inlineStr">
        <is>
          <t>Super Carlin Gaming</t>
        </is>
      </c>
      <c r="G2979" t="inlineStr">
        <is>
          <t>Pokemon FireRed Nuzlocke Challenge #2 - Jamming Out</t>
        </is>
      </c>
      <c r="H2979" s="41" t="n">
        <v>0.01586805555555556</v>
      </c>
      <c r="I2979" s="42" t="n">
        <v>65104</v>
      </c>
      <c r="J2979" s="42" t="n">
        <v>1174</v>
      </c>
      <c r="K2979" s="42" t="n">
        <v>162</v>
      </c>
      <c r="L2979" s="43" t="n"/>
      <c r="M2979" s="44" t="n"/>
      <c r="N2979" s="44" t="inlineStr">
        <is>
          <t>UCor_9jRnNNZVzTuQ92PKsaQ</t>
        </is>
      </c>
      <c r="O2979" s="45" t="n">
        <v>41553.60833333333</v>
      </c>
      <c r="P2979" s="46" t="n">
        <v>41553</v>
      </c>
      <c r="Q2979" s="44" t="n">
        <v>293</v>
      </c>
      <c r="R2979" s="44" t="inlineStr">
        <is>
          <t>No Video ID yet</t>
        </is>
      </c>
      <c r="S2979" s="46" t="n"/>
      <c r="T2979" s="46" t="n"/>
      <c r="U2979" s="44" t="n"/>
      <c r="V2979" s="44">
        <f>IF(AND(P2979&gt;=Calendar!$K$2,P2979&lt;EDATE(Calendar!$K$2,1),OR(Calendar!$K$4="*",N2979=Calendar!$K$4)),P2979*100+COUNTIFS($P$6:$P$3271,P2979,$Q$6:$Q$3271,"&lt;="&amp;Q2979,$N$6:$N$3271,Calendar!$K$4),"")</f>
        <v/>
      </c>
      <c r="W2979" s="44">
        <f>IF(AND(B2979=Queue!$C$4,OR(Queue!$K$4="*",N2979=Queue!$K$4)),Q2979,"")</f>
        <v/>
      </c>
    </row>
    <row r="2980">
      <c r="A2980" s="35">
        <f>IF(M2980="","",HYPERLINK("https://www.youtube.com/watch?v="&amp;M2980,"▶"))</f>
        <v/>
      </c>
      <c r="B2980" s="36">
        <f>IF(C2980&lt;&gt;"",C2980,IF(P2980&lt;=IFERROR(INDEX(tblChannels[Watched Through],MATCH(N2980,tblChannels[Channel ID],0)),0),"Watched","Unwatched"))</f>
        <v/>
      </c>
      <c r="C2980" s="37" t="n"/>
      <c r="D2980" s="38" t="n"/>
      <c r="E2980" s="39" t="n">
        <v>41550.88611111111</v>
      </c>
      <c r="F2980" s="47" t="inlineStr">
        <is>
          <t>Super Carlin Brothers</t>
        </is>
      </c>
      <c r="G2980" t="inlineStr">
        <is>
          <t>Boxers</t>
        </is>
      </c>
      <c r="H2980" s="41" t="n">
        <v>0.002534722222222222</v>
      </c>
      <c r="I2980" s="42" t="n">
        <v>14697</v>
      </c>
      <c r="J2980" s="42" t="n">
        <v>193</v>
      </c>
      <c r="K2980" s="42" t="n">
        <v>50</v>
      </c>
      <c r="L2980" s="43" t="n"/>
      <c r="M2980" s="44" t="n"/>
      <c r="N2980" s="44" t="inlineStr">
        <is>
          <t>UCKZo4N0lVPccBkSiuyVh4yg</t>
        </is>
      </c>
      <c r="O2980" s="45" t="n">
        <v>41551.05277777778</v>
      </c>
      <c r="P2980" s="46" t="n">
        <v>41550</v>
      </c>
      <c r="Q2980" s="44" t="n">
        <v>292</v>
      </c>
      <c r="R2980" s="44" t="inlineStr">
        <is>
          <t>No Video ID yet</t>
        </is>
      </c>
      <c r="S2980" s="46" t="n"/>
      <c r="T2980" s="46" t="n"/>
      <c r="U2980" s="44" t="n"/>
      <c r="V2980" s="44">
        <f>IF(AND(P2980&gt;=Calendar!$K$2,P2980&lt;EDATE(Calendar!$K$2,1),OR(Calendar!$K$4="*",N2980=Calendar!$K$4)),P2980*100+COUNTIFS($P$6:$P$3271,P2980,$Q$6:$Q$3271,"&lt;="&amp;Q2980,$N$6:$N$3271,Calendar!$K$4),"")</f>
        <v/>
      </c>
      <c r="W2980" s="44">
        <f>IF(AND(B2980=Queue!$C$4,OR(Queue!$K$4="*",N2980=Queue!$K$4)),Q2980,"")</f>
        <v/>
      </c>
    </row>
    <row r="2981">
      <c r="A2981" s="35">
        <f>IF(M2981="","",HYPERLINK("https://www.youtube.com/watch?v="&amp;M2981,"▶"))</f>
        <v/>
      </c>
      <c r="B2981" s="36">
        <f>IF(C2981&lt;&gt;"",C2981,IF(P2981&lt;=IFERROR(INDEX(tblChannels[Watched Through],MATCH(N2981,tblChannels[Channel ID],0)),0),"Watched","Unwatched"))</f>
        <v/>
      </c>
      <c r="C2981" s="37" t="n"/>
      <c r="D2981" s="38" t="n"/>
      <c r="E2981" s="39" t="n">
        <v>41548.93819444445</v>
      </c>
      <c r="F2981" s="47" t="inlineStr">
        <is>
          <t>Super Carlin Brothers</t>
        </is>
      </c>
      <c r="G2981" t="inlineStr">
        <is>
          <t>NUZLOCKE</t>
        </is>
      </c>
      <c r="H2981" s="41" t="n">
        <v>0.003460648148148148</v>
      </c>
      <c r="I2981" s="42" t="n">
        <v>34032</v>
      </c>
      <c r="J2981" s="42" t="n">
        <v>728</v>
      </c>
      <c r="K2981" s="42" t="n">
        <v>70</v>
      </c>
      <c r="L2981" s="43" t="n"/>
      <c r="M2981" s="44" t="n"/>
      <c r="N2981" s="44" t="inlineStr">
        <is>
          <t>UCKZo4N0lVPccBkSiuyVh4yg</t>
        </is>
      </c>
      <c r="O2981" s="45" t="n">
        <v>41549.10486111111</v>
      </c>
      <c r="P2981" s="46" t="n">
        <v>41548</v>
      </c>
      <c r="Q2981" s="44" t="n">
        <v>291</v>
      </c>
      <c r="R2981" s="44" t="inlineStr">
        <is>
          <t>No Video ID yet</t>
        </is>
      </c>
      <c r="S2981" s="46" t="n"/>
      <c r="T2981" s="46" t="n"/>
      <c r="U2981" s="44" t="n"/>
      <c r="V2981" s="44">
        <f>IF(AND(P2981&gt;=Calendar!$K$2,P2981&lt;EDATE(Calendar!$K$2,1),OR(Calendar!$K$4="*",N2981=Calendar!$K$4)),P2981*100+COUNTIFS($P$6:$P$3271,P2981,$Q$6:$Q$3271,"&lt;="&amp;Q2981,$N$6:$N$3271,Calendar!$K$4),"")</f>
        <v/>
      </c>
      <c r="W2981" s="44">
        <f>IF(AND(B2981=Queue!$C$4,OR(Queue!$K$4="*",N2981=Queue!$K$4)),Q2981,"")</f>
        <v/>
      </c>
    </row>
    <row r="2982">
      <c r="A2982" s="35">
        <f>IF(M2982="","",HYPERLINK("https://www.youtube.com/watch?v="&amp;M2982,"▶"))</f>
        <v/>
      </c>
      <c r="B2982" s="36">
        <f>IF(C2982&lt;&gt;"",C2982,IF(P2982&lt;=IFERROR(INDEX(tblChannels[Watched Through],MATCH(N2982,tblChannels[Channel ID],0)),0),"Watched","Unwatched"))</f>
        <v/>
      </c>
      <c r="C2982" s="37" t="n"/>
      <c r="D2982" s="38" t="n"/>
      <c r="E2982" s="39" t="n">
        <v>41547.92986111111</v>
      </c>
      <c r="F2982" s="49" t="inlineStr">
        <is>
          <t>Super Carlin Gaming</t>
        </is>
      </c>
      <c r="G2982" t="inlineStr">
        <is>
          <t>Pokemon FireRed Nuzlocke Challenge #1 - Enter Peaches</t>
        </is>
      </c>
      <c r="H2982" s="41" t="n">
        <v>0.01302083333333333</v>
      </c>
      <c r="I2982" s="42" t="n">
        <v>149150</v>
      </c>
      <c r="J2982" s="42" t="n">
        <v>1867</v>
      </c>
      <c r="K2982" s="42" t="n">
        <v>340</v>
      </c>
      <c r="L2982" s="43" t="n"/>
      <c r="M2982" s="44" t="n"/>
      <c r="N2982" s="44" t="inlineStr">
        <is>
          <t>UCor_9jRnNNZVzTuQ92PKsaQ</t>
        </is>
      </c>
      <c r="O2982" s="45" t="n">
        <v>41548.09652777778</v>
      </c>
      <c r="P2982" s="46" t="n">
        <v>41547</v>
      </c>
      <c r="Q2982" s="44" t="n">
        <v>290</v>
      </c>
      <c r="R2982" s="44" t="inlineStr">
        <is>
          <t>No Video ID yet</t>
        </is>
      </c>
      <c r="S2982" s="46" t="n"/>
      <c r="T2982" s="46" t="n"/>
      <c r="U2982" s="44" t="n"/>
      <c r="V2982" s="44">
        <f>IF(AND(P2982&gt;=Calendar!$K$2,P2982&lt;EDATE(Calendar!$K$2,1),OR(Calendar!$K$4="*",N2982=Calendar!$K$4)),P2982*100+COUNTIFS($P$6:$P$3271,P2982,$Q$6:$Q$3271,"&lt;="&amp;Q2982,$N$6:$N$3271,Calendar!$K$4),"")</f>
        <v/>
      </c>
      <c r="W2982" s="44">
        <f>IF(AND(B2982=Queue!$C$4,OR(Queue!$K$4="*",N2982=Queue!$K$4)),Q2982,"")</f>
        <v/>
      </c>
    </row>
    <row r="2983">
      <c r="A2983" s="35">
        <f>IF(M2983="","",HYPERLINK("https://www.youtube.com/watch?v="&amp;M2983,"▶"))</f>
        <v/>
      </c>
      <c r="B2983" s="36">
        <f>IF(C2983&lt;&gt;"",C2983,IF(P2983&lt;=IFERROR(INDEX(tblChannels[Watched Through],MATCH(N2983,tblChannels[Channel ID],0)),0),"Watched","Unwatched"))</f>
        <v/>
      </c>
      <c r="C2983" s="37" t="n"/>
      <c r="D2983" s="38" t="n"/>
      <c r="E2983" s="39" t="n">
        <v>41543.73263888889</v>
      </c>
      <c r="F2983" s="47" t="inlineStr">
        <is>
          <t>Super Carlin Brothers</t>
        </is>
      </c>
      <c r="G2983" t="inlineStr">
        <is>
          <t>Stereotypes</t>
        </is>
      </c>
      <c r="H2983" s="41" t="n">
        <v>0.00212962962962963</v>
      </c>
      <c r="I2983" s="42" t="n">
        <v>18180</v>
      </c>
      <c r="J2983" s="42" t="n">
        <v>356</v>
      </c>
      <c r="K2983" s="42" t="n">
        <v>91</v>
      </c>
      <c r="L2983" s="43" t="n"/>
      <c r="M2983" s="44" t="n"/>
      <c r="N2983" s="44" t="inlineStr">
        <is>
          <t>UCKZo4N0lVPccBkSiuyVh4yg</t>
        </is>
      </c>
      <c r="O2983" s="45" t="n">
        <v>41543.89930555555</v>
      </c>
      <c r="P2983" s="46" t="n">
        <v>41543</v>
      </c>
      <c r="Q2983" s="44" t="n">
        <v>289</v>
      </c>
      <c r="R2983" s="44" t="inlineStr">
        <is>
          <t>No Video ID yet</t>
        </is>
      </c>
      <c r="S2983" s="46" t="n"/>
      <c r="T2983" s="46" t="n"/>
      <c r="U2983" s="44" t="n"/>
      <c r="V2983" s="44">
        <f>IF(AND(P2983&gt;=Calendar!$K$2,P2983&lt;EDATE(Calendar!$K$2,1),OR(Calendar!$K$4="*",N2983=Calendar!$K$4)),P2983*100+COUNTIFS($P$6:$P$3271,P2983,$Q$6:$Q$3271,"&lt;="&amp;Q2983,$N$6:$N$3271,Calendar!$K$4),"")</f>
        <v/>
      </c>
      <c r="W2983" s="44">
        <f>IF(AND(B2983=Queue!$C$4,OR(Queue!$K$4="*",N2983=Queue!$K$4)),Q2983,"")</f>
        <v/>
      </c>
    </row>
    <row r="2984">
      <c r="A2984" s="35">
        <f>IF(M2984="","",HYPERLINK("https://www.youtube.com/watch?v="&amp;M2984,"▶"))</f>
        <v/>
      </c>
      <c r="B2984" s="36">
        <f>IF(C2984&lt;&gt;"",C2984,IF(P2984&lt;=IFERROR(INDEX(tblChannels[Watched Through],MATCH(N2984,tblChannels[Channel ID],0)),0),"Watched","Unwatched"))</f>
        <v/>
      </c>
      <c r="C2984" s="37" t="n"/>
      <c r="D2984" s="38" t="n"/>
      <c r="E2984" s="39" t="n">
        <v>41541.97013888889</v>
      </c>
      <c r="F2984" s="47" t="inlineStr">
        <is>
          <t>Super Carlin Brothers</t>
        </is>
      </c>
      <c r="G2984" t="inlineStr">
        <is>
          <t>Serving Sizes are BS</t>
        </is>
      </c>
      <c r="H2984" s="41" t="n">
        <v>0.003333333333333334</v>
      </c>
      <c r="I2984" s="42" t="n">
        <v>158499</v>
      </c>
      <c r="J2984" s="42" t="n">
        <v>3349</v>
      </c>
      <c r="K2984" s="42" t="n">
        <v>994</v>
      </c>
      <c r="L2984" s="43" t="n"/>
      <c r="M2984" s="44" t="n"/>
      <c r="N2984" s="44" t="inlineStr">
        <is>
          <t>UCKZo4N0lVPccBkSiuyVh4yg</t>
        </is>
      </c>
      <c r="O2984" s="45" t="n">
        <v>41542.13680555556</v>
      </c>
      <c r="P2984" s="46" t="n">
        <v>41541</v>
      </c>
      <c r="Q2984" s="44" t="n">
        <v>288</v>
      </c>
      <c r="R2984" s="44" t="inlineStr">
        <is>
          <t>No Video ID yet</t>
        </is>
      </c>
      <c r="S2984" s="46" t="n"/>
      <c r="T2984" s="46" t="n"/>
      <c r="U2984" s="44" t="n"/>
      <c r="V2984" s="44">
        <f>IF(AND(P2984&gt;=Calendar!$K$2,P2984&lt;EDATE(Calendar!$K$2,1),OR(Calendar!$K$4="*",N2984=Calendar!$K$4)),P2984*100+COUNTIFS($P$6:$P$3271,P2984,$Q$6:$Q$3271,"&lt;="&amp;Q2984,$N$6:$N$3271,Calendar!$K$4),"")</f>
        <v/>
      </c>
      <c r="W2984" s="44">
        <f>IF(AND(B2984=Queue!$C$4,OR(Queue!$K$4="*",N2984=Queue!$K$4)),Q2984,"")</f>
        <v/>
      </c>
    </row>
    <row r="2985">
      <c r="A2985" s="35">
        <f>IF(M2985="","",HYPERLINK("https://www.youtube.com/watch?v="&amp;M2985,"▶"))</f>
        <v/>
      </c>
      <c r="B2985" s="36">
        <f>IF(C2985&lt;&gt;"",C2985,IF(P2985&lt;=IFERROR(INDEX(tblChannels[Watched Through],MATCH(N2985,tblChannels[Channel ID],0)),0),"Watched","Unwatched"))</f>
        <v/>
      </c>
      <c r="C2985" s="37" t="n"/>
      <c r="D2985" s="38" t="n"/>
      <c r="E2985" s="39" t="n">
        <v>41536.87777777778</v>
      </c>
      <c r="F2985" s="47" t="inlineStr">
        <is>
          <t>Super Carlin Brothers</t>
        </is>
      </c>
      <c r="G2985" t="inlineStr">
        <is>
          <t>YouTube Survey 2013 BEN (and punishment)</t>
        </is>
      </c>
      <c r="H2985" s="41" t="n">
        <v>0.002754629629629629</v>
      </c>
      <c r="I2985" s="42" t="n">
        <v>19120</v>
      </c>
      <c r="J2985" s="42" t="n">
        <v>400</v>
      </c>
      <c r="K2985" s="42" t="n">
        <v>53</v>
      </c>
      <c r="L2985" s="43" t="n"/>
      <c r="M2985" s="44" t="n"/>
      <c r="N2985" s="44" t="inlineStr">
        <is>
          <t>UCKZo4N0lVPccBkSiuyVh4yg</t>
        </is>
      </c>
      <c r="O2985" s="45" t="n">
        <v>41537.04444444444</v>
      </c>
      <c r="P2985" s="46" t="n">
        <v>41536</v>
      </c>
      <c r="Q2985" s="44" t="n">
        <v>287</v>
      </c>
      <c r="R2985" s="44" t="inlineStr">
        <is>
          <t>No Video ID yet</t>
        </is>
      </c>
      <c r="S2985" s="46" t="n"/>
      <c r="T2985" s="46" t="n"/>
      <c r="U2985" s="44" t="n"/>
      <c r="V2985" s="44">
        <f>IF(AND(P2985&gt;=Calendar!$K$2,P2985&lt;EDATE(Calendar!$K$2,1),OR(Calendar!$K$4="*",N2985=Calendar!$K$4)),P2985*100+COUNTIFS($P$6:$P$3271,P2985,$Q$6:$Q$3271,"&lt;="&amp;Q2985,$N$6:$N$3271,Calendar!$K$4),"")</f>
        <v/>
      </c>
      <c r="W2985" s="44">
        <f>IF(AND(B2985=Queue!$C$4,OR(Queue!$K$4="*",N2985=Queue!$K$4)),Q2985,"")</f>
        <v/>
      </c>
    </row>
    <row r="2986">
      <c r="A2986" s="35">
        <f>IF(M2986="","",HYPERLINK("https://www.youtube.com/watch?v="&amp;M2986,"▶"))</f>
        <v/>
      </c>
      <c r="B2986" s="36">
        <f>IF(C2986&lt;&gt;"",C2986,IF(P2986&lt;=IFERROR(INDEX(tblChannels[Watched Through],MATCH(N2986,tblChannels[Channel ID],0)),0),"Watched","Unwatched"))</f>
        <v/>
      </c>
      <c r="C2986" s="37" t="n"/>
      <c r="D2986" s="38" t="n"/>
      <c r="E2986" s="39" t="n">
        <v>41534.375</v>
      </c>
      <c r="F2986" s="47" t="inlineStr">
        <is>
          <t>Super Carlin Brothers</t>
        </is>
      </c>
      <c r="G2986" t="inlineStr">
        <is>
          <t>Youtube Survey 2013</t>
        </is>
      </c>
      <c r="H2986" s="41" t="n">
        <v>0.004097222222222223</v>
      </c>
      <c r="I2986" s="42" t="n">
        <v>20165</v>
      </c>
      <c r="J2986" s="42" t="n">
        <v>481</v>
      </c>
      <c r="K2986" s="42" t="n">
        <v>129</v>
      </c>
      <c r="L2986" s="43" t="n"/>
      <c r="M2986" s="44" t="n"/>
      <c r="N2986" s="44" t="inlineStr">
        <is>
          <t>UCKZo4N0lVPccBkSiuyVh4yg</t>
        </is>
      </c>
      <c r="O2986" s="45" t="n">
        <v>41534.54166666666</v>
      </c>
      <c r="P2986" s="46" t="n">
        <v>41534</v>
      </c>
      <c r="Q2986" s="44" t="n">
        <v>286</v>
      </c>
      <c r="R2986" s="44" t="inlineStr">
        <is>
          <t>No Video ID yet</t>
        </is>
      </c>
      <c r="S2986" s="46" t="n"/>
      <c r="T2986" s="46" t="n"/>
      <c r="U2986" s="44" t="n"/>
      <c r="V2986" s="44">
        <f>IF(AND(P2986&gt;=Calendar!$K$2,P2986&lt;EDATE(Calendar!$K$2,1),OR(Calendar!$K$4="*",N2986=Calendar!$K$4)),P2986*100+COUNTIFS($P$6:$P$3271,P2986,$Q$6:$Q$3271,"&lt;="&amp;Q2986,$N$6:$N$3271,Calendar!$K$4),"")</f>
        <v/>
      </c>
      <c r="W2986" s="44">
        <f>IF(AND(B2986=Queue!$C$4,OR(Queue!$K$4="*",N2986=Queue!$K$4)),Q2986,"")</f>
        <v/>
      </c>
    </row>
    <row r="2987">
      <c r="A2987" s="35">
        <f>IF(M2987="","",HYPERLINK("https://www.youtube.com/watch?v="&amp;M2987,"▶"))</f>
        <v/>
      </c>
      <c r="B2987" s="36">
        <f>IF(C2987&lt;&gt;"",C2987,IF(P2987&lt;=IFERROR(INDEX(tblChannels[Watched Through],MATCH(N2987,tblChannels[Channel ID],0)),0),"Watched","Unwatched"))</f>
        <v/>
      </c>
      <c r="C2987" s="37" t="n"/>
      <c r="D2987" s="38" t="n"/>
      <c r="E2987" s="39" t="n">
        <v>41529.96805555555</v>
      </c>
      <c r="F2987" s="47" t="inlineStr">
        <is>
          <t>Super Carlin Brothers</t>
        </is>
      </c>
      <c r="G2987" t="inlineStr">
        <is>
          <t>Battle of the Brands</t>
        </is>
      </c>
      <c r="H2987" s="41" t="n">
        <v>0.002210648148148148</v>
      </c>
      <c r="I2987" s="42" t="n">
        <v>9109</v>
      </c>
      <c r="J2987" s="42" t="n">
        <v>164</v>
      </c>
      <c r="K2987" s="42" t="n">
        <v>66</v>
      </c>
      <c r="L2987" s="43" t="n"/>
      <c r="M2987" s="44" t="n"/>
      <c r="N2987" s="44" t="inlineStr">
        <is>
          <t>UCKZo4N0lVPccBkSiuyVh4yg</t>
        </is>
      </c>
      <c r="O2987" s="45" t="n">
        <v>41530.13472222222</v>
      </c>
      <c r="P2987" s="46" t="n">
        <v>41529</v>
      </c>
      <c r="Q2987" s="44" t="n">
        <v>285</v>
      </c>
      <c r="R2987" s="44" t="inlineStr">
        <is>
          <t>No Video ID yet</t>
        </is>
      </c>
      <c r="S2987" s="46" t="n"/>
      <c r="T2987" s="46" t="n"/>
      <c r="U2987" s="44" t="n"/>
      <c r="V2987" s="44">
        <f>IF(AND(P2987&gt;=Calendar!$K$2,P2987&lt;EDATE(Calendar!$K$2,1),OR(Calendar!$K$4="*",N2987=Calendar!$K$4)),P2987*100+COUNTIFS($P$6:$P$3271,P2987,$Q$6:$Q$3271,"&lt;="&amp;Q2987,$N$6:$N$3271,Calendar!$K$4),"")</f>
        <v/>
      </c>
      <c r="W2987" s="44">
        <f>IF(AND(B2987=Queue!$C$4,OR(Queue!$K$4="*",N2987=Queue!$K$4)),Q2987,"")</f>
        <v/>
      </c>
    </row>
    <row r="2988">
      <c r="A2988" s="35">
        <f>IF(M2988="","",HYPERLINK("https://www.youtube.com/watch?v="&amp;M2988,"▶"))</f>
        <v/>
      </c>
      <c r="B2988" s="36">
        <f>IF(C2988&lt;&gt;"",C2988,IF(P2988&lt;=IFERROR(INDEX(tblChannels[Watched Through],MATCH(N2988,tblChannels[Channel ID],0)),0),"Watched","Unwatched"))</f>
        <v/>
      </c>
      <c r="C2988" s="37" t="n"/>
      <c r="D2988" s="38" t="n"/>
      <c r="E2988" s="39" t="n">
        <v>41527.98055555556</v>
      </c>
      <c r="F2988" s="47" t="inlineStr">
        <is>
          <t>Super Carlin Brothers</t>
        </is>
      </c>
      <c r="G2988" t="inlineStr">
        <is>
          <t>RGIII vs. Game of Thrones</t>
        </is>
      </c>
      <c r="H2988" s="41" t="n">
        <v>0.003391203703703704</v>
      </c>
      <c r="I2988" s="42" t="n">
        <v>10702</v>
      </c>
      <c r="J2988" s="42" t="n">
        <v>202</v>
      </c>
      <c r="K2988" s="42" t="n">
        <v>75</v>
      </c>
      <c r="L2988" s="43" t="n"/>
      <c r="M2988" s="44" t="n"/>
      <c r="N2988" s="44" t="inlineStr">
        <is>
          <t>UCKZo4N0lVPccBkSiuyVh4yg</t>
        </is>
      </c>
      <c r="O2988" s="45" t="n">
        <v>41528.14722222222</v>
      </c>
      <c r="P2988" s="46" t="n">
        <v>41527</v>
      </c>
      <c r="Q2988" s="44" t="n">
        <v>284</v>
      </c>
      <c r="R2988" s="44" t="inlineStr">
        <is>
          <t>No Video ID yet</t>
        </is>
      </c>
      <c r="S2988" s="46" t="n"/>
      <c r="T2988" s="46" t="n"/>
      <c r="U2988" s="44" t="n"/>
      <c r="V2988" s="44">
        <f>IF(AND(P2988&gt;=Calendar!$K$2,P2988&lt;EDATE(Calendar!$K$2,1),OR(Calendar!$K$4="*",N2988=Calendar!$K$4)),P2988*100+COUNTIFS($P$6:$P$3271,P2988,$Q$6:$Q$3271,"&lt;="&amp;Q2988,$N$6:$N$3271,Calendar!$K$4),"")</f>
        <v/>
      </c>
      <c r="W2988" s="44">
        <f>IF(AND(B2988=Queue!$C$4,OR(Queue!$K$4="*",N2988=Queue!$K$4)),Q2988,"")</f>
        <v/>
      </c>
    </row>
    <row r="2989">
      <c r="A2989" s="35">
        <f>IF(M2989="","",HYPERLINK("https://www.youtube.com/watch?v="&amp;M2989,"▶"))</f>
        <v/>
      </c>
      <c r="B2989" s="36">
        <f>IF(C2989&lt;&gt;"",C2989,IF(P2989&lt;=IFERROR(INDEX(tblChannels[Watched Through],MATCH(N2989,tblChannels[Channel ID],0)),0),"Watched","Unwatched"))</f>
        <v/>
      </c>
      <c r="C2989" s="37" t="n"/>
      <c r="D2989" s="38" t="n"/>
      <c r="E2989" s="39" t="n">
        <v>41522.92986111111</v>
      </c>
      <c r="F2989" s="47" t="inlineStr">
        <is>
          <t>Super Carlin Brothers</t>
        </is>
      </c>
      <c r="G2989" t="inlineStr">
        <is>
          <t>Underdog Advantage</t>
        </is>
      </c>
      <c r="H2989" s="41" t="n">
        <v>0.003136574074074074</v>
      </c>
      <c r="I2989" s="42" t="n">
        <v>10179</v>
      </c>
      <c r="J2989" s="42" t="n">
        <v>212</v>
      </c>
      <c r="K2989" s="42" t="n">
        <v>27</v>
      </c>
      <c r="L2989" s="43" t="n"/>
      <c r="M2989" s="44" t="n"/>
      <c r="N2989" s="44" t="inlineStr">
        <is>
          <t>UCKZo4N0lVPccBkSiuyVh4yg</t>
        </is>
      </c>
      <c r="O2989" s="45" t="n">
        <v>41523.09652777778</v>
      </c>
      <c r="P2989" s="46" t="n">
        <v>41522</v>
      </c>
      <c r="Q2989" s="44" t="n">
        <v>283</v>
      </c>
      <c r="R2989" s="44" t="inlineStr">
        <is>
          <t>No Video ID yet</t>
        </is>
      </c>
      <c r="S2989" s="46" t="n"/>
      <c r="T2989" s="46" t="n"/>
      <c r="U2989" s="44" t="n"/>
      <c r="V2989" s="44">
        <f>IF(AND(P2989&gt;=Calendar!$K$2,P2989&lt;EDATE(Calendar!$K$2,1),OR(Calendar!$K$4="*",N2989=Calendar!$K$4)),P2989*100+COUNTIFS($P$6:$P$3271,P2989,$Q$6:$Q$3271,"&lt;="&amp;Q2989,$N$6:$N$3271,Calendar!$K$4),"")</f>
        <v/>
      </c>
      <c r="W2989" s="44">
        <f>IF(AND(B2989=Queue!$C$4,OR(Queue!$K$4="*",N2989=Queue!$K$4)),Q2989,"")</f>
        <v/>
      </c>
    </row>
    <row r="2990">
      <c r="A2990" s="35">
        <f>IF(M2990="","",HYPERLINK("https://www.youtube.com/watch?v="&amp;M2990,"▶"))</f>
        <v/>
      </c>
      <c r="B2990" s="36">
        <f>IF(C2990&lt;&gt;"",C2990,IF(P2990&lt;=IFERROR(INDEX(tblChannels[Watched Through],MATCH(N2990,tblChannels[Channel ID],0)),0),"Watched","Unwatched"))</f>
        <v/>
      </c>
      <c r="C2990" s="37" t="n"/>
      <c r="D2990" s="38" t="n"/>
      <c r="E2990" s="39" t="n">
        <v>41520.94930555556</v>
      </c>
      <c r="F2990" s="47" t="inlineStr">
        <is>
          <t>Super Carlin Brothers</t>
        </is>
      </c>
      <c r="G2990" t="inlineStr">
        <is>
          <t>The Importance of Nothing!</t>
        </is>
      </c>
      <c r="H2990" s="41" t="n">
        <v>0.002349537037037037</v>
      </c>
      <c r="I2990" s="42" t="n">
        <v>147971</v>
      </c>
      <c r="J2990" s="42" t="n">
        <v>2880</v>
      </c>
      <c r="K2990" s="42" t="n">
        <v>759</v>
      </c>
      <c r="L2990" s="43" t="n"/>
      <c r="M2990" s="44" t="n"/>
      <c r="N2990" s="44" t="inlineStr">
        <is>
          <t>UCKZo4N0lVPccBkSiuyVh4yg</t>
        </is>
      </c>
      <c r="O2990" s="45" t="n">
        <v>41521.11597222222</v>
      </c>
      <c r="P2990" s="46" t="n">
        <v>41520</v>
      </c>
      <c r="Q2990" s="44" t="n">
        <v>282</v>
      </c>
      <c r="R2990" s="44" t="inlineStr">
        <is>
          <t>No Video ID yet</t>
        </is>
      </c>
      <c r="S2990" s="46" t="n"/>
      <c r="T2990" s="46" t="n"/>
      <c r="U2990" s="44" t="n"/>
      <c r="V2990" s="44">
        <f>IF(AND(P2990&gt;=Calendar!$K$2,P2990&lt;EDATE(Calendar!$K$2,1),OR(Calendar!$K$4="*",N2990=Calendar!$K$4)),P2990*100+COUNTIFS($P$6:$P$3271,P2990,$Q$6:$Q$3271,"&lt;="&amp;Q2990,$N$6:$N$3271,Calendar!$K$4),"")</f>
        <v/>
      </c>
      <c r="W2990" s="44">
        <f>IF(AND(B2990=Queue!$C$4,OR(Queue!$K$4="*",N2990=Queue!$K$4)),Q2990,"")</f>
        <v/>
      </c>
    </row>
    <row r="2991">
      <c r="A2991" s="35">
        <f>IF(M2991="","",HYPERLINK("https://www.youtube.com/watch?v="&amp;M2991,"▶"))</f>
        <v/>
      </c>
      <c r="B2991" s="36">
        <f>IF(C2991&lt;&gt;"",C2991,IF(P2991&lt;=IFERROR(INDEX(tblChannels[Watched Through],MATCH(N2991,tblChannels[Channel ID],0)),0),"Watched","Unwatched"))</f>
        <v/>
      </c>
      <c r="C2991" s="37" t="n"/>
      <c r="D2991" s="38" t="n"/>
      <c r="E2991" s="39" t="n">
        <v>41515.98125</v>
      </c>
      <c r="F2991" s="47" t="inlineStr">
        <is>
          <t>Super Carlin Brothers</t>
        </is>
      </c>
      <c r="G2991" t="inlineStr">
        <is>
          <t>Tongue Stitches</t>
        </is>
      </c>
      <c r="H2991" s="41" t="n">
        <v>0.001435185185185185</v>
      </c>
      <c r="I2991" s="42" t="n">
        <v>11056</v>
      </c>
      <c r="J2991" s="42" t="n">
        <v>186</v>
      </c>
      <c r="K2991" s="42" t="n">
        <v>10</v>
      </c>
      <c r="L2991" s="43" t="n"/>
      <c r="M2991" s="44" t="n"/>
      <c r="N2991" s="44" t="inlineStr">
        <is>
          <t>UCKZo4N0lVPccBkSiuyVh4yg</t>
        </is>
      </c>
      <c r="O2991" s="45" t="n">
        <v>41516.14791666667</v>
      </c>
      <c r="P2991" s="46" t="n">
        <v>41515</v>
      </c>
      <c r="Q2991" s="44" t="n">
        <v>281</v>
      </c>
      <c r="R2991" s="44" t="inlineStr">
        <is>
          <t>No Video ID yet</t>
        </is>
      </c>
      <c r="S2991" s="46" t="n"/>
      <c r="T2991" s="46" t="n"/>
      <c r="U2991" s="44" t="n"/>
      <c r="V2991" s="44">
        <f>IF(AND(P2991&gt;=Calendar!$K$2,P2991&lt;EDATE(Calendar!$K$2,1),OR(Calendar!$K$4="*",N2991=Calendar!$K$4)),P2991*100+COUNTIFS($P$6:$P$3271,P2991,$Q$6:$Q$3271,"&lt;="&amp;Q2991,$N$6:$N$3271,Calendar!$K$4),"")</f>
        <v/>
      </c>
      <c r="W2991" s="44">
        <f>IF(AND(B2991=Queue!$C$4,OR(Queue!$K$4="*",N2991=Queue!$K$4)),Q2991,"")</f>
        <v/>
      </c>
    </row>
    <row r="2992">
      <c r="A2992" s="35">
        <f>IF(M2992="","",HYPERLINK("https://www.youtube.com/watch?v="&amp;M2992,"▶"))</f>
        <v/>
      </c>
      <c r="B2992" s="36">
        <f>IF(C2992&lt;&gt;"",C2992,IF(P2992&lt;=IFERROR(INDEX(tblChannels[Watched Through],MATCH(N2992,tblChannels[Channel ID],0)),0),"Watched","Unwatched"))</f>
        <v/>
      </c>
      <c r="C2992" s="37" t="n"/>
      <c r="D2992" s="38" t="n"/>
      <c r="E2992" s="39" t="n">
        <v>41513.9875</v>
      </c>
      <c r="F2992" s="47" t="inlineStr">
        <is>
          <t>Super Carlin Brothers</t>
        </is>
      </c>
      <c r="G2992" t="inlineStr">
        <is>
          <t>SCARS!</t>
        </is>
      </c>
      <c r="H2992" s="41" t="n">
        <v>0.002476851851851852</v>
      </c>
      <c r="I2992" s="42" t="n">
        <v>53090</v>
      </c>
      <c r="J2992" s="42" t="n">
        <v>933</v>
      </c>
      <c r="K2992" s="42" t="n">
        <v>480</v>
      </c>
      <c r="L2992" s="43" t="n"/>
      <c r="M2992" s="44" t="n"/>
      <c r="N2992" s="44" t="inlineStr">
        <is>
          <t>UCKZo4N0lVPccBkSiuyVh4yg</t>
        </is>
      </c>
      <c r="O2992" s="45" t="n">
        <v>41514.15416666667</v>
      </c>
      <c r="P2992" s="46" t="n">
        <v>41513</v>
      </c>
      <c r="Q2992" s="44" t="n">
        <v>280</v>
      </c>
      <c r="R2992" s="44" t="inlineStr">
        <is>
          <t>No Video ID yet</t>
        </is>
      </c>
      <c r="S2992" s="46" t="n"/>
      <c r="T2992" s="46" t="n"/>
      <c r="U2992" s="44" t="n"/>
      <c r="V2992" s="44">
        <f>IF(AND(P2992&gt;=Calendar!$K$2,P2992&lt;EDATE(Calendar!$K$2,1),OR(Calendar!$K$4="*",N2992=Calendar!$K$4)),P2992*100+COUNTIFS($P$6:$P$3271,P2992,$Q$6:$Q$3271,"&lt;="&amp;Q2992,$N$6:$N$3271,Calendar!$K$4),"")</f>
        <v/>
      </c>
      <c r="W2992" s="44">
        <f>IF(AND(B2992=Queue!$C$4,OR(Queue!$K$4="*",N2992=Queue!$K$4)),Q2992,"")</f>
        <v/>
      </c>
    </row>
    <row r="2993">
      <c r="A2993" s="35">
        <f>IF(M2993="","",HYPERLINK("https://www.youtube.com/watch?v="&amp;M2993,"▶"))</f>
        <v/>
      </c>
      <c r="B2993" s="36">
        <f>IF(C2993&lt;&gt;"",C2993,IF(P2993&lt;=IFERROR(INDEX(tblChannels[Watched Through],MATCH(N2993,tblChannels[Channel ID],0)),0),"Watched","Unwatched"))</f>
        <v/>
      </c>
      <c r="C2993" s="37" t="n"/>
      <c r="D2993" s="38" t="n"/>
      <c r="E2993" s="39" t="n">
        <v>41509.00416666667</v>
      </c>
      <c r="F2993" s="47" t="inlineStr">
        <is>
          <t>Super Carlin Brothers</t>
        </is>
      </c>
      <c r="G2993" t="inlineStr">
        <is>
          <t>Weakness</t>
        </is>
      </c>
      <c r="H2993" s="41" t="n">
        <v>0.003726851851851852</v>
      </c>
      <c r="I2993" s="42" t="n">
        <v>11296</v>
      </c>
      <c r="J2993" s="42" t="n">
        <v>227</v>
      </c>
      <c r="K2993" s="42" t="n">
        <v>100</v>
      </c>
      <c r="L2993" s="43" t="n"/>
      <c r="M2993" s="44" t="n"/>
      <c r="N2993" s="44" t="inlineStr">
        <is>
          <t>UCKZo4N0lVPccBkSiuyVh4yg</t>
        </is>
      </c>
      <c r="O2993" s="45" t="n">
        <v>41509.17083333333</v>
      </c>
      <c r="P2993" s="46" t="n">
        <v>41509</v>
      </c>
      <c r="Q2993" s="44" t="n">
        <v>279</v>
      </c>
      <c r="R2993" s="44" t="inlineStr">
        <is>
          <t>No Video ID yet</t>
        </is>
      </c>
      <c r="S2993" s="46" t="n"/>
      <c r="T2993" s="46" t="n"/>
      <c r="U2993" s="44" t="n"/>
      <c r="V2993" s="44">
        <f>IF(AND(P2993&gt;=Calendar!$K$2,P2993&lt;EDATE(Calendar!$K$2,1),OR(Calendar!$K$4="*",N2993=Calendar!$K$4)),P2993*100+COUNTIFS($P$6:$P$3271,P2993,$Q$6:$Q$3271,"&lt;="&amp;Q2993,$N$6:$N$3271,Calendar!$K$4),"")</f>
        <v/>
      </c>
      <c r="W2993" s="44">
        <f>IF(AND(B2993=Queue!$C$4,OR(Queue!$K$4="*",N2993=Queue!$K$4)),Q2993,"")</f>
        <v/>
      </c>
    </row>
    <row r="2994">
      <c r="A2994" s="35">
        <f>IF(M2994="","",HYPERLINK("https://www.youtube.com/watch?v="&amp;M2994,"▶"))</f>
        <v/>
      </c>
      <c r="B2994" s="36">
        <f>IF(C2994&lt;&gt;"",C2994,IF(P2994&lt;=IFERROR(INDEX(tblChannels[Watched Through],MATCH(N2994,tblChannels[Channel ID],0)),0),"Watched","Unwatched"))</f>
        <v/>
      </c>
      <c r="C2994" s="37" t="n"/>
      <c r="D2994" s="38" t="n"/>
      <c r="E2994" s="39" t="n">
        <v>41506.97152777778</v>
      </c>
      <c r="F2994" s="47" t="inlineStr">
        <is>
          <t>Super Carlin Brothers</t>
        </is>
      </c>
      <c r="G2994" t="inlineStr">
        <is>
          <t>BEST VIDEO EVER!!!</t>
        </is>
      </c>
      <c r="H2994" s="41" t="n">
        <v>0.002708333333333333</v>
      </c>
      <c r="I2994" s="42" t="n">
        <v>37937</v>
      </c>
      <c r="J2994" s="42" t="n">
        <v>1054</v>
      </c>
      <c r="K2994" s="42" t="n">
        <v>90</v>
      </c>
      <c r="L2994" s="43" t="n"/>
      <c r="M2994" s="44" t="n"/>
      <c r="N2994" s="44" t="inlineStr">
        <is>
          <t>UCKZo4N0lVPccBkSiuyVh4yg</t>
        </is>
      </c>
      <c r="O2994" s="45" t="n">
        <v>41507.13819444444</v>
      </c>
      <c r="P2994" s="46" t="n">
        <v>41506</v>
      </c>
      <c r="Q2994" s="44" t="n">
        <v>278</v>
      </c>
      <c r="R2994" s="44" t="inlineStr">
        <is>
          <t>No Video ID yet</t>
        </is>
      </c>
      <c r="S2994" s="46" t="n"/>
      <c r="T2994" s="46" t="n"/>
      <c r="U2994" s="44" t="n"/>
      <c r="V2994" s="44">
        <f>IF(AND(P2994&gt;=Calendar!$K$2,P2994&lt;EDATE(Calendar!$K$2,1),OR(Calendar!$K$4="*",N2994=Calendar!$K$4)),P2994*100+COUNTIFS($P$6:$P$3271,P2994,$Q$6:$Q$3271,"&lt;="&amp;Q2994,$N$6:$N$3271,Calendar!$K$4),"")</f>
        <v/>
      </c>
      <c r="W2994" s="44">
        <f>IF(AND(B2994=Queue!$C$4,OR(Queue!$K$4="*",N2994=Queue!$K$4)),Q2994,"")</f>
        <v/>
      </c>
    </row>
    <row r="2995">
      <c r="A2995" s="35">
        <f>IF(M2995="","",HYPERLINK("https://www.youtube.com/watch?v="&amp;M2995,"▶"))</f>
        <v/>
      </c>
      <c r="B2995" s="36">
        <f>IF(C2995&lt;&gt;"",C2995,IF(P2995&lt;=IFERROR(INDEX(tblChannels[Watched Through],MATCH(N2995,tblChannels[Channel ID],0)),0),"Watched","Unwatched"))</f>
        <v/>
      </c>
      <c r="C2995" s="37" t="n"/>
      <c r="D2995" s="38" t="n"/>
      <c r="E2995" s="39" t="n">
        <v>41501.94236111111</v>
      </c>
      <c r="F2995" s="47" t="inlineStr">
        <is>
          <t>Super Carlin Brothers</t>
        </is>
      </c>
      <c r="G2995" t="inlineStr">
        <is>
          <t>Beavers</t>
        </is>
      </c>
      <c r="H2995" s="41" t="n">
        <v>0.00369212962962963</v>
      </c>
      <c r="I2995" s="42" t="n">
        <v>10333</v>
      </c>
      <c r="J2995" s="42" t="n">
        <v>195</v>
      </c>
      <c r="K2995" s="42" t="n">
        <v>45</v>
      </c>
      <c r="L2995" s="43" t="n"/>
      <c r="M2995" s="44" t="n"/>
      <c r="N2995" s="44" t="inlineStr">
        <is>
          <t>UCKZo4N0lVPccBkSiuyVh4yg</t>
        </is>
      </c>
      <c r="O2995" s="45" t="n">
        <v>41502.10902777778</v>
      </c>
      <c r="P2995" s="46" t="n">
        <v>41501</v>
      </c>
      <c r="Q2995" s="44" t="n">
        <v>277</v>
      </c>
      <c r="R2995" s="44" t="inlineStr">
        <is>
          <t>No Video ID yet</t>
        </is>
      </c>
      <c r="S2995" s="46" t="n"/>
      <c r="T2995" s="46" t="n"/>
      <c r="U2995" s="44" t="n"/>
      <c r="V2995" s="44">
        <f>IF(AND(P2995&gt;=Calendar!$K$2,P2995&lt;EDATE(Calendar!$K$2,1),OR(Calendar!$K$4="*",N2995=Calendar!$K$4)),P2995*100+COUNTIFS($P$6:$P$3271,P2995,$Q$6:$Q$3271,"&lt;="&amp;Q2995,$N$6:$N$3271,Calendar!$K$4),"")</f>
        <v/>
      </c>
      <c r="W2995" s="44">
        <f>IF(AND(B2995=Queue!$C$4,OR(Queue!$K$4="*",N2995=Queue!$K$4)),Q2995,"")</f>
        <v/>
      </c>
    </row>
    <row r="2996">
      <c r="A2996" s="35">
        <f>IF(M2996="","",HYPERLINK("https://www.youtube.com/watch?v="&amp;M2996,"▶"))</f>
        <v/>
      </c>
      <c r="B2996" s="36">
        <f>IF(C2996&lt;&gt;"",C2996,IF(P2996&lt;=IFERROR(INDEX(tblChannels[Watched Through],MATCH(N2996,tblChannels[Channel ID],0)),0),"Watched","Unwatched"))</f>
        <v/>
      </c>
      <c r="C2996" s="37" t="n"/>
      <c r="D2996" s="38" t="n"/>
      <c r="E2996" s="39" t="n">
        <v>41499.91944444444</v>
      </c>
      <c r="F2996" s="47" t="inlineStr">
        <is>
          <t>Super Carlin Brothers</t>
        </is>
      </c>
      <c r="G2996" t="inlineStr">
        <is>
          <t>ZOMBIE APOCALYPSE!</t>
        </is>
      </c>
      <c r="H2996" s="41" t="n">
        <v>0.003171296296296296</v>
      </c>
      <c r="I2996" s="42" t="n">
        <v>18867</v>
      </c>
      <c r="J2996" s="42" t="n">
        <v>383</v>
      </c>
      <c r="K2996" s="42" t="n">
        <v>116</v>
      </c>
      <c r="L2996" s="43" t="n"/>
      <c r="M2996" s="44" t="n"/>
      <c r="N2996" s="44" t="inlineStr">
        <is>
          <t>UCKZo4N0lVPccBkSiuyVh4yg</t>
        </is>
      </c>
      <c r="O2996" s="45" t="n">
        <v>41500.08611111111</v>
      </c>
      <c r="P2996" s="46" t="n">
        <v>41499</v>
      </c>
      <c r="Q2996" s="44" t="n">
        <v>276</v>
      </c>
      <c r="R2996" s="44" t="inlineStr">
        <is>
          <t>No Video ID yet</t>
        </is>
      </c>
      <c r="S2996" s="46" t="n"/>
      <c r="T2996" s="46" t="n"/>
      <c r="U2996" s="44" t="n"/>
      <c r="V2996" s="44">
        <f>IF(AND(P2996&gt;=Calendar!$K$2,P2996&lt;EDATE(Calendar!$K$2,1),OR(Calendar!$K$4="*",N2996=Calendar!$K$4)),P2996*100+COUNTIFS($P$6:$P$3271,P2996,$Q$6:$Q$3271,"&lt;="&amp;Q2996,$N$6:$N$3271,Calendar!$K$4),"")</f>
        <v/>
      </c>
      <c r="W2996" s="44">
        <f>IF(AND(B2996=Queue!$C$4,OR(Queue!$K$4="*",N2996=Queue!$K$4)),Q2996,"")</f>
        <v/>
      </c>
    </row>
    <row r="2997">
      <c r="A2997" s="35">
        <f>IF(M2997="","",HYPERLINK("https://www.youtube.com/watch?v="&amp;M2997,"▶"))</f>
        <v/>
      </c>
      <c r="B2997" s="36">
        <f>IF(C2997&lt;&gt;"",C2997,IF(P2997&lt;=IFERROR(INDEX(tblChannels[Watched Through],MATCH(N2997,tblChannels[Channel ID],0)),0),"Watched","Unwatched"))</f>
        <v/>
      </c>
      <c r="C2997" s="37" t="n"/>
      <c r="D2997" s="38" t="n"/>
      <c r="E2997" s="39" t="n">
        <v>41494.78333333333</v>
      </c>
      <c r="F2997" s="47" t="inlineStr">
        <is>
          <t>Super Carlin Brothers</t>
        </is>
      </c>
      <c r="G2997" t="inlineStr">
        <is>
          <t>Segway</t>
        </is>
      </c>
      <c r="H2997" s="41" t="n">
        <v>0.001793981481481481</v>
      </c>
      <c r="I2997" s="42" t="n">
        <v>9923</v>
      </c>
      <c r="J2997" s="42" t="n">
        <v>204</v>
      </c>
      <c r="K2997" s="42" t="n">
        <v>38</v>
      </c>
      <c r="L2997" s="43" t="n"/>
      <c r="M2997" s="44" t="n"/>
      <c r="N2997" s="44" t="inlineStr">
        <is>
          <t>UCKZo4N0lVPccBkSiuyVh4yg</t>
        </is>
      </c>
      <c r="O2997" s="45" t="n">
        <v>41494.95</v>
      </c>
      <c r="P2997" s="46" t="n">
        <v>41494</v>
      </c>
      <c r="Q2997" s="44" t="n">
        <v>275</v>
      </c>
      <c r="R2997" s="44" t="inlineStr">
        <is>
          <t>No Video ID yet</t>
        </is>
      </c>
      <c r="S2997" s="46" t="n"/>
      <c r="T2997" s="46" t="n"/>
      <c r="U2997" s="44" t="n"/>
      <c r="V2997" s="44">
        <f>IF(AND(P2997&gt;=Calendar!$K$2,P2997&lt;EDATE(Calendar!$K$2,1),OR(Calendar!$K$4="*",N2997=Calendar!$K$4)),P2997*100+COUNTIFS($P$6:$P$3271,P2997,$Q$6:$Q$3271,"&lt;="&amp;Q2997,$N$6:$N$3271,Calendar!$K$4),"")</f>
        <v/>
      </c>
      <c r="W2997" s="44">
        <f>IF(AND(B2997=Queue!$C$4,OR(Queue!$K$4="*",N2997=Queue!$K$4)),Q2997,"")</f>
        <v/>
      </c>
    </row>
    <row r="2998">
      <c r="A2998" s="35">
        <f>IF(M2998="","",HYPERLINK("https://www.youtube.com/watch?v="&amp;M2998,"▶"))</f>
        <v/>
      </c>
      <c r="B2998" s="36">
        <f>IF(C2998&lt;&gt;"",C2998,IF(P2998&lt;=IFERROR(INDEX(tblChannels[Watched Through],MATCH(N2998,tblChannels[Channel ID],0)),0),"Watched","Unwatched"))</f>
        <v/>
      </c>
      <c r="C2998" s="37" t="n"/>
      <c r="D2998" s="38" t="n"/>
      <c r="E2998" s="39" t="n">
        <v>41492.99097222222</v>
      </c>
      <c r="F2998" s="47" t="inlineStr">
        <is>
          <t>Super Carlin Brothers</t>
        </is>
      </c>
      <c r="G2998" t="inlineStr">
        <is>
          <t>J's Summer Favorites</t>
        </is>
      </c>
      <c r="H2998" s="41" t="n">
        <v>0.00337962962962963</v>
      </c>
      <c r="I2998" s="42" t="n">
        <v>15205</v>
      </c>
      <c r="J2998" s="42" t="n">
        <v>286</v>
      </c>
      <c r="K2998" s="42" t="n">
        <v>39</v>
      </c>
      <c r="L2998" s="43" t="n"/>
      <c r="M2998" s="44" t="n"/>
      <c r="N2998" s="44" t="inlineStr">
        <is>
          <t>UCKZo4N0lVPccBkSiuyVh4yg</t>
        </is>
      </c>
      <c r="O2998" s="45" t="n">
        <v>41493.15763888889</v>
      </c>
      <c r="P2998" s="46" t="n">
        <v>41492</v>
      </c>
      <c r="Q2998" s="44" t="n">
        <v>274</v>
      </c>
      <c r="R2998" s="44" t="inlineStr">
        <is>
          <t>No Video ID yet</t>
        </is>
      </c>
      <c r="S2998" s="46" t="n"/>
      <c r="T2998" s="46" t="n"/>
      <c r="U2998" s="44" t="n"/>
      <c r="V2998" s="44">
        <f>IF(AND(P2998&gt;=Calendar!$K$2,P2998&lt;EDATE(Calendar!$K$2,1),OR(Calendar!$K$4="*",N2998=Calendar!$K$4)),P2998*100+COUNTIFS($P$6:$P$3271,P2998,$Q$6:$Q$3271,"&lt;="&amp;Q2998,$N$6:$N$3271,Calendar!$K$4),"")</f>
        <v/>
      </c>
      <c r="W2998" s="44">
        <f>IF(AND(B2998=Queue!$C$4,OR(Queue!$K$4="*",N2998=Queue!$K$4)),Q2998,"")</f>
        <v/>
      </c>
    </row>
    <row r="2999">
      <c r="A2999" s="35">
        <f>IF(M2999="","",HYPERLINK("https://www.youtube.com/watch?v="&amp;M2999,"▶"))</f>
        <v/>
      </c>
      <c r="B2999" s="36">
        <f>IF(C2999&lt;&gt;"",C2999,IF(P2999&lt;=IFERROR(INDEX(tblChannels[Watched Through],MATCH(N2999,tblChannels[Channel ID],0)),0),"Watched","Unwatched"))</f>
        <v/>
      </c>
      <c r="C2999" s="37" t="n"/>
      <c r="D2999" s="38" t="n"/>
      <c r="E2999" s="39" t="n">
        <v>41487.95277777778</v>
      </c>
      <c r="F2999" s="47" t="inlineStr">
        <is>
          <t>Super Carlin Brothers</t>
        </is>
      </c>
      <c r="G2999" t="inlineStr">
        <is>
          <t>Not Enough Bad Things</t>
        </is>
      </c>
      <c r="H2999" s="41" t="n">
        <v>0.002685185185185185</v>
      </c>
      <c r="I2999" s="42" t="n">
        <v>11449</v>
      </c>
      <c r="J2999" s="42" t="n">
        <v>223</v>
      </c>
      <c r="K2999" s="42" t="n">
        <v>39</v>
      </c>
      <c r="L2999" s="43" t="n"/>
      <c r="M2999" s="44" t="n"/>
      <c r="N2999" s="44" t="inlineStr">
        <is>
          <t>UCKZo4N0lVPccBkSiuyVh4yg</t>
        </is>
      </c>
      <c r="O2999" s="45" t="n">
        <v>41488.11944444444</v>
      </c>
      <c r="P2999" s="46" t="n">
        <v>41487</v>
      </c>
      <c r="Q2999" s="44" t="n">
        <v>273</v>
      </c>
      <c r="R2999" s="44" t="inlineStr">
        <is>
          <t>No Video ID yet</t>
        </is>
      </c>
      <c r="S2999" s="46" t="n"/>
      <c r="T2999" s="46" t="n"/>
      <c r="U2999" s="44" t="n"/>
      <c r="V2999" s="44">
        <f>IF(AND(P2999&gt;=Calendar!$K$2,P2999&lt;EDATE(Calendar!$K$2,1),OR(Calendar!$K$4="*",N2999=Calendar!$K$4)),P2999*100+COUNTIFS($P$6:$P$3271,P2999,$Q$6:$Q$3271,"&lt;="&amp;Q2999,$N$6:$N$3271,Calendar!$K$4),"")</f>
        <v/>
      </c>
      <c r="W2999" s="44">
        <f>IF(AND(B2999=Queue!$C$4,OR(Queue!$K$4="*",N2999=Queue!$K$4)),Q2999,"")</f>
        <v/>
      </c>
    </row>
    <row r="3000">
      <c r="A3000" s="35">
        <f>IF(M3000="","",HYPERLINK("https://www.youtube.com/watch?v="&amp;M3000,"▶"))</f>
        <v/>
      </c>
      <c r="B3000" s="36">
        <f>IF(C3000&lt;&gt;"",C3000,IF(P3000&lt;=IFERROR(INDEX(tblChannels[Watched Through],MATCH(N3000,tblChannels[Channel ID],0)),0),"Watched","Unwatched"))</f>
        <v/>
      </c>
      <c r="C3000" s="37" t="n"/>
      <c r="D3000" s="38" t="n"/>
      <c r="E3000" s="39" t="n">
        <v>41485.97916666666</v>
      </c>
      <c r="F3000" s="47" t="inlineStr">
        <is>
          <t>Super Carlin Brothers</t>
        </is>
      </c>
      <c r="G3000" t="inlineStr">
        <is>
          <t>PERSONAL PHOTOS!</t>
        </is>
      </c>
      <c r="H3000" s="41" t="n">
        <v>0.002314814814814815</v>
      </c>
      <c r="I3000" s="42" t="n">
        <v>52932</v>
      </c>
      <c r="J3000" s="42" t="n">
        <v>937</v>
      </c>
      <c r="K3000" s="42" t="n">
        <v>213</v>
      </c>
      <c r="L3000" s="43" t="n"/>
      <c r="M3000" s="44" t="n"/>
      <c r="N3000" s="44" t="inlineStr">
        <is>
          <t>UCKZo4N0lVPccBkSiuyVh4yg</t>
        </is>
      </c>
      <c r="O3000" s="45" t="n">
        <v>41486.14583333334</v>
      </c>
      <c r="P3000" s="46" t="n">
        <v>41485</v>
      </c>
      <c r="Q3000" s="44" t="n">
        <v>272</v>
      </c>
      <c r="R3000" s="44" t="inlineStr">
        <is>
          <t>No Video ID yet</t>
        </is>
      </c>
      <c r="S3000" s="46" t="n"/>
      <c r="T3000" s="46" t="n"/>
      <c r="U3000" s="44" t="n"/>
      <c r="V3000" s="44">
        <f>IF(AND(P3000&gt;=Calendar!$K$2,P3000&lt;EDATE(Calendar!$K$2,1),OR(Calendar!$K$4="*",N3000=Calendar!$K$4)),P3000*100+COUNTIFS($P$6:$P$3271,P3000,$Q$6:$Q$3271,"&lt;="&amp;Q3000,$N$6:$N$3271,Calendar!$K$4),"")</f>
        <v/>
      </c>
      <c r="W3000" s="44">
        <f>IF(AND(B3000=Queue!$C$4,OR(Queue!$K$4="*",N3000=Queue!$K$4)),Q3000,"")</f>
        <v/>
      </c>
    </row>
    <row r="3001">
      <c r="A3001" s="35">
        <f>IF(M3001="","",HYPERLINK("https://www.youtube.com/watch?v="&amp;M3001,"▶"))</f>
        <v/>
      </c>
      <c r="B3001" s="36">
        <f>IF(C3001&lt;&gt;"",C3001,IF(P3001&lt;=IFERROR(INDEX(tblChannels[Watched Through],MATCH(N3001,tblChannels[Channel ID],0)),0),"Watched","Unwatched"))</f>
        <v/>
      </c>
      <c r="C3001" s="37" t="n"/>
      <c r="D3001" s="38" t="n"/>
      <c r="E3001" s="39" t="n">
        <v>41480.85833333333</v>
      </c>
      <c r="F3001" s="47" t="inlineStr">
        <is>
          <t>Super Carlin Brothers</t>
        </is>
      </c>
      <c r="G3001" t="inlineStr">
        <is>
          <t>WHY</t>
        </is>
      </c>
      <c r="H3001" s="41" t="n">
        <v>0.002476851851851852</v>
      </c>
      <c r="I3001" s="42" t="n">
        <v>14852</v>
      </c>
      <c r="J3001" s="42" t="n">
        <v>302</v>
      </c>
      <c r="K3001" s="42" t="n">
        <v>62</v>
      </c>
      <c r="L3001" s="43" t="n"/>
      <c r="M3001" s="44" t="n"/>
      <c r="N3001" s="44" t="inlineStr">
        <is>
          <t>UCKZo4N0lVPccBkSiuyVh4yg</t>
        </is>
      </c>
      <c r="O3001" s="45" t="n">
        <v>41481.025</v>
      </c>
      <c r="P3001" s="46" t="n">
        <v>41480</v>
      </c>
      <c r="Q3001" s="44" t="n">
        <v>271</v>
      </c>
      <c r="R3001" s="44" t="inlineStr">
        <is>
          <t>No Video ID yet</t>
        </is>
      </c>
      <c r="S3001" s="46" t="n"/>
      <c r="T3001" s="46" t="n"/>
      <c r="U3001" s="44" t="n"/>
      <c r="V3001" s="44">
        <f>IF(AND(P3001&gt;=Calendar!$K$2,P3001&lt;EDATE(Calendar!$K$2,1),OR(Calendar!$K$4="*",N3001=Calendar!$K$4)),P3001*100+COUNTIFS($P$6:$P$3271,P3001,$Q$6:$Q$3271,"&lt;="&amp;Q3001,$N$6:$N$3271,Calendar!$K$4),"")</f>
        <v/>
      </c>
      <c r="W3001" s="44">
        <f>IF(AND(B3001=Queue!$C$4,OR(Queue!$K$4="*",N3001=Queue!$K$4)),Q3001,"")</f>
        <v/>
      </c>
    </row>
    <row r="3002">
      <c r="A3002" s="35">
        <f>IF(M3002="","",HYPERLINK("https://www.youtube.com/watch?v="&amp;M3002,"▶"))</f>
        <v/>
      </c>
      <c r="B3002" s="36">
        <f>IF(C3002&lt;&gt;"",C3002,IF(P3002&lt;=IFERROR(INDEX(tblChannels[Watched Through],MATCH(N3002,tblChannels[Channel ID],0)),0),"Watched","Unwatched"))</f>
        <v/>
      </c>
      <c r="C3002" s="37" t="n"/>
      <c r="D3002" s="38" t="n"/>
      <c r="E3002" s="39" t="n">
        <v>41479.07777777778</v>
      </c>
      <c r="F3002" s="47" t="inlineStr">
        <is>
          <t>Super Carlin Brothers</t>
        </is>
      </c>
      <c r="G3002" t="inlineStr">
        <is>
          <t>The Pixar Theory</t>
        </is>
      </c>
      <c r="H3002" s="41" t="n">
        <v>0.008437500000000001</v>
      </c>
      <c r="I3002" s="42" t="n">
        <v>10470949</v>
      </c>
      <c r="J3002" s="42" t="n">
        <v>158794</v>
      </c>
      <c r="K3002" s="42" t="n">
        <v>16889</v>
      </c>
      <c r="L3002" s="43" t="n"/>
      <c r="M3002" s="44" t="n"/>
      <c r="N3002" s="44" t="inlineStr">
        <is>
          <t>UCKZo4N0lVPccBkSiuyVh4yg</t>
        </is>
      </c>
      <c r="O3002" s="45" t="n">
        <v>41479.24444444444</v>
      </c>
      <c r="P3002" s="46" t="n">
        <v>41479</v>
      </c>
      <c r="Q3002" s="44" t="n">
        <v>270</v>
      </c>
      <c r="R3002" s="44" t="inlineStr">
        <is>
          <t>No Video ID yet</t>
        </is>
      </c>
      <c r="S3002" s="46" t="n"/>
      <c r="T3002" s="46" t="n"/>
      <c r="U3002" s="44" t="n"/>
      <c r="V3002" s="44">
        <f>IF(AND(P3002&gt;=Calendar!$K$2,P3002&lt;EDATE(Calendar!$K$2,1),OR(Calendar!$K$4="*",N3002=Calendar!$K$4)),P3002*100+COUNTIFS($P$6:$P$3271,P3002,$Q$6:$Q$3271,"&lt;="&amp;Q3002,$N$6:$N$3271,Calendar!$K$4),"")</f>
        <v/>
      </c>
      <c r="W3002" s="44">
        <f>IF(AND(B3002=Queue!$C$4,OR(Queue!$K$4="*",N3002=Queue!$K$4)),Q3002,"")</f>
        <v/>
      </c>
    </row>
    <row r="3003">
      <c r="A3003" s="35">
        <f>IF(M3003="","",HYPERLINK("https://www.youtube.com/watch?v="&amp;M3003,"▶"))</f>
        <v/>
      </c>
      <c r="B3003" s="36">
        <f>IF(C3003&lt;&gt;"",C3003,IF(P3003&lt;=IFERROR(INDEX(tblChannels[Watched Through],MATCH(N3003,tblChannels[Channel ID],0)),0),"Watched","Unwatched"))</f>
        <v/>
      </c>
      <c r="C3003" s="37" t="n"/>
      <c r="D3003" s="38" t="n"/>
      <c r="E3003" s="39" t="n">
        <v>41473.91805555556</v>
      </c>
      <c r="F3003" s="47" t="inlineStr">
        <is>
          <t>Super Carlin Brothers</t>
        </is>
      </c>
      <c r="G3003" t="inlineStr">
        <is>
          <t>TV Paradigm Shift</t>
        </is>
      </c>
      <c r="H3003" s="41" t="n">
        <v>0.002696759259259259</v>
      </c>
      <c r="I3003" s="42" t="n">
        <v>13895</v>
      </c>
      <c r="J3003" s="42" t="n">
        <v>264</v>
      </c>
      <c r="K3003" s="42" t="n">
        <v>71</v>
      </c>
      <c r="L3003" s="43" t="n"/>
      <c r="M3003" s="44" t="n"/>
      <c r="N3003" s="44" t="inlineStr">
        <is>
          <t>UCKZo4N0lVPccBkSiuyVh4yg</t>
        </is>
      </c>
      <c r="O3003" s="45" t="n">
        <v>41474.08472222222</v>
      </c>
      <c r="P3003" s="46" t="n">
        <v>41473</v>
      </c>
      <c r="Q3003" s="44" t="n">
        <v>269</v>
      </c>
      <c r="R3003" s="44" t="inlineStr">
        <is>
          <t>No Video ID yet</t>
        </is>
      </c>
      <c r="S3003" s="46" t="n"/>
      <c r="T3003" s="46" t="n"/>
      <c r="U3003" s="44" t="n"/>
      <c r="V3003" s="44">
        <f>IF(AND(P3003&gt;=Calendar!$K$2,P3003&lt;EDATE(Calendar!$K$2,1),OR(Calendar!$K$4="*",N3003=Calendar!$K$4)),P3003*100+COUNTIFS($P$6:$P$3271,P3003,$Q$6:$Q$3271,"&lt;="&amp;Q3003,$N$6:$N$3271,Calendar!$K$4),"")</f>
        <v/>
      </c>
      <c r="W3003" s="44">
        <f>IF(AND(B3003=Queue!$C$4,OR(Queue!$K$4="*",N3003=Queue!$K$4)),Q3003,"")</f>
        <v/>
      </c>
    </row>
    <row r="3004">
      <c r="A3004" s="35">
        <f>IF(M3004="","",HYPERLINK("https://www.youtube.com/watch?v="&amp;M3004,"▶"))</f>
        <v/>
      </c>
      <c r="B3004" s="36">
        <f>IF(C3004&lt;&gt;"",C3004,IF(P3004&lt;=IFERROR(INDEX(tblChannels[Watched Through],MATCH(N3004,tblChannels[Channel ID],0)),0),"Watched","Unwatched"))</f>
        <v/>
      </c>
      <c r="C3004" s="37" t="n"/>
      <c r="D3004" s="38" t="n"/>
      <c r="E3004" s="39" t="n">
        <v>41471.95972222222</v>
      </c>
      <c r="F3004" s="47" t="inlineStr">
        <is>
          <t>Super Carlin Brothers</t>
        </is>
      </c>
      <c r="G3004" t="inlineStr">
        <is>
          <t>CHERRY COKE AND TWIZZLERS!</t>
        </is>
      </c>
      <c r="H3004" s="41" t="n">
        <v>0.002754629629629629</v>
      </c>
      <c r="I3004" s="42" t="n">
        <v>73902</v>
      </c>
      <c r="J3004" s="42" t="n">
        <v>1353</v>
      </c>
      <c r="K3004" s="42" t="n">
        <v>395</v>
      </c>
      <c r="L3004" s="43" t="n"/>
      <c r="M3004" s="44" t="n"/>
      <c r="N3004" s="44" t="inlineStr">
        <is>
          <t>UCKZo4N0lVPccBkSiuyVh4yg</t>
        </is>
      </c>
      <c r="O3004" s="45" t="n">
        <v>41472.12638888889</v>
      </c>
      <c r="P3004" s="46" t="n">
        <v>41471</v>
      </c>
      <c r="Q3004" s="44" t="n">
        <v>268</v>
      </c>
      <c r="R3004" s="44" t="inlineStr">
        <is>
          <t>No Video ID yet</t>
        </is>
      </c>
      <c r="S3004" s="46" t="n"/>
      <c r="T3004" s="46" t="n"/>
      <c r="U3004" s="44" t="n"/>
      <c r="V3004" s="44">
        <f>IF(AND(P3004&gt;=Calendar!$K$2,P3004&lt;EDATE(Calendar!$K$2,1),OR(Calendar!$K$4="*",N3004=Calendar!$K$4)),P3004*100+COUNTIFS($P$6:$P$3271,P3004,$Q$6:$Q$3271,"&lt;="&amp;Q3004,$N$6:$N$3271,Calendar!$K$4),"")</f>
        <v/>
      </c>
      <c r="W3004" s="44">
        <f>IF(AND(B3004=Queue!$C$4,OR(Queue!$K$4="*",N3004=Queue!$K$4)),Q3004,"")</f>
        <v/>
      </c>
    </row>
    <row r="3005">
      <c r="A3005" s="35">
        <f>IF(M3005="","",HYPERLINK("https://www.youtube.com/watch?v="&amp;M3005,"▶"))</f>
        <v/>
      </c>
      <c r="B3005" s="36">
        <f>IF(C3005&lt;&gt;"",C3005,IF(P3005&lt;=IFERROR(INDEX(tblChannels[Watched Through],MATCH(N3005,tblChannels[Channel ID],0)),0),"Watched","Unwatched"))</f>
        <v/>
      </c>
      <c r="C3005" s="37" t="n"/>
      <c r="D3005" s="38" t="n"/>
      <c r="E3005" s="39" t="n">
        <v>41467.92986111111</v>
      </c>
      <c r="F3005" s="47" t="inlineStr">
        <is>
          <t>Super Carlin Brothers</t>
        </is>
      </c>
      <c r="G3005" t="inlineStr">
        <is>
          <t>Fear</t>
        </is>
      </c>
      <c r="H3005" s="41" t="n">
        <v>0.002511574074074074</v>
      </c>
      <c r="I3005" s="42" t="n">
        <v>13749</v>
      </c>
      <c r="J3005" s="42" t="n">
        <v>307</v>
      </c>
      <c r="K3005" s="42" t="n">
        <v>85</v>
      </c>
      <c r="L3005" s="43" t="n"/>
      <c r="M3005" s="44" t="n"/>
      <c r="N3005" s="44" t="inlineStr">
        <is>
          <t>UCKZo4N0lVPccBkSiuyVh4yg</t>
        </is>
      </c>
      <c r="O3005" s="45" t="n">
        <v>41468.09652777778</v>
      </c>
      <c r="P3005" s="46" t="n">
        <v>41467</v>
      </c>
      <c r="Q3005" s="44" t="n">
        <v>267</v>
      </c>
      <c r="R3005" s="44" t="inlineStr">
        <is>
          <t>No Video ID yet</t>
        </is>
      </c>
      <c r="S3005" s="46" t="n"/>
      <c r="T3005" s="46" t="n"/>
      <c r="U3005" s="44" t="n"/>
      <c r="V3005" s="44">
        <f>IF(AND(P3005&gt;=Calendar!$K$2,P3005&lt;EDATE(Calendar!$K$2,1),OR(Calendar!$K$4="*",N3005=Calendar!$K$4)),P3005*100+COUNTIFS($P$6:$P$3271,P3005,$Q$6:$Q$3271,"&lt;="&amp;Q3005,$N$6:$N$3271,Calendar!$K$4),"")</f>
        <v/>
      </c>
      <c r="W3005" s="44">
        <f>IF(AND(B3005=Queue!$C$4,OR(Queue!$K$4="*",N3005=Queue!$K$4)),Q3005,"")</f>
        <v/>
      </c>
    </row>
    <row r="3006">
      <c r="A3006" s="35">
        <f>IF(M3006="","",HYPERLINK("https://www.youtube.com/watch?v="&amp;M3006,"▶"))</f>
        <v/>
      </c>
      <c r="B3006" s="36">
        <f>IF(C3006&lt;&gt;"",C3006,IF(P3006&lt;=IFERROR(INDEX(tblChannels[Watched Through],MATCH(N3006,tblChannels[Channel ID],0)),0),"Watched","Unwatched"))</f>
        <v/>
      </c>
      <c r="C3006" s="37" t="n"/>
      <c r="D3006" s="38" t="n"/>
      <c r="E3006" s="39" t="n">
        <v>41464.52083333334</v>
      </c>
      <c r="F3006" s="47" t="inlineStr">
        <is>
          <t>Super Carlin Brothers</t>
        </is>
      </c>
      <c r="G3006" t="inlineStr">
        <is>
          <t>Thoughts from Places: Lake Champlain</t>
        </is>
      </c>
      <c r="H3006" s="41" t="n">
        <v>0.002141203703703704</v>
      </c>
      <c r="I3006" s="42" t="n">
        <v>12356</v>
      </c>
      <c r="J3006" s="42" t="n">
        <v>286</v>
      </c>
      <c r="K3006" s="42" t="n">
        <v>74</v>
      </c>
      <c r="L3006" s="43" t="n"/>
      <c r="M3006" s="44" t="n"/>
      <c r="N3006" s="44" t="inlineStr">
        <is>
          <t>UCKZo4N0lVPccBkSiuyVh4yg</t>
        </is>
      </c>
      <c r="O3006" s="45" t="n">
        <v>41464.6875</v>
      </c>
      <c r="P3006" s="46" t="n">
        <v>41464</v>
      </c>
      <c r="Q3006" s="44" t="n">
        <v>266</v>
      </c>
      <c r="R3006" s="44" t="inlineStr">
        <is>
          <t>No Video ID yet</t>
        </is>
      </c>
      <c r="S3006" s="46" t="n"/>
      <c r="T3006" s="46" t="n"/>
      <c r="U3006" s="44" t="n"/>
      <c r="V3006" s="44">
        <f>IF(AND(P3006&gt;=Calendar!$K$2,P3006&lt;EDATE(Calendar!$K$2,1),OR(Calendar!$K$4="*",N3006=Calendar!$K$4)),P3006*100+COUNTIFS($P$6:$P$3271,P3006,$Q$6:$Q$3271,"&lt;="&amp;Q3006,$N$6:$N$3271,Calendar!$K$4),"")</f>
        <v/>
      </c>
      <c r="W3006" s="44">
        <f>IF(AND(B3006=Queue!$C$4,OR(Queue!$K$4="*",N3006=Queue!$K$4)),Q3006,"")</f>
        <v/>
      </c>
    </row>
    <row r="3007">
      <c r="A3007" s="35">
        <f>IF(M3007="","",HYPERLINK("https://www.youtube.com/watch?v="&amp;M3007,"▶"))</f>
        <v/>
      </c>
      <c r="B3007" s="36">
        <f>IF(C3007&lt;&gt;"",C3007,IF(P3007&lt;=IFERROR(INDEX(tblChannels[Watched Through],MATCH(N3007,tblChannels[Channel ID],0)),0),"Watched","Unwatched"))</f>
        <v/>
      </c>
      <c r="C3007" s="37" t="n"/>
      <c r="D3007" s="38" t="n"/>
      <c r="E3007" s="39" t="n">
        <v>41462.44444444445</v>
      </c>
      <c r="F3007" s="47" t="inlineStr">
        <is>
          <t>Super Carlin Brothers</t>
        </is>
      </c>
      <c r="G3007" t="inlineStr">
        <is>
          <t>Super Carlin Friends Wheezy Wink!</t>
        </is>
      </c>
      <c r="H3007" s="41" t="n">
        <v>4.629629629629629e-05</v>
      </c>
      <c r="I3007" s="42" t="n">
        <v>2157</v>
      </c>
      <c r="J3007" s="42" t="n">
        <v>0</v>
      </c>
      <c r="K3007" s="42" t="n">
        <v>0</v>
      </c>
      <c r="L3007" s="43" t="n"/>
      <c r="M3007" s="44" t="n"/>
      <c r="N3007" s="44" t="inlineStr">
        <is>
          <t>UCKZo4N0lVPccBkSiuyVh4yg</t>
        </is>
      </c>
      <c r="O3007" s="45" t="n">
        <v>41462.61111111111</v>
      </c>
      <c r="P3007" s="46" t="n">
        <v>41462</v>
      </c>
      <c r="Q3007" s="44" t="n">
        <v>265</v>
      </c>
      <c r="R3007" s="44" t="inlineStr">
        <is>
          <t>No Video ID yet</t>
        </is>
      </c>
      <c r="S3007" s="46" t="n"/>
      <c r="T3007" s="46" t="n"/>
      <c r="U3007" s="44" t="n"/>
      <c r="V3007" s="44">
        <f>IF(AND(P3007&gt;=Calendar!$K$2,P3007&lt;EDATE(Calendar!$K$2,1),OR(Calendar!$K$4="*",N3007=Calendar!$K$4)),P3007*100+COUNTIFS($P$6:$P$3271,P3007,$Q$6:$Q$3271,"&lt;="&amp;Q3007,$N$6:$N$3271,Calendar!$K$4),"")</f>
        <v/>
      </c>
      <c r="W3007" s="44">
        <f>IF(AND(B3007=Queue!$C$4,OR(Queue!$K$4="*",N3007=Queue!$K$4)),Q3007,"")</f>
        <v/>
      </c>
    </row>
    <row r="3008">
      <c r="A3008" s="35">
        <f>IF(M3008="","",HYPERLINK("https://www.youtube.com/watch?v="&amp;M3008,"▶"))</f>
        <v/>
      </c>
      <c r="B3008" s="36">
        <f>IF(C3008&lt;&gt;"",C3008,IF(P3008&lt;=IFERROR(INDEX(tblChannels[Watched Through],MATCH(N3008,tblChannels[Channel ID],0)),0),"Watched","Unwatched"))</f>
        <v/>
      </c>
      <c r="C3008" s="37" t="n"/>
      <c r="D3008" s="38" t="n"/>
      <c r="E3008" s="39" t="n">
        <v>41459.85277777778</v>
      </c>
      <c r="F3008" s="47" t="inlineStr">
        <is>
          <t>Super Carlin Brothers</t>
        </is>
      </c>
      <c r="G3008" t="inlineStr">
        <is>
          <t>Ty Talks on a lake!</t>
        </is>
      </c>
      <c r="H3008" s="41" t="n">
        <v>0.001701388888888889</v>
      </c>
      <c r="I3008" s="42" t="n">
        <v>12993</v>
      </c>
      <c r="J3008" s="42" t="n">
        <v>214</v>
      </c>
      <c r="K3008" s="42" t="n">
        <v>30</v>
      </c>
      <c r="L3008" s="43" t="n"/>
      <c r="M3008" s="44" t="n"/>
      <c r="N3008" s="44" t="inlineStr">
        <is>
          <t>UCKZo4N0lVPccBkSiuyVh4yg</t>
        </is>
      </c>
      <c r="O3008" s="45" t="n">
        <v>41460.01944444444</v>
      </c>
      <c r="P3008" s="46" t="n">
        <v>41459</v>
      </c>
      <c r="Q3008" s="44" t="n">
        <v>264</v>
      </c>
      <c r="R3008" s="44" t="inlineStr">
        <is>
          <t>No Video ID yet</t>
        </is>
      </c>
      <c r="S3008" s="46" t="n"/>
      <c r="T3008" s="46" t="n"/>
      <c r="U3008" s="44" t="n"/>
      <c r="V3008" s="44">
        <f>IF(AND(P3008&gt;=Calendar!$K$2,P3008&lt;EDATE(Calendar!$K$2,1),OR(Calendar!$K$4="*",N3008=Calendar!$K$4)),P3008*100+COUNTIFS($P$6:$P$3271,P3008,$Q$6:$Q$3271,"&lt;="&amp;Q3008,$N$6:$N$3271,Calendar!$K$4),"")</f>
        <v/>
      </c>
      <c r="W3008" s="44">
        <f>IF(AND(B3008=Queue!$C$4,OR(Queue!$K$4="*",N3008=Queue!$K$4)),Q3008,"")</f>
        <v/>
      </c>
    </row>
    <row r="3009">
      <c r="A3009" s="35">
        <f>IF(M3009="","",HYPERLINK("https://www.youtube.com/watch?v="&amp;M3009,"▶"))</f>
        <v/>
      </c>
      <c r="B3009" s="36">
        <f>IF(C3009&lt;&gt;"",C3009,IF(P3009&lt;=IFERROR(INDEX(tblChannels[Watched Through],MATCH(N3009,tblChannels[Channel ID],0)),0),"Watched","Unwatched"))</f>
        <v/>
      </c>
      <c r="C3009" s="37" t="n"/>
      <c r="D3009" s="38" t="n"/>
      <c r="E3009" s="39" t="n">
        <v>41457.58333333334</v>
      </c>
      <c r="F3009" s="47" t="inlineStr">
        <is>
          <t>Super Carlin Brothers</t>
        </is>
      </c>
      <c r="G3009" t="inlineStr">
        <is>
          <t>HOW TO COLLEGE</t>
        </is>
      </c>
      <c r="H3009" s="41" t="n">
        <v>0.003344907407407408</v>
      </c>
      <c r="I3009" s="42" t="n">
        <v>36428</v>
      </c>
      <c r="J3009" s="42" t="n">
        <v>746</v>
      </c>
      <c r="K3009" s="42" t="n">
        <v>114</v>
      </c>
      <c r="L3009" s="43" t="n"/>
      <c r="M3009" s="44" t="n"/>
      <c r="N3009" s="44" t="inlineStr">
        <is>
          <t>UCKZo4N0lVPccBkSiuyVh4yg</t>
        </is>
      </c>
      <c r="O3009" s="45" t="n">
        <v>41457.75</v>
      </c>
      <c r="P3009" s="46" t="n">
        <v>41457</v>
      </c>
      <c r="Q3009" s="44" t="n">
        <v>263</v>
      </c>
      <c r="R3009" s="44" t="inlineStr">
        <is>
          <t>No Video ID yet</t>
        </is>
      </c>
      <c r="S3009" s="46" t="n"/>
      <c r="T3009" s="46" t="n"/>
      <c r="U3009" s="44" t="n"/>
      <c r="V3009" s="44">
        <f>IF(AND(P3009&gt;=Calendar!$K$2,P3009&lt;EDATE(Calendar!$K$2,1),OR(Calendar!$K$4="*",N3009=Calendar!$K$4)),P3009*100+COUNTIFS($P$6:$P$3271,P3009,$Q$6:$Q$3271,"&lt;="&amp;Q3009,$N$6:$N$3271,Calendar!$K$4),"")</f>
        <v/>
      </c>
      <c r="W3009" s="44">
        <f>IF(AND(B3009=Queue!$C$4,OR(Queue!$K$4="*",N3009=Queue!$K$4)),Q3009,"")</f>
        <v/>
      </c>
    </row>
    <row r="3010">
      <c r="A3010" s="35">
        <f>IF(M3010="","",HYPERLINK("https://www.youtube.com/watch?v="&amp;M3010,"▶"))</f>
        <v/>
      </c>
      <c r="B3010" s="36">
        <f>IF(C3010&lt;&gt;"",C3010,IF(P3010&lt;=IFERROR(INDEX(tblChannels[Watched Through],MATCH(N3010,tblChannels[Channel ID],0)),0),"Watched","Unwatched"))</f>
        <v/>
      </c>
      <c r="C3010" s="37" t="n"/>
      <c r="D3010" s="38" t="n"/>
      <c r="E3010" s="39" t="n">
        <v>41452.59444444445</v>
      </c>
      <c r="F3010" s="47" t="inlineStr">
        <is>
          <t>Super Carlin Brothers</t>
        </is>
      </c>
      <c r="G3010" t="inlineStr">
        <is>
          <t>I HAVE SO MUCH I WANTED TO TELL YOU!</t>
        </is>
      </c>
      <c r="H3010" s="41" t="n">
        <v>0.002835648148148148</v>
      </c>
      <c r="I3010" s="42" t="n">
        <v>24484</v>
      </c>
      <c r="J3010" s="42" t="n">
        <v>481</v>
      </c>
      <c r="K3010" s="42" t="n">
        <v>111</v>
      </c>
      <c r="L3010" s="43" t="n"/>
      <c r="M3010" s="44" t="n"/>
      <c r="N3010" s="44" t="inlineStr">
        <is>
          <t>UCKZo4N0lVPccBkSiuyVh4yg</t>
        </is>
      </c>
      <c r="O3010" s="45" t="n">
        <v>41452.76111111111</v>
      </c>
      <c r="P3010" s="46" t="n">
        <v>41452</v>
      </c>
      <c r="Q3010" s="44" t="n">
        <v>262</v>
      </c>
      <c r="R3010" s="44" t="inlineStr">
        <is>
          <t>No Video ID yet</t>
        </is>
      </c>
      <c r="S3010" s="46" t="n"/>
      <c r="T3010" s="46" t="n"/>
      <c r="U3010" s="44" t="n"/>
      <c r="V3010" s="44">
        <f>IF(AND(P3010&gt;=Calendar!$K$2,P3010&lt;EDATE(Calendar!$K$2,1),OR(Calendar!$K$4="*",N3010=Calendar!$K$4)),P3010*100+COUNTIFS($P$6:$P$3271,P3010,$Q$6:$Q$3271,"&lt;="&amp;Q3010,$N$6:$N$3271,Calendar!$K$4),"")</f>
        <v/>
      </c>
      <c r="W3010" s="44">
        <f>IF(AND(B3010=Queue!$C$4,OR(Queue!$K$4="*",N3010=Queue!$K$4)),Q3010,"")</f>
        <v/>
      </c>
    </row>
    <row r="3011">
      <c r="A3011" s="35">
        <f>IF(M3011="","",HYPERLINK("https://www.youtube.com/watch?v="&amp;M3011,"▶"))</f>
        <v/>
      </c>
      <c r="B3011" s="36">
        <f>IF(C3011&lt;&gt;"",C3011,IF(P3011&lt;=IFERROR(INDEX(tblChannels[Watched Through],MATCH(N3011,tblChannels[Channel ID],0)),0),"Watched","Unwatched"))</f>
        <v/>
      </c>
      <c r="C3011" s="37" t="n"/>
      <c r="D3011" s="38" t="n"/>
      <c r="E3011" s="39" t="n">
        <v>41450.96736111111</v>
      </c>
      <c r="F3011" s="47" t="inlineStr">
        <is>
          <t>Super Carlin Brothers</t>
        </is>
      </c>
      <c r="G3011" t="inlineStr">
        <is>
          <t>HOW TO VLOG!</t>
        </is>
      </c>
      <c r="H3011" s="41" t="n">
        <v>0.002384259259259259</v>
      </c>
      <c r="I3011" s="42" t="n">
        <v>32721</v>
      </c>
      <c r="J3011" s="42" t="n">
        <v>463</v>
      </c>
      <c r="K3011" s="42" t="n">
        <v>89</v>
      </c>
      <c r="L3011" s="43" t="n"/>
      <c r="M3011" s="44" t="n"/>
      <c r="N3011" s="44" t="inlineStr">
        <is>
          <t>UCKZo4N0lVPccBkSiuyVh4yg</t>
        </is>
      </c>
      <c r="O3011" s="45" t="n">
        <v>41451.13402777778</v>
      </c>
      <c r="P3011" s="46" t="n">
        <v>41450</v>
      </c>
      <c r="Q3011" s="44" t="n">
        <v>261</v>
      </c>
      <c r="R3011" s="44" t="inlineStr">
        <is>
          <t>No Video ID yet</t>
        </is>
      </c>
      <c r="S3011" s="46" t="n"/>
      <c r="T3011" s="46" t="n"/>
      <c r="U3011" s="44" t="n"/>
      <c r="V3011" s="44">
        <f>IF(AND(P3011&gt;=Calendar!$K$2,P3011&lt;EDATE(Calendar!$K$2,1),OR(Calendar!$K$4="*",N3011=Calendar!$K$4)),P3011*100+COUNTIFS($P$6:$P$3271,P3011,$Q$6:$Q$3271,"&lt;="&amp;Q3011,$N$6:$N$3271,Calendar!$K$4),"")</f>
        <v/>
      </c>
      <c r="W3011" s="44">
        <f>IF(AND(B3011=Queue!$C$4,OR(Queue!$K$4="*",N3011=Queue!$K$4)),Q3011,"")</f>
        <v/>
      </c>
    </row>
    <row r="3012">
      <c r="A3012" s="35">
        <f>IF(M3012="","",HYPERLINK("https://www.youtube.com/watch?v="&amp;M3012,"▶"))</f>
        <v/>
      </c>
      <c r="B3012" s="36">
        <f>IF(C3012&lt;&gt;"",C3012,IF(P3012&lt;=IFERROR(INDEX(tblChannels[Watched Through],MATCH(N3012,tblChannels[Channel ID],0)),0),"Watched","Unwatched"))</f>
        <v/>
      </c>
      <c r="C3012" s="37" t="n"/>
      <c r="D3012" s="38" t="n"/>
      <c r="E3012" s="39" t="n">
        <v>41446.50069444445</v>
      </c>
      <c r="F3012" s="47" t="inlineStr">
        <is>
          <t>Super Carlin Brothers</t>
        </is>
      </c>
      <c r="G3012" t="inlineStr">
        <is>
          <t>A Video Long Conversation Between Brothers</t>
        </is>
      </c>
      <c r="H3012" s="41" t="n">
        <v>0.007037037037037037</v>
      </c>
      <c r="I3012" s="42" t="n">
        <v>89979</v>
      </c>
      <c r="J3012" s="42" t="n">
        <v>2350</v>
      </c>
      <c r="K3012" s="42" t="n">
        <v>438</v>
      </c>
      <c r="L3012" s="43" t="n"/>
      <c r="M3012" s="44" t="n"/>
      <c r="N3012" s="44" t="inlineStr">
        <is>
          <t>UCKZo4N0lVPccBkSiuyVh4yg</t>
        </is>
      </c>
      <c r="O3012" s="45" t="n">
        <v>41446.66736111111</v>
      </c>
      <c r="P3012" s="46" t="n">
        <v>41446</v>
      </c>
      <c r="Q3012" s="44" t="n">
        <v>260</v>
      </c>
      <c r="R3012" s="44" t="inlineStr">
        <is>
          <t>No Video ID yet</t>
        </is>
      </c>
      <c r="S3012" s="46" t="n"/>
      <c r="T3012" s="46" t="n"/>
      <c r="U3012" s="44" t="n"/>
      <c r="V3012" s="44">
        <f>IF(AND(P3012&gt;=Calendar!$K$2,P3012&lt;EDATE(Calendar!$K$2,1),OR(Calendar!$K$4="*",N3012=Calendar!$K$4)),P3012*100+COUNTIFS($P$6:$P$3271,P3012,$Q$6:$Q$3271,"&lt;="&amp;Q3012,$N$6:$N$3271,Calendar!$K$4),"")</f>
        <v/>
      </c>
      <c r="W3012" s="44">
        <f>IF(AND(B3012=Queue!$C$4,OR(Queue!$K$4="*",N3012=Queue!$K$4)),Q3012,"")</f>
        <v/>
      </c>
    </row>
    <row r="3013">
      <c r="A3013" s="35">
        <f>IF(M3013="","",HYPERLINK("https://www.youtube.com/watch?v="&amp;M3013,"▶"))</f>
        <v/>
      </c>
      <c r="B3013" s="36">
        <f>IF(C3013&lt;&gt;"",C3013,IF(P3013&lt;=IFERROR(INDEX(tblChannels[Watched Through],MATCH(N3013,tblChannels[Channel ID],0)),0),"Watched","Unwatched"))</f>
        <v/>
      </c>
      <c r="C3013" s="37" t="n"/>
      <c r="D3013" s="38" t="n"/>
      <c r="E3013" s="39" t="n">
        <v>41445.50069444445</v>
      </c>
      <c r="F3013" s="47" t="inlineStr">
        <is>
          <t>Super Carlin Brothers</t>
        </is>
      </c>
      <c r="G3013" t="inlineStr">
        <is>
          <t>Ending Problems</t>
        </is>
      </c>
      <c r="H3013" s="41" t="n">
        <v>0.00224537037037037</v>
      </c>
      <c r="I3013" s="42" t="n">
        <v>24158</v>
      </c>
      <c r="J3013" s="42" t="n">
        <v>630</v>
      </c>
      <c r="K3013" s="42" t="n">
        <v>74</v>
      </c>
      <c r="L3013" s="43" t="n"/>
      <c r="M3013" s="44" t="n"/>
      <c r="N3013" s="44" t="inlineStr">
        <is>
          <t>UCKZo4N0lVPccBkSiuyVh4yg</t>
        </is>
      </c>
      <c r="O3013" s="45" t="n">
        <v>41445.66736111111</v>
      </c>
      <c r="P3013" s="46" t="n">
        <v>41445</v>
      </c>
      <c r="Q3013" s="44" t="n">
        <v>259</v>
      </c>
      <c r="R3013" s="44" t="inlineStr">
        <is>
          <t>No Video ID yet</t>
        </is>
      </c>
      <c r="S3013" s="46" t="n"/>
      <c r="T3013" s="46" t="n"/>
      <c r="U3013" s="44" t="n"/>
      <c r="V3013" s="44">
        <f>IF(AND(P3013&gt;=Calendar!$K$2,P3013&lt;EDATE(Calendar!$K$2,1),OR(Calendar!$K$4="*",N3013=Calendar!$K$4)),P3013*100+COUNTIFS($P$6:$P$3271,P3013,$Q$6:$Q$3271,"&lt;="&amp;Q3013,$N$6:$N$3271,Calendar!$K$4),"")</f>
        <v/>
      </c>
      <c r="W3013" s="44">
        <f>IF(AND(B3013=Queue!$C$4,OR(Queue!$K$4="*",N3013=Queue!$K$4)),Q3013,"")</f>
        <v/>
      </c>
    </row>
    <row r="3014">
      <c r="A3014" s="35">
        <f>IF(M3014="","",HYPERLINK("https://www.youtube.com/watch?v="&amp;M3014,"▶"))</f>
        <v/>
      </c>
      <c r="B3014" s="36">
        <f>IF(C3014&lt;&gt;"",C3014,IF(P3014&lt;=IFERROR(INDEX(tblChannels[Watched Through],MATCH(N3014,tblChannels[Channel ID],0)),0),"Watched","Unwatched"))</f>
        <v/>
      </c>
      <c r="C3014" s="37" t="n"/>
      <c r="D3014" s="38" t="n"/>
      <c r="E3014" s="39" t="n">
        <v>41444.79861111111</v>
      </c>
      <c r="F3014" s="47" t="inlineStr">
        <is>
          <t>Super Carlin Brothers</t>
        </is>
      </c>
      <c r="G3014" t="inlineStr">
        <is>
          <t>What's Next</t>
        </is>
      </c>
      <c r="H3014" s="41" t="n">
        <v>0.001261574074074074</v>
      </c>
      <c r="I3014" s="42" t="n">
        <v>8517</v>
      </c>
      <c r="J3014" s="42" t="n">
        <v>177</v>
      </c>
      <c r="K3014" s="42" t="n">
        <v>51</v>
      </c>
      <c r="L3014" s="43" t="n"/>
      <c r="M3014" s="44" t="n"/>
      <c r="N3014" s="44" t="inlineStr">
        <is>
          <t>UCKZo4N0lVPccBkSiuyVh4yg</t>
        </is>
      </c>
      <c r="O3014" s="45" t="n">
        <v>41444.96527777778</v>
      </c>
      <c r="P3014" s="46" t="n">
        <v>41444</v>
      </c>
      <c r="Q3014" s="44" t="n">
        <v>258</v>
      </c>
      <c r="R3014" s="44" t="inlineStr">
        <is>
          <t>No Video ID yet</t>
        </is>
      </c>
      <c r="S3014" s="46" t="n"/>
      <c r="T3014" s="46" t="n"/>
      <c r="U3014" s="44" t="n"/>
      <c r="V3014" s="44">
        <f>IF(AND(P3014&gt;=Calendar!$K$2,P3014&lt;EDATE(Calendar!$K$2,1),OR(Calendar!$K$4="*",N3014=Calendar!$K$4)),P3014*100+COUNTIFS($P$6:$P$3271,P3014,$Q$6:$Q$3271,"&lt;="&amp;Q3014,$N$6:$N$3271,Calendar!$K$4),"")</f>
        <v/>
      </c>
      <c r="W3014" s="44">
        <f>IF(AND(B3014=Queue!$C$4,OR(Queue!$K$4="*",N3014=Queue!$K$4)),Q3014,"")</f>
        <v/>
      </c>
    </row>
    <row r="3015">
      <c r="A3015" s="35">
        <f>IF(M3015="","",HYPERLINK("https://www.youtube.com/watch?v="&amp;M3015,"▶"))</f>
        <v/>
      </c>
      <c r="B3015" s="36">
        <f>IF(C3015&lt;&gt;"",C3015,IF(P3015&lt;=IFERROR(INDEX(tblChannels[Watched Through],MATCH(N3015,tblChannels[Channel ID],0)),0),"Watched","Unwatched"))</f>
        <v/>
      </c>
      <c r="C3015" s="37" t="n"/>
      <c r="D3015" s="38" t="n"/>
      <c r="E3015" s="39" t="n">
        <v>41443.49722222222</v>
      </c>
      <c r="F3015" s="47" t="inlineStr">
        <is>
          <t>Super Carlin Brothers</t>
        </is>
      </c>
      <c r="G3015" t="inlineStr">
        <is>
          <t>Summer Time Blues</t>
        </is>
      </c>
      <c r="H3015" s="41" t="n">
        <v>0.00306712962962963</v>
      </c>
      <c r="I3015" s="42" t="n">
        <v>15362</v>
      </c>
      <c r="J3015" s="42" t="n">
        <v>415</v>
      </c>
      <c r="K3015" s="42" t="n">
        <v>90</v>
      </c>
      <c r="L3015" s="43" t="n"/>
      <c r="M3015" s="44" t="n"/>
      <c r="N3015" s="44" t="inlineStr">
        <is>
          <t>UCKZo4N0lVPccBkSiuyVh4yg</t>
        </is>
      </c>
      <c r="O3015" s="45" t="n">
        <v>41443.66388888889</v>
      </c>
      <c r="P3015" s="46" t="n">
        <v>41443</v>
      </c>
      <c r="Q3015" s="44" t="n">
        <v>257</v>
      </c>
      <c r="R3015" s="44" t="inlineStr">
        <is>
          <t>No Video ID yet</t>
        </is>
      </c>
      <c r="S3015" s="46" t="n"/>
      <c r="T3015" s="46" t="n"/>
      <c r="U3015" s="44" t="n"/>
      <c r="V3015" s="44">
        <f>IF(AND(P3015&gt;=Calendar!$K$2,P3015&lt;EDATE(Calendar!$K$2,1),OR(Calendar!$K$4="*",N3015=Calendar!$K$4)),P3015*100+COUNTIFS($P$6:$P$3271,P3015,$Q$6:$Q$3271,"&lt;="&amp;Q3015,$N$6:$N$3271,Calendar!$K$4),"")</f>
        <v/>
      </c>
      <c r="W3015" s="44">
        <f>IF(AND(B3015=Queue!$C$4,OR(Queue!$K$4="*",N3015=Queue!$K$4)),Q3015,"")</f>
        <v/>
      </c>
    </row>
    <row r="3016">
      <c r="A3016" s="35">
        <f>IF(M3016="","",HYPERLINK("https://www.youtube.com/watch?v="&amp;M3016,"▶"))</f>
        <v/>
      </c>
      <c r="B3016" s="36">
        <f>IF(C3016&lt;&gt;"",C3016,IF(P3016&lt;=IFERROR(INDEX(tblChannels[Watched Through],MATCH(N3016,tblChannels[Channel ID],0)),0),"Watched","Unwatched"))</f>
        <v/>
      </c>
      <c r="C3016" s="37" t="n"/>
      <c r="D3016" s="38" t="n"/>
      <c r="E3016" s="39" t="n">
        <v>41442.9375</v>
      </c>
      <c r="F3016" s="47" t="inlineStr">
        <is>
          <t>Super Carlin Brothers</t>
        </is>
      </c>
      <c r="G3016" t="inlineStr">
        <is>
          <t>The Kick</t>
        </is>
      </c>
      <c r="H3016" s="41" t="n">
        <v>0.001770833333333333</v>
      </c>
      <c r="I3016" s="42" t="n">
        <v>7764</v>
      </c>
      <c r="J3016" s="42" t="n">
        <v>215</v>
      </c>
      <c r="K3016" s="42" t="n">
        <v>27</v>
      </c>
      <c r="L3016" s="43" t="n"/>
      <c r="M3016" s="44" t="n"/>
      <c r="N3016" s="44" t="inlineStr">
        <is>
          <t>UCKZo4N0lVPccBkSiuyVh4yg</t>
        </is>
      </c>
      <c r="O3016" s="45" t="n">
        <v>41443.10416666666</v>
      </c>
      <c r="P3016" s="46" t="n">
        <v>41442</v>
      </c>
      <c r="Q3016" s="44" t="n">
        <v>256</v>
      </c>
      <c r="R3016" s="44" t="inlineStr">
        <is>
          <t>No Video ID yet</t>
        </is>
      </c>
      <c r="S3016" s="46" t="n"/>
      <c r="T3016" s="46" t="n"/>
      <c r="U3016" s="44" t="n"/>
      <c r="V3016" s="44">
        <f>IF(AND(P3016&gt;=Calendar!$K$2,P3016&lt;EDATE(Calendar!$K$2,1),OR(Calendar!$K$4="*",N3016=Calendar!$K$4)),P3016*100+COUNTIFS($P$6:$P$3271,P3016,$Q$6:$Q$3271,"&lt;="&amp;Q3016,$N$6:$N$3271,Calendar!$K$4),"")</f>
        <v/>
      </c>
      <c r="W3016" s="44">
        <f>IF(AND(B3016=Queue!$C$4,OR(Queue!$K$4="*",N3016=Queue!$K$4)),Q3016,"")</f>
        <v/>
      </c>
    </row>
    <row r="3017">
      <c r="A3017" s="35">
        <f>IF(M3017="","",HYPERLINK("https://www.youtube.com/watch?v="&amp;M3017,"▶"))</f>
        <v/>
      </c>
      <c r="B3017" s="36">
        <f>IF(C3017&lt;&gt;"",C3017,IF(P3017&lt;=IFERROR(INDEX(tblChannels[Watched Through],MATCH(N3017,tblChannels[Channel ID],0)),0),"Watched","Unwatched"))</f>
        <v/>
      </c>
      <c r="C3017" s="37" t="n"/>
      <c r="D3017" s="38" t="n"/>
      <c r="E3017" s="39" t="n">
        <v>41439.84305555555</v>
      </c>
      <c r="F3017" s="47" t="inlineStr">
        <is>
          <t>Super Carlin Brothers</t>
        </is>
      </c>
      <c r="G3017" t="inlineStr">
        <is>
          <t>Should Men Google Autofill</t>
        </is>
      </c>
      <c r="H3017" s="41" t="n">
        <v>0.003599537037037037</v>
      </c>
      <c r="I3017" s="42" t="n">
        <v>289247</v>
      </c>
      <c r="J3017" s="42" t="n">
        <v>4438</v>
      </c>
      <c r="K3017" s="42" t="n">
        <v>821</v>
      </c>
      <c r="L3017" s="43" t="n"/>
      <c r="M3017" s="44" t="n"/>
      <c r="N3017" s="44" t="inlineStr">
        <is>
          <t>UCKZo4N0lVPccBkSiuyVh4yg</t>
        </is>
      </c>
      <c r="O3017" s="45" t="n">
        <v>41440.00972222222</v>
      </c>
      <c r="P3017" s="46" t="n">
        <v>41439</v>
      </c>
      <c r="Q3017" s="44" t="n">
        <v>255</v>
      </c>
      <c r="R3017" s="44" t="inlineStr">
        <is>
          <t>No Video ID yet</t>
        </is>
      </c>
      <c r="S3017" s="46" t="n"/>
      <c r="T3017" s="46" t="n"/>
      <c r="U3017" s="44" t="n"/>
      <c r="V3017" s="44">
        <f>IF(AND(P3017&gt;=Calendar!$K$2,P3017&lt;EDATE(Calendar!$K$2,1),OR(Calendar!$K$4="*",N3017=Calendar!$K$4)),P3017*100+COUNTIFS($P$6:$P$3271,P3017,$Q$6:$Q$3271,"&lt;="&amp;Q3017,$N$6:$N$3271,Calendar!$K$4),"")</f>
        <v/>
      </c>
      <c r="W3017" s="44">
        <f>IF(AND(B3017=Queue!$C$4,OR(Queue!$K$4="*",N3017=Queue!$K$4)),Q3017,"")</f>
        <v/>
      </c>
    </row>
    <row r="3018">
      <c r="A3018" s="35">
        <f>IF(M3018="","",HYPERLINK("https://www.youtube.com/watch?v="&amp;M3018,"▶"))</f>
        <v/>
      </c>
      <c r="B3018" s="36">
        <f>IF(C3018&lt;&gt;"",C3018,IF(P3018&lt;=IFERROR(INDEX(tblChannels[Watched Through],MATCH(N3018,tblChannels[Channel ID],0)),0),"Watched","Unwatched"))</f>
        <v/>
      </c>
      <c r="C3018" s="37" t="n"/>
      <c r="D3018" s="38" t="n"/>
      <c r="E3018" s="39" t="n">
        <v>41438.91319444445</v>
      </c>
      <c r="F3018" s="47" t="inlineStr">
        <is>
          <t>Super Carlin Brothers</t>
        </is>
      </c>
      <c r="G3018" t="inlineStr">
        <is>
          <t>Dwelling</t>
        </is>
      </c>
      <c r="H3018" s="41" t="n">
        <v>0.002002314814814815</v>
      </c>
      <c r="I3018" s="42" t="n">
        <v>8366</v>
      </c>
      <c r="J3018" s="42" t="n">
        <v>186</v>
      </c>
      <c r="K3018" s="42" t="n">
        <v>29</v>
      </c>
      <c r="L3018" s="43" t="n"/>
      <c r="M3018" s="44" t="n"/>
      <c r="N3018" s="44" t="inlineStr">
        <is>
          <t>UCKZo4N0lVPccBkSiuyVh4yg</t>
        </is>
      </c>
      <c r="O3018" s="45" t="n">
        <v>41439.07986111111</v>
      </c>
      <c r="P3018" s="46" t="n">
        <v>41438</v>
      </c>
      <c r="Q3018" s="44" t="n">
        <v>254</v>
      </c>
      <c r="R3018" s="44" t="inlineStr">
        <is>
          <t>No Video ID yet</t>
        </is>
      </c>
      <c r="S3018" s="46" t="n"/>
      <c r="T3018" s="46" t="n"/>
      <c r="U3018" s="44" t="n"/>
      <c r="V3018" s="44">
        <f>IF(AND(P3018&gt;=Calendar!$K$2,P3018&lt;EDATE(Calendar!$K$2,1),OR(Calendar!$K$4="*",N3018=Calendar!$K$4)),P3018*100+COUNTIFS($P$6:$P$3271,P3018,$Q$6:$Q$3271,"&lt;="&amp;Q3018,$N$6:$N$3271,Calendar!$K$4),"")</f>
        <v/>
      </c>
      <c r="W3018" s="44">
        <f>IF(AND(B3018=Queue!$C$4,OR(Queue!$K$4="*",N3018=Queue!$K$4)),Q3018,"")</f>
        <v/>
      </c>
    </row>
    <row r="3019">
      <c r="A3019" s="35">
        <f>IF(M3019="","",HYPERLINK("https://www.youtube.com/watch?v="&amp;M3019,"▶"))</f>
        <v/>
      </c>
      <c r="B3019" s="36">
        <f>IF(C3019&lt;&gt;"",C3019,IF(P3019&lt;=IFERROR(INDEX(tblChannels[Watched Through],MATCH(N3019,tblChannels[Channel ID],0)),0),"Watched","Unwatched"))</f>
        <v/>
      </c>
      <c r="C3019" s="37" t="n"/>
      <c r="D3019" s="38" t="n"/>
      <c r="E3019" s="39" t="n">
        <v>41437.98819444444</v>
      </c>
      <c r="F3019" s="47" t="inlineStr">
        <is>
          <t>Super Carlin Brothers</t>
        </is>
      </c>
      <c r="G3019" t="inlineStr">
        <is>
          <t>DOESN'T MATTER!</t>
        </is>
      </c>
      <c r="H3019" s="41" t="n">
        <v>0.002025462962962963</v>
      </c>
      <c r="I3019" s="42" t="n">
        <v>28114</v>
      </c>
      <c r="J3019" s="42" t="n">
        <v>554</v>
      </c>
      <c r="K3019" s="42" t="n">
        <v>99</v>
      </c>
      <c r="L3019" s="43" t="n"/>
      <c r="M3019" s="44" t="n"/>
      <c r="N3019" s="44" t="inlineStr">
        <is>
          <t>UCKZo4N0lVPccBkSiuyVh4yg</t>
        </is>
      </c>
      <c r="O3019" s="45" t="n">
        <v>41438.15486111111</v>
      </c>
      <c r="P3019" s="46" t="n">
        <v>41437</v>
      </c>
      <c r="Q3019" s="44" t="n">
        <v>253</v>
      </c>
      <c r="R3019" s="44" t="inlineStr">
        <is>
          <t>No Video ID yet</t>
        </is>
      </c>
      <c r="S3019" s="46" t="n"/>
      <c r="T3019" s="46" t="n"/>
      <c r="U3019" s="44" t="n"/>
      <c r="V3019" s="44">
        <f>IF(AND(P3019&gt;=Calendar!$K$2,P3019&lt;EDATE(Calendar!$K$2,1),OR(Calendar!$K$4="*",N3019=Calendar!$K$4)),P3019*100+COUNTIFS($P$6:$P$3271,P3019,$Q$6:$Q$3271,"&lt;="&amp;Q3019,$N$6:$N$3271,Calendar!$K$4),"")</f>
        <v/>
      </c>
      <c r="W3019" s="44">
        <f>IF(AND(B3019=Queue!$C$4,OR(Queue!$K$4="*",N3019=Queue!$K$4)),Q3019,"")</f>
        <v/>
      </c>
    </row>
    <row r="3020">
      <c r="A3020" s="35">
        <f>IF(M3020="","",HYPERLINK("https://www.youtube.com/watch?v="&amp;M3020,"▶"))</f>
        <v/>
      </c>
      <c r="B3020" s="36">
        <f>IF(C3020&lt;&gt;"",C3020,IF(P3020&lt;=IFERROR(INDEX(tblChannels[Watched Through],MATCH(N3020,tblChannels[Channel ID],0)),0),"Watched","Unwatched"))</f>
        <v/>
      </c>
      <c r="C3020" s="37" t="n"/>
      <c r="D3020" s="38" t="n"/>
      <c r="E3020" s="39" t="n">
        <v>41436.90972222222</v>
      </c>
      <c r="F3020" s="47" t="inlineStr">
        <is>
          <t>Super Carlin Brothers</t>
        </is>
      </c>
      <c r="G3020" t="inlineStr">
        <is>
          <t>BEING WATCHED</t>
        </is>
      </c>
      <c r="H3020" s="41" t="n">
        <v>0.001608796296296296</v>
      </c>
      <c r="I3020" s="42" t="n">
        <v>11609</v>
      </c>
      <c r="J3020" s="42" t="n">
        <v>278</v>
      </c>
      <c r="K3020" s="42" t="n">
        <v>63</v>
      </c>
      <c r="L3020" s="43" t="n"/>
      <c r="M3020" s="44" t="n"/>
      <c r="N3020" s="44" t="inlineStr">
        <is>
          <t>UCKZo4N0lVPccBkSiuyVh4yg</t>
        </is>
      </c>
      <c r="O3020" s="45" t="n">
        <v>41437.07638888889</v>
      </c>
      <c r="P3020" s="46" t="n">
        <v>41436</v>
      </c>
      <c r="Q3020" s="44" t="n">
        <v>252</v>
      </c>
      <c r="R3020" s="44" t="inlineStr">
        <is>
          <t>No Video ID yet</t>
        </is>
      </c>
      <c r="S3020" s="46" t="n"/>
      <c r="T3020" s="46" t="n"/>
      <c r="U3020" s="44" t="n"/>
      <c r="V3020" s="44">
        <f>IF(AND(P3020&gt;=Calendar!$K$2,P3020&lt;EDATE(Calendar!$K$2,1),OR(Calendar!$K$4="*",N3020=Calendar!$K$4)),P3020*100+COUNTIFS($P$6:$P$3271,P3020,$Q$6:$Q$3271,"&lt;="&amp;Q3020,$N$6:$N$3271,Calendar!$K$4),"")</f>
        <v/>
      </c>
      <c r="W3020" s="44">
        <f>IF(AND(B3020=Queue!$C$4,OR(Queue!$K$4="*",N3020=Queue!$K$4)),Q3020,"")</f>
        <v/>
      </c>
    </row>
    <row r="3021">
      <c r="A3021" s="35">
        <f>IF(M3021="","",HYPERLINK("https://www.youtube.com/watch?v="&amp;M3021,"▶"))</f>
        <v/>
      </c>
      <c r="B3021" s="36">
        <f>IF(C3021&lt;&gt;"",C3021,IF(P3021&lt;=IFERROR(INDEX(tblChannels[Watched Through],MATCH(N3021,tblChannels[Channel ID],0)),0),"Watched","Unwatched"))</f>
        <v/>
      </c>
      <c r="C3021" s="37" t="n"/>
      <c r="D3021" s="38" t="n"/>
      <c r="E3021" s="39" t="n">
        <v>41435.96388888889</v>
      </c>
      <c r="F3021" s="47" t="inlineStr">
        <is>
          <t>Super Carlin Brothers</t>
        </is>
      </c>
      <c r="G3021" t="inlineStr">
        <is>
          <t>BEARD FACE TATTOO!</t>
        </is>
      </c>
      <c r="H3021" s="41" t="n">
        <v>0.002650462962962963</v>
      </c>
      <c r="I3021" s="42" t="n">
        <v>36439</v>
      </c>
      <c r="J3021" s="42" t="n">
        <v>688</v>
      </c>
      <c r="K3021" s="42" t="n">
        <v>273</v>
      </c>
      <c r="L3021" s="43" t="n"/>
      <c r="M3021" s="44" t="n"/>
      <c r="N3021" s="44" t="inlineStr">
        <is>
          <t>UCKZo4N0lVPccBkSiuyVh4yg</t>
        </is>
      </c>
      <c r="O3021" s="45" t="n">
        <v>41436.13055555556</v>
      </c>
      <c r="P3021" s="46" t="n">
        <v>41435</v>
      </c>
      <c r="Q3021" s="44" t="n">
        <v>251</v>
      </c>
      <c r="R3021" s="44" t="inlineStr">
        <is>
          <t>No Video ID yet</t>
        </is>
      </c>
      <c r="S3021" s="46" t="n"/>
      <c r="T3021" s="46" t="n"/>
      <c r="U3021" s="44" t="n"/>
      <c r="V3021" s="44">
        <f>IF(AND(P3021&gt;=Calendar!$K$2,P3021&lt;EDATE(Calendar!$K$2,1),OR(Calendar!$K$4="*",N3021=Calendar!$K$4)),P3021*100+COUNTIFS($P$6:$P$3271,P3021,$Q$6:$Q$3271,"&lt;="&amp;Q3021,$N$6:$N$3271,Calendar!$K$4),"")</f>
        <v/>
      </c>
      <c r="W3021" s="44">
        <f>IF(AND(B3021=Queue!$C$4,OR(Queue!$K$4="*",N3021=Queue!$K$4)),Q3021,"")</f>
        <v/>
      </c>
    </row>
    <row r="3022">
      <c r="A3022" s="35">
        <f>IF(M3022="","",HYPERLINK("https://www.youtube.com/watch?v="&amp;M3022,"▶"))</f>
        <v/>
      </c>
      <c r="B3022" s="36">
        <f>IF(C3022&lt;&gt;"",C3022,IF(P3022&lt;=IFERROR(INDEX(tblChannels[Watched Through],MATCH(N3022,tblChannels[Channel ID],0)),0),"Watched","Unwatched"))</f>
        <v/>
      </c>
      <c r="C3022" s="37" t="n"/>
      <c r="D3022" s="38" t="n"/>
      <c r="E3022" s="39" t="n">
        <v>41432.96944444445</v>
      </c>
      <c r="F3022" s="47" t="inlineStr">
        <is>
          <t>Super Carlin Brothers</t>
        </is>
      </c>
      <c r="G3022" t="inlineStr">
        <is>
          <t>The Touch</t>
        </is>
      </c>
      <c r="H3022" s="41" t="n">
        <v>0.002152777777777778</v>
      </c>
      <c r="I3022" s="42" t="n">
        <v>7794</v>
      </c>
      <c r="J3022" s="42" t="n">
        <v>178</v>
      </c>
      <c r="K3022" s="42" t="n">
        <v>38</v>
      </c>
      <c r="L3022" s="43" t="n"/>
      <c r="M3022" s="44" t="n"/>
      <c r="N3022" s="44" t="inlineStr">
        <is>
          <t>UCKZo4N0lVPccBkSiuyVh4yg</t>
        </is>
      </c>
      <c r="O3022" s="45" t="n">
        <v>41433.13611111111</v>
      </c>
      <c r="P3022" s="46" t="n">
        <v>41432</v>
      </c>
      <c r="Q3022" s="44" t="n">
        <v>250</v>
      </c>
      <c r="R3022" s="44" t="inlineStr">
        <is>
          <t>No Video ID yet</t>
        </is>
      </c>
      <c r="S3022" s="46" t="n"/>
      <c r="T3022" s="46" t="n"/>
      <c r="U3022" s="44" t="n"/>
      <c r="V3022" s="44">
        <f>IF(AND(P3022&gt;=Calendar!$K$2,P3022&lt;EDATE(Calendar!$K$2,1),OR(Calendar!$K$4="*",N3022=Calendar!$K$4)),P3022*100+COUNTIFS($P$6:$P$3271,P3022,$Q$6:$Q$3271,"&lt;="&amp;Q3022,$N$6:$N$3271,Calendar!$K$4),"")</f>
        <v/>
      </c>
      <c r="W3022" s="44">
        <f>IF(AND(B3022=Queue!$C$4,OR(Queue!$K$4="*",N3022=Queue!$K$4)),Q3022,"")</f>
        <v/>
      </c>
    </row>
    <row r="3023">
      <c r="A3023" s="35">
        <f>IF(M3023="","",HYPERLINK("https://www.youtube.com/watch?v="&amp;M3023,"▶"))</f>
        <v/>
      </c>
      <c r="B3023" s="36">
        <f>IF(C3023&lt;&gt;"",C3023,IF(P3023&lt;=IFERROR(INDEX(tblChannels[Watched Through],MATCH(N3023,tblChannels[Channel ID],0)),0),"Watched","Unwatched"))</f>
        <v/>
      </c>
      <c r="C3023" s="37" t="n"/>
      <c r="D3023" s="38" t="n"/>
      <c r="E3023" s="39" t="n">
        <v>41431.86111111111</v>
      </c>
      <c r="F3023" s="47" t="inlineStr">
        <is>
          <t>Super Carlin Brothers</t>
        </is>
      </c>
      <c r="G3023" t="inlineStr">
        <is>
          <t>TRUMPET TALES</t>
        </is>
      </c>
      <c r="H3023" s="41" t="n">
        <v>0.003321759259259259</v>
      </c>
      <c r="I3023" s="42" t="n">
        <v>37091</v>
      </c>
      <c r="J3023" s="42" t="n">
        <v>767</v>
      </c>
      <c r="K3023" s="42" t="n">
        <v>480</v>
      </c>
      <c r="L3023" s="43" t="n"/>
      <c r="M3023" s="44" t="n"/>
      <c r="N3023" s="44" t="inlineStr">
        <is>
          <t>UCKZo4N0lVPccBkSiuyVh4yg</t>
        </is>
      </c>
      <c r="O3023" s="45" t="n">
        <v>41432.02777777778</v>
      </c>
      <c r="P3023" s="46" t="n">
        <v>41431</v>
      </c>
      <c r="Q3023" s="44" t="n">
        <v>249</v>
      </c>
      <c r="R3023" s="44" t="inlineStr">
        <is>
          <t>No Video ID yet</t>
        </is>
      </c>
      <c r="S3023" s="46" t="n"/>
      <c r="T3023" s="46" t="n"/>
      <c r="U3023" s="44" t="n"/>
      <c r="V3023" s="44">
        <f>IF(AND(P3023&gt;=Calendar!$K$2,P3023&lt;EDATE(Calendar!$K$2,1),OR(Calendar!$K$4="*",N3023=Calendar!$K$4)),P3023*100+COUNTIFS($P$6:$P$3271,P3023,$Q$6:$Q$3271,"&lt;="&amp;Q3023,$N$6:$N$3271,Calendar!$K$4),"")</f>
        <v/>
      </c>
      <c r="W3023" s="44">
        <f>IF(AND(B3023=Queue!$C$4,OR(Queue!$K$4="*",N3023=Queue!$K$4)),Q3023,"")</f>
        <v/>
      </c>
    </row>
    <row r="3024">
      <c r="A3024" s="35">
        <f>IF(M3024="","",HYPERLINK("https://www.youtube.com/watch?v="&amp;M3024,"▶"))</f>
        <v/>
      </c>
      <c r="B3024" s="36">
        <f>IF(C3024&lt;&gt;"",C3024,IF(P3024&lt;=IFERROR(INDEX(tblChannels[Watched Through],MATCH(N3024,tblChannels[Channel ID],0)),0),"Watched","Unwatched"))</f>
        <v/>
      </c>
      <c r="C3024" s="37" t="n"/>
      <c r="D3024" s="38" t="n"/>
      <c r="E3024" s="39" t="n">
        <v>41430.95208333333</v>
      </c>
      <c r="F3024" s="47" t="inlineStr">
        <is>
          <t>Super Carlin Brothers</t>
        </is>
      </c>
      <c r="G3024" t="inlineStr">
        <is>
          <t>Problem Recognition</t>
        </is>
      </c>
      <c r="H3024" s="41" t="n">
        <v>0.002858796296296296</v>
      </c>
      <c r="I3024" s="42" t="n">
        <v>9261</v>
      </c>
      <c r="J3024" s="42" t="n">
        <v>248</v>
      </c>
      <c r="K3024" s="42" t="n">
        <v>20</v>
      </c>
      <c r="L3024" s="43" t="n"/>
      <c r="M3024" s="44" t="n"/>
      <c r="N3024" s="44" t="inlineStr">
        <is>
          <t>UCKZo4N0lVPccBkSiuyVh4yg</t>
        </is>
      </c>
      <c r="O3024" s="45" t="n">
        <v>41431.11875</v>
      </c>
      <c r="P3024" s="46" t="n">
        <v>41430</v>
      </c>
      <c r="Q3024" s="44" t="n">
        <v>248</v>
      </c>
      <c r="R3024" s="44" t="inlineStr">
        <is>
          <t>No Video ID yet</t>
        </is>
      </c>
      <c r="S3024" s="46" t="n"/>
      <c r="T3024" s="46" t="n"/>
      <c r="U3024" s="44" t="n"/>
      <c r="V3024" s="44">
        <f>IF(AND(P3024&gt;=Calendar!$K$2,P3024&lt;EDATE(Calendar!$K$2,1),OR(Calendar!$K$4="*",N3024=Calendar!$K$4)),P3024*100+COUNTIFS($P$6:$P$3271,P3024,$Q$6:$Q$3271,"&lt;="&amp;Q3024,$N$6:$N$3271,Calendar!$K$4),"")</f>
        <v/>
      </c>
      <c r="W3024" s="44">
        <f>IF(AND(B3024=Queue!$C$4,OR(Queue!$K$4="*",N3024=Queue!$K$4)),Q3024,"")</f>
        <v/>
      </c>
    </row>
    <row r="3025">
      <c r="A3025" s="35">
        <f>IF(M3025="","",HYPERLINK("https://www.youtube.com/watch?v="&amp;M3025,"▶"))</f>
        <v/>
      </c>
      <c r="B3025" s="36">
        <f>IF(C3025&lt;&gt;"",C3025,IF(P3025&lt;=IFERROR(INDEX(tblChannels[Watched Through],MATCH(N3025,tblChannels[Channel ID],0)),0),"Watched","Unwatched"))</f>
        <v/>
      </c>
      <c r="C3025" s="37" t="n"/>
      <c r="D3025" s="38" t="n"/>
      <c r="E3025" s="39" t="n">
        <v>41429.98263888889</v>
      </c>
      <c r="F3025" s="47" t="inlineStr">
        <is>
          <t>Super Carlin Brothers</t>
        </is>
      </c>
      <c r="G3025" t="inlineStr">
        <is>
          <t>On Creativity</t>
        </is>
      </c>
      <c r="H3025" s="41" t="n">
        <v>0.002754629629629629</v>
      </c>
      <c r="I3025" s="42" t="n">
        <v>21928</v>
      </c>
      <c r="J3025" s="42" t="n">
        <v>556</v>
      </c>
      <c r="K3025" s="42" t="n">
        <v>91</v>
      </c>
      <c r="L3025" s="43" t="n"/>
      <c r="M3025" s="44" t="n"/>
      <c r="N3025" s="44" t="inlineStr">
        <is>
          <t>UCKZo4N0lVPccBkSiuyVh4yg</t>
        </is>
      </c>
      <c r="O3025" s="45" t="n">
        <v>41430.14930555555</v>
      </c>
      <c r="P3025" s="46" t="n">
        <v>41429</v>
      </c>
      <c r="Q3025" s="44" t="n">
        <v>247</v>
      </c>
      <c r="R3025" s="44" t="inlineStr">
        <is>
          <t>No Video ID yet</t>
        </is>
      </c>
      <c r="S3025" s="46" t="n"/>
      <c r="T3025" s="46" t="n"/>
      <c r="U3025" s="44" t="n"/>
      <c r="V3025" s="44">
        <f>IF(AND(P3025&gt;=Calendar!$K$2,P3025&lt;EDATE(Calendar!$K$2,1),OR(Calendar!$K$4="*",N3025=Calendar!$K$4)),P3025*100+COUNTIFS($P$6:$P$3271,P3025,$Q$6:$Q$3271,"&lt;="&amp;Q3025,$N$6:$N$3271,Calendar!$K$4),"")</f>
        <v/>
      </c>
      <c r="W3025" s="44">
        <f>IF(AND(B3025=Queue!$C$4,OR(Queue!$K$4="*",N3025=Queue!$K$4)),Q3025,"")</f>
        <v/>
      </c>
    </row>
    <row r="3026">
      <c r="A3026" s="35">
        <f>IF(M3026="","",HYPERLINK("https://www.youtube.com/watch?v="&amp;M3026,"▶"))</f>
        <v/>
      </c>
      <c r="B3026" s="36">
        <f>IF(C3026&lt;&gt;"",C3026,IF(P3026&lt;=IFERROR(INDEX(tblChannels[Watched Through],MATCH(N3026,tblChannels[Channel ID],0)),0),"Watched","Unwatched"))</f>
        <v/>
      </c>
      <c r="C3026" s="37" t="n"/>
      <c r="D3026" s="38" t="n"/>
      <c r="E3026" s="39" t="n">
        <v>41428.99166666667</v>
      </c>
      <c r="F3026" s="47" t="inlineStr">
        <is>
          <t>Super Carlin Brothers</t>
        </is>
      </c>
      <c r="G3026" t="inlineStr">
        <is>
          <t>Ben's 90's tag</t>
        </is>
      </c>
      <c r="H3026" s="41" t="n">
        <v>0.003194444444444445</v>
      </c>
      <c r="I3026" s="42" t="n">
        <v>16416</v>
      </c>
      <c r="J3026" s="42" t="n">
        <v>392</v>
      </c>
      <c r="K3026" s="42" t="n">
        <v>62</v>
      </c>
      <c r="L3026" s="43" t="n"/>
      <c r="M3026" s="44" t="n"/>
      <c r="N3026" s="44" t="inlineStr">
        <is>
          <t>UCKZo4N0lVPccBkSiuyVh4yg</t>
        </is>
      </c>
      <c r="O3026" s="45" t="n">
        <v>41429.15833333333</v>
      </c>
      <c r="P3026" s="46" t="n">
        <v>41428</v>
      </c>
      <c r="Q3026" s="44" t="n">
        <v>246</v>
      </c>
      <c r="R3026" s="44" t="inlineStr">
        <is>
          <t>No Video ID yet</t>
        </is>
      </c>
      <c r="S3026" s="46" t="n"/>
      <c r="T3026" s="46" t="n"/>
      <c r="U3026" s="44" t="n"/>
      <c r="V3026" s="44">
        <f>IF(AND(P3026&gt;=Calendar!$K$2,P3026&lt;EDATE(Calendar!$K$2,1),OR(Calendar!$K$4="*",N3026=Calendar!$K$4)),P3026*100+COUNTIFS($P$6:$P$3271,P3026,$Q$6:$Q$3271,"&lt;="&amp;Q3026,$N$6:$N$3271,Calendar!$K$4),"")</f>
        <v/>
      </c>
      <c r="W3026" s="44">
        <f>IF(AND(B3026=Queue!$C$4,OR(Queue!$K$4="*",N3026=Queue!$K$4)),Q3026,"")</f>
        <v/>
      </c>
    </row>
    <row r="3027">
      <c r="A3027" s="35">
        <f>IF(M3027="","",HYPERLINK("https://www.youtube.com/watch?v="&amp;M3027,"▶"))</f>
        <v/>
      </c>
      <c r="B3027" s="36">
        <f>IF(C3027&lt;&gt;"",C3027,IF(P3027&lt;=IFERROR(INDEX(tblChannels[Watched Through],MATCH(N3027,tblChannels[Channel ID],0)),0),"Watched","Unwatched"))</f>
        <v/>
      </c>
      <c r="C3027" s="37" t="n"/>
      <c r="D3027" s="38" t="n"/>
      <c r="E3027" s="39" t="n">
        <v>41425.98472222222</v>
      </c>
      <c r="F3027" s="47" t="inlineStr">
        <is>
          <t>Super Carlin Brothers</t>
        </is>
      </c>
      <c r="G3027" t="inlineStr">
        <is>
          <t>Ask J #6</t>
        </is>
      </c>
      <c r="H3027" s="41" t="n">
        <v>0.003414351851851852</v>
      </c>
      <c r="I3027" s="42" t="n">
        <v>41811</v>
      </c>
      <c r="J3027" s="42" t="n">
        <v>724</v>
      </c>
      <c r="K3027" s="42" t="n">
        <v>146</v>
      </c>
      <c r="L3027" s="43" t="n"/>
      <c r="M3027" s="44" t="n"/>
      <c r="N3027" s="44" t="inlineStr">
        <is>
          <t>UCKZo4N0lVPccBkSiuyVh4yg</t>
        </is>
      </c>
      <c r="O3027" s="45" t="n">
        <v>41426.15138888889</v>
      </c>
      <c r="P3027" s="46" t="n">
        <v>41425</v>
      </c>
      <c r="Q3027" s="44" t="n">
        <v>245</v>
      </c>
      <c r="R3027" s="44" t="inlineStr">
        <is>
          <t>No Video ID yet</t>
        </is>
      </c>
      <c r="S3027" s="46" t="n"/>
      <c r="T3027" s="46" t="n"/>
      <c r="U3027" s="44" t="n"/>
      <c r="V3027" s="44">
        <f>IF(AND(P3027&gt;=Calendar!$K$2,P3027&lt;EDATE(Calendar!$K$2,1),OR(Calendar!$K$4="*",N3027=Calendar!$K$4)),P3027*100+COUNTIFS($P$6:$P$3271,P3027,$Q$6:$Q$3271,"&lt;="&amp;Q3027,$N$6:$N$3271,Calendar!$K$4),"")</f>
        <v/>
      </c>
      <c r="W3027" s="44">
        <f>IF(AND(B3027=Queue!$C$4,OR(Queue!$K$4="*",N3027=Queue!$K$4)),Q3027,"")</f>
        <v/>
      </c>
    </row>
    <row r="3028">
      <c r="A3028" s="35">
        <f>IF(M3028="","",HYPERLINK("https://www.youtube.com/watch?v="&amp;M3028,"▶"))</f>
        <v/>
      </c>
      <c r="B3028" s="36">
        <f>IF(C3028&lt;&gt;"",C3028,IF(P3028&lt;=IFERROR(INDEX(tblChannels[Watched Through],MATCH(N3028,tblChannels[Channel ID],0)),0),"Watched","Unwatched"))</f>
        <v/>
      </c>
      <c r="C3028" s="37" t="n"/>
      <c r="D3028" s="38" t="n"/>
      <c r="E3028" s="39" t="n">
        <v>41424.98472222222</v>
      </c>
      <c r="F3028" s="47" t="inlineStr">
        <is>
          <t>Super Carlin Brothers</t>
        </is>
      </c>
      <c r="G3028" t="inlineStr">
        <is>
          <t>Shopping Habits</t>
        </is>
      </c>
      <c r="H3028" s="41" t="n">
        <v>0.002395833333333333</v>
      </c>
      <c r="I3028" s="42" t="n">
        <v>9952</v>
      </c>
      <c r="J3028" s="42" t="n">
        <v>244</v>
      </c>
      <c r="K3028" s="42" t="n">
        <v>49</v>
      </c>
      <c r="L3028" s="43" t="n"/>
      <c r="M3028" s="44" t="n"/>
      <c r="N3028" s="44" t="inlineStr">
        <is>
          <t>UCKZo4N0lVPccBkSiuyVh4yg</t>
        </is>
      </c>
      <c r="O3028" s="45" t="n">
        <v>41425.15138888889</v>
      </c>
      <c r="P3028" s="46" t="n">
        <v>41424</v>
      </c>
      <c r="Q3028" s="44" t="n">
        <v>244</v>
      </c>
      <c r="R3028" s="44" t="inlineStr">
        <is>
          <t>No Video ID yet</t>
        </is>
      </c>
      <c r="S3028" s="46" t="n"/>
      <c r="T3028" s="46" t="n"/>
      <c r="U3028" s="44" t="n"/>
      <c r="V3028" s="44">
        <f>IF(AND(P3028&gt;=Calendar!$K$2,P3028&lt;EDATE(Calendar!$K$2,1),OR(Calendar!$K$4="*",N3028=Calendar!$K$4)),P3028*100+COUNTIFS($P$6:$P$3271,P3028,$Q$6:$Q$3271,"&lt;="&amp;Q3028,$N$6:$N$3271,Calendar!$K$4),"")</f>
        <v/>
      </c>
      <c r="W3028" s="44">
        <f>IF(AND(B3028=Queue!$C$4,OR(Queue!$K$4="*",N3028=Queue!$K$4)),Q3028,"")</f>
        <v/>
      </c>
    </row>
    <row r="3029">
      <c r="A3029" s="35">
        <f>IF(M3029="","",HYPERLINK("https://www.youtube.com/watch?v="&amp;M3029,"▶"))</f>
        <v/>
      </c>
      <c r="B3029" s="36">
        <f>IF(C3029&lt;&gt;"",C3029,IF(P3029&lt;=IFERROR(INDEX(tblChannels[Watched Through],MATCH(N3029,tblChannels[Channel ID],0)),0),"Watched","Unwatched"))</f>
        <v/>
      </c>
      <c r="C3029" s="37" t="n"/>
      <c r="D3029" s="38" t="n"/>
      <c r="E3029" s="39" t="n">
        <v>41423.97222222222</v>
      </c>
      <c r="F3029" s="47" t="inlineStr">
        <is>
          <t>Super Carlin Brothers</t>
        </is>
      </c>
      <c r="G3029" t="inlineStr">
        <is>
          <t>RAIN IS THE BEST!</t>
        </is>
      </c>
      <c r="H3029" s="41" t="n">
        <v>0.002719907407407407</v>
      </c>
      <c r="I3029" s="42" t="n">
        <v>53261</v>
      </c>
      <c r="J3029" s="42" t="n">
        <v>1336</v>
      </c>
      <c r="K3029" s="42" t="n">
        <v>479</v>
      </c>
      <c r="L3029" s="43" t="n"/>
      <c r="M3029" s="44" t="n"/>
      <c r="N3029" s="44" t="inlineStr">
        <is>
          <t>UCKZo4N0lVPccBkSiuyVh4yg</t>
        </is>
      </c>
      <c r="O3029" s="45" t="n">
        <v>41424.13888888889</v>
      </c>
      <c r="P3029" s="46" t="n">
        <v>41423</v>
      </c>
      <c r="Q3029" s="44" t="n">
        <v>243</v>
      </c>
      <c r="R3029" s="44" t="inlineStr">
        <is>
          <t>No Video ID yet</t>
        </is>
      </c>
      <c r="S3029" s="46" t="n"/>
      <c r="T3029" s="46" t="n"/>
      <c r="U3029" s="44" t="n"/>
      <c r="V3029" s="44">
        <f>IF(AND(P3029&gt;=Calendar!$K$2,P3029&lt;EDATE(Calendar!$K$2,1),OR(Calendar!$K$4="*",N3029=Calendar!$K$4)),P3029*100+COUNTIFS($P$6:$P$3271,P3029,$Q$6:$Q$3271,"&lt;="&amp;Q3029,$N$6:$N$3271,Calendar!$K$4),"")</f>
        <v/>
      </c>
      <c r="W3029" s="44">
        <f>IF(AND(B3029=Queue!$C$4,OR(Queue!$K$4="*",N3029=Queue!$K$4)),Q3029,"")</f>
        <v/>
      </c>
    </row>
    <row r="3030">
      <c r="A3030" s="35">
        <f>IF(M3030="","",HYPERLINK("https://www.youtube.com/watch?v="&amp;M3030,"▶"))</f>
        <v/>
      </c>
      <c r="B3030" s="36">
        <f>IF(C3030&lt;&gt;"",C3030,IF(P3030&lt;=IFERROR(INDEX(tblChannels[Watched Through],MATCH(N3030,tblChannels[Channel ID],0)),0),"Watched","Unwatched"))</f>
        <v/>
      </c>
      <c r="C3030" s="37" t="n"/>
      <c r="D3030" s="38" t="n"/>
      <c r="E3030" s="39" t="n">
        <v>41422.91805555556</v>
      </c>
      <c r="F3030" s="47" t="inlineStr">
        <is>
          <t>Super Carlin Brothers</t>
        </is>
      </c>
      <c r="G3030" t="inlineStr">
        <is>
          <t>How to... Fun.</t>
        </is>
      </c>
      <c r="H3030" s="41" t="n">
        <v>0.001678240740740741</v>
      </c>
      <c r="I3030" s="42" t="n">
        <v>9262</v>
      </c>
      <c r="J3030" s="42" t="n">
        <v>200</v>
      </c>
      <c r="K3030" s="42" t="n">
        <v>35</v>
      </c>
      <c r="L3030" s="43" t="n"/>
      <c r="M3030" s="44" t="n"/>
      <c r="N3030" s="44" t="inlineStr">
        <is>
          <t>UCKZo4N0lVPccBkSiuyVh4yg</t>
        </is>
      </c>
      <c r="O3030" s="45" t="n">
        <v>41423.08472222222</v>
      </c>
      <c r="P3030" s="46" t="n">
        <v>41422</v>
      </c>
      <c r="Q3030" s="44" t="n">
        <v>242</v>
      </c>
      <c r="R3030" s="44" t="inlineStr">
        <is>
          <t>No Video ID yet</t>
        </is>
      </c>
      <c r="S3030" s="46" t="n"/>
      <c r="T3030" s="46" t="n"/>
      <c r="U3030" s="44" t="n"/>
      <c r="V3030" s="44">
        <f>IF(AND(P3030&gt;=Calendar!$K$2,P3030&lt;EDATE(Calendar!$K$2,1),OR(Calendar!$K$4="*",N3030=Calendar!$K$4)),P3030*100+COUNTIFS($P$6:$P$3271,P3030,$Q$6:$Q$3271,"&lt;="&amp;Q3030,$N$6:$N$3271,Calendar!$K$4),"")</f>
        <v/>
      </c>
      <c r="W3030" s="44">
        <f>IF(AND(B3030=Queue!$C$4,OR(Queue!$K$4="*",N3030=Queue!$K$4)),Q3030,"")</f>
        <v/>
      </c>
    </row>
    <row r="3031">
      <c r="A3031" s="35">
        <f>IF(M3031="","",HYPERLINK("https://www.youtube.com/watch?v="&amp;M3031,"▶"))</f>
        <v/>
      </c>
      <c r="B3031" s="36">
        <f>IF(C3031&lt;&gt;"",C3031,IF(P3031&lt;=IFERROR(INDEX(tblChannels[Watched Through],MATCH(N3031,tblChannels[Channel ID],0)),0),"Watched","Unwatched"))</f>
        <v/>
      </c>
      <c r="C3031" s="37" t="n"/>
      <c r="D3031" s="38" t="n"/>
      <c r="E3031" s="39" t="n">
        <v>41421.52638888889</v>
      </c>
      <c r="F3031" s="47" t="inlineStr">
        <is>
          <t>Super Carlin Brothers</t>
        </is>
      </c>
      <c r="G3031" t="inlineStr">
        <is>
          <t>A WILD GIRAFFALENT APPEARS!!</t>
        </is>
      </c>
      <c r="H3031" s="41" t="n">
        <v>0.001597222222222222</v>
      </c>
      <c r="I3031" s="42" t="n">
        <v>38172</v>
      </c>
      <c r="J3031" s="42" t="n">
        <v>1285</v>
      </c>
      <c r="K3031" s="42" t="n">
        <v>135</v>
      </c>
      <c r="L3031" s="43" t="n"/>
      <c r="M3031" s="44" t="n"/>
      <c r="N3031" s="44" t="inlineStr">
        <is>
          <t>UCKZo4N0lVPccBkSiuyVh4yg</t>
        </is>
      </c>
      <c r="O3031" s="45" t="n">
        <v>41421.69305555556</v>
      </c>
      <c r="P3031" s="46" t="n">
        <v>41421</v>
      </c>
      <c r="Q3031" s="44" t="n">
        <v>241</v>
      </c>
      <c r="R3031" s="44" t="inlineStr">
        <is>
          <t>No Video ID yet</t>
        </is>
      </c>
      <c r="S3031" s="46" t="n"/>
      <c r="T3031" s="46" t="n"/>
      <c r="U3031" s="44" t="n"/>
      <c r="V3031" s="44">
        <f>IF(AND(P3031&gt;=Calendar!$K$2,P3031&lt;EDATE(Calendar!$K$2,1),OR(Calendar!$K$4="*",N3031=Calendar!$K$4)),P3031*100+COUNTIFS($P$6:$P$3271,P3031,$Q$6:$Q$3271,"&lt;="&amp;Q3031,$N$6:$N$3271,Calendar!$K$4),"")</f>
        <v/>
      </c>
      <c r="W3031" s="44">
        <f>IF(AND(B3031=Queue!$C$4,OR(Queue!$K$4="*",N3031=Queue!$K$4)),Q3031,"")</f>
        <v/>
      </c>
    </row>
    <row r="3032">
      <c r="A3032" s="35">
        <f>IF(M3032="","",HYPERLINK("https://www.youtube.com/watch?v="&amp;M3032,"▶"))</f>
        <v/>
      </c>
      <c r="B3032" s="36">
        <f>IF(C3032&lt;&gt;"",C3032,IF(P3032&lt;=IFERROR(INDEX(tblChannels[Watched Through],MATCH(N3032,tblChannels[Channel ID],0)),0),"Watched","Unwatched"))</f>
        <v/>
      </c>
      <c r="C3032" s="37" t="n"/>
      <c r="D3032" s="38" t="n"/>
      <c r="E3032" s="39" t="n">
        <v>41418.98472222222</v>
      </c>
      <c r="F3032" s="47" t="inlineStr">
        <is>
          <t>Super Carlin Brothers</t>
        </is>
      </c>
      <c r="G3032" t="inlineStr">
        <is>
          <t>Becoming Actionable</t>
        </is>
      </c>
      <c r="H3032" s="41" t="n">
        <v>0.002557870370370371</v>
      </c>
      <c r="I3032" s="42" t="n">
        <v>8194</v>
      </c>
      <c r="J3032" s="42" t="n">
        <v>296</v>
      </c>
      <c r="K3032" s="42" t="n">
        <v>120</v>
      </c>
      <c r="L3032" s="43" t="n"/>
      <c r="M3032" s="44" t="n"/>
      <c r="N3032" s="44" t="inlineStr">
        <is>
          <t>UCKZo4N0lVPccBkSiuyVh4yg</t>
        </is>
      </c>
      <c r="O3032" s="45" t="n">
        <v>41419.15138888889</v>
      </c>
      <c r="P3032" s="46" t="n">
        <v>41418</v>
      </c>
      <c r="Q3032" s="44" t="n">
        <v>240</v>
      </c>
      <c r="R3032" s="44" t="inlineStr">
        <is>
          <t>No Video ID yet</t>
        </is>
      </c>
      <c r="S3032" s="46" t="n"/>
      <c r="T3032" s="46" t="n"/>
      <c r="U3032" s="44" t="n"/>
      <c r="V3032" s="44">
        <f>IF(AND(P3032&gt;=Calendar!$K$2,P3032&lt;EDATE(Calendar!$K$2,1),OR(Calendar!$K$4="*",N3032=Calendar!$K$4)),P3032*100+COUNTIFS($P$6:$P$3271,P3032,$Q$6:$Q$3271,"&lt;="&amp;Q3032,$N$6:$N$3271,Calendar!$K$4),"")</f>
        <v/>
      </c>
      <c r="W3032" s="44">
        <f>IF(AND(B3032=Queue!$C$4,OR(Queue!$K$4="*",N3032=Queue!$K$4)),Q3032,"")</f>
        <v/>
      </c>
    </row>
    <row r="3033">
      <c r="A3033" s="35">
        <f>IF(M3033="","",HYPERLINK("https://www.youtube.com/watch?v="&amp;M3033,"▶"))</f>
        <v/>
      </c>
      <c r="B3033" s="36">
        <f>IF(C3033&lt;&gt;"",C3033,IF(P3033&lt;=IFERROR(INDEX(tblChannels[Watched Through],MATCH(N3033,tblChannels[Channel ID],0)),0),"Watched","Unwatched"))</f>
        <v/>
      </c>
      <c r="C3033" s="37" t="n"/>
      <c r="D3033" s="38" t="n"/>
      <c r="E3033" s="39" t="n">
        <v>41417.92638888889</v>
      </c>
      <c r="F3033" s="47" t="inlineStr">
        <is>
          <t>Super Carlin Brothers</t>
        </is>
      </c>
      <c r="G3033" t="inlineStr">
        <is>
          <t>How Long Should a Vlog be?</t>
        </is>
      </c>
      <c r="H3033" s="41" t="n">
        <v>0.002175925925925926</v>
      </c>
      <c r="I3033" s="42" t="n">
        <v>16418</v>
      </c>
      <c r="J3033" s="42" t="n">
        <v>342</v>
      </c>
      <c r="K3033" s="42" t="n">
        <v>80</v>
      </c>
      <c r="L3033" s="43" t="n"/>
      <c r="M3033" s="44" t="n"/>
      <c r="N3033" s="44" t="inlineStr">
        <is>
          <t>UCKZo4N0lVPccBkSiuyVh4yg</t>
        </is>
      </c>
      <c r="O3033" s="45" t="n">
        <v>41418.09305555555</v>
      </c>
      <c r="P3033" s="46" t="n">
        <v>41417</v>
      </c>
      <c r="Q3033" s="44" t="n">
        <v>239</v>
      </c>
      <c r="R3033" s="44" t="inlineStr">
        <is>
          <t>No Video ID yet</t>
        </is>
      </c>
      <c r="S3033" s="46" t="n"/>
      <c r="T3033" s="46" t="n"/>
      <c r="U3033" s="44" t="n"/>
      <c r="V3033" s="44">
        <f>IF(AND(P3033&gt;=Calendar!$K$2,P3033&lt;EDATE(Calendar!$K$2,1),OR(Calendar!$K$4="*",N3033=Calendar!$K$4)),P3033*100+COUNTIFS($P$6:$P$3271,P3033,$Q$6:$Q$3271,"&lt;="&amp;Q3033,$N$6:$N$3271,Calendar!$K$4),"")</f>
        <v/>
      </c>
      <c r="W3033" s="44">
        <f>IF(AND(B3033=Queue!$C$4,OR(Queue!$K$4="*",N3033=Queue!$K$4)),Q3033,"")</f>
        <v/>
      </c>
    </row>
    <row r="3034">
      <c r="A3034" s="35">
        <f>IF(M3034="","",HYPERLINK("https://www.youtube.com/watch?v="&amp;M3034,"▶"))</f>
        <v/>
      </c>
      <c r="B3034" s="36">
        <f>IF(C3034&lt;&gt;"",C3034,IF(P3034&lt;=IFERROR(INDEX(tblChannels[Watched Through],MATCH(N3034,tblChannels[Channel ID],0)),0),"Watched","Unwatched"))</f>
        <v/>
      </c>
      <c r="C3034" s="37" t="n"/>
      <c r="D3034" s="38" t="n"/>
      <c r="E3034" s="39" t="n">
        <v>41416.9875</v>
      </c>
      <c r="F3034" s="47" t="inlineStr">
        <is>
          <t>Super Carlin Brothers</t>
        </is>
      </c>
      <c r="G3034" t="inlineStr">
        <is>
          <t>Fish Geek</t>
        </is>
      </c>
      <c r="H3034" s="41" t="n">
        <v>0.00224537037037037</v>
      </c>
      <c r="I3034" s="42" t="n">
        <v>9297</v>
      </c>
      <c r="J3034" s="42" t="n">
        <v>207</v>
      </c>
      <c r="K3034" s="42" t="n">
        <v>29</v>
      </c>
      <c r="L3034" s="43" t="n"/>
      <c r="M3034" s="44" t="n"/>
      <c r="N3034" s="44" t="inlineStr">
        <is>
          <t>UCKZo4N0lVPccBkSiuyVh4yg</t>
        </is>
      </c>
      <c r="O3034" s="45" t="n">
        <v>41417.15416666667</v>
      </c>
      <c r="P3034" s="46" t="n">
        <v>41416</v>
      </c>
      <c r="Q3034" s="44" t="n">
        <v>238</v>
      </c>
      <c r="R3034" s="44" t="inlineStr">
        <is>
          <t>No Video ID yet</t>
        </is>
      </c>
      <c r="S3034" s="46" t="n"/>
      <c r="T3034" s="46" t="n"/>
      <c r="U3034" s="44" t="n"/>
      <c r="V3034" s="44">
        <f>IF(AND(P3034&gt;=Calendar!$K$2,P3034&lt;EDATE(Calendar!$K$2,1),OR(Calendar!$K$4="*",N3034=Calendar!$K$4)),P3034*100+COUNTIFS($P$6:$P$3271,P3034,$Q$6:$Q$3271,"&lt;="&amp;Q3034,$N$6:$N$3271,Calendar!$K$4),"")</f>
        <v/>
      </c>
      <c r="W3034" s="44">
        <f>IF(AND(B3034=Queue!$C$4,OR(Queue!$K$4="*",N3034=Queue!$K$4)),Q3034,"")</f>
        <v/>
      </c>
    </row>
    <row r="3035">
      <c r="A3035" s="35">
        <f>IF(M3035="","",HYPERLINK("https://www.youtube.com/watch?v="&amp;M3035,"▶"))</f>
        <v/>
      </c>
      <c r="B3035" s="36">
        <f>IF(C3035&lt;&gt;"",C3035,IF(P3035&lt;=IFERROR(INDEX(tblChannels[Watched Through],MATCH(N3035,tblChannels[Channel ID],0)),0),"Watched","Unwatched"))</f>
        <v/>
      </c>
      <c r="C3035" s="37" t="n"/>
      <c r="D3035" s="38" t="n"/>
      <c r="E3035" s="39" t="n">
        <v>41416.04305555556</v>
      </c>
      <c r="F3035" s="47" t="inlineStr">
        <is>
          <t>Super Carlin Brothers</t>
        </is>
      </c>
      <c r="G3035" t="inlineStr">
        <is>
          <t>Destiny Story :: What I Wouldn't do</t>
        </is>
      </c>
      <c r="H3035" s="41" t="n">
        <v>0.003460648148148148</v>
      </c>
      <c r="I3035" s="42" t="n">
        <v>28414</v>
      </c>
      <c r="J3035" s="42" t="n">
        <v>536</v>
      </c>
      <c r="K3035" s="42" t="n">
        <v>91</v>
      </c>
      <c r="L3035" s="43" t="n"/>
      <c r="M3035" s="44" t="n"/>
      <c r="N3035" s="44" t="inlineStr">
        <is>
          <t>UCKZo4N0lVPccBkSiuyVh4yg</t>
        </is>
      </c>
      <c r="O3035" s="45" t="n">
        <v>41416.20972222222</v>
      </c>
      <c r="P3035" s="46" t="n">
        <v>41416</v>
      </c>
      <c r="Q3035" s="44" t="n">
        <v>237</v>
      </c>
      <c r="R3035" s="44" t="inlineStr">
        <is>
          <t>No Video ID yet</t>
        </is>
      </c>
      <c r="S3035" s="46" t="n"/>
      <c r="T3035" s="46" t="n"/>
      <c r="U3035" s="44" t="n"/>
      <c r="V3035" s="44">
        <f>IF(AND(P3035&gt;=Calendar!$K$2,P3035&lt;EDATE(Calendar!$K$2,1),OR(Calendar!$K$4="*",N3035=Calendar!$K$4)),P3035*100+COUNTIFS($P$6:$P$3271,P3035,$Q$6:$Q$3271,"&lt;="&amp;Q3035,$N$6:$N$3271,Calendar!$K$4),"")</f>
        <v/>
      </c>
      <c r="W3035" s="44">
        <f>IF(AND(B3035=Queue!$C$4,OR(Queue!$K$4="*",N3035=Queue!$K$4)),Q3035,"")</f>
        <v/>
      </c>
    </row>
    <row r="3036">
      <c r="A3036" s="35">
        <f>IF(M3036="","",HYPERLINK("https://www.youtube.com/watch?v="&amp;M3036,"▶"))</f>
        <v/>
      </c>
      <c r="B3036" s="36">
        <f>IF(C3036&lt;&gt;"",C3036,IF(P3036&lt;=IFERROR(INDEX(tblChannels[Watched Through],MATCH(N3036,tblChannels[Channel ID],0)),0),"Watched","Unwatched"))</f>
        <v/>
      </c>
      <c r="C3036" s="37" t="n"/>
      <c r="D3036" s="38" t="n"/>
      <c r="E3036" s="39" t="n">
        <v>41414.93055555555</v>
      </c>
      <c r="F3036" s="47" t="inlineStr">
        <is>
          <t>Super Carlin Brothers</t>
        </is>
      </c>
      <c r="G3036" t="inlineStr">
        <is>
          <t>Pizza</t>
        </is>
      </c>
      <c r="H3036" s="41" t="n">
        <v>0.002210648148148148</v>
      </c>
      <c r="I3036" s="42" t="n">
        <v>10706</v>
      </c>
      <c r="J3036" s="42" t="n">
        <v>233</v>
      </c>
      <c r="K3036" s="42" t="n">
        <v>93</v>
      </c>
      <c r="L3036" s="43" t="n"/>
      <c r="M3036" s="44" t="n"/>
      <c r="N3036" s="44" t="inlineStr">
        <is>
          <t>UCKZo4N0lVPccBkSiuyVh4yg</t>
        </is>
      </c>
      <c r="O3036" s="45" t="n">
        <v>41415.09722222222</v>
      </c>
      <c r="P3036" s="46" t="n">
        <v>41414</v>
      </c>
      <c r="Q3036" s="44" t="n">
        <v>236</v>
      </c>
      <c r="R3036" s="44" t="inlineStr">
        <is>
          <t>No Video ID yet</t>
        </is>
      </c>
      <c r="S3036" s="46" t="n"/>
      <c r="T3036" s="46" t="n"/>
      <c r="U3036" s="44" t="n"/>
      <c r="V3036" s="44">
        <f>IF(AND(P3036&gt;=Calendar!$K$2,P3036&lt;EDATE(Calendar!$K$2,1),OR(Calendar!$K$4="*",N3036=Calendar!$K$4)),P3036*100+COUNTIFS($P$6:$P$3271,P3036,$Q$6:$Q$3271,"&lt;="&amp;Q3036,$N$6:$N$3271,Calendar!$K$4),"")</f>
        <v/>
      </c>
      <c r="W3036" s="44">
        <f>IF(AND(B3036=Queue!$C$4,OR(Queue!$K$4="*",N3036=Queue!$K$4)),Q3036,"")</f>
        <v/>
      </c>
    </row>
    <row r="3037">
      <c r="A3037" s="35">
        <f>IF(M3037="","",HYPERLINK("https://www.youtube.com/watch?v="&amp;M3037,"▶"))</f>
        <v/>
      </c>
      <c r="B3037" s="36">
        <f>IF(C3037&lt;&gt;"",C3037,IF(P3037&lt;=IFERROR(INDEX(tblChannels[Watched Through],MATCH(N3037,tblChannels[Channel ID],0)),0),"Watched","Unwatched"))</f>
        <v/>
      </c>
      <c r="C3037" s="37" t="n"/>
      <c r="D3037" s="38" t="n"/>
      <c r="E3037" s="39" t="n">
        <v>41411.76388888889</v>
      </c>
      <c r="F3037" s="47" t="inlineStr">
        <is>
          <t>Super Carlin Brothers</t>
        </is>
      </c>
      <c r="G3037" t="inlineStr">
        <is>
          <t>OPPORTUNITY FOOD!</t>
        </is>
      </c>
      <c r="H3037" s="41" t="n">
        <v>0.002939814814814815</v>
      </c>
      <c r="I3037" s="42" t="n">
        <v>50439</v>
      </c>
      <c r="J3037" s="42" t="n">
        <v>1012</v>
      </c>
      <c r="K3037" s="42" t="n">
        <v>263</v>
      </c>
      <c r="L3037" s="43" t="n"/>
      <c r="M3037" s="44" t="n"/>
      <c r="N3037" s="44" t="inlineStr">
        <is>
          <t>UCKZo4N0lVPccBkSiuyVh4yg</t>
        </is>
      </c>
      <c r="O3037" s="45" t="n">
        <v>41411.93055555555</v>
      </c>
      <c r="P3037" s="46" t="n">
        <v>41411</v>
      </c>
      <c r="Q3037" s="44" t="n">
        <v>235</v>
      </c>
      <c r="R3037" s="44" t="inlineStr">
        <is>
          <t>No Video ID yet</t>
        </is>
      </c>
      <c r="S3037" s="46" t="n"/>
      <c r="T3037" s="46" t="n"/>
      <c r="U3037" s="44" t="n"/>
      <c r="V3037" s="44">
        <f>IF(AND(P3037&gt;=Calendar!$K$2,P3037&lt;EDATE(Calendar!$K$2,1),OR(Calendar!$K$4="*",N3037=Calendar!$K$4)),P3037*100+COUNTIFS($P$6:$P$3271,P3037,$Q$6:$Q$3271,"&lt;="&amp;Q3037,$N$6:$N$3271,Calendar!$K$4),"")</f>
        <v/>
      </c>
      <c r="W3037" s="44">
        <f>IF(AND(B3037=Queue!$C$4,OR(Queue!$K$4="*",N3037=Queue!$K$4)),Q3037,"")</f>
        <v/>
      </c>
    </row>
    <row r="3038">
      <c r="A3038" s="35">
        <f>IF(M3038="","",HYPERLINK("https://www.youtube.com/watch?v="&amp;M3038,"▶"))</f>
        <v/>
      </c>
      <c r="B3038" s="36">
        <f>IF(C3038&lt;&gt;"",C3038,IF(P3038&lt;=IFERROR(INDEX(tblChannels[Watched Through],MATCH(N3038,tblChannels[Channel ID],0)),0),"Watched","Unwatched"))</f>
        <v/>
      </c>
      <c r="C3038" s="37" t="n"/>
      <c r="D3038" s="38" t="n"/>
      <c r="E3038" s="39" t="n">
        <v>41410.96736111111</v>
      </c>
      <c r="F3038" s="47" t="inlineStr">
        <is>
          <t>Super Carlin Brothers</t>
        </is>
      </c>
      <c r="G3038" t="inlineStr">
        <is>
          <t>I LOVE THIS SONG</t>
        </is>
      </c>
      <c r="H3038" s="41" t="n">
        <v>0.001643518518518519</v>
      </c>
      <c r="I3038" s="42" t="n">
        <v>10539</v>
      </c>
      <c r="J3038" s="42" t="n">
        <v>273</v>
      </c>
      <c r="K3038" s="42" t="n">
        <v>65</v>
      </c>
      <c r="L3038" s="43" t="n"/>
      <c r="M3038" s="44" t="n"/>
      <c r="N3038" s="44" t="inlineStr">
        <is>
          <t>UCKZo4N0lVPccBkSiuyVh4yg</t>
        </is>
      </c>
      <c r="O3038" s="45" t="n">
        <v>41411.13402777778</v>
      </c>
      <c r="P3038" s="46" t="n">
        <v>41410</v>
      </c>
      <c r="Q3038" s="44" t="n">
        <v>234</v>
      </c>
      <c r="R3038" s="44" t="inlineStr">
        <is>
          <t>No Video ID yet</t>
        </is>
      </c>
      <c r="S3038" s="46" t="n"/>
      <c r="T3038" s="46" t="n"/>
      <c r="U3038" s="44" t="n"/>
      <c r="V3038" s="44">
        <f>IF(AND(P3038&gt;=Calendar!$K$2,P3038&lt;EDATE(Calendar!$K$2,1),OR(Calendar!$K$4="*",N3038=Calendar!$K$4)),P3038*100+COUNTIFS($P$6:$P$3271,P3038,$Q$6:$Q$3271,"&lt;="&amp;Q3038,$N$6:$N$3271,Calendar!$K$4),"")</f>
        <v/>
      </c>
      <c r="W3038" s="44">
        <f>IF(AND(B3038=Queue!$C$4,OR(Queue!$K$4="*",N3038=Queue!$K$4)),Q3038,"")</f>
        <v/>
      </c>
    </row>
    <row r="3039">
      <c r="A3039" s="35">
        <f>IF(M3039="","",HYPERLINK("https://www.youtube.com/watch?v="&amp;M3039,"▶"))</f>
        <v/>
      </c>
      <c r="B3039" s="36">
        <f>IF(C3039&lt;&gt;"",C3039,IF(P3039&lt;=IFERROR(INDEX(tblChannels[Watched Through],MATCH(N3039,tblChannels[Channel ID],0)),0),"Watched","Unwatched"))</f>
        <v/>
      </c>
      <c r="C3039" s="37" t="n"/>
      <c r="D3039" s="38" t="n"/>
      <c r="E3039" s="39" t="n">
        <v>41409.98472222222</v>
      </c>
      <c r="F3039" s="47" t="inlineStr">
        <is>
          <t>Super Carlin Brothers</t>
        </is>
      </c>
      <c r="G3039" t="inlineStr">
        <is>
          <t>90's TAG!</t>
        </is>
      </c>
      <c r="H3039" s="41" t="n">
        <v>0.006226851851851851</v>
      </c>
      <c r="I3039" s="42" t="n">
        <v>65562</v>
      </c>
      <c r="J3039" s="42" t="n">
        <v>1165</v>
      </c>
      <c r="K3039" s="42" t="n">
        <v>340</v>
      </c>
      <c r="L3039" s="43" t="n"/>
      <c r="M3039" s="44" t="n"/>
      <c r="N3039" s="44" t="inlineStr">
        <is>
          <t>UCKZo4N0lVPccBkSiuyVh4yg</t>
        </is>
      </c>
      <c r="O3039" s="45" t="n">
        <v>41410.15138888889</v>
      </c>
      <c r="P3039" s="46" t="n">
        <v>41409</v>
      </c>
      <c r="Q3039" s="44" t="n">
        <v>233</v>
      </c>
      <c r="R3039" s="44" t="inlineStr">
        <is>
          <t>No Video ID yet</t>
        </is>
      </c>
      <c r="S3039" s="46" t="n"/>
      <c r="T3039" s="46" t="n"/>
      <c r="U3039" s="44" t="n"/>
      <c r="V3039" s="44">
        <f>IF(AND(P3039&gt;=Calendar!$K$2,P3039&lt;EDATE(Calendar!$K$2,1),OR(Calendar!$K$4="*",N3039=Calendar!$K$4)),P3039*100+COUNTIFS($P$6:$P$3271,P3039,$Q$6:$Q$3271,"&lt;="&amp;Q3039,$N$6:$N$3271,Calendar!$K$4),"")</f>
        <v/>
      </c>
      <c r="W3039" s="44">
        <f>IF(AND(B3039=Queue!$C$4,OR(Queue!$K$4="*",N3039=Queue!$K$4)),Q3039,"")</f>
        <v/>
      </c>
    </row>
    <row r="3040">
      <c r="A3040" s="35">
        <f>IF(M3040="","",HYPERLINK("https://www.youtube.com/watch?v="&amp;M3040,"▶"))</f>
        <v/>
      </c>
      <c r="B3040" s="36">
        <f>IF(C3040&lt;&gt;"",C3040,IF(P3040&lt;=IFERROR(INDEX(tblChannels[Watched Through],MATCH(N3040,tblChannels[Channel ID],0)),0),"Watched","Unwatched"))</f>
        <v/>
      </c>
      <c r="C3040" s="37" t="n"/>
      <c r="D3040" s="38" t="n"/>
      <c r="E3040" s="39" t="n">
        <v>41408.90416666667</v>
      </c>
      <c r="F3040" s="47" t="inlineStr">
        <is>
          <t>Super Carlin Brothers</t>
        </is>
      </c>
      <c r="G3040" t="inlineStr">
        <is>
          <t>ADD</t>
        </is>
      </c>
      <c r="H3040" s="41" t="n">
        <v>0.001793981481481481</v>
      </c>
      <c r="I3040" s="42" t="n">
        <v>10565</v>
      </c>
      <c r="J3040" s="42" t="n">
        <v>240</v>
      </c>
      <c r="K3040" s="42" t="n">
        <v>68</v>
      </c>
      <c r="L3040" s="43" t="n"/>
      <c r="M3040" s="44" t="n"/>
      <c r="N3040" s="44" t="inlineStr">
        <is>
          <t>UCKZo4N0lVPccBkSiuyVh4yg</t>
        </is>
      </c>
      <c r="O3040" s="45" t="n">
        <v>41409.07083333333</v>
      </c>
      <c r="P3040" s="46" t="n">
        <v>41408</v>
      </c>
      <c r="Q3040" s="44" t="n">
        <v>232</v>
      </c>
      <c r="R3040" s="44" t="inlineStr">
        <is>
          <t>No Video ID yet</t>
        </is>
      </c>
      <c r="S3040" s="46" t="n"/>
      <c r="T3040" s="46" t="n"/>
      <c r="U3040" s="44" t="n"/>
      <c r="V3040" s="44">
        <f>IF(AND(P3040&gt;=Calendar!$K$2,P3040&lt;EDATE(Calendar!$K$2,1),OR(Calendar!$K$4="*",N3040=Calendar!$K$4)),P3040*100+COUNTIFS($P$6:$P$3271,P3040,$Q$6:$Q$3271,"&lt;="&amp;Q3040,$N$6:$N$3271,Calendar!$K$4),"")</f>
        <v/>
      </c>
      <c r="W3040" s="44">
        <f>IF(AND(B3040=Queue!$C$4,OR(Queue!$K$4="*",N3040=Queue!$K$4)),Q3040,"")</f>
        <v/>
      </c>
    </row>
    <row r="3041">
      <c r="A3041" s="35">
        <f>IF(M3041="","",HYPERLINK("https://www.youtube.com/watch?v="&amp;M3041,"▶"))</f>
        <v/>
      </c>
      <c r="B3041" s="36">
        <f>IF(C3041&lt;&gt;"",C3041,IF(P3041&lt;=IFERROR(INDEX(tblChannels[Watched Through],MATCH(N3041,tblChannels[Channel ID],0)),0),"Watched","Unwatched"))</f>
        <v/>
      </c>
      <c r="C3041" s="37" t="n"/>
      <c r="D3041" s="38" t="n"/>
      <c r="E3041" s="39" t="n">
        <v>41407.95833333334</v>
      </c>
      <c r="F3041" s="47" t="inlineStr">
        <is>
          <t>Super Carlin Brothers</t>
        </is>
      </c>
      <c r="G3041" t="inlineStr">
        <is>
          <t>What's in my Wallet</t>
        </is>
      </c>
      <c r="H3041" s="41" t="n">
        <v>0.003449074074074074</v>
      </c>
      <c r="I3041" s="42" t="n">
        <v>90146</v>
      </c>
      <c r="J3041" s="42" t="n">
        <v>1442</v>
      </c>
      <c r="K3041" s="42" t="n">
        <v>311</v>
      </c>
      <c r="L3041" s="43" t="n"/>
      <c r="M3041" s="44" t="n"/>
      <c r="N3041" s="44" t="inlineStr">
        <is>
          <t>UCKZo4N0lVPccBkSiuyVh4yg</t>
        </is>
      </c>
      <c r="O3041" s="45" t="n">
        <v>41408.125</v>
      </c>
      <c r="P3041" s="46" t="n">
        <v>41407</v>
      </c>
      <c r="Q3041" s="44" t="n">
        <v>231</v>
      </c>
      <c r="R3041" s="44" t="inlineStr">
        <is>
          <t>No Video ID yet</t>
        </is>
      </c>
      <c r="S3041" s="46" t="n"/>
      <c r="T3041" s="46" t="n"/>
      <c r="U3041" s="44" t="n"/>
      <c r="V3041" s="44">
        <f>IF(AND(P3041&gt;=Calendar!$K$2,P3041&lt;EDATE(Calendar!$K$2,1),OR(Calendar!$K$4="*",N3041=Calendar!$K$4)),P3041*100+COUNTIFS($P$6:$P$3271,P3041,$Q$6:$Q$3271,"&lt;="&amp;Q3041,$N$6:$N$3271,Calendar!$K$4),"")</f>
        <v/>
      </c>
      <c r="W3041" s="44">
        <f>IF(AND(B3041=Queue!$C$4,OR(Queue!$K$4="*",N3041=Queue!$K$4)),Q3041,"")</f>
        <v/>
      </c>
    </row>
    <row r="3042">
      <c r="A3042" s="35">
        <f>IF(M3042="","",HYPERLINK("https://www.youtube.com/watch?v="&amp;M3042,"▶"))</f>
        <v/>
      </c>
      <c r="B3042" s="36">
        <f>IF(C3042&lt;&gt;"",C3042,IF(P3042&lt;=IFERROR(INDEX(tblChannels[Watched Through],MATCH(N3042,tblChannels[Channel ID],0)),0),"Watched","Unwatched"))</f>
        <v/>
      </c>
      <c r="C3042" s="37" t="n"/>
      <c r="D3042" s="38" t="n"/>
      <c r="E3042" s="39" t="n">
        <v>41404.88958333333</v>
      </c>
      <c r="F3042" s="47" t="inlineStr">
        <is>
          <t>Super Carlin Brothers</t>
        </is>
      </c>
      <c r="G3042" t="inlineStr">
        <is>
          <t>John Carlin's Son</t>
        </is>
      </c>
      <c r="H3042" s="41" t="n">
        <v>0.001898148148148148</v>
      </c>
      <c r="I3042" s="42" t="n">
        <v>19381</v>
      </c>
      <c r="J3042" s="42" t="n">
        <v>436</v>
      </c>
      <c r="K3042" s="42" t="n">
        <v>157</v>
      </c>
      <c r="L3042" s="43" t="n"/>
      <c r="M3042" s="44" t="n"/>
      <c r="N3042" s="44" t="inlineStr">
        <is>
          <t>UCKZo4N0lVPccBkSiuyVh4yg</t>
        </is>
      </c>
      <c r="O3042" s="45" t="n">
        <v>41405.05625</v>
      </c>
      <c r="P3042" s="46" t="n">
        <v>41404</v>
      </c>
      <c r="Q3042" s="44" t="n">
        <v>230</v>
      </c>
      <c r="R3042" s="44" t="inlineStr">
        <is>
          <t>No Video ID yet</t>
        </is>
      </c>
      <c r="S3042" s="46" t="n"/>
      <c r="T3042" s="46" t="n"/>
      <c r="U3042" s="44" t="n"/>
      <c r="V3042" s="44">
        <f>IF(AND(P3042&gt;=Calendar!$K$2,P3042&lt;EDATE(Calendar!$K$2,1),OR(Calendar!$K$4="*",N3042=Calendar!$K$4)),P3042*100+COUNTIFS($P$6:$P$3271,P3042,$Q$6:$Q$3271,"&lt;="&amp;Q3042,$N$6:$N$3271,Calendar!$K$4),"")</f>
        <v/>
      </c>
      <c r="W3042" s="44">
        <f>IF(AND(B3042=Queue!$C$4,OR(Queue!$K$4="*",N3042=Queue!$K$4)),Q3042,"")</f>
        <v/>
      </c>
    </row>
    <row r="3043">
      <c r="A3043" s="35">
        <f>IF(M3043="","",HYPERLINK("https://www.youtube.com/watch?v="&amp;M3043,"▶"))</f>
        <v/>
      </c>
      <c r="B3043" s="36">
        <f>IF(C3043&lt;&gt;"",C3043,IF(P3043&lt;=IFERROR(INDEX(tblChannels[Watched Through],MATCH(N3043,tblChannels[Channel ID],0)),0),"Watched","Unwatched"))</f>
        <v/>
      </c>
      <c r="C3043" s="37" t="n"/>
      <c r="D3043" s="38" t="n"/>
      <c r="E3043" s="39" t="n">
        <v>41403.98611111111</v>
      </c>
      <c r="F3043" s="47" t="inlineStr">
        <is>
          <t>Super Carlin Brothers</t>
        </is>
      </c>
      <c r="G3043" t="inlineStr">
        <is>
          <t>I FOUND BIGFOOT!!</t>
        </is>
      </c>
      <c r="H3043" s="41" t="n">
        <v>0.002650462962962963</v>
      </c>
      <c r="I3043" s="42" t="n">
        <v>141712</v>
      </c>
      <c r="J3043" s="42" t="n">
        <v>1869</v>
      </c>
      <c r="K3043" s="42" t="n">
        <v>345</v>
      </c>
      <c r="L3043" s="43" t="n"/>
      <c r="M3043" s="44" t="n"/>
      <c r="N3043" s="44" t="inlineStr">
        <is>
          <t>UCKZo4N0lVPccBkSiuyVh4yg</t>
        </is>
      </c>
      <c r="O3043" s="45" t="n">
        <v>41404.15277777778</v>
      </c>
      <c r="P3043" s="46" t="n">
        <v>41403</v>
      </c>
      <c r="Q3043" s="44" t="n">
        <v>229</v>
      </c>
      <c r="R3043" s="44" t="inlineStr">
        <is>
          <t>No Video ID yet</t>
        </is>
      </c>
      <c r="S3043" s="46" t="n"/>
      <c r="T3043" s="46" t="n"/>
      <c r="U3043" s="44" t="n"/>
      <c r="V3043" s="44">
        <f>IF(AND(P3043&gt;=Calendar!$K$2,P3043&lt;EDATE(Calendar!$K$2,1),OR(Calendar!$K$4="*",N3043=Calendar!$K$4)),P3043*100+COUNTIFS($P$6:$P$3271,P3043,$Q$6:$Q$3271,"&lt;="&amp;Q3043,$N$6:$N$3271,Calendar!$K$4),"")</f>
        <v/>
      </c>
      <c r="W3043" s="44">
        <f>IF(AND(B3043=Queue!$C$4,OR(Queue!$K$4="*",N3043=Queue!$K$4)),Q3043,"")</f>
        <v/>
      </c>
    </row>
    <row r="3044">
      <c r="A3044" s="35">
        <f>IF(M3044="","",HYPERLINK("https://www.youtube.com/watch?v="&amp;M3044,"▶"))</f>
        <v/>
      </c>
      <c r="B3044" s="36">
        <f>IF(C3044&lt;&gt;"",C3044,IF(P3044&lt;=IFERROR(INDEX(tblChannels[Watched Through],MATCH(N3044,tblChannels[Channel ID],0)),0),"Watched","Unwatched"))</f>
        <v/>
      </c>
      <c r="C3044" s="37" t="n"/>
      <c r="D3044" s="38" t="n"/>
      <c r="E3044" s="39" t="n">
        <v>41402.97847222222</v>
      </c>
      <c r="F3044" s="47" t="inlineStr">
        <is>
          <t>Super Carlin Brothers</t>
        </is>
      </c>
      <c r="G3044" t="inlineStr">
        <is>
          <t>Progress Report</t>
        </is>
      </c>
      <c r="H3044" s="41" t="n">
        <v>0.00224537037037037</v>
      </c>
      <c r="I3044" s="42" t="n">
        <v>9065</v>
      </c>
      <c r="J3044" s="42" t="n">
        <v>197</v>
      </c>
      <c r="K3044" s="42" t="n">
        <v>42</v>
      </c>
      <c r="L3044" s="43" t="n"/>
      <c r="M3044" s="44" t="n"/>
      <c r="N3044" s="44" t="inlineStr">
        <is>
          <t>UCKZo4N0lVPccBkSiuyVh4yg</t>
        </is>
      </c>
      <c r="O3044" s="45" t="n">
        <v>41403.14513888889</v>
      </c>
      <c r="P3044" s="46" t="n">
        <v>41402</v>
      </c>
      <c r="Q3044" s="44" t="n">
        <v>228</v>
      </c>
      <c r="R3044" s="44" t="inlineStr">
        <is>
          <t>No Video ID yet</t>
        </is>
      </c>
      <c r="S3044" s="46" t="n"/>
      <c r="T3044" s="46" t="n"/>
      <c r="U3044" s="44" t="n"/>
      <c r="V3044" s="44">
        <f>IF(AND(P3044&gt;=Calendar!$K$2,P3044&lt;EDATE(Calendar!$K$2,1),OR(Calendar!$K$4="*",N3044=Calendar!$K$4)),P3044*100+COUNTIFS($P$6:$P$3271,P3044,$Q$6:$Q$3271,"&lt;="&amp;Q3044,$N$6:$N$3271,Calendar!$K$4),"")</f>
        <v/>
      </c>
      <c r="W3044" s="44">
        <f>IF(AND(B3044=Queue!$C$4,OR(Queue!$K$4="*",N3044=Queue!$K$4)),Q3044,"")</f>
        <v/>
      </c>
    </row>
    <row r="3045">
      <c r="A3045" s="35">
        <f>IF(M3045="","",HYPERLINK("https://www.youtube.com/watch?v="&amp;M3045,"▶"))</f>
        <v/>
      </c>
      <c r="B3045" s="36">
        <f>IF(C3045&lt;&gt;"",C3045,IF(P3045&lt;=IFERROR(INDEX(tblChannels[Watched Through],MATCH(N3045,tblChannels[Channel ID],0)),0),"Watched","Unwatched"))</f>
        <v/>
      </c>
      <c r="C3045" s="37" t="n"/>
      <c r="D3045" s="38" t="n"/>
      <c r="E3045" s="39" t="n">
        <v>41401.87569444445</v>
      </c>
      <c r="F3045" s="47" t="inlineStr">
        <is>
          <t>Super Carlin Brothers</t>
        </is>
      </c>
      <c r="G3045" t="inlineStr">
        <is>
          <t>The Garfield Clock</t>
        </is>
      </c>
      <c r="H3045" s="41" t="n">
        <v>0.003032407407407407</v>
      </c>
      <c r="I3045" s="42" t="n">
        <v>54226</v>
      </c>
      <c r="J3045" s="42" t="n">
        <v>790</v>
      </c>
      <c r="K3045" s="42" t="n">
        <v>124</v>
      </c>
      <c r="L3045" s="43" t="n"/>
      <c r="M3045" s="44" t="n"/>
      <c r="N3045" s="44" t="inlineStr">
        <is>
          <t>UCKZo4N0lVPccBkSiuyVh4yg</t>
        </is>
      </c>
      <c r="O3045" s="45" t="n">
        <v>41402.04236111111</v>
      </c>
      <c r="P3045" s="46" t="n">
        <v>41401</v>
      </c>
      <c r="Q3045" s="44" t="n">
        <v>227</v>
      </c>
      <c r="R3045" s="44" t="inlineStr">
        <is>
          <t>No Video ID yet</t>
        </is>
      </c>
      <c r="S3045" s="46" t="n"/>
      <c r="T3045" s="46" t="n"/>
      <c r="U3045" s="44" t="n"/>
      <c r="V3045" s="44">
        <f>IF(AND(P3045&gt;=Calendar!$K$2,P3045&lt;EDATE(Calendar!$K$2,1),OR(Calendar!$K$4="*",N3045=Calendar!$K$4)),P3045*100+COUNTIFS($P$6:$P$3271,P3045,$Q$6:$Q$3271,"&lt;="&amp;Q3045,$N$6:$N$3271,Calendar!$K$4),"")</f>
        <v/>
      </c>
      <c r="W3045" s="44">
        <f>IF(AND(B3045=Queue!$C$4,OR(Queue!$K$4="*",N3045=Queue!$K$4)),Q3045,"")</f>
        <v/>
      </c>
    </row>
    <row r="3046">
      <c r="A3046" s="35">
        <f>IF(M3046="","",HYPERLINK("https://www.youtube.com/watch?v="&amp;M3046,"▶"))</f>
        <v/>
      </c>
      <c r="B3046" s="36">
        <f>IF(C3046&lt;&gt;"",C3046,IF(P3046&lt;=IFERROR(INDEX(tblChannels[Watched Through],MATCH(N3046,tblChannels[Channel ID],0)),0),"Watched","Unwatched"))</f>
        <v/>
      </c>
      <c r="C3046" s="37" t="n"/>
      <c r="D3046" s="38" t="n"/>
      <c r="E3046" s="39" t="n">
        <v>41400.94861111111</v>
      </c>
      <c r="F3046" s="47" t="inlineStr">
        <is>
          <t>Super Carlin Brothers</t>
        </is>
      </c>
      <c r="G3046" t="inlineStr">
        <is>
          <t>Mini Hippos</t>
        </is>
      </c>
      <c r="H3046" s="41" t="n">
        <v>0.001585648148148148</v>
      </c>
      <c r="I3046" s="42" t="n">
        <v>9788</v>
      </c>
      <c r="J3046" s="42" t="n">
        <v>216</v>
      </c>
      <c r="K3046" s="42" t="n">
        <v>87</v>
      </c>
      <c r="L3046" s="43" t="n"/>
      <c r="M3046" s="44" t="n"/>
      <c r="N3046" s="44" t="inlineStr">
        <is>
          <t>UCKZo4N0lVPccBkSiuyVh4yg</t>
        </is>
      </c>
      <c r="O3046" s="45" t="n">
        <v>41401.11527777778</v>
      </c>
      <c r="P3046" s="46" t="n">
        <v>41400</v>
      </c>
      <c r="Q3046" s="44" t="n">
        <v>226</v>
      </c>
      <c r="R3046" s="44" t="inlineStr">
        <is>
          <t>No Video ID yet</t>
        </is>
      </c>
      <c r="S3046" s="46" t="n"/>
      <c r="T3046" s="46" t="n"/>
      <c r="U3046" s="44" t="n"/>
      <c r="V3046" s="44">
        <f>IF(AND(P3046&gt;=Calendar!$K$2,P3046&lt;EDATE(Calendar!$K$2,1),OR(Calendar!$K$4="*",N3046=Calendar!$K$4)),P3046*100+COUNTIFS($P$6:$P$3271,P3046,$Q$6:$Q$3271,"&lt;="&amp;Q3046,$N$6:$N$3271,Calendar!$K$4),"")</f>
        <v/>
      </c>
      <c r="W3046" s="44">
        <f>IF(AND(B3046=Queue!$C$4,OR(Queue!$K$4="*",N3046=Queue!$K$4)),Q3046,"")</f>
        <v/>
      </c>
    </row>
    <row r="3047">
      <c r="A3047" s="35">
        <f>IF(M3047="","",HYPERLINK("https://www.youtube.com/watch?v="&amp;M3047,"▶"))</f>
        <v/>
      </c>
      <c r="B3047" s="36">
        <f>IF(C3047&lt;&gt;"",C3047,IF(P3047&lt;=IFERROR(INDEX(tblChannels[Watched Through],MATCH(N3047,tblChannels[Channel ID],0)),0),"Watched","Unwatched"))</f>
        <v/>
      </c>
      <c r="C3047" s="37" t="n"/>
      <c r="D3047" s="38" t="n"/>
      <c r="E3047" s="39" t="n">
        <v>41397.97152777778</v>
      </c>
      <c r="F3047" s="47" t="inlineStr">
        <is>
          <t>Super Carlin Brothers</t>
        </is>
      </c>
      <c r="G3047" t="inlineStr">
        <is>
          <t>Dr. Who's on First</t>
        </is>
      </c>
      <c r="H3047" s="41" t="n">
        <v>0.003136574074074074</v>
      </c>
      <c r="I3047" s="42" t="n">
        <v>79025</v>
      </c>
      <c r="J3047" s="42" t="n">
        <v>2057</v>
      </c>
      <c r="K3047" s="42" t="n">
        <v>365</v>
      </c>
      <c r="L3047" s="43" t="n"/>
      <c r="M3047" s="44" t="n"/>
      <c r="N3047" s="44" t="inlineStr">
        <is>
          <t>UCKZo4N0lVPccBkSiuyVh4yg</t>
        </is>
      </c>
      <c r="O3047" s="45" t="n">
        <v>41398.13819444444</v>
      </c>
      <c r="P3047" s="46" t="n">
        <v>41397</v>
      </c>
      <c r="Q3047" s="44" t="n">
        <v>225</v>
      </c>
      <c r="R3047" s="44" t="inlineStr">
        <is>
          <t>No Video ID yet</t>
        </is>
      </c>
      <c r="S3047" s="46" t="n"/>
      <c r="T3047" s="46" t="n"/>
      <c r="U3047" s="44" t="n"/>
      <c r="V3047" s="44">
        <f>IF(AND(P3047&gt;=Calendar!$K$2,P3047&lt;EDATE(Calendar!$K$2,1),OR(Calendar!$K$4="*",N3047=Calendar!$K$4)),P3047*100+COUNTIFS($P$6:$P$3271,P3047,$Q$6:$Q$3271,"&lt;="&amp;Q3047,$N$6:$N$3271,Calendar!$K$4),"")</f>
        <v/>
      </c>
      <c r="W3047" s="44">
        <f>IF(AND(B3047=Queue!$C$4,OR(Queue!$K$4="*",N3047=Queue!$K$4)),Q3047,"")</f>
        <v/>
      </c>
    </row>
    <row r="3048">
      <c r="A3048" s="35">
        <f>IF(M3048="","",HYPERLINK("https://www.youtube.com/watch?v="&amp;M3048,"▶"))</f>
        <v/>
      </c>
      <c r="B3048" s="36">
        <f>IF(C3048&lt;&gt;"",C3048,IF(P3048&lt;=IFERROR(INDEX(tblChannels[Watched Through],MATCH(N3048,tblChannels[Channel ID],0)),0),"Watched","Unwatched"))</f>
        <v/>
      </c>
      <c r="C3048" s="37" t="n"/>
      <c r="D3048" s="38" t="n"/>
      <c r="E3048" s="39" t="n">
        <v>41396.94513888889</v>
      </c>
      <c r="F3048" s="47" t="inlineStr">
        <is>
          <t>Super Carlin Brothers</t>
        </is>
      </c>
      <c r="G3048" t="inlineStr">
        <is>
          <t>What are they from!?</t>
        </is>
      </c>
      <c r="H3048" s="41" t="n">
        <v>0.001712962962962963</v>
      </c>
      <c r="I3048" s="42" t="n">
        <v>25030</v>
      </c>
      <c r="J3048" s="42" t="n">
        <v>469</v>
      </c>
      <c r="K3048" s="42" t="n">
        <v>117</v>
      </c>
      <c r="L3048" s="43" t="n"/>
      <c r="M3048" s="44" t="n"/>
      <c r="N3048" s="44" t="inlineStr">
        <is>
          <t>UCKZo4N0lVPccBkSiuyVh4yg</t>
        </is>
      </c>
      <c r="O3048" s="45" t="n">
        <v>41397.11180555556</v>
      </c>
      <c r="P3048" s="46" t="n">
        <v>41396</v>
      </c>
      <c r="Q3048" s="44" t="n">
        <v>224</v>
      </c>
      <c r="R3048" s="44" t="inlineStr">
        <is>
          <t>No Video ID yet</t>
        </is>
      </c>
      <c r="S3048" s="46" t="n"/>
      <c r="T3048" s="46" t="n"/>
      <c r="U3048" s="44" t="n"/>
      <c r="V3048" s="44">
        <f>IF(AND(P3048&gt;=Calendar!$K$2,P3048&lt;EDATE(Calendar!$K$2,1),OR(Calendar!$K$4="*",N3048=Calendar!$K$4)),P3048*100+COUNTIFS($P$6:$P$3271,P3048,$Q$6:$Q$3271,"&lt;="&amp;Q3048,$N$6:$N$3271,Calendar!$K$4),"")</f>
        <v/>
      </c>
      <c r="W3048" s="44">
        <f>IF(AND(B3048=Queue!$C$4,OR(Queue!$K$4="*",N3048=Queue!$K$4)),Q3048,"")</f>
        <v/>
      </c>
    </row>
    <row r="3049">
      <c r="A3049" s="35">
        <f>IF(M3049="","",HYPERLINK("https://www.youtube.com/watch?v="&amp;M3049,"▶"))</f>
        <v/>
      </c>
      <c r="B3049" s="36">
        <f>IF(C3049&lt;&gt;"",C3049,IF(P3049&lt;=IFERROR(INDEX(tblChannels[Watched Through],MATCH(N3049,tblChannels[Channel ID],0)),0),"Watched","Unwatched"))</f>
        <v/>
      </c>
      <c r="C3049" s="37" t="n"/>
      <c r="D3049" s="38" t="n"/>
      <c r="E3049" s="39" t="n">
        <v>41395.99583333333</v>
      </c>
      <c r="F3049" s="47" t="inlineStr">
        <is>
          <t>Super Carlin Brothers</t>
        </is>
      </c>
      <c r="G3049" t="inlineStr">
        <is>
          <t>How I Met Your Mother Talk</t>
        </is>
      </c>
      <c r="H3049" s="41" t="n">
        <v>0.003599537037037037</v>
      </c>
      <c r="I3049" s="42" t="n">
        <v>52318</v>
      </c>
      <c r="J3049" s="42" t="n">
        <v>1153</v>
      </c>
      <c r="K3049" s="42" t="n">
        <v>245</v>
      </c>
      <c r="L3049" s="43" t="n"/>
      <c r="M3049" s="44" t="n"/>
      <c r="N3049" s="44" t="inlineStr">
        <is>
          <t>UCKZo4N0lVPccBkSiuyVh4yg</t>
        </is>
      </c>
      <c r="O3049" s="45" t="n">
        <v>41396.1625</v>
      </c>
      <c r="P3049" s="46" t="n">
        <v>41395</v>
      </c>
      <c r="Q3049" s="44" t="n">
        <v>223</v>
      </c>
      <c r="R3049" s="44" t="inlineStr">
        <is>
          <t>No Video ID yet</t>
        </is>
      </c>
      <c r="S3049" s="46" t="n"/>
      <c r="T3049" s="46" t="n"/>
      <c r="U3049" s="44" t="n"/>
      <c r="V3049" s="44">
        <f>IF(AND(P3049&gt;=Calendar!$K$2,P3049&lt;EDATE(Calendar!$K$2,1),OR(Calendar!$K$4="*",N3049=Calendar!$K$4)),P3049*100+COUNTIFS($P$6:$P$3271,P3049,$Q$6:$Q$3271,"&lt;="&amp;Q3049,$N$6:$N$3271,Calendar!$K$4),"")</f>
        <v/>
      </c>
      <c r="W3049" s="44">
        <f>IF(AND(B3049=Queue!$C$4,OR(Queue!$K$4="*",N3049=Queue!$K$4)),Q3049,"")</f>
        <v/>
      </c>
    </row>
    <row r="3050">
      <c r="A3050" s="35">
        <f>IF(M3050="","",HYPERLINK("https://www.youtube.com/watch?v="&amp;M3050,"▶"))</f>
        <v/>
      </c>
      <c r="B3050" s="36">
        <f>IF(C3050&lt;&gt;"",C3050,IF(P3050&lt;=IFERROR(INDEX(tblChannels[Watched Through],MATCH(N3050,tblChannels[Channel ID],0)),0),"Watched","Unwatched"))</f>
        <v/>
      </c>
      <c r="C3050" s="37" t="n"/>
      <c r="D3050" s="38" t="n"/>
      <c r="E3050" s="39" t="n">
        <v>41394.98958333334</v>
      </c>
      <c r="F3050" s="47" t="inlineStr">
        <is>
          <t>Super Carlin Brothers</t>
        </is>
      </c>
      <c r="G3050" t="inlineStr">
        <is>
          <t>Mantis Shrimp and the Newsroom</t>
        </is>
      </c>
      <c r="H3050" s="41" t="n">
        <v>0.003263888888888889</v>
      </c>
      <c r="I3050" s="42" t="n">
        <v>9171</v>
      </c>
      <c r="J3050" s="42" t="n">
        <v>189</v>
      </c>
      <c r="K3050" s="42" t="n">
        <v>40</v>
      </c>
      <c r="L3050" s="43" t="n"/>
      <c r="M3050" s="44" t="n"/>
      <c r="N3050" s="44" t="inlineStr">
        <is>
          <t>UCKZo4N0lVPccBkSiuyVh4yg</t>
        </is>
      </c>
      <c r="O3050" s="45" t="n">
        <v>41395.15625</v>
      </c>
      <c r="P3050" s="46" t="n">
        <v>41394</v>
      </c>
      <c r="Q3050" s="44" t="n">
        <v>222</v>
      </c>
      <c r="R3050" s="44" t="inlineStr">
        <is>
          <t>No Video ID yet</t>
        </is>
      </c>
      <c r="S3050" s="46" t="n"/>
      <c r="T3050" s="46" t="n"/>
      <c r="U3050" s="44" t="n"/>
      <c r="V3050" s="44">
        <f>IF(AND(P3050&gt;=Calendar!$K$2,P3050&lt;EDATE(Calendar!$K$2,1),OR(Calendar!$K$4="*",N3050=Calendar!$K$4)),P3050*100+COUNTIFS($P$6:$P$3271,P3050,$Q$6:$Q$3271,"&lt;="&amp;Q3050,$N$6:$N$3271,Calendar!$K$4),"")</f>
        <v/>
      </c>
      <c r="W3050" s="44">
        <f>IF(AND(B3050=Queue!$C$4,OR(Queue!$K$4="*",N3050=Queue!$K$4)),Q3050,"")</f>
        <v/>
      </c>
    </row>
    <row r="3051">
      <c r="A3051" s="35">
        <f>IF(M3051="","",HYPERLINK("https://www.youtube.com/watch?v="&amp;M3051,"▶"))</f>
        <v/>
      </c>
      <c r="B3051" s="36">
        <f>IF(C3051&lt;&gt;"",C3051,IF(P3051&lt;=IFERROR(INDEX(tblChannels[Watched Through],MATCH(N3051,tblChannels[Channel ID],0)),0),"Watched","Unwatched"))</f>
        <v/>
      </c>
      <c r="C3051" s="37" t="n"/>
      <c r="D3051" s="38" t="n"/>
      <c r="E3051" s="39" t="n">
        <v>41393.99444444444</v>
      </c>
      <c r="F3051" s="47" t="inlineStr">
        <is>
          <t>Super Carlin Brothers</t>
        </is>
      </c>
      <c r="G3051" t="inlineStr">
        <is>
          <t>What Makes Something Newsworthy?</t>
        </is>
      </c>
      <c r="H3051" s="41" t="n">
        <v>0.003368055555555556</v>
      </c>
      <c r="I3051" s="42" t="n">
        <v>45792</v>
      </c>
      <c r="J3051" s="42" t="n">
        <v>1466</v>
      </c>
      <c r="K3051" s="42" t="n">
        <v>88</v>
      </c>
      <c r="L3051" s="43" t="n"/>
      <c r="M3051" s="44" t="n"/>
      <c r="N3051" s="44" t="inlineStr">
        <is>
          <t>UCKZo4N0lVPccBkSiuyVh4yg</t>
        </is>
      </c>
      <c r="O3051" s="45" t="n">
        <v>41394.16111111111</v>
      </c>
      <c r="P3051" s="46" t="n">
        <v>41393</v>
      </c>
      <c r="Q3051" s="44" t="n">
        <v>221</v>
      </c>
      <c r="R3051" s="44" t="inlineStr">
        <is>
          <t>No Video ID yet</t>
        </is>
      </c>
      <c r="S3051" s="46" t="n"/>
      <c r="T3051" s="46" t="n"/>
      <c r="U3051" s="44" t="n"/>
      <c r="V3051" s="44">
        <f>IF(AND(P3051&gt;=Calendar!$K$2,P3051&lt;EDATE(Calendar!$K$2,1),OR(Calendar!$K$4="*",N3051=Calendar!$K$4)),P3051*100+COUNTIFS($P$6:$P$3271,P3051,$Q$6:$Q$3271,"&lt;="&amp;Q3051,$N$6:$N$3271,Calendar!$K$4),"")</f>
        <v/>
      </c>
      <c r="W3051" s="44">
        <f>IF(AND(B3051=Queue!$C$4,OR(Queue!$K$4="*",N3051=Queue!$K$4)),Q3051,"")</f>
        <v/>
      </c>
    </row>
    <row r="3052">
      <c r="A3052" s="35">
        <f>IF(M3052="","",HYPERLINK("https://www.youtube.com/watch?v="&amp;M3052,"▶"))</f>
        <v/>
      </c>
      <c r="B3052" s="36">
        <f>IF(C3052&lt;&gt;"",C3052,IF(P3052&lt;=IFERROR(INDEX(tblChannels[Watched Through],MATCH(N3052,tblChannels[Channel ID],0)),0),"Watched","Unwatched"))</f>
        <v/>
      </c>
      <c r="C3052" s="37" t="n"/>
      <c r="D3052" s="38" t="n"/>
      <c r="E3052" s="39" t="n">
        <v>41390.9875</v>
      </c>
      <c r="F3052" s="47" t="inlineStr">
        <is>
          <t>Super Carlin Brothers</t>
        </is>
      </c>
      <c r="G3052" t="inlineStr">
        <is>
          <t>Kickstarter</t>
        </is>
      </c>
      <c r="H3052" s="41" t="n">
        <v>0.002893518518518518</v>
      </c>
      <c r="I3052" s="42" t="n">
        <v>9238</v>
      </c>
      <c r="J3052" s="42" t="n">
        <v>206</v>
      </c>
      <c r="K3052" s="42" t="n">
        <v>152</v>
      </c>
      <c r="L3052" s="43" t="n"/>
      <c r="M3052" s="44" t="n"/>
      <c r="N3052" s="44" t="inlineStr">
        <is>
          <t>UCKZo4N0lVPccBkSiuyVh4yg</t>
        </is>
      </c>
      <c r="O3052" s="45" t="n">
        <v>41391.15416666667</v>
      </c>
      <c r="P3052" s="46" t="n">
        <v>41390</v>
      </c>
      <c r="Q3052" s="44" t="n">
        <v>220</v>
      </c>
      <c r="R3052" s="44" t="inlineStr">
        <is>
          <t>No Video ID yet</t>
        </is>
      </c>
      <c r="S3052" s="46" t="n"/>
      <c r="T3052" s="46" t="n"/>
      <c r="U3052" s="44" t="n"/>
      <c r="V3052" s="44">
        <f>IF(AND(P3052&gt;=Calendar!$K$2,P3052&lt;EDATE(Calendar!$K$2,1),OR(Calendar!$K$4="*",N3052=Calendar!$K$4)),P3052*100+COUNTIFS($P$6:$P$3271,P3052,$Q$6:$Q$3271,"&lt;="&amp;Q3052,$N$6:$N$3271,Calendar!$K$4),"")</f>
        <v/>
      </c>
      <c r="W3052" s="44">
        <f>IF(AND(B3052=Queue!$C$4,OR(Queue!$K$4="*",N3052=Queue!$K$4)),Q3052,"")</f>
        <v/>
      </c>
    </row>
    <row r="3053">
      <c r="A3053" s="35">
        <f>IF(M3053="","",HYPERLINK("https://www.youtube.com/watch?v="&amp;M3053,"▶"))</f>
        <v/>
      </c>
      <c r="B3053" s="36">
        <f>IF(C3053&lt;&gt;"",C3053,IF(P3053&lt;=IFERROR(INDEX(tblChannels[Watched Through],MATCH(N3053,tblChannels[Channel ID],0)),0),"Watched","Unwatched"))</f>
        <v/>
      </c>
      <c r="C3053" s="37" t="n"/>
      <c r="D3053" s="38" t="n"/>
      <c r="E3053" s="39" t="n">
        <v>41389.95208333333</v>
      </c>
      <c r="F3053" s="47" t="inlineStr">
        <is>
          <t>Super Carlin Brothers</t>
        </is>
      </c>
      <c r="G3053" t="inlineStr">
        <is>
          <t>Why do we sneeze?</t>
        </is>
      </c>
      <c r="H3053" s="41" t="n">
        <v>0.003460648148148148</v>
      </c>
      <c r="I3053" s="42" t="n">
        <v>50864</v>
      </c>
      <c r="J3053" s="42" t="n">
        <v>917</v>
      </c>
      <c r="K3053" s="42" t="n">
        <v>299</v>
      </c>
      <c r="L3053" s="43" t="n"/>
      <c r="M3053" s="44" t="n"/>
      <c r="N3053" s="44" t="inlineStr">
        <is>
          <t>UCKZo4N0lVPccBkSiuyVh4yg</t>
        </is>
      </c>
      <c r="O3053" s="45" t="n">
        <v>41390.11875</v>
      </c>
      <c r="P3053" s="46" t="n">
        <v>41389</v>
      </c>
      <c r="Q3053" s="44" t="n">
        <v>219</v>
      </c>
      <c r="R3053" s="44" t="inlineStr">
        <is>
          <t>No Video ID yet</t>
        </is>
      </c>
      <c r="S3053" s="46" t="n"/>
      <c r="T3053" s="46" t="n"/>
      <c r="U3053" s="44" t="n"/>
      <c r="V3053" s="44">
        <f>IF(AND(P3053&gt;=Calendar!$K$2,P3053&lt;EDATE(Calendar!$K$2,1),OR(Calendar!$K$4="*",N3053=Calendar!$K$4)),P3053*100+COUNTIFS($P$6:$P$3271,P3053,$Q$6:$Q$3271,"&lt;="&amp;Q3053,$N$6:$N$3271,Calendar!$K$4),"")</f>
        <v/>
      </c>
      <c r="W3053" s="44">
        <f>IF(AND(B3053=Queue!$C$4,OR(Queue!$K$4="*",N3053=Queue!$K$4)),Q3053,"")</f>
        <v/>
      </c>
    </row>
    <row r="3054">
      <c r="A3054" s="35">
        <f>IF(M3054="","",HYPERLINK("https://www.youtube.com/watch?v="&amp;M3054,"▶"))</f>
        <v/>
      </c>
      <c r="B3054" s="36">
        <f>IF(C3054&lt;&gt;"",C3054,IF(P3054&lt;=IFERROR(INDEX(tblChannels[Watched Through],MATCH(N3054,tblChannels[Channel ID],0)),0),"Watched","Unwatched"))</f>
        <v/>
      </c>
      <c r="C3054" s="37" t="n"/>
      <c r="D3054" s="38" t="n"/>
      <c r="E3054" s="39" t="n">
        <v>41388.97569444445</v>
      </c>
      <c r="F3054" s="47" t="inlineStr">
        <is>
          <t>Super Carlin Brothers</t>
        </is>
      </c>
      <c r="G3054" t="inlineStr">
        <is>
          <t>Not a Controversial Topic</t>
        </is>
      </c>
      <c r="H3054" s="41" t="n">
        <v>0.002824074074074074</v>
      </c>
      <c r="I3054" s="42" t="n">
        <v>11256</v>
      </c>
      <c r="J3054" s="42" t="n">
        <v>221</v>
      </c>
      <c r="K3054" s="42" t="n">
        <v>38</v>
      </c>
      <c r="L3054" s="43" t="n"/>
      <c r="M3054" s="44" t="n"/>
      <c r="N3054" s="44" t="inlineStr">
        <is>
          <t>UCKZo4N0lVPccBkSiuyVh4yg</t>
        </is>
      </c>
      <c r="O3054" s="45" t="n">
        <v>41389.14236111111</v>
      </c>
      <c r="P3054" s="46" t="n">
        <v>41388</v>
      </c>
      <c r="Q3054" s="44" t="n">
        <v>218</v>
      </c>
      <c r="R3054" s="44" t="inlineStr">
        <is>
          <t>No Video ID yet</t>
        </is>
      </c>
      <c r="S3054" s="46" t="n"/>
      <c r="T3054" s="46" t="n"/>
      <c r="U3054" s="44" t="n"/>
      <c r="V3054" s="44">
        <f>IF(AND(P3054&gt;=Calendar!$K$2,P3054&lt;EDATE(Calendar!$K$2,1),OR(Calendar!$K$4="*",N3054=Calendar!$K$4)),P3054*100+COUNTIFS($P$6:$P$3271,P3054,$Q$6:$Q$3271,"&lt;="&amp;Q3054,$N$6:$N$3271,Calendar!$K$4),"")</f>
        <v/>
      </c>
      <c r="W3054" s="44">
        <f>IF(AND(B3054=Queue!$C$4,OR(Queue!$K$4="*",N3054=Queue!$K$4)),Q3054,"")</f>
        <v/>
      </c>
    </row>
    <row r="3055">
      <c r="A3055" s="35">
        <f>IF(M3055="","",HYPERLINK("https://www.youtube.com/watch?v="&amp;M3055,"▶"))</f>
        <v/>
      </c>
      <c r="B3055" s="36">
        <f>IF(C3055&lt;&gt;"",C3055,IF(P3055&lt;=IFERROR(INDEX(tblChannels[Watched Through],MATCH(N3055,tblChannels[Channel ID],0)),0),"Watched","Unwatched"))</f>
        <v/>
      </c>
      <c r="C3055" s="37" t="n"/>
      <c r="D3055" s="38" t="n"/>
      <c r="E3055" s="39" t="n">
        <v>41387.96180555555</v>
      </c>
      <c r="F3055" s="47" t="inlineStr">
        <is>
          <t>Super Carlin Brothers</t>
        </is>
      </c>
      <c r="G3055" t="inlineStr">
        <is>
          <t>Weight Lifting Epiphany!</t>
        </is>
      </c>
      <c r="H3055" s="41" t="n">
        <v>0.003321759259259259</v>
      </c>
      <c r="I3055" s="42" t="n">
        <v>18055</v>
      </c>
      <c r="J3055" s="42" t="n">
        <v>448</v>
      </c>
      <c r="K3055" s="42" t="n">
        <v>59</v>
      </c>
      <c r="L3055" s="43" t="n"/>
      <c r="M3055" s="44" t="n"/>
      <c r="N3055" s="44" t="inlineStr">
        <is>
          <t>UCKZo4N0lVPccBkSiuyVh4yg</t>
        </is>
      </c>
      <c r="O3055" s="45" t="n">
        <v>41388.12847222222</v>
      </c>
      <c r="P3055" s="46" t="n">
        <v>41387</v>
      </c>
      <c r="Q3055" s="44" t="n">
        <v>217</v>
      </c>
      <c r="R3055" s="44" t="inlineStr">
        <is>
          <t>No Video ID yet</t>
        </is>
      </c>
      <c r="S3055" s="46" t="n"/>
      <c r="T3055" s="46" t="n"/>
      <c r="U3055" s="44" t="n"/>
      <c r="V3055" s="44">
        <f>IF(AND(P3055&gt;=Calendar!$K$2,P3055&lt;EDATE(Calendar!$K$2,1),OR(Calendar!$K$4="*",N3055=Calendar!$K$4)),P3055*100+COUNTIFS($P$6:$P$3271,P3055,$Q$6:$Q$3271,"&lt;="&amp;Q3055,$N$6:$N$3271,Calendar!$K$4),"")</f>
        <v/>
      </c>
      <c r="W3055" s="44">
        <f>IF(AND(B3055=Queue!$C$4,OR(Queue!$K$4="*",N3055=Queue!$K$4)),Q3055,"")</f>
        <v/>
      </c>
    </row>
    <row r="3056">
      <c r="A3056" s="35">
        <f>IF(M3056="","",HYPERLINK("https://www.youtube.com/watch?v="&amp;M3056,"▶"))</f>
        <v/>
      </c>
      <c r="B3056" s="36">
        <f>IF(C3056&lt;&gt;"",C3056,IF(P3056&lt;=IFERROR(INDEX(tblChannels[Watched Through],MATCH(N3056,tblChannels[Channel ID],0)),0),"Watched","Unwatched"))</f>
        <v/>
      </c>
      <c r="C3056" s="37" t="n"/>
      <c r="D3056" s="38" t="n"/>
      <c r="E3056" s="39" t="n">
        <v>41387.00138888889</v>
      </c>
      <c r="F3056" s="47" t="inlineStr">
        <is>
          <t>Super Carlin Brothers</t>
        </is>
      </c>
      <c r="G3056" t="inlineStr">
        <is>
          <t>Negligence</t>
        </is>
      </c>
      <c r="H3056" s="41" t="n">
        <v>0.003101851851851852</v>
      </c>
      <c r="I3056" s="42" t="n">
        <v>10405</v>
      </c>
      <c r="J3056" s="42" t="n">
        <v>222</v>
      </c>
      <c r="K3056" s="42" t="n">
        <v>90</v>
      </c>
      <c r="L3056" s="43" t="n"/>
      <c r="M3056" s="44" t="n"/>
      <c r="N3056" s="44" t="inlineStr">
        <is>
          <t>UCKZo4N0lVPccBkSiuyVh4yg</t>
        </is>
      </c>
      <c r="O3056" s="45" t="n">
        <v>41387.16805555556</v>
      </c>
      <c r="P3056" s="46" t="n">
        <v>41387</v>
      </c>
      <c r="Q3056" s="44" t="n">
        <v>216</v>
      </c>
      <c r="R3056" s="44" t="inlineStr">
        <is>
          <t>No Video ID yet</t>
        </is>
      </c>
      <c r="S3056" s="46" t="n"/>
      <c r="T3056" s="46" t="n"/>
      <c r="U3056" s="44" t="n"/>
      <c r="V3056" s="44">
        <f>IF(AND(P3056&gt;=Calendar!$K$2,P3056&lt;EDATE(Calendar!$K$2,1),OR(Calendar!$K$4="*",N3056=Calendar!$K$4)),P3056*100+COUNTIFS($P$6:$P$3271,P3056,$Q$6:$Q$3271,"&lt;="&amp;Q3056,$N$6:$N$3271,Calendar!$K$4),"")</f>
        <v/>
      </c>
      <c r="W3056" s="44">
        <f>IF(AND(B3056=Queue!$C$4,OR(Queue!$K$4="*",N3056=Queue!$K$4)),Q3056,"")</f>
        <v/>
      </c>
    </row>
    <row r="3057">
      <c r="A3057" s="35">
        <f>IF(M3057="","",HYPERLINK("https://www.youtube.com/watch?v="&amp;M3057,"▶"))</f>
        <v/>
      </c>
      <c r="B3057" s="36">
        <f>IF(C3057&lt;&gt;"",C3057,IF(P3057&lt;=IFERROR(INDEX(tblChannels[Watched Through],MATCH(N3057,tblChannels[Channel ID],0)),0),"Watched","Unwatched"))</f>
        <v/>
      </c>
      <c r="C3057" s="37" t="n"/>
      <c r="D3057" s="38" t="n"/>
      <c r="E3057" s="39" t="n">
        <v>41383.9375</v>
      </c>
      <c r="F3057" s="47" t="inlineStr">
        <is>
          <t>Super Carlin Brothers</t>
        </is>
      </c>
      <c r="G3057" t="inlineStr">
        <is>
          <t>I'M CRAZIER THAN YOU!</t>
        </is>
      </c>
      <c r="H3057" s="41" t="n">
        <v>0.003171296296296296</v>
      </c>
      <c r="I3057" s="42" t="n">
        <v>50669</v>
      </c>
      <c r="J3057" s="42" t="n">
        <v>1072</v>
      </c>
      <c r="K3057" s="42" t="n">
        <v>235</v>
      </c>
      <c r="L3057" s="43" t="n"/>
      <c r="M3057" s="44" t="n"/>
      <c r="N3057" s="44" t="inlineStr">
        <is>
          <t>UCKZo4N0lVPccBkSiuyVh4yg</t>
        </is>
      </c>
      <c r="O3057" s="45" t="n">
        <v>41384.10416666666</v>
      </c>
      <c r="P3057" s="46" t="n">
        <v>41383</v>
      </c>
      <c r="Q3057" s="44" t="n">
        <v>215</v>
      </c>
      <c r="R3057" s="44" t="inlineStr">
        <is>
          <t>No Video ID yet</t>
        </is>
      </c>
      <c r="S3057" s="46" t="n"/>
      <c r="T3057" s="46" t="n"/>
      <c r="U3057" s="44" t="n"/>
      <c r="V3057" s="44">
        <f>IF(AND(P3057&gt;=Calendar!$K$2,P3057&lt;EDATE(Calendar!$K$2,1),OR(Calendar!$K$4="*",N3057=Calendar!$K$4)),P3057*100+COUNTIFS($P$6:$P$3271,P3057,$Q$6:$Q$3271,"&lt;="&amp;Q3057,$N$6:$N$3271,Calendar!$K$4),"")</f>
        <v/>
      </c>
      <c r="W3057" s="44">
        <f>IF(AND(B3057=Queue!$C$4,OR(Queue!$K$4="*",N3057=Queue!$K$4)),Q3057,"")</f>
        <v/>
      </c>
    </row>
    <row r="3058">
      <c r="A3058" s="35">
        <f>IF(M3058="","",HYPERLINK("https://www.youtube.com/watch?v="&amp;M3058,"▶"))</f>
        <v/>
      </c>
      <c r="B3058" s="36">
        <f>IF(C3058&lt;&gt;"",C3058,IF(P3058&lt;=IFERROR(INDEX(tblChannels[Watched Through],MATCH(N3058,tblChannels[Channel ID],0)),0),"Watched","Unwatched"))</f>
        <v/>
      </c>
      <c r="C3058" s="37" t="n"/>
      <c r="D3058" s="38" t="n"/>
      <c r="E3058" s="39" t="n">
        <v>41382.93541666667</v>
      </c>
      <c r="F3058" s="47" t="inlineStr">
        <is>
          <t>Super Carlin Brothers</t>
        </is>
      </c>
      <c r="G3058" t="inlineStr">
        <is>
          <t>People are Crazy</t>
        </is>
      </c>
      <c r="H3058" s="41" t="n">
        <v>0.002210648148148148</v>
      </c>
      <c r="I3058" s="42" t="n">
        <v>11916</v>
      </c>
      <c r="J3058" s="42" t="n">
        <v>237</v>
      </c>
      <c r="K3058" s="42" t="n">
        <v>88</v>
      </c>
      <c r="L3058" s="43" t="n"/>
      <c r="M3058" s="44" t="n"/>
      <c r="N3058" s="44" t="inlineStr">
        <is>
          <t>UCKZo4N0lVPccBkSiuyVh4yg</t>
        </is>
      </c>
      <c r="O3058" s="45" t="n">
        <v>41383.10208333333</v>
      </c>
      <c r="P3058" s="46" t="n">
        <v>41382</v>
      </c>
      <c r="Q3058" s="44" t="n">
        <v>214</v>
      </c>
      <c r="R3058" s="44" t="inlineStr">
        <is>
          <t>No Video ID yet</t>
        </is>
      </c>
      <c r="S3058" s="46" t="n"/>
      <c r="T3058" s="46" t="n"/>
      <c r="U3058" s="44" t="n"/>
      <c r="V3058" s="44">
        <f>IF(AND(P3058&gt;=Calendar!$K$2,P3058&lt;EDATE(Calendar!$K$2,1),OR(Calendar!$K$4="*",N3058=Calendar!$K$4)),P3058*100+COUNTIFS($P$6:$P$3271,P3058,$Q$6:$Q$3271,"&lt;="&amp;Q3058,$N$6:$N$3271,Calendar!$K$4),"")</f>
        <v/>
      </c>
      <c r="W3058" s="44">
        <f>IF(AND(B3058=Queue!$C$4,OR(Queue!$K$4="*",N3058=Queue!$K$4)),Q3058,"")</f>
        <v/>
      </c>
    </row>
    <row r="3059">
      <c r="A3059" s="35">
        <f>IF(M3059="","",HYPERLINK("https://www.youtube.com/watch?v="&amp;M3059,"▶"))</f>
        <v/>
      </c>
      <c r="B3059" s="36">
        <f>IF(C3059&lt;&gt;"",C3059,IF(P3059&lt;=IFERROR(INDEX(tblChannels[Watched Through],MATCH(N3059,tblChannels[Channel ID],0)),0),"Watched","Unwatched"))</f>
        <v/>
      </c>
      <c r="C3059" s="37" t="n"/>
      <c r="D3059" s="38" t="n"/>
      <c r="E3059" s="39" t="n">
        <v>41381.975</v>
      </c>
      <c r="F3059" s="47" t="inlineStr">
        <is>
          <t>Super Carlin Brothers</t>
        </is>
      </c>
      <c r="G3059" t="inlineStr">
        <is>
          <t>Fan of Creation = Fan of Creator?</t>
        </is>
      </c>
      <c r="H3059" s="41" t="n">
        <v>0.003252314814814815</v>
      </c>
      <c r="I3059" s="42" t="n">
        <v>24418</v>
      </c>
      <c r="J3059" s="42" t="n">
        <v>486</v>
      </c>
      <c r="K3059" s="42" t="n">
        <v>109</v>
      </c>
      <c r="L3059" s="43" t="n"/>
      <c r="M3059" s="44" t="n"/>
      <c r="N3059" s="44" t="inlineStr">
        <is>
          <t>UCKZo4N0lVPccBkSiuyVh4yg</t>
        </is>
      </c>
      <c r="O3059" s="45" t="n">
        <v>41382.14166666667</v>
      </c>
      <c r="P3059" s="46" t="n">
        <v>41381</v>
      </c>
      <c r="Q3059" s="44" t="n">
        <v>213</v>
      </c>
      <c r="R3059" s="44" t="inlineStr">
        <is>
          <t>No Video ID yet</t>
        </is>
      </c>
      <c r="S3059" s="46" t="n"/>
      <c r="T3059" s="46" t="n"/>
      <c r="U3059" s="44" t="n"/>
      <c r="V3059" s="44">
        <f>IF(AND(P3059&gt;=Calendar!$K$2,P3059&lt;EDATE(Calendar!$K$2,1),OR(Calendar!$K$4="*",N3059=Calendar!$K$4)),P3059*100+COUNTIFS($P$6:$P$3271,P3059,$Q$6:$Q$3271,"&lt;="&amp;Q3059,$N$6:$N$3271,Calendar!$K$4),"")</f>
        <v/>
      </c>
      <c r="W3059" s="44">
        <f>IF(AND(B3059=Queue!$C$4,OR(Queue!$K$4="*",N3059=Queue!$K$4)),Q3059,"")</f>
        <v/>
      </c>
    </row>
    <row r="3060">
      <c r="A3060" s="35">
        <f>IF(M3060="","",HYPERLINK("https://www.youtube.com/watch?v="&amp;M3060,"▶"))</f>
        <v/>
      </c>
      <c r="B3060" s="36">
        <f>IF(C3060&lt;&gt;"",C3060,IF(P3060&lt;=IFERROR(INDEX(tblChannels[Watched Through],MATCH(N3060,tblChannels[Channel ID],0)),0),"Watched","Unwatched"))</f>
        <v/>
      </c>
      <c r="C3060" s="37" t="n"/>
      <c r="D3060" s="38" t="n"/>
      <c r="E3060" s="39" t="n">
        <v>41380.94444444445</v>
      </c>
      <c r="F3060" s="47" t="inlineStr">
        <is>
          <t>Super Carlin Brothers</t>
        </is>
      </c>
      <c r="G3060" t="inlineStr">
        <is>
          <t>Should We Talk About It?</t>
        </is>
      </c>
      <c r="H3060" s="41" t="n">
        <v>0.002395833333333333</v>
      </c>
      <c r="I3060" s="42" t="n">
        <v>10331</v>
      </c>
      <c r="J3060" s="42" t="n">
        <v>204</v>
      </c>
      <c r="K3060" s="42" t="n">
        <v>39</v>
      </c>
      <c r="L3060" s="43" t="n"/>
      <c r="M3060" s="44" t="n"/>
      <c r="N3060" s="44" t="inlineStr">
        <is>
          <t>UCKZo4N0lVPccBkSiuyVh4yg</t>
        </is>
      </c>
      <c r="O3060" s="45" t="n">
        <v>41381.11111111111</v>
      </c>
      <c r="P3060" s="46" t="n">
        <v>41380</v>
      </c>
      <c r="Q3060" s="44" t="n">
        <v>212</v>
      </c>
      <c r="R3060" s="44" t="inlineStr">
        <is>
          <t>No Video ID yet</t>
        </is>
      </c>
      <c r="S3060" s="46" t="n"/>
      <c r="T3060" s="46" t="n"/>
      <c r="U3060" s="44" t="n"/>
      <c r="V3060" s="44">
        <f>IF(AND(P3060&gt;=Calendar!$K$2,P3060&lt;EDATE(Calendar!$K$2,1),OR(Calendar!$K$4="*",N3060=Calendar!$K$4)),P3060*100+COUNTIFS($P$6:$P$3271,P3060,$Q$6:$Q$3271,"&lt;="&amp;Q3060,$N$6:$N$3271,Calendar!$K$4),"")</f>
        <v/>
      </c>
      <c r="W3060" s="44">
        <f>IF(AND(B3060=Queue!$C$4,OR(Queue!$K$4="*",N3060=Queue!$K$4)),Q3060,"")</f>
        <v/>
      </c>
    </row>
    <row r="3061">
      <c r="A3061" s="35">
        <f>IF(M3061="","",HYPERLINK("https://www.youtube.com/watch?v="&amp;M3061,"▶"))</f>
        <v/>
      </c>
      <c r="B3061" s="36">
        <f>IF(C3061&lt;&gt;"",C3061,IF(P3061&lt;=IFERROR(INDEX(tblChannels[Watched Through],MATCH(N3061,tblChannels[Channel ID],0)),0),"Watched","Unwatched"))</f>
        <v/>
      </c>
      <c r="C3061" s="37" t="n"/>
      <c r="D3061" s="38" t="n"/>
      <c r="E3061" s="39" t="n">
        <v>41379.95347222222</v>
      </c>
      <c r="F3061" s="47" t="inlineStr">
        <is>
          <t>Super Carlin Brothers</t>
        </is>
      </c>
      <c r="G3061" t="inlineStr">
        <is>
          <t>The Manly Horse Paradox</t>
        </is>
      </c>
      <c r="H3061" s="41" t="n">
        <v>0.002777777777777778</v>
      </c>
      <c r="I3061" s="42" t="n">
        <v>62424</v>
      </c>
      <c r="J3061" s="42" t="n">
        <v>1191</v>
      </c>
      <c r="K3061" s="42" t="n">
        <v>384</v>
      </c>
      <c r="L3061" s="43" t="n"/>
      <c r="M3061" s="44" t="n"/>
      <c r="N3061" s="44" t="inlineStr">
        <is>
          <t>UCKZo4N0lVPccBkSiuyVh4yg</t>
        </is>
      </c>
      <c r="O3061" s="45" t="n">
        <v>41380.12013888889</v>
      </c>
      <c r="P3061" s="46" t="n">
        <v>41379</v>
      </c>
      <c r="Q3061" s="44" t="n">
        <v>211</v>
      </c>
      <c r="R3061" s="44" t="inlineStr">
        <is>
          <t>No Video ID yet</t>
        </is>
      </c>
      <c r="S3061" s="46" t="n"/>
      <c r="T3061" s="46" t="n"/>
      <c r="U3061" s="44" t="n"/>
      <c r="V3061" s="44">
        <f>IF(AND(P3061&gt;=Calendar!$K$2,P3061&lt;EDATE(Calendar!$K$2,1),OR(Calendar!$K$4="*",N3061=Calendar!$K$4)),P3061*100+COUNTIFS($P$6:$P$3271,P3061,$Q$6:$Q$3271,"&lt;="&amp;Q3061,$N$6:$N$3271,Calendar!$K$4),"")</f>
        <v/>
      </c>
      <c r="W3061" s="44">
        <f>IF(AND(B3061=Queue!$C$4,OR(Queue!$K$4="*",N3061=Queue!$K$4)),Q3061,"")</f>
        <v/>
      </c>
    </row>
    <row r="3062">
      <c r="A3062" s="35">
        <f>IF(M3062="","",HYPERLINK("https://www.youtube.com/watch?v="&amp;M3062,"▶"))</f>
        <v/>
      </c>
      <c r="B3062" s="36">
        <f>IF(C3062&lt;&gt;"",C3062,IF(P3062&lt;=IFERROR(INDEX(tblChannels[Watched Through],MATCH(N3062,tblChannels[Channel ID],0)),0),"Watched","Unwatched"))</f>
        <v/>
      </c>
      <c r="C3062" s="37" t="n"/>
      <c r="D3062" s="38" t="n"/>
      <c r="E3062" s="39" t="n">
        <v>41376.96388888889</v>
      </c>
      <c r="F3062" s="47" t="inlineStr">
        <is>
          <t>Super Carlin Brothers</t>
        </is>
      </c>
      <c r="G3062" t="inlineStr">
        <is>
          <t>A Day With Ben</t>
        </is>
      </c>
      <c r="H3062" s="41" t="n">
        <v>0.00431712962962963</v>
      </c>
      <c r="I3062" s="42" t="n">
        <v>19658</v>
      </c>
      <c r="J3062" s="42" t="n">
        <v>449</v>
      </c>
      <c r="K3062" s="42" t="n">
        <v>92</v>
      </c>
      <c r="L3062" s="43" t="n"/>
      <c r="M3062" s="44" t="n"/>
      <c r="N3062" s="44" t="inlineStr">
        <is>
          <t>UCKZo4N0lVPccBkSiuyVh4yg</t>
        </is>
      </c>
      <c r="O3062" s="45" t="n">
        <v>41377.13055555556</v>
      </c>
      <c r="P3062" s="46" t="n">
        <v>41376</v>
      </c>
      <c r="Q3062" s="44" t="n">
        <v>210</v>
      </c>
      <c r="R3062" s="44" t="inlineStr">
        <is>
          <t>No Video ID yet</t>
        </is>
      </c>
      <c r="S3062" s="46" t="n"/>
      <c r="T3062" s="46" t="n"/>
      <c r="U3062" s="44" t="n"/>
      <c r="V3062" s="44">
        <f>IF(AND(P3062&gt;=Calendar!$K$2,P3062&lt;EDATE(Calendar!$K$2,1),OR(Calendar!$K$4="*",N3062=Calendar!$K$4)),P3062*100+COUNTIFS($P$6:$P$3271,P3062,$Q$6:$Q$3271,"&lt;="&amp;Q3062,$N$6:$N$3271,Calendar!$K$4),"")</f>
        <v/>
      </c>
      <c r="W3062" s="44">
        <f>IF(AND(B3062=Queue!$C$4,OR(Queue!$K$4="*",N3062=Queue!$K$4)),Q3062,"")</f>
        <v/>
      </c>
    </row>
    <row r="3063">
      <c r="A3063" s="35">
        <f>IF(M3063="","",HYPERLINK("https://www.youtube.com/watch?v="&amp;M3063,"▶"))</f>
        <v/>
      </c>
      <c r="B3063" s="36">
        <f>IF(C3063&lt;&gt;"",C3063,IF(P3063&lt;=IFERROR(INDEX(tblChannels[Watched Through],MATCH(N3063,tblChannels[Channel ID],0)),0),"Watched","Unwatched"))</f>
        <v/>
      </c>
      <c r="C3063" s="37" t="n"/>
      <c r="D3063" s="38" t="n"/>
      <c r="E3063" s="39" t="n">
        <v>41375.97569444445</v>
      </c>
      <c r="F3063" s="47" t="inlineStr">
        <is>
          <t>Super Carlin Brothers</t>
        </is>
      </c>
      <c r="G3063" t="inlineStr">
        <is>
          <t>Good Grief</t>
        </is>
      </c>
      <c r="H3063" s="41" t="n">
        <v>0.002106481481481481</v>
      </c>
      <c r="I3063" s="42" t="n">
        <v>16797</v>
      </c>
      <c r="J3063" s="42" t="n">
        <v>407</v>
      </c>
      <c r="K3063" s="42" t="n">
        <v>141</v>
      </c>
      <c r="L3063" s="43" t="n"/>
      <c r="M3063" s="44" t="n"/>
      <c r="N3063" s="44" t="inlineStr">
        <is>
          <t>UCKZo4N0lVPccBkSiuyVh4yg</t>
        </is>
      </c>
      <c r="O3063" s="45" t="n">
        <v>41376.14236111111</v>
      </c>
      <c r="P3063" s="46" t="n">
        <v>41375</v>
      </c>
      <c r="Q3063" s="44" t="n">
        <v>209</v>
      </c>
      <c r="R3063" s="44" t="inlineStr">
        <is>
          <t>No Video ID yet</t>
        </is>
      </c>
      <c r="S3063" s="46" t="n"/>
      <c r="T3063" s="46" t="n"/>
      <c r="U3063" s="44" t="n"/>
      <c r="V3063" s="44">
        <f>IF(AND(P3063&gt;=Calendar!$K$2,P3063&lt;EDATE(Calendar!$K$2,1),OR(Calendar!$K$4="*",N3063=Calendar!$K$4)),P3063*100+COUNTIFS($P$6:$P$3271,P3063,$Q$6:$Q$3271,"&lt;="&amp;Q3063,$N$6:$N$3271,Calendar!$K$4),"")</f>
        <v/>
      </c>
      <c r="W3063" s="44">
        <f>IF(AND(B3063=Queue!$C$4,OR(Queue!$K$4="*",N3063=Queue!$K$4)),Q3063,"")</f>
        <v/>
      </c>
    </row>
    <row r="3064">
      <c r="A3064" s="35">
        <f>IF(M3064="","",HYPERLINK("https://www.youtube.com/watch?v="&amp;M3064,"▶"))</f>
        <v/>
      </c>
      <c r="B3064" s="36">
        <f>IF(C3064&lt;&gt;"",C3064,IF(P3064&lt;=IFERROR(INDEX(tblChannels[Watched Through],MATCH(N3064,tblChannels[Channel ID],0)),0),"Watched","Unwatched"))</f>
        <v/>
      </c>
      <c r="C3064" s="37" t="n"/>
      <c r="D3064" s="38" t="n"/>
      <c r="E3064" s="39" t="n">
        <v>41374.97291666667</v>
      </c>
      <c r="F3064" s="47" t="inlineStr">
        <is>
          <t>Super Carlin Brothers</t>
        </is>
      </c>
      <c r="G3064" t="inlineStr">
        <is>
          <t>Joel...</t>
        </is>
      </c>
      <c r="H3064" s="41" t="n">
        <v>0.001180555555555556</v>
      </c>
      <c r="I3064" s="42" t="n">
        <v>10075</v>
      </c>
      <c r="J3064" s="42" t="n">
        <v>222</v>
      </c>
      <c r="K3064" s="42" t="n">
        <v>47</v>
      </c>
      <c r="L3064" s="43" t="n"/>
      <c r="M3064" s="44" t="n"/>
      <c r="N3064" s="44" t="inlineStr">
        <is>
          <t>UCKZo4N0lVPccBkSiuyVh4yg</t>
        </is>
      </c>
      <c r="O3064" s="45" t="n">
        <v>41375.13958333333</v>
      </c>
      <c r="P3064" s="46" t="n">
        <v>41374</v>
      </c>
      <c r="Q3064" s="44" t="n">
        <v>208</v>
      </c>
      <c r="R3064" s="44" t="inlineStr">
        <is>
          <t>No Video ID yet</t>
        </is>
      </c>
      <c r="S3064" s="46" t="n"/>
      <c r="T3064" s="46" t="n"/>
      <c r="U3064" s="44" t="n"/>
      <c r="V3064" s="44">
        <f>IF(AND(P3064&gt;=Calendar!$K$2,P3064&lt;EDATE(Calendar!$K$2,1),OR(Calendar!$K$4="*",N3064=Calendar!$K$4)),P3064*100+COUNTIFS($P$6:$P$3271,P3064,$Q$6:$Q$3271,"&lt;="&amp;Q3064,$N$6:$N$3271,Calendar!$K$4),"")</f>
        <v/>
      </c>
      <c r="W3064" s="44">
        <f>IF(AND(B3064=Queue!$C$4,OR(Queue!$K$4="*",N3064=Queue!$K$4)),Q3064,"")</f>
        <v/>
      </c>
    </row>
    <row r="3065">
      <c r="A3065" s="35">
        <f>IF(M3065="","",HYPERLINK("https://www.youtube.com/watch?v="&amp;M3065,"▶"))</f>
        <v/>
      </c>
      <c r="B3065" s="36">
        <f>IF(C3065&lt;&gt;"",C3065,IF(P3065&lt;=IFERROR(INDEX(tblChannels[Watched Through],MATCH(N3065,tblChannels[Channel ID],0)),0),"Watched","Unwatched"))</f>
        <v/>
      </c>
      <c r="C3065" s="37" t="n"/>
      <c r="D3065" s="38" t="n"/>
      <c r="E3065" s="39" t="n">
        <v>41373.92638888889</v>
      </c>
      <c r="F3065" s="47" t="inlineStr">
        <is>
          <t>Super Carlin Brothers</t>
        </is>
      </c>
      <c r="G3065" t="inlineStr">
        <is>
          <t>SINGING IN THE CAR! - J's Top 25</t>
        </is>
      </c>
      <c r="H3065" s="41" t="n">
        <v>0.004803240740740741</v>
      </c>
      <c r="I3065" s="42" t="n">
        <v>45677</v>
      </c>
      <c r="J3065" s="42" t="n">
        <v>1056</v>
      </c>
      <c r="K3065" s="42" t="n">
        <v>293</v>
      </c>
      <c r="L3065" s="43" t="n"/>
      <c r="M3065" s="44" t="n"/>
      <c r="N3065" s="44" t="inlineStr">
        <is>
          <t>UCKZo4N0lVPccBkSiuyVh4yg</t>
        </is>
      </c>
      <c r="O3065" s="45" t="n">
        <v>41374.09305555555</v>
      </c>
      <c r="P3065" s="46" t="n">
        <v>41373</v>
      </c>
      <c r="Q3065" s="44" t="n">
        <v>207</v>
      </c>
      <c r="R3065" s="44" t="inlineStr">
        <is>
          <t>No Video ID yet</t>
        </is>
      </c>
      <c r="S3065" s="46" t="n"/>
      <c r="T3065" s="46" t="n"/>
      <c r="U3065" s="44" t="n"/>
      <c r="V3065" s="44">
        <f>IF(AND(P3065&gt;=Calendar!$K$2,P3065&lt;EDATE(Calendar!$K$2,1),OR(Calendar!$K$4="*",N3065=Calendar!$K$4)),P3065*100+COUNTIFS($P$6:$P$3271,P3065,$Q$6:$Q$3271,"&lt;="&amp;Q3065,$N$6:$N$3271,Calendar!$K$4),"")</f>
        <v/>
      </c>
      <c r="W3065" s="44">
        <f>IF(AND(B3065=Queue!$C$4,OR(Queue!$K$4="*",N3065=Queue!$K$4)),Q3065,"")</f>
        <v/>
      </c>
    </row>
    <row r="3066">
      <c r="A3066" s="35">
        <f>IF(M3066="","",HYPERLINK("https://www.youtube.com/watch?v="&amp;M3066,"▶"))</f>
        <v/>
      </c>
      <c r="B3066" s="36">
        <f>IF(C3066&lt;&gt;"",C3066,IF(P3066&lt;=IFERROR(INDEX(tblChannels[Watched Through],MATCH(N3066,tblChannels[Channel ID],0)),0),"Watched","Unwatched"))</f>
        <v/>
      </c>
      <c r="C3066" s="37" t="n"/>
      <c r="D3066" s="38" t="n"/>
      <c r="E3066" s="39" t="n">
        <v>41372.97152777778</v>
      </c>
      <c r="F3066" s="47" t="inlineStr">
        <is>
          <t>Super Carlin Brothers</t>
        </is>
      </c>
      <c r="G3066" t="inlineStr">
        <is>
          <t>Social Media Development</t>
        </is>
      </c>
      <c r="H3066" s="41" t="n">
        <v>0.003564814814814815</v>
      </c>
      <c r="I3066" s="42" t="n">
        <v>10596</v>
      </c>
      <c r="J3066" s="42" t="n">
        <v>223</v>
      </c>
      <c r="K3066" s="42" t="n">
        <v>32</v>
      </c>
      <c r="L3066" s="43" t="n"/>
      <c r="M3066" s="44" t="n"/>
      <c r="N3066" s="44" t="inlineStr">
        <is>
          <t>UCKZo4N0lVPccBkSiuyVh4yg</t>
        </is>
      </c>
      <c r="O3066" s="45" t="n">
        <v>41373.13819444444</v>
      </c>
      <c r="P3066" s="46" t="n">
        <v>41372</v>
      </c>
      <c r="Q3066" s="44" t="n">
        <v>206</v>
      </c>
      <c r="R3066" s="44" t="inlineStr">
        <is>
          <t>No Video ID yet</t>
        </is>
      </c>
      <c r="S3066" s="46" t="n"/>
      <c r="T3066" s="46" t="n"/>
      <c r="U3066" s="44" t="n"/>
      <c r="V3066" s="44">
        <f>IF(AND(P3066&gt;=Calendar!$K$2,P3066&lt;EDATE(Calendar!$K$2,1),OR(Calendar!$K$4="*",N3066=Calendar!$K$4)),P3066*100+COUNTIFS($P$6:$P$3271,P3066,$Q$6:$Q$3271,"&lt;="&amp;Q3066,$N$6:$N$3271,Calendar!$K$4),"")</f>
        <v/>
      </c>
      <c r="W3066" s="44">
        <f>IF(AND(B3066=Queue!$C$4,OR(Queue!$K$4="*",N3066=Queue!$K$4)),Q3066,"")</f>
        <v/>
      </c>
    </row>
    <row r="3067">
      <c r="A3067" s="35">
        <f>IF(M3067="","",HYPERLINK("https://www.youtube.com/watch?v="&amp;M3067,"▶"))</f>
        <v/>
      </c>
      <c r="B3067" s="36">
        <f>IF(C3067&lt;&gt;"",C3067,IF(P3067&lt;=IFERROR(INDEX(tblChannels[Watched Through],MATCH(N3067,tblChannels[Channel ID],0)),0),"Watched","Unwatched"))</f>
        <v/>
      </c>
      <c r="C3067" s="37" t="n"/>
      <c r="D3067" s="38" t="n"/>
      <c r="E3067" s="39" t="n">
        <v>41369.71319444444</v>
      </c>
      <c r="F3067" s="47" t="inlineStr">
        <is>
          <t>Super Carlin Brothers</t>
        </is>
      </c>
      <c r="G3067" t="inlineStr">
        <is>
          <t>When is Art Finished?</t>
        </is>
      </c>
      <c r="H3067" s="41" t="n">
        <v>0.002696759259259259</v>
      </c>
      <c r="I3067" s="42" t="n">
        <v>24648</v>
      </c>
      <c r="J3067" s="42" t="n">
        <v>585</v>
      </c>
      <c r="K3067" s="42" t="n">
        <v>156</v>
      </c>
      <c r="L3067" s="43" t="n"/>
      <c r="M3067" s="44" t="n"/>
      <c r="N3067" s="44" t="inlineStr">
        <is>
          <t>UCKZo4N0lVPccBkSiuyVh4yg</t>
        </is>
      </c>
      <c r="O3067" s="45" t="n">
        <v>41369.87986111111</v>
      </c>
      <c r="P3067" s="46" t="n">
        <v>41369</v>
      </c>
      <c r="Q3067" s="44" t="n">
        <v>205</v>
      </c>
      <c r="R3067" s="44" t="inlineStr">
        <is>
          <t>No Video ID yet</t>
        </is>
      </c>
      <c r="S3067" s="46" t="n"/>
      <c r="T3067" s="46" t="n"/>
      <c r="U3067" s="44" t="n"/>
      <c r="V3067" s="44">
        <f>IF(AND(P3067&gt;=Calendar!$K$2,P3067&lt;EDATE(Calendar!$K$2,1),OR(Calendar!$K$4="*",N3067=Calendar!$K$4)),P3067*100+COUNTIFS($P$6:$P$3271,P3067,$Q$6:$Q$3271,"&lt;="&amp;Q3067,$N$6:$N$3271,Calendar!$K$4),"")</f>
        <v/>
      </c>
      <c r="W3067" s="44">
        <f>IF(AND(B3067=Queue!$C$4,OR(Queue!$K$4="*",N3067=Queue!$K$4)),Q3067,"")</f>
        <v/>
      </c>
    </row>
    <row r="3068">
      <c r="A3068" s="35">
        <f>IF(M3068="","",HYPERLINK("https://www.youtube.com/watch?v="&amp;M3068,"▶"))</f>
        <v/>
      </c>
      <c r="B3068" s="36">
        <f>IF(C3068&lt;&gt;"",C3068,IF(P3068&lt;=IFERROR(INDEX(tblChannels[Watched Through],MATCH(N3068,tblChannels[Channel ID],0)),0),"Watched","Unwatched"))</f>
        <v/>
      </c>
      <c r="C3068" s="37" t="n"/>
      <c r="D3068" s="38" t="n"/>
      <c r="E3068" s="39" t="n">
        <v>41368.82430555556</v>
      </c>
      <c r="F3068" s="47" t="inlineStr">
        <is>
          <t>Super Carlin Brothers</t>
        </is>
      </c>
      <c r="G3068" t="inlineStr">
        <is>
          <t>Sick Days</t>
        </is>
      </c>
      <c r="H3068" s="41" t="n">
        <v>0.002604166666666667</v>
      </c>
      <c r="I3068" s="42" t="n">
        <v>13139</v>
      </c>
      <c r="J3068" s="42" t="n">
        <v>278</v>
      </c>
      <c r="K3068" s="42" t="n">
        <v>52</v>
      </c>
      <c r="L3068" s="43" t="n"/>
      <c r="M3068" s="44" t="n"/>
      <c r="N3068" s="44" t="inlineStr">
        <is>
          <t>UCKZo4N0lVPccBkSiuyVh4yg</t>
        </is>
      </c>
      <c r="O3068" s="45" t="n">
        <v>41368.99097222222</v>
      </c>
      <c r="P3068" s="46" t="n">
        <v>41368</v>
      </c>
      <c r="Q3068" s="44" t="n">
        <v>204</v>
      </c>
      <c r="R3068" s="44" t="inlineStr">
        <is>
          <t>No Video ID yet</t>
        </is>
      </c>
      <c r="S3068" s="46" t="n"/>
      <c r="T3068" s="46" t="n"/>
      <c r="U3068" s="44" t="n"/>
      <c r="V3068" s="44">
        <f>IF(AND(P3068&gt;=Calendar!$K$2,P3068&lt;EDATE(Calendar!$K$2,1),OR(Calendar!$K$4="*",N3068=Calendar!$K$4)),P3068*100+COUNTIFS($P$6:$P$3271,P3068,$Q$6:$Q$3271,"&lt;="&amp;Q3068,$N$6:$N$3271,Calendar!$K$4),"")</f>
        <v/>
      </c>
      <c r="W3068" s="44">
        <f>IF(AND(B3068=Queue!$C$4,OR(Queue!$K$4="*",N3068=Queue!$K$4)),Q3068,"")</f>
        <v/>
      </c>
    </row>
    <row r="3069">
      <c r="A3069" s="35">
        <f>IF(M3069="","",HYPERLINK("https://www.youtube.com/watch?v="&amp;M3069,"▶"))</f>
        <v/>
      </c>
      <c r="B3069" s="36">
        <f>IF(C3069&lt;&gt;"",C3069,IF(P3069&lt;=IFERROR(INDEX(tblChannels[Watched Through],MATCH(N3069,tblChannels[Channel ID],0)),0),"Watched","Unwatched"))</f>
        <v/>
      </c>
      <c r="C3069" s="37" t="n"/>
      <c r="D3069" s="38" t="n"/>
      <c r="E3069" s="39" t="n">
        <v>41367.94791666666</v>
      </c>
      <c r="F3069" s="47" t="inlineStr">
        <is>
          <t>Super Carlin Brothers</t>
        </is>
      </c>
      <c r="G3069" t="inlineStr">
        <is>
          <t>Stretching and Lunges!</t>
        </is>
      </c>
      <c r="H3069" s="41" t="n">
        <v>0.002465277777777778</v>
      </c>
      <c r="I3069" s="42" t="n">
        <v>13217</v>
      </c>
      <c r="J3069" s="42" t="n">
        <v>293</v>
      </c>
      <c r="K3069" s="42" t="n">
        <v>66</v>
      </c>
      <c r="L3069" s="43" t="n"/>
      <c r="M3069" s="44" t="n"/>
      <c r="N3069" s="44" t="inlineStr">
        <is>
          <t>UCKZo4N0lVPccBkSiuyVh4yg</t>
        </is>
      </c>
      <c r="O3069" s="45" t="n">
        <v>41368.11458333334</v>
      </c>
      <c r="P3069" s="46" t="n">
        <v>41367</v>
      </c>
      <c r="Q3069" s="44" t="n">
        <v>203</v>
      </c>
      <c r="R3069" s="44" t="inlineStr">
        <is>
          <t>No Video ID yet</t>
        </is>
      </c>
      <c r="S3069" s="46" t="n"/>
      <c r="T3069" s="46" t="n"/>
      <c r="U3069" s="44" t="n"/>
      <c r="V3069" s="44">
        <f>IF(AND(P3069&gt;=Calendar!$K$2,P3069&lt;EDATE(Calendar!$K$2,1),OR(Calendar!$K$4="*",N3069=Calendar!$K$4)),P3069*100+COUNTIFS($P$6:$P$3271,P3069,$Q$6:$Q$3271,"&lt;="&amp;Q3069,$N$6:$N$3271,Calendar!$K$4),"")</f>
        <v/>
      </c>
      <c r="W3069" s="44">
        <f>IF(AND(B3069=Queue!$C$4,OR(Queue!$K$4="*",N3069=Queue!$K$4)),Q3069,"")</f>
        <v/>
      </c>
    </row>
    <row r="3070">
      <c r="A3070" s="35">
        <f>IF(M3070="","",HYPERLINK("https://www.youtube.com/watch?v="&amp;M3070,"▶"))</f>
        <v/>
      </c>
      <c r="B3070" s="36">
        <f>IF(C3070&lt;&gt;"",C3070,IF(P3070&lt;=IFERROR(INDEX(tblChannels[Watched Through],MATCH(N3070,tblChannels[Channel ID],0)),0),"Watched","Unwatched"))</f>
        <v/>
      </c>
      <c r="C3070" s="37" t="n"/>
      <c r="D3070" s="38" t="n"/>
      <c r="E3070" s="39" t="n">
        <v>41366.85416666666</v>
      </c>
      <c r="F3070" s="47" t="inlineStr">
        <is>
          <t>Super Carlin Brothers</t>
        </is>
      </c>
      <c r="G3070" t="inlineStr">
        <is>
          <t>Pop Music</t>
        </is>
      </c>
      <c r="H3070" s="41" t="n">
        <v>0.003368055555555556</v>
      </c>
      <c r="I3070" s="42" t="n">
        <v>14465</v>
      </c>
      <c r="J3070" s="42" t="n">
        <v>321</v>
      </c>
      <c r="K3070" s="42" t="n">
        <v>69</v>
      </c>
      <c r="L3070" s="43" t="n"/>
      <c r="M3070" s="44" t="n"/>
      <c r="N3070" s="44" t="inlineStr">
        <is>
          <t>UCKZo4N0lVPccBkSiuyVh4yg</t>
        </is>
      </c>
      <c r="O3070" s="45" t="n">
        <v>41367.02083333334</v>
      </c>
      <c r="P3070" s="46" t="n">
        <v>41366</v>
      </c>
      <c r="Q3070" s="44" t="n">
        <v>202</v>
      </c>
      <c r="R3070" s="44" t="inlineStr">
        <is>
          <t>No Video ID yet</t>
        </is>
      </c>
      <c r="S3070" s="46" t="n"/>
      <c r="T3070" s="46" t="n"/>
      <c r="U3070" s="44" t="n"/>
      <c r="V3070" s="44">
        <f>IF(AND(P3070&gt;=Calendar!$K$2,P3070&lt;EDATE(Calendar!$K$2,1),OR(Calendar!$K$4="*",N3070=Calendar!$K$4)),P3070*100+COUNTIFS($P$6:$P$3271,P3070,$Q$6:$Q$3271,"&lt;="&amp;Q3070,$N$6:$N$3271,Calendar!$K$4),"")</f>
        <v/>
      </c>
      <c r="W3070" s="44">
        <f>IF(AND(B3070=Queue!$C$4,OR(Queue!$K$4="*",N3070=Queue!$K$4)),Q3070,"")</f>
        <v/>
      </c>
    </row>
    <row r="3071">
      <c r="A3071" s="35">
        <f>IF(M3071="","",HYPERLINK("https://www.youtube.com/watch?v="&amp;M3071,"▶"))</f>
        <v/>
      </c>
      <c r="B3071" s="36">
        <f>IF(C3071&lt;&gt;"",C3071,IF(P3071&lt;=IFERROR(INDEX(tblChannels[Watched Through],MATCH(N3071,tblChannels[Channel ID],0)),0),"Watched","Unwatched"))</f>
        <v/>
      </c>
      <c r="C3071" s="37" t="n"/>
      <c r="D3071" s="38" t="n"/>
      <c r="E3071" s="39" t="n">
        <v>41365.97291666667</v>
      </c>
      <c r="F3071" s="47" t="inlineStr">
        <is>
          <t>Super Carlin Brothers</t>
        </is>
      </c>
      <c r="G3071" t="inlineStr">
        <is>
          <t>Facebook is Walmart</t>
        </is>
      </c>
      <c r="H3071" s="41" t="n">
        <v>0.002696759259259259</v>
      </c>
      <c r="I3071" s="42" t="n">
        <v>33601</v>
      </c>
      <c r="J3071" s="42" t="n">
        <v>777</v>
      </c>
      <c r="K3071" s="42" t="n">
        <v>118</v>
      </c>
      <c r="L3071" s="43" t="n"/>
      <c r="M3071" s="44" t="n"/>
      <c r="N3071" s="44" t="inlineStr">
        <is>
          <t>UCKZo4N0lVPccBkSiuyVh4yg</t>
        </is>
      </c>
      <c r="O3071" s="45" t="n">
        <v>41366.13958333333</v>
      </c>
      <c r="P3071" s="46" t="n">
        <v>41365</v>
      </c>
      <c r="Q3071" s="44" t="n">
        <v>201</v>
      </c>
      <c r="R3071" s="44" t="inlineStr">
        <is>
          <t>No Video ID yet</t>
        </is>
      </c>
      <c r="S3071" s="46" t="n"/>
      <c r="T3071" s="46" t="n"/>
      <c r="U3071" s="44" t="n"/>
      <c r="V3071" s="44">
        <f>IF(AND(P3071&gt;=Calendar!$K$2,P3071&lt;EDATE(Calendar!$K$2,1),OR(Calendar!$K$4="*",N3071=Calendar!$K$4)),P3071*100+COUNTIFS($P$6:$P$3271,P3071,$Q$6:$Q$3271,"&lt;="&amp;Q3071,$N$6:$N$3271,Calendar!$K$4),"")</f>
        <v/>
      </c>
      <c r="W3071" s="44">
        <f>IF(AND(B3071=Queue!$C$4,OR(Queue!$K$4="*",N3071=Queue!$K$4)),Q3071,"")</f>
        <v/>
      </c>
    </row>
    <row r="3072">
      <c r="A3072" s="35">
        <f>IF(M3072="","",HYPERLINK("https://www.youtube.com/watch?v="&amp;M3072,"▶"))</f>
        <v/>
      </c>
      <c r="B3072" s="36">
        <f>IF(C3072&lt;&gt;"",C3072,IF(P3072&lt;=IFERROR(INDEX(tblChannels[Watched Through],MATCH(N3072,tblChannels[Channel ID],0)),0),"Watched","Unwatched"))</f>
        <v/>
      </c>
      <c r="C3072" s="37" t="n"/>
      <c r="D3072" s="38" t="n"/>
      <c r="E3072" s="39" t="n">
        <v>41363.03888888889</v>
      </c>
      <c r="F3072" s="47" t="inlineStr">
        <is>
          <t>Super Carlin Brothers</t>
        </is>
      </c>
      <c r="G3072" t="inlineStr">
        <is>
          <t>JUXTABROS Video 200!!!</t>
        </is>
      </c>
      <c r="H3072" s="41" t="n">
        <v>0.007824074074074074</v>
      </c>
      <c r="I3072" s="42" t="n">
        <v>30192</v>
      </c>
      <c r="J3072" s="42" t="n">
        <v>736</v>
      </c>
      <c r="K3072" s="42" t="n">
        <v>85</v>
      </c>
      <c r="L3072" s="43" t="n"/>
      <c r="M3072" s="44" t="n"/>
      <c r="N3072" s="44" t="inlineStr">
        <is>
          <t>UCKZo4N0lVPccBkSiuyVh4yg</t>
        </is>
      </c>
      <c r="O3072" s="45" t="n">
        <v>41363.20555555556</v>
      </c>
      <c r="P3072" s="46" t="n">
        <v>41363</v>
      </c>
      <c r="Q3072" s="44" t="n">
        <v>200</v>
      </c>
      <c r="R3072" s="44" t="inlineStr">
        <is>
          <t>No Video ID yet</t>
        </is>
      </c>
      <c r="S3072" s="46" t="n"/>
      <c r="T3072" s="46" t="n"/>
      <c r="U3072" s="44" t="n"/>
      <c r="V3072" s="44">
        <f>IF(AND(P3072&gt;=Calendar!$K$2,P3072&lt;EDATE(Calendar!$K$2,1),OR(Calendar!$K$4="*",N3072=Calendar!$K$4)),P3072*100+COUNTIFS($P$6:$P$3271,P3072,$Q$6:$Q$3271,"&lt;="&amp;Q3072,$N$6:$N$3271,Calendar!$K$4),"")</f>
        <v/>
      </c>
      <c r="W3072" s="44">
        <f>IF(AND(B3072=Queue!$C$4,OR(Queue!$K$4="*",N3072=Queue!$K$4)),Q3072,"")</f>
        <v/>
      </c>
    </row>
    <row r="3073">
      <c r="A3073" s="35">
        <f>IF(M3073="","",HYPERLINK("https://www.youtube.com/watch?v="&amp;M3073,"▶"))</f>
        <v/>
      </c>
      <c r="B3073" s="36">
        <f>IF(C3073&lt;&gt;"",C3073,IF(P3073&lt;=IFERROR(INDEX(tblChannels[Watched Through],MATCH(N3073,tblChannels[Channel ID],0)),0),"Watched","Unwatched"))</f>
        <v/>
      </c>
      <c r="C3073" s="37" t="n"/>
      <c r="D3073" s="38" t="n"/>
      <c r="E3073" s="39" t="n">
        <v>41361.90069444444</v>
      </c>
      <c r="F3073" s="47" t="inlineStr">
        <is>
          <t>Super Carlin Brothers</t>
        </is>
      </c>
      <c r="G3073" t="inlineStr">
        <is>
          <t>Anti-Bullying and The Golden Rule</t>
        </is>
      </c>
      <c r="H3073" s="41" t="n">
        <v>0.003368055555555556</v>
      </c>
      <c r="I3073" s="42" t="n">
        <v>44614</v>
      </c>
      <c r="J3073" s="42" t="n">
        <v>693</v>
      </c>
      <c r="K3073" s="42" t="n">
        <v>192</v>
      </c>
      <c r="L3073" s="43" t="n"/>
      <c r="M3073" s="44" t="n"/>
      <c r="N3073" s="44" t="inlineStr">
        <is>
          <t>UCKZo4N0lVPccBkSiuyVh4yg</t>
        </is>
      </c>
      <c r="O3073" s="45" t="n">
        <v>41362.06736111111</v>
      </c>
      <c r="P3073" s="46" t="n">
        <v>41361</v>
      </c>
      <c r="Q3073" s="44" t="n">
        <v>199</v>
      </c>
      <c r="R3073" s="44" t="inlineStr">
        <is>
          <t>No Video ID yet</t>
        </is>
      </c>
      <c r="S3073" s="46" t="n"/>
      <c r="T3073" s="46" t="n"/>
      <c r="U3073" s="44" t="n"/>
      <c r="V3073" s="44">
        <f>IF(AND(P3073&gt;=Calendar!$K$2,P3073&lt;EDATE(Calendar!$K$2,1),OR(Calendar!$K$4="*",N3073=Calendar!$K$4)),P3073*100+COUNTIFS($P$6:$P$3271,P3073,$Q$6:$Q$3271,"&lt;="&amp;Q3073,$N$6:$N$3271,Calendar!$K$4),"")</f>
        <v/>
      </c>
      <c r="W3073" s="44">
        <f>IF(AND(B3073=Queue!$C$4,OR(Queue!$K$4="*",N3073=Queue!$K$4)),Q3073,"")</f>
        <v/>
      </c>
    </row>
    <row r="3074">
      <c r="A3074" s="35">
        <f>IF(M3074="","",HYPERLINK("https://www.youtube.com/watch?v="&amp;M3074,"▶"))</f>
        <v/>
      </c>
      <c r="B3074" s="36">
        <f>IF(C3074&lt;&gt;"",C3074,IF(P3074&lt;=IFERROR(INDEX(tblChannels[Watched Through],MATCH(N3074,tblChannels[Channel ID],0)),0),"Watched","Unwatched"))</f>
        <v/>
      </c>
      <c r="C3074" s="37" t="n"/>
      <c r="D3074" s="38" t="n"/>
      <c r="E3074" s="39" t="n">
        <v>41360.89930555555</v>
      </c>
      <c r="F3074" s="47" t="inlineStr">
        <is>
          <t>Super Carlin Brothers</t>
        </is>
      </c>
      <c r="G3074" t="inlineStr">
        <is>
          <t>Movie Remakes and Country Music</t>
        </is>
      </c>
      <c r="H3074" s="41" t="n">
        <v>0.002719907407407407</v>
      </c>
      <c r="I3074" s="42" t="n">
        <v>12971</v>
      </c>
      <c r="J3074" s="42" t="n">
        <v>309</v>
      </c>
      <c r="K3074" s="42" t="n">
        <v>110</v>
      </c>
      <c r="L3074" s="43" t="n"/>
      <c r="M3074" s="44" t="n"/>
      <c r="N3074" s="44" t="inlineStr">
        <is>
          <t>UCKZo4N0lVPccBkSiuyVh4yg</t>
        </is>
      </c>
      <c r="O3074" s="45" t="n">
        <v>41361.06597222222</v>
      </c>
      <c r="P3074" s="46" t="n">
        <v>41360</v>
      </c>
      <c r="Q3074" s="44" t="n">
        <v>198</v>
      </c>
      <c r="R3074" s="44" t="inlineStr">
        <is>
          <t>No Video ID yet</t>
        </is>
      </c>
      <c r="S3074" s="46" t="n"/>
      <c r="T3074" s="46" t="n"/>
      <c r="U3074" s="44" t="n"/>
      <c r="V3074" s="44">
        <f>IF(AND(P3074&gt;=Calendar!$K$2,P3074&lt;EDATE(Calendar!$K$2,1),OR(Calendar!$K$4="*",N3074=Calendar!$K$4)),P3074*100+COUNTIFS($P$6:$P$3271,P3074,$Q$6:$Q$3271,"&lt;="&amp;Q3074,$N$6:$N$3271,Calendar!$K$4),"")</f>
        <v/>
      </c>
      <c r="W3074" s="44">
        <f>IF(AND(B3074=Queue!$C$4,OR(Queue!$K$4="*",N3074=Queue!$K$4)),Q3074,"")</f>
        <v/>
      </c>
    </row>
    <row r="3075">
      <c r="A3075" s="35">
        <f>IF(M3075="","",HYPERLINK("https://www.youtube.com/watch?v="&amp;M3075,"▶"))</f>
        <v/>
      </c>
      <c r="B3075" s="36">
        <f>IF(C3075&lt;&gt;"",C3075,IF(P3075&lt;=IFERROR(INDEX(tblChannels[Watched Through],MATCH(N3075,tblChannels[Channel ID],0)),0),"Watched","Unwatched"))</f>
        <v/>
      </c>
      <c r="C3075" s="37" t="n"/>
      <c r="D3075" s="38" t="n"/>
      <c r="E3075" s="39" t="n">
        <v>41359.97083333333</v>
      </c>
      <c r="F3075" s="47" t="inlineStr">
        <is>
          <t>Super Carlin Brothers</t>
        </is>
      </c>
      <c r="G3075" t="inlineStr">
        <is>
          <t>Books vs Movies</t>
        </is>
      </c>
      <c r="H3075" s="41" t="n">
        <v>0.003935185185185185</v>
      </c>
      <c r="I3075" s="42" t="n">
        <v>149608</v>
      </c>
      <c r="J3075" s="42" t="n">
        <v>2974</v>
      </c>
      <c r="K3075" s="42" t="n">
        <v>1560</v>
      </c>
      <c r="L3075" s="43" t="n"/>
      <c r="M3075" s="44" t="n"/>
      <c r="N3075" s="44" t="inlineStr">
        <is>
          <t>UCKZo4N0lVPccBkSiuyVh4yg</t>
        </is>
      </c>
      <c r="O3075" s="45" t="n">
        <v>41360.1375</v>
      </c>
      <c r="P3075" s="46" t="n">
        <v>41359</v>
      </c>
      <c r="Q3075" s="44" t="n">
        <v>197</v>
      </c>
      <c r="R3075" s="44" t="inlineStr">
        <is>
          <t>No Video ID yet</t>
        </is>
      </c>
      <c r="S3075" s="46" t="n"/>
      <c r="T3075" s="46" t="n"/>
      <c r="U3075" s="44" t="n"/>
      <c r="V3075" s="44">
        <f>IF(AND(P3075&gt;=Calendar!$K$2,P3075&lt;EDATE(Calendar!$K$2,1),OR(Calendar!$K$4="*",N3075=Calendar!$K$4)),P3075*100+COUNTIFS($P$6:$P$3271,P3075,$Q$6:$Q$3271,"&lt;="&amp;Q3075,$N$6:$N$3271,Calendar!$K$4),"")</f>
        <v/>
      </c>
      <c r="W3075" s="44">
        <f>IF(AND(B3075=Queue!$C$4,OR(Queue!$K$4="*",N3075=Queue!$K$4)),Q3075,"")</f>
        <v/>
      </c>
    </row>
    <row r="3076">
      <c r="A3076" s="35">
        <f>IF(M3076="","",HYPERLINK("https://www.youtube.com/watch?v="&amp;M3076,"▶"))</f>
        <v/>
      </c>
      <c r="B3076" s="36">
        <f>IF(C3076&lt;&gt;"",C3076,IF(P3076&lt;=IFERROR(INDEX(tblChannels[Watched Through],MATCH(N3076,tblChannels[Channel ID],0)),0),"Watched","Unwatched"))</f>
        <v/>
      </c>
      <c r="C3076" s="37" t="n"/>
      <c r="D3076" s="38" t="n"/>
      <c r="E3076" s="39" t="n">
        <v>41358.95555555556</v>
      </c>
      <c r="F3076" s="47" t="inlineStr">
        <is>
          <t>Super Carlin Brothers</t>
        </is>
      </c>
      <c r="G3076" t="inlineStr">
        <is>
          <t>Thoughts on Vlogging</t>
        </is>
      </c>
      <c r="H3076" s="41" t="n">
        <v>0.0025</v>
      </c>
      <c r="I3076" s="42" t="n">
        <v>9037</v>
      </c>
      <c r="J3076" s="42" t="n">
        <v>214</v>
      </c>
      <c r="K3076" s="42" t="n">
        <v>60</v>
      </c>
      <c r="L3076" s="43" t="n"/>
      <c r="M3076" s="44" t="n"/>
      <c r="N3076" s="44" t="inlineStr">
        <is>
          <t>UCKZo4N0lVPccBkSiuyVh4yg</t>
        </is>
      </c>
      <c r="O3076" s="45" t="n">
        <v>41359.12222222222</v>
      </c>
      <c r="P3076" s="46" t="n">
        <v>41358</v>
      </c>
      <c r="Q3076" s="44" t="n">
        <v>196</v>
      </c>
      <c r="R3076" s="44" t="inlineStr">
        <is>
          <t>No Video ID yet</t>
        </is>
      </c>
      <c r="S3076" s="46" t="n"/>
      <c r="T3076" s="46" t="n"/>
      <c r="U3076" s="44" t="n"/>
      <c r="V3076" s="44">
        <f>IF(AND(P3076&gt;=Calendar!$K$2,P3076&lt;EDATE(Calendar!$K$2,1),OR(Calendar!$K$4="*",N3076=Calendar!$K$4)),P3076*100+COUNTIFS($P$6:$P$3271,P3076,$Q$6:$Q$3271,"&lt;="&amp;Q3076,$N$6:$N$3271,Calendar!$K$4),"")</f>
        <v/>
      </c>
      <c r="W3076" s="44">
        <f>IF(AND(B3076=Queue!$C$4,OR(Queue!$K$4="*",N3076=Queue!$K$4)),Q3076,"")</f>
        <v/>
      </c>
    </row>
    <row r="3077">
      <c r="A3077" s="35">
        <f>IF(M3077="","",HYPERLINK("https://www.youtube.com/watch?v="&amp;M3077,"▶"))</f>
        <v/>
      </c>
      <c r="B3077" s="36">
        <f>IF(C3077&lt;&gt;"",C3077,IF(P3077&lt;=IFERROR(INDEX(tblChannels[Watched Through],MATCH(N3077,tblChannels[Channel ID],0)),0),"Watched","Unwatched"))</f>
        <v/>
      </c>
      <c r="C3077" s="37" t="n"/>
      <c r="D3077" s="38" t="n"/>
      <c r="E3077" s="39" t="n">
        <v>41355.95208333333</v>
      </c>
      <c r="F3077" s="47" t="inlineStr">
        <is>
          <t>Super Carlin Brothers</t>
        </is>
      </c>
      <c r="G3077" t="inlineStr">
        <is>
          <t>Agenda Setting</t>
        </is>
      </c>
      <c r="H3077" s="41" t="n">
        <v>0.003368055555555556</v>
      </c>
      <c r="I3077" s="42" t="n">
        <v>15108</v>
      </c>
      <c r="J3077" s="42" t="n">
        <v>333</v>
      </c>
      <c r="K3077" s="42" t="n">
        <v>58</v>
      </c>
      <c r="L3077" s="43" t="n"/>
      <c r="M3077" s="44" t="n"/>
      <c r="N3077" s="44" t="inlineStr">
        <is>
          <t>UCKZo4N0lVPccBkSiuyVh4yg</t>
        </is>
      </c>
      <c r="O3077" s="45" t="n">
        <v>41356.11875</v>
      </c>
      <c r="P3077" s="46" t="n">
        <v>41355</v>
      </c>
      <c r="Q3077" s="44" t="n">
        <v>195</v>
      </c>
      <c r="R3077" s="44" t="inlineStr">
        <is>
          <t>No Video ID yet</t>
        </is>
      </c>
      <c r="S3077" s="46" t="n"/>
      <c r="T3077" s="46" t="n"/>
      <c r="U3077" s="44" t="n"/>
      <c r="V3077" s="44">
        <f>IF(AND(P3077&gt;=Calendar!$K$2,P3077&lt;EDATE(Calendar!$K$2,1),OR(Calendar!$K$4="*",N3077=Calendar!$K$4)),P3077*100+COUNTIFS($P$6:$P$3271,P3077,$Q$6:$Q$3271,"&lt;="&amp;Q3077,$N$6:$N$3271,Calendar!$K$4),"")</f>
        <v/>
      </c>
      <c r="W3077" s="44">
        <f>IF(AND(B3077=Queue!$C$4,OR(Queue!$K$4="*",N3077=Queue!$K$4)),Q3077,"")</f>
        <v/>
      </c>
    </row>
    <row r="3078">
      <c r="A3078" s="35">
        <f>IF(M3078="","",HYPERLINK("https://www.youtube.com/watch?v="&amp;M3078,"▶"))</f>
        <v/>
      </c>
      <c r="B3078" s="36">
        <f>IF(C3078&lt;&gt;"",C3078,IF(P3078&lt;=IFERROR(INDEX(tblChannels[Watched Through],MATCH(N3078,tblChannels[Channel ID],0)),0),"Watched","Unwatched"))</f>
        <v/>
      </c>
      <c r="C3078" s="37" t="n"/>
      <c r="D3078" s="38" t="n"/>
      <c r="E3078" s="39" t="n">
        <v>41354.72916666666</v>
      </c>
      <c r="F3078" s="47" t="inlineStr">
        <is>
          <t>Super Carlin Brothers</t>
        </is>
      </c>
      <c r="G3078" t="inlineStr">
        <is>
          <t>Only if it fits in a Bomb Shelter</t>
        </is>
      </c>
      <c r="H3078" s="41" t="n">
        <v>0.002523148148148148</v>
      </c>
      <c r="I3078" s="42" t="n">
        <v>12990</v>
      </c>
      <c r="J3078" s="42" t="n">
        <v>326</v>
      </c>
      <c r="K3078" s="42" t="n">
        <v>72</v>
      </c>
      <c r="L3078" s="43" t="n"/>
      <c r="M3078" s="44" t="n"/>
      <c r="N3078" s="44" t="inlineStr">
        <is>
          <t>UCKZo4N0lVPccBkSiuyVh4yg</t>
        </is>
      </c>
      <c r="O3078" s="45" t="n">
        <v>41354.89583333334</v>
      </c>
      <c r="P3078" s="46" t="n">
        <v>41354</v>
      </c>
      <c r="Q3078" s="44" t="n">
        <v>194</v>
      </c>
      <c r="R3078" s="44" t="inlineStr">
        <is>
          <t>No Video ID yet</t>
        </is>
      </c>
      <c r="S3078" s="46" t="n"/>
      <c r="T3078" s="46" t="n"/>
      <c r="U3078" s="44" t="n"/>
      <c r="V3078" s="44">
        <f>IF(AND(P3078&gt;=Calendar!$K$2,P3078&lt;EDATE(Calendar!$K$2,1),OR(Calendar!$K$4="*",N3078=Calendar!$K$4)),P3078*100+COUNTIFS($P$6:$P$3271,P3078,$Q$6:$Q$3271,"&lt;="&amp;Q3078,$N$6:$N$3271,Calendar!$K$4),"")</f>
        <v/>
      </c>
      <c r="W3078" s="44">
        <f>IF(AND(B3078=Queue!$C$4,OR(Queue!$K$4="*",N3078=Queue!$K$4)),Q3078,"")</f>
        <v/>
      </c>
    </row>
    <row r="3079">
      <c r="A3079" s="35">
        <f>IF(M3079="","",HYPERLINK("https://www.youtube.com/watch?v="&amp;M3079,"▶"))</f>
        <v/>
      </c>
      <c r="B3079" s="36">
        <f>IF(C3079&lt;&gt;"",C3079,IF(P3079&lt;=IFERROR(INDEX(tblChannels[Watched Through],MATCH(N3079,tblChannels[Channel ID],0)),0),"Watched","Unwatched"))</f>
        <v/>
      </c>
      <c r="C3079" s="37" t="n"/>
      <c r="D3079" s="38" t="n"/>
      <c r="E3079" s="39" t="n">
        <v>41353.94375</v>
      </c>
      <c r="F3079" s="47" t="inlineStr">
        <is>
          <t>Super Carlin Brothers</t>
        </is>
      </c>
      <c r="G3079" t="inlineStr">
        <is>
          <t>The Truth About Heart Stones</t>
        </is>
      </c>
      <c r="H3079" s="41" t="n">
        <v>0.002164351851851852</v>
      </c>
      <c r="I3079" s="42" t="n">
        <v>17696</v>
      </c>
      <c r="J3079" s="42" t="n">
        <v>347</v>
      </c>
      <c r="K3079" s="42" t="n">
        <v>83</v>
      </c>
      <c r="L3079" s="43" t="n"/>
      <c r="M3079" s="44" t="n"/>
      <c r="N3079" s="44" t="inlineStr">
        <is>
          <t>UCKZo4N0lVPccBkSiuyVh4yg</t>
        </is>
      </c>
      <c r="O3079" s="45" t="n">
        <v>41354.11041666667</v>
      </c>
      <c r="P3079" s="46" t="n">
        <v>41353</v>
      </c>
      <c r="Q3079" s="44" t="n">
        <v>193</v>
      </c>
      <c r="R3079" s="44" t="inlineStr">
        <is>
          <t>No Video ID yet</t>
        </is>
      </c>
      <c r="S3079" s="46" t="n"/>
      <c r="T3079" s="46" t="n"/>
      <c r="U3079" s="44" t="n"/>
      <c r="V3079" s="44">
        <f>IF(AND(P3079&gt;=Calendar!$K$2,P3079&lt;EDATE(Calendar!$K$2,1),OR(Calendar!$K$4="*",N3079=Calendar!$K$4)),P3079*100+COUNTIFS($P$6:$P$3271,P3079,$Q$6:$Q$3271,"&lt;="&amp;Q3079,$N$6:$N$3271,Calendar!$K$4),"")</f>
        <v/>
      </c>
      <c r="W3079" s="44">
        <f>IF(AND(B3079=Queue!$C$4,OR(Queue!$K$4="*",N3079=Queue!$K$4)),Q3079,"")</f>
        <v/>
      </c>
    </row>
    <row r="3080">
      <c r="A3080" s="35">
        <f>IF(M3080="","",HYPERLINK("https://www.youtube.com/watch?v="&amp;M3080,"▶"))</f>
        <v/>
      </c>
      <c r="B3080" s="36">
        <f>IF(C3080&lt;&gt;"",C3080,IF(P3080&lt;=IFERROR(INDEX(tblChannels[Watched Through],MATCH(N3080,tblChannels[Channel ID],0)),0),"Watched","Unwatched"))</f>
        <v/>
      </c>
      <c r="C3080" s="37" t="n"/>
      <c r="D3080" s="38" t="n"/>
      <c r="E3080" s="39" t="n">
        <v>41352.86666666667</v>
      </c>
      <c r="F3080" s="47" t="inlineStr">
        <is>
          <t>Super Carlin Brothers</t>
        </is>
      </c>
      <c r="G3080" t="inlineStr">
        <is>
          <t>Fan Mail, Jellyfish, and Baller Status</t>
        </is>
      </c>
      <c r="H3080" s="41" t="n">
        <v>0.001793981481481481</v>
      </c>
      <c r="I3080" s="42" t="n">
        <v>9199</v>
      </c>
      <c r="J3080" s="42" t="n">
        <v>196</v>
      </c>
      <c r="K3080" s="42" t="n">
        <v>50</v>
      </c>
      <c r="L3080" s="43" t="n"/>
      <c r="M3080" s="44" t="n"/>
      <c r="N3080" s="44" t="inlineStr">
        <is>
          <t>UCKZo4N0lVPccBkSiuyVh4yg</t>
        </is>
      </c>
      <c r="O3080" s="45" t="n">
        <v>41353.03333333333</v>
      </c>
      <c r="P3080" s="46" t="n">
        <v>41352</v>
      </c>
      <c r="Q3080" s="44" t="n">
        <v>192</v>
      </c>
      <c r="R3080" s="44" t="inlineStr">
        <is>
          <t>No Video ID yet</t>
        </is>
      </c>
      <c r="S3080" s="46" t="n"/>
      <c r="T3080" s="46" t="n"/>
      <c r="U3080" s="44" t="n"/>
      <c r="V3080" s="44">
        <f>IF(AND(P3080&gt;=Calendar!$K$2,P3080&lt;EDATE(Calendar!$K$2,1),OR(Calendar!$K$4="*",N3080=Calendar!$K$4)),P3080*100+COUNTIFS($P$6:$P$3271,P3080,$Q$6:$Q$3271,"&lt;="&amp;Q3080,$N$6:$N$3271,Calendar!$K$4),"")</f>
        <v/>
      </c>
      <c r="W3080" s="44">
        <f>IF(AND(B3080=Queue!$C$4,OR(Queue!$K$4="*",N3080=Queue!$K$4)),Q3080,"")</f>
        <v/>
      </c>
    </row>
    <row r="3081">
      <c r="A3081" s="35">
        <f>IF(M3081="","",HYPERLINK("https://www.youtube.com/watch?v="&amp;M3081,"▶"))</f>
        <v/>
      </c>
      <c r="B3081" s="36">
        <f>IF(C3081&lt;&gt;"",C3081,IF(P3081&lt;=IFERROR(INDEX(tblChannels[Watched Through],MATCH(N3081,tblChannels[Channel ID],0)),0),"Watched","Unwatched"))</f>
        <v/>
      </c>
      <c r="C3081" s="37" t="n"/>
      <c r="D3081" s="38" t="n"/>
      <c r="E3081" s="39" t="n">
        <v>41351.96597222222</v>
      </c>
      <c r="F3081" s="47" t="inlineStr">
        <is>
          <t>Super Carlin Brothers</t>
        </is>
      </c>
      <c r="G3081" t="inlineStr">
        <is>
          <t>Half Marathon and Road Trip Food</t>
        </is>
      </c>
      <c r="H3081" s="41" t="n">
        <v>0.002905092592592593</v>
      </c>
      <c r="I3081" s="42" t="n">
        <v>15693</v>
      </c>
      <c r="J3081" s="42" t="n">
        <v>369</v>
      </c>
      <c r="K3081" s="42" t="n">
        <v>63</v>
      </c>
      <c r="L3081" s="43" t="n"/>
      <c r="M3081" s="44" t="n"/>
      <c r="N3081" s="44" t="inlineStr">
        <is>
          <t>UCKZo4N0lVPccBkSiuyVh4yg</t>
        </is>
      </c>
      <c r="O3081" s="45" t="n">
        <v>41352.13263888889</v>
      </c>
      <c r="P3081" s="46" t="n">
        <v>41351</v>
      </c>
      <c r="Q3081" s="44" t="n">
        <v>191</v>
      </c>
      <c r="R3081" s="44" t="inlineStr">
        <is>
          <t>No Video ID yet</t>
        </is>
      </c>
      <c r="S3081" s="46" t="n"/>
      <c r="T3081" s="46" t="n"/>
      <c r="U3081" s="44" t="n"/>
      <c r="V3081" s="44">
        <f>IF(AND(P3081&gt;=Calendar!$K$2,P3081&lt;EDATE(Calendar!$K$2,1),OR(Calendar!$K$4="*",N3081=Calendar!$K$4)),P3081*100+COUNTIFS($P$6:$P$3271,P3081,$Q$6:$Q$3271,"&lt;="&amp;Q3081,$N$6:$N$3271,Calendar!$K$4),"")</f>
        <v/>
      </c>
      <c r="W3081" s="44">
        <f>IF(AND(B3081=Queue!$C$4,OR(Queue!$K$4="*",N3081=Queue!$K$4)),Q3081,"")</f>
        <v/>
      </c>
    </row>
    <row r="3082">
      <c r="A3082" s="35">
        <f>IF(M3082="","",HYPERLINK("https://www.youtube.com/watch?v="&amp;M3082,"▶"))</f>
        <v/>
      </c>
      <c r="B3082" s="36">
        <f>IF(C3082&lt;&gt;"",C3082,IF(P3082&lt;=IFERROR(INDEX(tblChannels[Watched Through],MATCH(N3082,tblChannels[Channel ID],0)),0),"Watched","Unwatched"))</f>
        <v/>
      </c>
      <c r="C3082" s="37" t="n"/>
      <c r="D3082" s="38" t="n"/>
      <c r="E3082" s="39" t="n">
        <v>41348.95416666667</v>
      </c>
      <c r="F3082" s="47" t="inlineStr">
        <is>
          <t>Super Carlin Brothers</t>
        </is>
      </c>
      <c r="G3082" t="inlineStr">
        <is>
          <t>Best of Ben SCB</t>
        </is>
      </c>
      <c r="H3082" s="41" t="n">
        <v>0.003310185185185185</v>
      </c>
      <c r="I3082" s="42" t="n">
        <v>15988</v>
      </c>
      <c r="J3082" s="42" t="n">
        <v>437</v>
      </c>
      <c r="K3082" s="42" t="n">
        <v>57</v>
      </c>
      <c r="L3082" s="43" t="n"/>
      <c r="M3082" s="44" t="n"/>
      <c r="N3082" s="44" t="inlineStr">
        <is>
          <t>UCKZo4N0lVPccBkSiuyVh4yg</t>
        </is>
      </c>
      <c r="O3082" s="45" t="n">
        <v>41349.12083333333</v>
      </c>
      <c r="P3082" s="46" t="n">
        <v>41348</v>
      </c>
      <c r="Q3082" s="44" t="n">
        <v>190</v>
      </c>
      <c r="R3082" s="44" t="inlineStr">
        <is>
          <t>No Video ID yet</t>
        </is>
      </c>
      <c r="S3082" s="46" t="n"/>
      <c r="T3082" s="46" t="n"/>
      <c r="U3082" s="44" t="n"/>
      <c r="V3082" s="44">
        <f>IF(AND(P3082&gt;=Calendar!$K$2,P3082&lt;EDATE(Calendar!$K$2,1),OR(Calendar!$K$4="*",N3082=Calendar!$K$4)),P3082*100+COUNTIFS($P$6:$P$3271,P3082,$Q$6:$Q$3271,"&lt;="&amp;Q3082,$N$6:$N$3271,Calendar!$K$4),"")</f>
        <v/>
      </c>
      <c r="W3082" s="44">
        <f>IF(AND(B3082=Queue!$C$4,OR(Queue!$K$4="*",N3082=Queue!$K$4)),Q3082,"")</f>
        <v/>
      </c>
    </row>
    <row r="3083">
      <c r="A3083" s="35">
        <f>IF(M3083="","",HYPERLINK("https://www.youtube.com/watch?v="&amp;M3083,"▶"))</f>
        <v/>
      </c>
      <c r="B3083" s="36">
        <f>IF(C3083&lt;&gt;"",C3083,IF(P3083&lt;=IFERROR(INDEX(tblChannels[Watched Through],MATCH(N3083,tblChannels[Channel ID],0)),0),"Watched","Unwatched"))</f>
        <v/>
      </c>
      <c r="C3083" s="37" t="n"/>
      <c r="D3083" s="38" t="n"/>
      <c r="E3083" s="39" t="n">
        <v>41347.91736111111</v>
      </c>
      <c r="F3083" s="47" t="inlineStr">
        <is>
          <t>Super Carlin Brothers</t>
        </is>
      </c>
      <c r="G3083" t="inlineStr">
        <is>
          <t>Most Random Number 1-100</t>
        </is>
      </c>
      <c r="H3083" s="41" t="n">
        <v>0.002951388888888889</v>
      </c>
      <c r="I3083" s="42" t="n">
        <v>99023</v>
      </c>
      <c r="J3083" s="42" t="n">
        <v>2056</v>
      </c>
      <c r="K3083" s="42" t="n">
        <v>5087</v>
      </c>
      <c r="L3083" s="43" t="n"/>
      <c r="M3083" s="44" t="n"/>
      <c r="N3083" s="44" t="inlineStr">
        <is>
          <t>UCKZo4N0lVPccBkSiuyVh4yg</t>
        </is>
      </c>
      <c r="O3083" s="45" t="n">
        <v>41348.08402777778</v>
      </c>
      <c r="P3083" s="46" t="n">
        <v>41347</v>
      </c>
      <c r="Q3083" s="44" t="n">
        <v>189</v>
      </c>
      <c r="R3083" s="44" t="inlineStr">
        <is>
          <t>No Video ID yet</t>
        </is>
      </c>
      <c r="S3083" s="46" t="n"/>
      <c r="T3083" s="46" t="n"/>
      <c r="U3083" s="44" t="n"/>
      <c r="V3083" s="44">
        <f>IF(AND(P3083&gt;=Calendar!$K$2,P3083&lt;EDATE(Calendar!$K$2,1),OR(Calendar!$K$4="*",N3083=Calendar!$K$4)),P3083*100+COUNTIFS($P$6:$P$3271,P3083,$Q$6:$Q$3271,"&lt;="&amp;Q3083,$N$6:$N$3271,Calendar!$K$4),"")</f>
        <v/>
      </c>
      <c r="W3083" s="44">
        <f>IF(AND(B3083=Queue!$C$4,OR(Queue!$K$4="*",N3083=Queue!$K$4)),Q3083,"")</f>
        <v/>
      </c>
    </row>
    <row r="3084">
      <c r="A3084" s="35">
        <f>IF(M3084="","",HYPERLINK("https://www.youtube.com/watch?v="&amp;M3084,"▶"))</f>
        <v/>
      </c>
      <c r="B3084" s="36">
        <f>IF(C3084&lt;&gt;"",C3084,IF(P3084&lt;=IFERROR(INDEX(tblChannels[Watched Through],MATCH(N3084,tblChannels[Channel ID],0)),0),"Watched","Unwatched"))</f>
        <v/>
      </c>
      <c r="C3084" s="37" t="n"/>
      <c r="D3084" s="38" t="n"/>
      <c r="E3084" s="39" t="n">
        <v>41346.90486111111</v>
      </c>
      <c r="F3084" s="47" t="inlineStr">
        <is>
          <t>Super Carlin Brothers</t>
        </is>
      </c>
      <c r="G3084" t="inlineStr">
        <is>
          <t>Being Yourself</t>
        </is>
      </c>
      <c r="H3084" s="41" t="n">
        <v>0.002048611111111111</v>
      </c>
      <c r="I3084" s="42" t="n">
        <v>9273</v>
      </c>
      <c r="J3084" s="42" t="n">
        <v>216</v>
      </c>
      <c r="K3084" s="42" t="n">
        <v>47</v>
      </c>
      <c r="L3084" s="43" t="n"/>
      <c r="M3084" s="44" t="n"/>
      <c r="N3084" s="44" t="inlineStr">
        <is>
          <t>UCKZo4N0lVPccBkSiuyVh4yg</t>
        </is>
      </c>
      <c r="O3084" s="45" t="n">
        <v>41347.07152777778</v>
      </c>
      <c r="P3084" s="46" t="n">
        <v>41346</v>
      </c>
      <c r="Q3084" s="44" t="n">
        <v>188</v>
      </c>
      <c r="R3084" s="44" t="inlineStr">
        <is>
          <t>No Video ID yet</t>
        </is>
      </c>
      <c r="S3084" s="46" t="n"/>
      <c r="T3084" s="46" t="n"/>
      <c r="U3084" s="44" t="n"/>
      <c r="V3084" s="44">
        <f>IF(AND(P3084&gt;=Calendar!$K$2,P3084&lt;EDATE(Calendar!$K$2,1),OR(Calendar!$K$4="*",N3084=Calendar!$K$4)),P3084*100+COUNTIFS($P$6:$P$3271,P3084,$Q$6:$Q$3271,"&lt;="&amp;Q3084,$N$6:$N$3271,Calendar!$K$4),"")</f>
        <v/>
      </c>
      <c r="W3084" s="44">
        <f>IF(AND(B3084=Queue!$C$4,OR(Queue!$K$4="*",N3084=Queue!$K$4)),Q3084,"")</f>
        <v/>
      </c>
    </row>
    <row r="3085">
      <c r="A3085" s="35">
        <f>IF(M3085="","",HYPERLINK("https://www.youtube.com/watch?v="&amp;M3085,"▶"))</f>
        <v/>
      </c>
      <c r="B3085" s="36">
        <f>IF(C3085&lt;&gt;"",C3085,IF(P3085&lt;=IFERROR(INDEX(tblChannels[Watched Through],MATCH(N3085,tblChannels[Channel ID],0)),0),"Watched","Unwatched"))</f>
        <v/>
      </c>
      <c r="C3085" s="37" t="n"/>
      <c r="D3085" s="38" t="n"/>
      <c r="E3085" s="39" t="n">
        <v>41345.86666666667</v>
      </c>
      <c r="F3085" s="47" t="inlineStr">
        <is>
          <t>Super Carlin Brothers</t>
        </is>
      </c>
      <c r="G3085" t="inlineStr">
        <is>
          <t>Candy Wars! -  Feat. Panikann</t>
        </is>
      </c>
      <c r="H3085" s="41" t="n">
        <v>0.002615740740740741</v>
      </c>
      <c r="I3085" s="42" t="n">
        <v>31391</v>
      </c>
      <c r="J3085" s="42" t="n">
        <v>692</v>
      </c>
      <c r="K3085" s="42" t="n">
        <v>86</v>
      </c>
      <c r="L3085" s="43" t="n"/>
      <c r="M3085" s="44" t="n"/>
      <c r="N3085" s="44" t="inlineStr">
        <is>
          <t>UCKZo4N0lVPccBkSiuyVh4yg</t>
        </is>
      </c>
      <c r="O3085" s="45" t="n">
        <v>41346.03333333333</v>
      </c>
      <c r="P3085" s="46" t="n">
        <v>41345</v>
      </c>
      <c r="Q3085" s="44" t="n">
        <v>187</v>
      </c>
      <c r="R3085" s="44" t="inlineStr">
        <is>
          <t>No Video ID yet</t>
        </is>
      </c>
      <c r="S3085" s="46" t="n"/>
      <c r="T3085" s="46" t="n"/>
      <c r="U3085" s="44" t="n"/>
      <c r="V3085" s="44">
        <f>IF(AND(P3085&gt;=Calendar!$K$2,P3085&lt;EDATE(Calendar!$K$2,1),OR(Calendar!$K$4="*",N3085=Calendar!$K$4)),P3085*100+COUNTIFS($P$6:$P$3271,P3085,$Q$6:$Q$3271,"&lt;="&amp;Q3085,$N$6:$N$3271,Calendar!$K$4),"")</f>
        <v/>
      </c>
      <c r="W3085" s="44">
        <f>IF(AND(B3085=Queue!$C$4,OR(Queue!$K$4="*",N3085=Queue!$K$4)),Q3085,"")</f>
        <v/>
      </c>
    </row>
    <row r="3086">
      <c r="A3086" s="35">
        <f>IF(M3086="","",HYPERLINK("https://www.youtube.com/watch?v="&amp;M3086,"▶"))</f>
        <v/>
      </c>
      <c r="B3086" s="36">
        <f>IF(C3086&lt;&gt;"",C3086,IF(P3086&lt;=IFERROR(INDEX(tblChannels[Watched Through],MATCH(N3086,tblChannels[Channel ID],0)),0),"Watched","Unwatched"))</f>
        <v/>
      </c>
      <c r="C3086" s="37" t="n"/>
      <c r="D3086" s="38" t="n"/>
      <c r="E3086" s="39" t="n">
        <v>41344.90138888889</v>
      </c>
      <c r="F3086" s="47" t="inlineStr">
        <is>
          <t>Super Carlin Brothers</t>
        </is>
      </c>
      <c r="G3086" t="inlineStr">
        <is>
          <t>Just Noticeable Difference</t>
        </is>
      </c>
      <c r="H3086" s="41" t="n">
        <v>0.002083333333333333</v>
      </c>
      <c r="I3086" s="42" t="n">
        <v>16985</v>
      </c>
      <c r="J3086" s="42" t="n">
        <v>295</v>
      </c>
      <c r="K3086" s="42" t="n">
        <v>49</v>
      </c>
      <c r="L3086" s="43" t="n"/>
      <c r="M3086" s="44" t="n"/>
      <c r="N3086" s="44" t="inlineStr">
        <is>
          <t>UCKZo4N0lVPccBkSiuyVh4yg</t>
        </is>
      </c>
      <c r="O3086" s="45" t="n">
        <v>41345.06805555556</v>
      </c>
      <c r="P3086" s="46" t="n">
        <v>41344</v>
      </c>
      <c r="Q3086" s="44" t="n">
        <v>186</v>
      </c>
      <c r="R3086" s="44" t="inlineStr">
        <is>
          <t>No Video ID yet</t>
        </is>
      </c>
      <c r="S3086" s="46" t="n"/>
      <c r="T3086" s="46" t="n"/>
      <c r="U3086" s="44" t="n"/>
      <c r="V3086" s="44">
        <f>IF(AND(P3086&gt;=Calendar!$K$2,P3086&lt;EDATE(Calendar!$K$2,1),OR(Calendar!$K$4="*",N3086=Calendar!$K$4)),P3086*100+COUNTIFS($P$6:$P$3271,P3086,$Q$6:$Q$3271,"&lt;="&amp;Q3086,$N$6:$N$3271,Calendar!$K$4),"")</f>
        <v/>
      </c>
      <c r="W3086" s="44">
        <f>IF(AND(B3086=Queue!$C$4,OR(Queue!$K$4="*",N3086=Queue!$K$4)),Q3086,"")</f>
        <v/>
      </c>
    </row>
    <row r="3087">
      <c r="A3087" s="35">
        <f>IF(M3087="","",HYPERLINK("https://www.youtube.com/watch?v="&amp;M3087,"▶"))</f>
        <v/>
      </c>
      <c r="B3087" s="36">
        <f>IF(C3087&lt;&gt;"",C3087,IF(P3087&lt;=IFERROR(INDEX(tblChannels[Watched Through],MATCH(N3087,tblChannels[Channel ID],0)),0),"Watched","Unwatched"))</f>
        <v/>
      </c>
      <c r="C3087" s="37" t="n"/>
      <c r="D3087" s="38" t="n"/>
      <c r="E3087" s="39" t="n">
        <v>41341.86319444444</v>
      </c>
      <c r="F3087" s="47" t="inlineStr">
        <is>
          <t>Super Carlin Brothers</t>
        </is>
      </c>
      <c r="G3087" t="inlineStr">
        <is>
          <t>NOT A Small World Afterall</t>
        </is>
      </c>
      <c r="H3087" s="41" t="n">
        <v>0.00287037037037037</v>
      </c>
      <c r="I3087" s="42" t="n">
        <v>32713</v>
      </c>
      <c r="J3087" s="42" t="n">
        <v>662</v>
      </c>
      <c r="K3087" s="42" t="n">
        <v>186</v>
      </c>
      <c r="L3087" s="43" t="n"/>
      <c r="M3087" s="44" t="n"/>
      <c r="N3087" s="44" t="inlineStr">
        <is>
          <t>UCKZo4N0lVPccBkSiuyVh4yg</t>
        </is>
      </c>
      <c r="O3087" s="45" t="n">
        <v>41342.07152777778</v>
      </c>
      <c r="P3087" s="46" t="n">
        <v>41341</v>
      </c>
      <c r="Q3087" s="44" t="n">
        <v>185</v>
      </c>
      <c r="R3087" s="44" t="inlineStr">
        <is>
          <t>No Video ID yet</t>
        </is>
      </c>
      <c r="S3087" s="46" t="n"/>
      <c r="T3087" s="46" t="n"/>
      <c r="U3087" s="44" t="n"/>
      <c r="V3087" s="44">
        <f>IF(AND(P3087&gt;=Calendar!$K$2,P3087&lt;EDATE(Calendar!$K$2,1),OR(Calendar!$K$4="*",N3087=Calendar!$K$4)),P3087*100+COUNTIFS($P$6:$P$3271,P3087,$Q$6:$Q$3271,"&lt;="&amp;Q3087,$N$6:$N$3271,Calendar!$K$4),"")</f>
        <v/>
      </c>
      <c r="W3087" s="44">
        <f>IF(AND(B3087=Queue!$C$4,OR(Queue!$K$4="*",N3087=Queue!$K$4)),Q3087,"")</f>
        <v/>
      </c>
    </row>
    <row r="3088">
      <c r="A3088" s="35">
        <f>IF(M3088="","",HYPERLINK("https://www.youtube.com/watch?v="&amp;M3088,"▶"))</f>
        <v/>
      </c>
      <c r="B3088" s="36">
        <f>IF(C3088&lt;&gt;"",C3088,IF(P3088&lt;=IFERROR(INDEX(tblChannels[Watched Through],MATCH(N3088,tblChannels[Channel ID],0)),0),"Watched","Unwatched"))</f>
        <v/>
      </c>
      <c r="C3088" s="37" t="n"/>
      <c r="D3088" s="38" t="n"/>
      <c r="E3088" s="39" t="n">
        <v>41341.00208333333</v>
      </c>
      <c r="F3088" s="47" t="inlineStr">
        <is>
          <t>Super Carlin Brothers</t>
        </is>
      </c>
      <c r="G3088" t="inlineStr">
        <is>
          <t>10,000 Hour Rule</t>
        </is>
      </c>
      <c r="H3088" s="41" t="n">
        <v>0.002743055555555555</v>
      </c>
      <c r="I3088" s="42" t="n">
        <v>14079</v>
      </c>
      <c r="J3088" s="42" t="n">
        <v>305</v>
      </c>
      <c r="K3088" s="42" t="n">
        <v>78</v>
      </c>
      <c r="L3088" s="43" t="n"/>
      <c r="M3088" s="44" t="n"/>
      <c r="N3088" s="44" t="inlineStr">
        <is>
          <t>UCKZo4N0lVPccBkSiuyVh4yg</t>
        </is>
      </c>
      <c r="O3088" s="45" t="n">
        <v>41341.21041666667</v>
      </c>
      <c r="P3088" s="46" t="n">
        <v>41341</v>
      </c>
      <c r="Q3088" s="44" t="n">
        <v>184</v>
      </c>
      <c r="R3088" s="44" t="inlineStr">
        <is>
          <t>No Video ID yet</t>
        </is>
      </c>
      <c r="S3088" s="46" t="n"/>
      <c r="T3088" s="46" t="n"/>
      <c r="U3088" s="44" t="n"/>
      <c r="V3088" s="44">
        <f>IF(AND(P3088&gt;=Calendar!$K$2,P3088&lt;EDATE(Calendar!$K$2,1),OR(Calendar!$K$4="*",N3088=Calendar!$K$4)),P3088*100+COUNTIFS($P$6:$P$3271,P3088,$Q$6:$Q$3271,"&lt;="&amp;Q3088,$N$6:$N$3271,Calendar!$K$4),"")</f>
        <v/>
      </c>
      <c r="W3088" s="44">
        <f>IF(AND(B3088=Queue!$C$4,OR(Queue!$K$4="*",N3088=Queue!$K$4)),Q3088,"")</f>
        <v/>
      </c>
    </row>
    <row r="3089">
      <c r="A3089" s="35">
        <f>IF(M3089="","",HYPERLINK("https://www.youtube.com/watch?v="&amp;M3089,"▶"))</f>
        <v/>
      </c>
      <c r="B3089" s="36">
        <f>IF(C3089&lt;&gt;"",C3089,IF(P3089&lt;=IFERROR(INDEX(tblChannels[Watched Through],MATCH(N3089,tblChannels[Channel ID],0)),0),"Watched","Unwatched"))</f>
        <v/>
      </c>
      <c r="C3089" s="37" t="n"/>
      <c r="D3089" s="38" t="n"/>
      <c r="E3089" s="39" t="n">
        <v>41339.88402777778</v>
      </c>
      <c r="F3089" s="47" t="inlineStr">
        <is>
          <t>Super Carlin Brothers</t>
        </is>
      </c>
      <c r="G3089" t="inlineStr">
        <is>
          <t>Maximize the Experience!</t>
        </is>
      </c>
      <c r="H3089" s="41" t="n">
        <v>0.003240740740740741</v>
      </c>
      <c r="I3089" s="42" t="n">
        <v>22813</v>
      </c>
      <c r="J3089" s="42" t="n">
        <v>480</v>
      </c>
      <c r="K3089" s="42" t="n">
        <v>82</v>
      </c>
      <c r="L3089" s="43" t="n"/>
      <c r="M3089" s="44" t="n"/>
      <c r="N3089" s="44" t="inlineStr">
        <is>
          <t>UCKZo4N0lVPccBkSiuyVh4yg</t>
        </is>
      </c>
      <c r="O3089" s="45" t="n">
        <v>41340.09236111111</v>
      </c>
      <c r="P3089" s="46" t="n">
        <v>41339</v>
      </c>
      <c r="Q3089" s="44" t="n">
        <v>183</v>
      </c>
      <c r="R3089" s="44" t="inlineStr">
        <is>
          <t>No Video ID yet</t>
        </is>
      </c>
      <c r="S3089" s="46" t="n"/>
      <c r="T3089" s="46" t="n"/>
      <c r="U3089" s="44" t="n"/>
      <c r="V3089" s="44">
        <f>IF(AND(P3089&gt;=Calendar!$K$2,P3089&lt;EDATE(Calendar!$K$2,1),OR(Calendar!$K$4="*",N3089=Calendar!$K$4)),P3089*100+COUNTIFS($P$6:$P$3271,P3089,$Q$6:$Q$3271,"&lt;="&amp;Q3089,$N$6:$N$3271,Calendar!$K$4),"")</f>
        <v/>
      </c>
      <c r="W3089" s="44">
        <f>IF(AND(B3089=Queue!$C$4,OR(Queue!$K$4="*",N3089=Queue!$K$4)),Q3089,"")</f>
        <v/>
      </c>
    </row>
    <row r="3090">
      <c r="A3090" s="35">
        <f>IF(M3090="","",HYPERLINK("https://www.youtube.com/watch?v="&amp;M3090,"▶"))</f>
        <v/>
      </c>
      <c r="B3090" s="36">
        <f>IF(C3090&lt;&gt;"",C3090,IF(P3090&lt;=IFERROR(INDEX(tblChannels[Watched Through],MATCH(N3090,tblChannels[Channel ID],0)),0),"Watched","Unwatched"))</f>
        <v/>
      </c>
      <c r="C3090" s="37" t="n"/>
      <c r="D3090" s="38" t="n"/>
      <c r="E3090" s="39" t="n">
        <v>41338.99652777778</v>
      </c>
      <c r="F3090" s="47" t="inlineStr">
        <is>
          <t>Super Carlin Brothers</t>
        </is>
      </c>
      <c r="G3090" t="inlineStr">
        <is>
          <t>Coffee Beans and Tennis Shoes</t>
        </is>
      </c>
      <c r="H3090" s="41" t="n">
        <v>0.002418981481481482</v>
      </c>
      <c r="I3090" s="42" t="n">
        <v>10849</v>
      </c>
      <c r="J3090" s="42" t="n">
        <v>222</v>
      </c>
      <c r="K3090" s="42" t="n">
        <v>68</v>
      </c>
      <c r="L3090" s="43" t="n"/>
      <c r="M3090" s="44" t="n"/>
      <c r="N3090" s="44" t="inlineStr">
        <is>
          <t>UCKZo4N0lVPccBkSiuyVh4yg</t>
        </is>
      </c>
      <c r="O3090" s="45" t="n">
        <v>41339.20486111111</v>
      </c>
      <c r="P3090" s="46" t="n">
        <v>41338</v>
      </c>
      <c r="Q3090" s="44" t="n">
        <v>182</v>
      </c>
      <c r="R3090" s="44" t="inlineStr">
        <is>
          <t>No Video ID yet</t>
        </is>
      </c>
      <c r="S3090" s="46" t="n"/>
      <c r="T3090" s="46" t="n"/>
      <c r="U3090" s="44" t="n"/>
      <c r="V3090" s="44">
        <f>IF(AND(P3090&gt;=Calendar!$K$2,P3090&lt;EDATE(Calendar!$K$2,1),OR(Calendar!$K$4="*",N3090=Calendar!$K$4)),P3090*100+COUNTIFS($P$6:$P$3271,P3090,$Q$6:$Q$3271,"&lt;="&amp;Q3090,$N$6:$N$3271,Calendar!$K$4),"")</f>
        <v/>
      </c>
      <c r="W3090" s="44">
        <f>IF(AND(B3090=Queue!$C$4,OR(Queue!$K$4="*",N3090=Queue!$K$4)),Q3090,"")</f>
        <v/>
      </c>
    </row>
    <row r="3091">
      <c r="A3091" s="35">
        <f>IF(M3091="","",HYPERLINK("https://www.youtube.com/watch?v="&amp;M3091,"▶"))</f>
        <v/>
      </c>
      <c r="B3091" s="36">
        <f>IF(C3091&lt;&gt;"",C3091,IF(P3091&lt;=IFERROR(INDEX(tblChannels[Watched Through],MATCH(N3091,tblChannels[Channel ID],0)),0),"Watched","Unwatched"))</f>
        <v/>
      </c>
      <c r="C3091" s="37" t="n"/>
      <c r="D3091" s="38" t="n"/>
      <c r="E3091" s="39" t="n">
        <v>41337.94375</v>
      </c>
      <c r="F3091" s="47" t="inlineStr">
        <is>
          <t>Super Carlin Brothers</t>
        </is>
      </c>
      <c r="G3091" t="inlineStr">
        <is>
          <t>SNOWMAGEDDON!</t>
        </is>
      </c>
      <c r="H3091" s="41" t="n">
        <v>0.002835648148148148</v>
      </c>
      <c r="I3091" s="42" t="n">
        <v>13852</v>
      </c>
      <c r="J3091" s="42" t="n">
        <v>320</v>
      </c>
      <c r="K3091" s="42" t="n">
        <v>205</v>
      </c>
      <c r="L3091" s="43" t="n"/>
      <c r="M3091" s="44" t="n"/>
      <c r="N3091" s="44" t="inlineStr">
        <is>
          <t>UCKZo4N0lVPccBkSiuyVh4yg</t>
        </is>
      </c>
      <c r="O3091" s="45" t="n">
        <v>41338.15208333333</v>
      </c>
      <c r="P3091" s="46" t="n">
        <v>41337</v>
      </c>
      <c r="Q3091" s="44" t="n">
        <v>181</v>
      </c>
      <c r="R3091" s="44" t="inlineStr">
        <is>
          <t>No Video ID yet</t>
        </is>
      </c>
      <c r="S3091" s="46" t="n"/>
      <c r="T3091" s="46" t="n"/>
      <c r="U3091" s="44" t="n"/>
      <c r="V3091" s="44">
        <f>IF(AND(P3091&gt;=Calendar!$K$2,P3091&lt;EDATE(Calendar!$K$2,1),OR(Calendar!$K$4="*",N3091=Calendar!$K$4)),P3091*100+COUNTIFS($P$6:$P$3271,P3091,$Q$6:$Q$3271,"&lt;="&amp;Q3091,$N$6:$N$3271,Calendar!$K$4),"")</f>
        <v/>
      </c>
      <c r="W3091" s="44">
        <f>IF(AND(B3091=Queue!$C$4,OR(Queue!$K$4="*",N3091=Queue!$K$4)),Q3091,"")</f>
        <v/>
      </c>
    </row>
    <row r="3092">
      <c r="A3092" s="35">
        <f>IF(M3092="","",HYPERLINK("https://www.youtube.com/watch?v="&amp;M3092,"▶"))</f>
        <v/>
      </c>
      <c r="B3092" s="36">
        <f>IF(C3092&lt;&gt;"",C3092,IF(P3092&lt;=IFERROR(INDEX(tblChannels[Watched Through],MATCH(N3092,tblChannels[Channel ID],0)),0),"Watched","Unwatched"))</f>
        <v/>
      </c>
      <c r="C3092" s="37" t="n"/>
      <c r="D3092" s="38" t="n"/>
      <c r="E3092" s="39" t="n">
        <v>41334.99236111111</v>
      </c>
      <c r="F3092" s="47" t="inlineStr">
        <is>
          <t>Super Carlin Brothers</t>
        </is>
      </c>
      <c r="G3092" t="inlineStr">
        <is>
          <t>Coral Fragging and Puppy Naming</t>
        </is>
      </c>
      <c r="H3092" s="41" t="n">
        <v>0.002662037037037037</v>
      </c>
      <c r="I3092" s="42" t="n">
        <v>10596</v>
      </c>
      <c r="J3092" s="42" t="n">
        <v>294</v>
      </c>
      <c r="K3092" s="42" t="n">
        <v>77</v>
      </c>
      <c r="L3092" s="43" t="n"/>
      <c r="M3092" s="44" t="n"/>
      <c r="N3092" s="44" t="inlineStr">
        <is>
          <t>UCKZo4N0lVPccBkSiuyVh4yg</t>
        </is>
      </c>
      <c r="O3092" s="45" t="n">
        <v>41335.20069444444</v>
      </c>
      <c r="P3092" s="46" t="n">
        <v>41334</v>
      </c>
      <c r="Q3092" s="44" t="n">
        <v>180</v>
      </c>
      <c r="R3092" s="44" t="inlineStr">
        <is>
          <t>No Video ID yet</t>
        </is>
      </c>
      <c r="S3092" s="46" t="n"/>
      <c r="T3092" s="46" t="n"/>
      <c r="U3092" s="44" t="n"/>
      <c r="V3092" s="44">
        <f>IF(AND(P3092&gt;=Calendar!$K$2,P3092&lt;EDATE(Calendar!$K$2,1),OR(Calendar!$K$4="*",N3092=Calendar!$K$4)),P3092*100+COUNTIFS($P$6:$P$3271,P3092,$Q$6:$Q$3271,"&lt;="&amp;Q3092,$N$6:$N$3271,Calendar!$K$4),"")</f>
        <v/>
      </c>
      <c r="W3092" s="44">
        <f>IF(AND(B3092=Queue!$C$4,OR(Queue!$K$4="*",N3092=Queue!$K$4)),Q3092,"")</f>
        <v/>
      </c>
    </row>
    <row r="3093">
      <c r="A3093" s="35">
        <f>IF(M3093="","",HYPERLINK("https://www.youtube.com/watch?v="&amp;M3093,"▶"))</f>
        <v/>
      </c>
      <c r="B3093" s="36">
        <f>IF(C3093&lt;&gt;"",C3093,IF(P3093&lt;=IFERROR(INDEX(tblChannels[Watched Through],MATCH(N3093,tblChannels[Channel ID],0)),0),"Watched","Unwatched"))</f>
        <v/>
      </c>
      <c r="C3093" s="37" t="n"/>
      <c r="D3093" s="38" t="n"/>
      <c r="E3093" s="39" t="n">
        <v>41333.975</v>
      </c>
      <c r="F3093" s="47" t="inlineStr">
        <is>
          <t>Super Carlin Brothers</t>
        </is>
      </c>
      <c r="G3093" t="inlineStr">
        <is>
          <t>Getting Physical... Therapy</t>
        </is>
      </c>
      <c r="H3093" s="41" t="n">
        <v>0.002453703703703704</v>
      </c>
      <c r="I3093" s="42" t="n">
        <v>21380</v>
      </c>
      <c r="J3093" s="42" t="n">
        <v>692</v>
      </c>
      <c r="K3093" s="42" t="n">
        <v>114</v>
      </c>
      <c r="L3093" s="43" t="n"/>
      <c r="M3093" s="44" t="n"/>
      <c r="N3093" s="44" t="inlineStr">
        <is>
          <t>UCKZo4N0lVPccBkSiuyVh4yg</t>
        </is>
      </c>
      <c r="O3093" s="45" t="n">
        <v>41334.18333333333</v>
      </c>
      <c r="P3093" s="46" t="n">
        <v>41333</v>
      </c>
      <c r="Q3093" s="44" t="n">
        <v>179</v>
      </c>
      <c r="R3093" s="44" t="inlineStr">
        <is>
          <t>No Video ID yet</t>
        </is>
      </c>
      <c r="S3093" s="46" t="n"/>
      <c r="T3093" s="46" t="n"/>
      <c r="U3093" s="44" t="n"/>
      <c r="V3093" s="44">
        <f>IF(AND(P3093&gt;=Calendar!$K$2,P3093&lt;EDATE(Calendar!$K$2,1),OR(Calendar!$K$4="*",N3093=Calendar!$K$4)),P3093*100+COUNTIFS($P$6:$P$3271,P3093,$Q$6:$Q$3271,"&lt;="&amp;Q3093,$N$6:$N$3271,Calendar!$K$4),"")</f>
        <v/>
      </c>
      <c r="W3093" s="44">
        <f>IF(AND(B3093=Queue!$C$4,OR(Queue!$K$4="*",N3093=Queue!$K$4)),Q3093,"")</f>
        <v/>
      </c>
    </row>
    <row r="3094">
      <c r="A3094" s="35">
        <f>IF(M3094="","",HYPERLINK("https://www.youtube.com/watch?v="&amp;M3094,"▶"))</f>
        <v/>
      </c>
      <c r="B3094" s="36">
        <f>IF(C3094&lt;&gt;"",C3094,IF(P3094&lt;=IFERROR(INDEX(tblChannels[Watched Through],MATCH(N3094,tblChannels[Channel ID],0)),0),"Watched","Unwatched"))</f>
        <v/>
      </c>
      <c r="C3094" s="37" t="n"/>
      <c r="D3094" s="38" t="n"/>
      <c r="E3094" s="39" t="n">
        <v>41332.93263888889</v>
      </c>
      <c r="F3094" s="47" t="inlineStr">
        <is>
          <t>Super Carlin Brothers</t>
        </is>
      </c>
      <c r="G3094" t="inlineStr">
        <is>
          <t>Comment Comments</t>
        </is>
      </c>
      <c r="H3094" s="41" t="n">
        <v>0.002476851851851852</v>
      </c>
      <c r="I3094" s="42" t="n">
        <v>11830</v>
      </c>
      <c r="J3094" s="42" t="n">
        <v>278</v>
      </c>
      <c r="K3094" s="42" t="n">
        <v>48</v>
      </c>
      <c r="L3094" s="43" t="n"/>
      <c r="M3094" s="44" t="n"/>
      <c r="N3094" s="44" t="inlineStr">
        <is>
          <t>UCKZo4N0lVPccBkSiuyVh4yg</t>
        </is>
      </c>
      <c r="O3094" s="45" t="n">
        <v>41333.14097222222</v>
      </c>
      <c r="P3094" s="46" t="n">
        <v>41332</v>
      </c>
      <c r="Q3094" s="44" t="n">
        <v>178</v>
      </c>
      <c r="R3094" s="44" t="inlineStr">
        <is>
          <t>No Video ID yet</t>
        </is>
      </c>
      <c r="S3094" s="46" t="n"/>
      <c r="T3094" s="46" t="n"/>
      <c r="U3094" s="44" t="n"/>
      <c r="V3094" s="44">
        <f>IF(AND(P3094&gt;=Calendar!$K$2,P3094&lt;EDATE(Calendar!$K$2,1),OR(Calendar!$K$4="*",N3094=Calendar!$K$4)),P3094*100+COUNTIFS($P$6:$P$3271,P3094,$Q$6:$Q$3271,"&lt;="&amp;Q3094,$N$6:$N$3271,Calendar!$K$4),"")</f>
        <v/>
      </c>
      <c r="W3094" s="44">
        <f>IF(AND(B3094=Queue!$C$4,OR(Queue!$K$4="*",N3094=Queue!$K$4)),Q3094,"")</f>
        <v/>
      </c>
    </row>
    <row r="3095">
      <c r="A3095" s="35">
        <f>IF(M3095="","",HYPERLINK("https://www.youtube.com/watch?v="&amp;M3095,"▶"))</f>
        <v/>
      </c>
      <c r="B3095" s="36">
        <f>IF(C3095&lt;&gt;"",C3095,IF(P3095&lt;=IFERROR(INDEX(tblChannels[Watched Through],MATCH(N3095,tblChannels[Channel ID],0)),0),"Watched","Unwatched"))</f>
        <v/>
      </c>
      <c r="C3095" s="37" t="n"/>
      <c r="D3095" s="38" t="n"/>
      <c r="E3095" s="39" t="n">
        <v>41331.95694444444</v>
      </c>
      <c r="F3095" s="47" t="inlineStr">
        <is>
          <t>Super Carlin Brothers</t>
        </is>
      </c>
      <c r="G3095" t="inlineStr">
        <is>
          <t>How to Eat an Everything Bagel</t>
        </is>
      </c>
      <c r="H3095" s="41" t="n">
        <v>0.002766203703703704</v>
      </c>
      <c r="I3095" s="42" t="n">
        <v>54840</v>
      </c>
      <c r="J3095" s="42" t="n">
        <v>1365</v>
      </c>
      <c r="K3095" s="42" t="n">
        <v>307</v>
      </c>
      <c r="L3095" s="43" t="n"/>
      <c r="M3095" s="44" t="n"/>
      <c r="N3095" s="44" t="inlineStr">
        <is>
          <t>UCKZo4N0lVPccBkSiuyVh4yg</t>
        </is>
      </c>
      <c r="O3095" s="45" t="n">
        <v>41332.16527777778</v>
      </c>
      <c r="P3095" s="46" t="n">
        <v>41331</v>
      </c>
      <c r="Q3095" s="44" t="n">
        <v>177</v>
      </c>
      <c r="R3095" s="44" t="inlineStr">
        <is>
          <t>No Video ID yet</t>
        </is>
      </c>
      <c r="S3095" s="46" t="n"/>
      <c r="T3095" s="46" t="n"/>
      <c r="U3095" s="44" t="n"/>
      <c r="V3095" s="44">
        <f>IF(AND(P3095&gt;=Calendar!$K$2,P3095&lt;EDATE(Calendar!$K$2,1),OR(Calendar!$K$4="*",N3095=Calendar!$K$4)),P3095*100+COUNTIFS($P$6:$P$3271,P3095,$Q$6:$Q$3271,"&lt;="&amp;Q3095,$N$6:$N$3271,Calendar!$K$4),"")</f>
        <v/>
      </c>
      <c r="W3095" s="44">
        <f>IF(AND(B3095=Queue!$C$4,OR(Queue!$K$4="*",N3095=Queue!$K$4)),Q3095,"")</f>
        <v/>
      </c>
    </row>
    <row r="3096">
      <c r="A3096" s="35">
        <f>IF(M3096="","",HYPERLINK("https://www.youtube.com/watch?v="&amp;M3096,"▶"))</f>
        <v/>
      </c>
      <c r="B3096" s="36">
        <f>IF(C3096&lt;&gt;"",C3096,IF(P3096&lt;=IFERROR(INDEX(tblChannels[Watched Through],MATCH(N3096,tblChannels[Channel ID],0)),0),"Watched","Unwatched"))</f>
        <v/>
      </c>
      <c r="C3096" s="37" t="n"/>
      <c r="D3096" s="38" t="n"/>
      <c r="E3096" s="39" t="n">
        <v>41330.9875</v>
      </c>
      <c r="F3096" s="47" t="inlineStr">
        <is>
          <t>Super Carlin Brothers</t>
        </is>
      </c>
      <c r="G3096" t="inlineStr">
        <is>
          <t>How to Improve Anything</t>
        </is>
      </c>
      <c r="H3096" s="41" t="n">
        <v>0.001388888888888889</v>
      </c>
      <c r="I3096" s="42" t="n">
        <v>15183</v>
      </c>
      <c r="J3096" s="42" t="n">
        <v>349</v>
      </c>
      <c r="K3096" s="42" t="n">
        <v>28</v>
      </c>
      <c r="L3096" s="43" t="n"/>
      <c r="M3096" s="44" t="n"/>
      <c r="N3096" s="44" t="inlineStr">
        <is>
          <t>UCKZo4N0lVPccBkSiuyVh4yg</t>
        </is>
      </c>
      <c r="O3096" s="45" t="n">
        <v>41331.19583333333</v>
      </c>
      <c r="P3096" s="46" t="n">
        <v>41330</v>
      </c>
      <c r="Q3096" s="44" t="n">
        <v>176</v>
      </c>
      <c r="R3096" s="44" t="inlineStr">
        <is>
          <t>No Video ID yet</t>
        </is>
      </c>
      <c r="S3096" s="46" t="n"/>
      <c r="T3096" s="46" t="n"/>
      <c r="U3096" s="44" t="n"/>
      <c r="V3096" s="44">
        <f>IF(AND(P3096&gt;=Calendar!$K$2,P3096&lt;EDATE(Calendar!$K$2,1),OR(Calendar!$K$4="*",N3096=Calendar!$K$4)),P3096*100+COUNTIFS($P$6:$P$3271,P3096,$Q$6:$Q$3271,"&lt;="&amp;Q3096,$N$6:$N$3271,Calendar!$K$4),"")</f>
        <v/>
      </c>
      <c r="W3096" s="44">
        <f>IF(AND(B3096=Queue!$C$4,OR(Queue!$K$4="*",N3096=Queue!$K$4)),Q3096,"")</f>
        <v/>
      </c>
    </row>
    <row r="3097">
      <c r="A3097" s="35">
        <f>IF(M3097="","",HYPERLINK("https://www.youtube.com/watch?v="&amp;M3097,"▶"))</f>
        <v/>
      </c>
      <c r="B3097" s="36">
        <f>IF(C3097&lt;&gt;"",C3097,IF(P3097&lt;=IFERROR(INDEX(tblChannels[Watched Through],MATCH(N3097,tblChannels[Channel ID],0)),0),"Watched","Unwatched"))</f>
        <v/>
      </c>
      <c r="C3097" s="37" t="n"/>
      <c r="D3097" s="38" t="n"/>
      <c r="E3097" s="39" t="n">
        <v>41327.98888888889</v>
      </c>
      <c r="F3097" s="47" t="inlineStr">
        <is>
          <t>Super Carlin Brothers</t>
        </is>
      </c>
      <c r="G3097" t="inlineStr">
        <is>
          <t>My Day with a Globetrotter!</t>
        </is>
      </c>
      <c r="H3097" s="41" t="n">
        <v>0.002615740740740741</v>
      </c>
      <c r="I3097" s="42" t="n">
        <v>10523</v>
      </c>
      <c r="J3097" s="42" t="n">
        <v>269</v>
      </c>
      <c r="K3097" s="42" t="n">
        <v>88</v>
      </c>
      <c r="L3097" s="43" t="n"/>
      <c r="M3097" s="44" t="n"/>
      <c r="N3097" s="44" t="inlineStr">
        <is>
          <t>UCKZo4N0lVPccBkSiuyVh4yg</t>
        </is>
      </c>
      <c r="O3097" s="45" t="n">
        <v>41328.19722222222</v>
      </c>
      <c r="P3097" s="46" t="n">
        <v>41327</v>
      </c>
      <c r="Q3097" s="44" t="n">
        <v>175</v>
      </c>
      <c r="R3097" s="44" t="inlineStr">
        <is>
          <t>No Video ID yet</t>
        </is>
      </c>
      <c r="S3097" s="46" t="n"/>
      <c r="T3097" s="46" t="n"/>
      <c r="U3097" s="44" t="n"/>
      <c r="V3097" s="44">
        <f>IF(AND(P3097&gt;=Calendar!$K$2,P3097&lt;EDATE(Calendar!$K$2,1),OR(Calendar!$K$4="*",N3097=Calendar!$K$4)),P3097*100+COUNTIFS($P$6:$P$3271,P3097,$Q$6:$Q$3271,"&lt;="&amp;Q3097,$N$6:$N$3271,Calendar!$K$4),"")</f>
        <v/>
      </c>
      <c r="W3097" s="44">
        <f>IF(AND(B3097=Queue!$C$4,OR(Queue!$K$4="*",N3097=Queue!$K$4)),Q3097,"")</f>
        <v/>
      </c>
    </row>
    <row r="3098">
      <c r="A3098" s="35">
        <f>IF(M3098="","",HYPERLINK("https://www.youtube.com/watch?v="&amp;M3098,"▶"))</f>
        <v/>
      </c>
      <c r="B3098" s="36">
        <f>IF(C3098&lt;&gt;"",C3098,IF(P3098&lt;=IFERROR(INDEX(tblChannels[Watched Through],MATCH(N3098,tblChannels[Channel ID],0)),0),"Watched","Unwatched"))</f>
        <v/>
      </c>
      <c r="C3098" s="37" t="n"/>
      <c r="D3098" s="38" t="n"/>
      <c r="E3098" s="39" t="n">
        <v>41326.93888888889</v>
      </c>
      <c r="F3098" s="47" t="inlineStr">
        <is>
          <t>Super Carlin Brothers</t>
        </is>
      </c>
      <c r="G3098" t="inlineStr">
        <is>
          <t>Say What?</t>
        </is>
      </c>
      <c r="H3098" s="41" t="n">
        <v>0.00119212962962963</v>
      </c>
      <c r="I3098" s="42" t="n">
        <v>10004</v>
      </c>
      <c r="J3098" s="42" t="n">
        <v>335</v>
      </c>
      <c r="K3098" s="42" t="n">
        <v>45</v>
      </c>
      <c r="L3098" s="43" t="n"/>
      <c r="M3098" s="44" t="n"/>
      <c r="N3098" s="44" t="inlineStr">
        <is>
          <t>UCKZo4N0lVPccBkSiuyVh4yg</t>
        </is>
      </c>
      <c r="O3098" s="45" t="n">
        <v>41327.14722222222</v>
      </c>
      <c r="P3098" s="46" t="n">
        <v>41326</v>
      </c>
      <c r="Q3098" s="44" t="n">
        <v>174</v>
      </c>
      <c r="R3098" s="44" t="inlineStr">
        <is>
          <t>No Video ID yet</t>
        </is>
      </c>
      <c r="S3098" s="46" t="n"/>
      <c r="T3098" s="46" t="n"/>
      <c r="U3098" s="44" t="n"/>
      <c r="V3098" s="44">
        <f>IF(AND(P3098&gt;=Calendar!$K$2,P3098&lt;EDATE(Calendar!$K$2,1),OR(Calendar!$K$4="*",N3098=Calendar!$K$4)),P3098*100+COUNTIFS($P$6:$P$3271,P3098,$Q$6:$Q$3271,"&lt;="&amp;Q3098,$N$6:$N$3271,Calendar!$K$4),"")</f>
        <v/>
      </c>
      <c r="W3098" s="44">
        <f>IF(AND(B3098=Queue!$C$4,OR(Queue!$K$4="*",N3098=Queue!$K$4)),Q3098,"")</f>
        <v/>
      </c>
    </row>
    <row r="3099">
      <c r="A3099" s="35">
        <f>IF(M3099="","",HYPERLINK("https://www.youtube.com/watch?v="&amp;M3099,"▶"))</f>
        <v/>
      </c>
      <c r="B3099" s="36">
        <f>IF(C3099&lt;&gt;"",C3099,IF(P3099&lt;=IFERROR(INDEX(tblChannels[Watched Through],MATCH(N3099,tblChannels[Channel ID],0)),0),"Watched","Unwatched"))</f>
        <v/>
      </c>
      <c r="C3099" s="37" t="n"/>
      <c r="D3099" s="38" t="n"/>
      <c r="E3099" s="39" t="n">
        <v>41325.96111111111</v>
      </c>
      <c r="F3099" s="47" t="inlineStr">
        <is>
          <t>Super Carlin Brothers</t>
        </is>
      </c>
      <c r="G3099" t="inlineStr">
        <is>
          <t>For all Intensive Porpoises</t>
        </is>
      </c>
      <c r="H3099" s="41" t="n">
        <v>0.003055555555555556</v>
      </c>
      <c r="I3099" s="42" t="n">
        <v>22863</v>
      </c>
      <c r="J3099" s="42" t="n">
        <v>651</v>
      </c>
      <c r="K3099" s="42" t="n">
        <v>174</v>
      </c>
      <c r="L3099" s="43" t="n"/>
      <c r="M3099" s="44" t="n"/>
      <c r="N3099" s="44" t="inlineStr">
        <is>
          <t>UCKZo4N0lVPccBkSiuyVh4yg</t>
        </is>
      </c>
      <c r="O3099" s="45" t="n">
        <v>41326.16944444444</v>
      </c>
      <c r="P3099" s="46" t="n">
        <v>41325</v>
      </c>
      <c r="Q3099" s="44" t="n">
        <v>173</v>
      </c>
      <c r="R3099" s="44" t="inlineStr">
        <is>
          <t>No Video ID yet</t>
        </is>
      </c>
      <c r="S3099" s="46" t="n"/>
      <c r="T3099" s="46" t="n"/>
      <c r="U3099" s="44" t="n"/>
      <c r="V3099" s="44">
        <f>IF(AND(P3099&gt;=Calendar!$K$2,P3099&lt;EDATE(Calendar!$K$2,1),OR(Calendar!$K$4="*",N3099=Calendar!$K$4)),P3099*100+COUNTIFS($P$6:$P$3271,P3099,$Q$6:$Q$3271,"&lt;="&amp;Q3099,$N$6:$N$3271,Calendar!$K$4),"")</f>
        <v/>
      </c>
      <c r="W3099" s="44">
        <f>IF(AND(B3099=Queue!$C$4,OR(Queue!$K$4="*",N3099=Queue!$K$4)),Q3099,"")</f>
        <v/>
      </c>
    </row>
    <row r="3100">
      <c r="A3100" s="35">
        <f>IF(M3100="","",HYPERLINK("https://www.youtube.com/watch?v="&amp;M3100,"▶"))</f>
        <v/>
      </c>
      <c r="B3100" s="36">
        <f>IF(C3100&lt;&gt;"",C3100,IF(P3100&lt;=IFERROR(INDEX(tblChannels[Watched Through],MATCH(N3100,tblChannels[Channel ID],0)),0),"Watched","Unwatched"))</f>
        <v/>
      </c>
      <c r="C3100" s="37" t="n"/>
      <c r="D3100" s="38" t="n"/>
      <c r="E3100" s="39" t="n">
        <v>41324.96944444445</v>
      </c>
      <c r="F3100" s="47" t="inlineStr">
        <is>
          <t>Super Carlin Brothers</t>
        </is>
      </c>
      <c r="G3100" t="inlineStr">
        <is>
          <t>Sorry About That</t>
        </is>
      </c>
      <c r="H3100" s="41" t="n">
        <v>0.001793981481481481</v>
      </c>
      <c r="I3100" s="42" t="n">
        <v>10279</v>
      </c>
      <c r="J3100" s="42" t="n">
        <v>215</v>
      </c>
      <c r="K3100" s="42" t="n">
        <v>71</v>
      </c>
      <c r="L3100" s="43" t="n"/>
      <c r="M3100" s="44" t="n"/>
      <c r="N3100" s="44" t="inlineStr">
        <is>
          <t>UCKZo4N0lVPccBkSiuyVh4yg</t>
        </is>
      </c>
      <c r="O3100" s="45" t="n">
        <v>41325.17777777778</v>
      </c>
      <c r="P3100" s="46" t="n">
        <v>41324</v>
      </c>
      <c r="Q3100" s="44" t="n">
        <v>172</v>
      </c>
      <c r="R3100" s="44" t="inlineStr">
        <is>
          <t>No Video ID yet</t>
        </is>
      </c>
      <c r="S3100" s="46" t="n"/>
      <c r="T3100" s="46" t="n"/>
      <c r="U3100" s="44" t="n"/>
      <c r="V3100" s="44">
        <f>IF(AND(P3100&gt;=Calendar!$K$2,P3100&lt;EDATE(Calendar!$K$2,1),OR(Calendar!$K$4="*",N3100=Calendar!$K$4)),P3100*100+COUNTIFS($P$6:$P$3271,P3100,$Q$6:$Q$3271,"&lt;="&amp;Q3100,$N$6:$N$3271,Calendar!$K$4),"")</f>
        <v/>
      </c>
      <c r="W3100" s="44">
        <f>IF(AND(B3100=Queue!$C$4,OR(Queue!$K$4="*",N3100=Queue!$K$4)),Q3100,"")</f>
        <v/>
      </c>
    </row>
    <row r="3101">
      <c r="A3101" s="35">
        <f>IF(M3101="","",HYPERLINK("https://www.youtube.com/watch?v="&amp;M3101,"▶"))</f>
        <v/>
      </c>
      <c r="B3101" s="36">
        <f>IF(C3101&lt;&gt;"",C3101,IF(P3101&lt;=IFERROR(INDEX(tblChannels[Watched Through],MATCH(N3101,tblChannels[Channel ID],0)),0),"Watched","Unwatched"))</f>
        <v/>
      </c>
      <c r="C3101" s="37" t="n"/>
      <c r="D3101" s="38" t="n"/>
      <c r="E3101" s="39" t="n">
        <v>41323.88888888889</v>
      </c>
      <c r="F3101" s="47" t="inlineStr">
        <is>
          <t>Super Carlin Brothers</t>
        </is>
      </c>
      <c r="G3101" t="inlineStr">
        <is>
          <t>Name = Personality???</t>
        </is>
      </c>
      <c r="H3101" s="41" t="n">
        <v>0.00287037037037037</v>
      </c>
      <c r="I3101" s="42" t="n">
        <v>162246</v>
      </c>
      <c r="J3101" s="42" t="n">
        <v>2992</v>
      </c>
      <c r="K3101" s="42" t="n">
        <v>1215</v>
      </c>
      <c r="L3101" s="43" t="n"/>
      <c r="M3101" s="44" t="n"/>
      <c r="N3101" s="44" t="inlineStr">
        <is>
          <t>UCKZo4N0lVPccBkSiuyVh4yg</t>
        </is>
      </c>
      <c r="O3101" s="45" t="n">
        <v>41324.09722222222</v>
      </c>
      <c r="P3101" s="46" t="n">
        <v>41323</v>
      </c>
      <c r="Q3101" s="44" t="n">
        <v>171</v>
      </c>
      <c r="R3101" s="44" t="inlineStr">
        <is>
          <t>No Video ID yet</t>
        </is>
      </c>
      <c r="S3101" s="46" t="n"/>
      <c r="T3101" s="46" t="n"/>
      <c r="U3101" s="44" t="n"/>
      <c r="V3101" s="44">
        <f>IF(AND(P3101&gt;=Calendar!$K$2,P3101&lt;EDATE(Calendar!$K$2,1),OR(Calendar!$K$4="*",N3101=Calendar!$K$4)),P3101*100+COUNTIFS($P$6:$P$3271,P3101,$Q$6:$Q$3271,"&lt;="&amp;Q3101,$N$6:$N$3271,Calendar!$K$4),"")</f>
        <v/>
      </c>
      <c r="W3101" s="44">
        <f>IF(AND(B3101=Queue!$C$4,OR(Queue!$K$4="*",N3101=Queue!$K$4)),Q3101,"")</f>
        <v/>
      </c>
    </row>
    <row r="3102">
      <c r="A3102" s="35">
        <f>IF(M3102="","",HYPERLINK("https://www.youtube.com/watch?v="&amp;M3102,"▶"))</f>
        <v/>
      </c>
      <c r="B3102" s="36">
        <f>IF(C3102&lt;&gt;"",C3102,IF(P3102&lt;=IFERROR(INDEX(tblChannels[Watched Through],MATCH(N3102,tblChannels[Channel ID],0)),0),"Watched","Unwatched"))</f>
        <v/>
      </c>
      <c r="C3102" s="37" t="n"/>
      <c r="D3102" s="38" t="n"/>
      <c r="E3102" s="39" t="n">
        <v>41320.90138888889</v>
      </c>
      <c r="F3102" s="47" t="inlineStr">
        <is>
          <t>Super Carlin Brothers</t>
        </is>
      </c>
      <c r="G3102" t="inlineStr">
        <is>
          <t>Scary Not Dangerous</t>
        </is>
      </c>
      <c r="H3102" s="41" t="n">
        <v>0.002314814814814815</v>
      </c>
      <c r="I3102" s="42" t="n">
        <v>10772</v>
      </c>
      <c r="J3102" s="42" t="n">
        <v>290</v>
      </c>
      <c r="K3102" s="42" t="n">
        <v>52</v>
      </c>
      <c r="L3102" s="43" t="n"/>
      <c r="M3102" s="44" t="n"/>
      <c r="N3102" s="44" t="inlineStr">
        <is>
          <t>UCKZo4N0lVPccBkSiuyVh4yg</t>
        </is>
      </c>
      <c r="O3102" s="45" t="n">
        <v>41321.10972222222</v>
      </c>
      <c r="P3102" s="46" t="n">
        <v>41320</v>
      </c>
      <c r="Q3102" s="44" t="n">
        <v>170</v>
      </c>
      <c r="R3102" s="44" t="inlineStr">
        <is>
          <t>No Video ID yet</t>
        </is>
      </c>
      <c r="S3102" s="46" t="n"/>
      <c r="T3102" s="46" t="n"/>
      <c r="U3102" s="44" t="n"/>
      <c r="V3102" s="44">
        <f>IF(AND(P3102&gt;=Calendar!$K$2,P3102&lt;EDATE(Calendar!$K$2,1),OR(Calendar!$K$4="*",N3102=Calendar!$K$4)),P3102*100+COUNTIFS($P$6:$P$3271,P3102,$Q$6:$Q$3271,"&lt;="&amp;Q3102,$N$6:$N$3271,Calendar!$K$4),"")</f>
        <v/>
      </c>
      <c r="W3102" s="44">
        <f>IF(AND(B3102=Queue!$C$4,OR(Queue!$K$4="*",N3102=Queue!$K$4)),Q3102,"")</f>
        <v/>
      </c>
    </row>
    <row r="3103">
      <c r="A3103" s="35">
        <f>IF(M3103="","",HYPERLINK("https://www.youtube.com/watch?v="&amp;M3103,"▶"))</f>
        <v/>
      </c>
      <c r="B3103" s="36">
        <f>IF(C3103&lt;&gt;"",C3103,IF(P3103&lt;=IFERROR(INDEX(tblChannels[Watched Through],MATCH(N3103,tblChannels[Channel ID],0)),0),"Watched","Unwatched"))</f>
        <v/>
      </c>
      <c r="C3103" s="37" t="n"/>
      <c r="D3103" s="38" t="n"/>
      <c r="E3103" s="39" t="n">
        <v>41319.97569444445</v>
      </c>
      <c r="F3103" s="47" t="inlineStr">
        <is>
          <t>Super Carlin Brothers</t>
        </is>
      </c>
      <c r="G3103" t="inlineStr">
        <is>
          <t>Valentines and Posters</t>
        </is>
      </c>
      <c r="H3103" s="41" t="n">
        <v>0.003032407407407407</v>
      </c>
      <c r="I3103" s="42" t="n">
        <v>15285</v>
      </c>
      <c r="J3103" s="42" t="n">
        <v>355</v>
      </c>
      <c r="K3103" s="42" t="n">
        <v>142</v>
      </c>
      <c r="L3103" s="43" t="n"/>
      <c r="M3103" s="44" t="n"/>
      <c r="N3103" s="44" t="inlineStr">
        <is>
          <t>UCKZo4N0lVPccBkSiuyVh4yg</t>
        </is>
      </c>
      <c r="O3103" s="45" t="n">
        <v>41320.18402777778</v>
      </c>
      <c r="P3103" s="46" t="n">
        <v>41319</v>
      </c>
      <c r="Q3103" s="44" t="n">
        <v>169</v>
      </c>
      <c r="R3103" s="44" t="inlineStr">
        <is>
          <t>No Video ID yet</t>
        </is>
      </c>
      <c r="S3103" s="46" t="n"/>
      <c r="T3103" s="46" t="n"/>
      <c r="U3103" s="44" t="n"/>
      <c r="V3103" s="44">
        <f>IF(AND(P3103&gt;=Calendar!$K$2,P3103&lt;EDATE(Calendar!$K$2,1),OR(Calendar!$K$4="*",N3103=Calendar!$K$4)),P3103*100+COUNTIFS($P$6:$P$3271,P3103,$Q$6:$Q$3271,"&lt;="&amp;Q3103,$N$6:$N$3271,Calendar!$K$4),"")</f>
        <v/>
      </c>
      <c r="W3103" s="44">
        <f>IF(AND(B3103=Queue!$C$4,OR(Queue!$K$4="*",N3103=Queue!$K$4)),Q3103,"")</f>
        <v/>
      </c>
    </row>
    <row r="3104">
      <c r="A3104" s="35">
        <f>IF(M3104="","",HYPERLINK("https://www.youtube.com/watch?v="&amp;M3104,"▶"))</f>
        <v/>
      </c>
      <c r="B3104" s="36">
        <f>IF(C3104&lt;&gt;"",C3104,IF(P3104&lt;=IFERROR(INDEX(tblChannels[Watched Through],MATCH(N3104,tblChannels[Channel ID],0)),0),"Watched","Unwatched"))</f>
        <v/>
      </c>
      <c r="C3104" s="37" t="n"/>
      <c r="D3104" s="38" t="n"/>
      <c r="E3104" s="39" t="n">
        <v>41318.94305555556</v>
      </c>
      <c r="F3104" s="47" t="inlineStr">
        <is>
          <t>Super Carlin Brothers</t>
        </is>
      </c>
      <c r="G3104" t="inlineStr">
        <is>
          <t>Going Viral</t>
        </is>
      </c>
      <c r="H3104" s="41" t="n">
        <v>0.002777777777777778</v>
      </c>
      <c r="I3104" s="42" t="n">
        <v>11141</v>
      </c>
      <c r="J3104" s="42" t="n">
        <v>343</v>
      </c>
      <c r="K3104" s="42" t="n">
        <v>48</v>
      </c>
      <c r="L3104" s="43" t="n"/>
      <c r="M3104" s="44" t="n"/>
      <c r="N3104" s="44" t="inlineStr">
        <is>
          <t>UCKZo4N0lVPccBkSiuyVh4yg</t>
        </is>
      </c>
      <c r="O3104" s="45" t="n">
        <v>41319.15138888889</v>
      </c>
      <c r="P3104" s="46" t="n">
        <v>41318</v>
      </c>
      <c r="Q3104" s="44" t="n">
        <v>168</v>
      </c>
      <c r="R3104" s="44" t="inlineStr">
        <is>
          <t>No Video ID yet</t>
        </is>
      </c>
      <c r="S3104" s="46" t="n"/>
      <c r="T3104" s="46" t="n"/>
      <c r="U3104" s="44" t="n"/>
      <c r="V3104" s="44">
        <f>IF(AND(P3104&gt;=Calendar!$K$2,P3104&lt;EDATE(Calendar!$K$2,1),OR(Calendar!$K$4="*",N3104=Calendar!$K$4)),P3104*100+COUNTIFS($P$6:$P$3271,P3104,$Q$6:$Q$3271,"&lt;="&amp;Q3104,$N$6:$N$3271,Calendar!$K$4),"")</f>
        <v/>
      </c>
      <c r="W3104" s="44">
        <f>IF(AND(B3104=Queue!$C$4,OR(Queue!$K$4="*",N3104=Queue!$K$4)),Q3104,"")</f>
        <v/>
      </c>
    </row>
    <row r="3105">
      <c r="A3105" s="35">
        <f>IF(M3105="","",HYPERLINK("https://www.youtube.com/watch?v="&amp;M3105,"▶"))</f>
        <v/>
      </c>
      <c r="B3105" s="36">
        <f>IF(C3105&lt;&gt;"",C3105,IF(P3105&lt;=IFERROR(INDEX(tblChannels[Watched Through],MATCH(N3105,tblChannels[Channel ID],0)),0),"Watched","Unwatched"))</f>
        <v/>
      </c>
      <c r="C3105" s="37" t="n"/>
      <c r="D3105" s="38" t="n"/>
      <c r="E3105" s="39" t="n">
        <v>41317.975</v>
      </c>
      <c r="F3105" s="47" t="inlineStr">
        <is>
          <t>Super Carlin Brothers</t>
        </is>
      </c>
      <c r="G3105" t="inlineStr">
        <is>
          <t>Payin it Forward</t>
        </is>
      </c>
      <c r="H3105" s="41" t="n">
        <v>0.002708333333333333</v>
      </c>
      <c r="I3105" s="42" t="n">
        <v>12840</v>
      </c>
      <c r="J3105" s="42" t="n">
        <v>309</v>
      </c>
      <c r="K3105" s="42" t="n">
        <v>112</v>
      </c>
      <c r="L3105" s="43" t="n"/>
      <c r="M3105" s="44" t="n"/>
      <c r="N3105" s="44" t="inlineStr">
        <is>
          <t>UCKZo4N0lVPccBkSiuyVh4yg</t>
        </is>
      </c>
      <c r="O3105" s="45" t="n">
        <v>41318.18333333333</v>
      </c>
      <c r="P3105" s="46" t="n">
        <v>41317</v>
      </c>
      <c r="Q3105" s="44" t="n">
        <v>167</v>
      </c>
      <c r="R3105" s="44" t="inlineStr">
        <is>
          <t>No Video ID yet</t>
        </is>
      </c>
      <c r="S3105" s="46" t="n"/>
      <c r="T3105" s="46" t="n"/>
      <c r="U3105" s="44" t="n"/>
      <c r="V3105" s="44">
        <f>IF(AND(P3105&gt;=Calendar!$K$2,P3105&lt;EDATE(Calendar!$K$2,1),OR(Calendar!$K$4="*",N3105=Calendar!$K$4)),P3105*100+COUNTIFS($P$6:$P$3271,P3105,$Q$6:$Q$3271,"&lt;="&amp;Q3105,$N$6:$N$3271,Calendar!$K$4),"")</f>
        <v/>
      </c>
      <c r="W3105" s="44">
        <f>IF(AND(B3105=Queue!$C$4,OR(Queue!$K$4="*",N3105=Queue!$K$4)),Q3105,"")</f>
        <v/>
      </c>
    </row>
    <row r="3106">
      <c r="A3106" s="35">
        <f>IF(M3106="","",HYPERLINK("https://www.youtube.com/watch?v="&amp;M3106,"▶"))</f>
        <v/>
      </c>
      <c r="B3106" s="36">
        <f>IF(C3106&lt;&gt;"",C3106,IF(P3106&lt;=IFERROR(INDEX(tblChannels[Watched Through],MATCH(N3106,tblChannels[Channel ID],0)),0),"Watched","Unwatched"))</f>
        <v/>
      </c>
      <c r="C3106" s="37" t="n"/>
      <c r="D3106" s="38" t="n"/>
      <c r="E3106" s="39" t="n">
        <v>41316.81805555556</v>
      </c>
      <c r="F3106" s="47" t="inlineStr">
        <is>
          <t>Super Carlin Brothers</t>
        </is>
      </c>
      <c r="G3106" t="inlineStr">
        <is>
          <t>Line Waiting</t>
        </is>
      </c>
      <c r="H3106" s="41" t="n">
        <v>0.001967592592592592</v>
      </c>
      <c r="I3106" s="42" t="n">
        <v>9726</v>
      </c>
      <c r="J3106" s="42" t="n">
        <v>210</v>
      </c>
      <c r="K3106" s="42" t="n">
        <v>48</v>
      </c>
      <c r="L3106" s="43" t="n"/>
      <c r="M3106" s="44" t="n"/>
      <c r="N3106" s="44" t="inlineStr">
        <is>
          <t>UCKZo4N0lVPccBkSiuyVh4yg</t>
        </is>
      </c>
      <c r="O3106" s="45" t="n">
        <v>41317.02638888889</v>
      </c>
      <c r="P3106" s="46" t="n">
        <v>41316</v>
      </c>
      <c r="Q3106" s="44" t="n">
        <v>166</v>
      </c>
      <c r="R3106" s="44" t="inlineStr">
        <is>
          <t>No Video ID yet</t>
        </is>
      </c>
      <c r="S3106" s="46" t="n"/>
      <c r="T3106" s="46" t="n"/>
      <c r="U3106" s="44" t="n"/>
      <c r="V3106" s="44">
        <f>IF(AND(P3106&gt;=Calendar!$K$2,P3106&lt;EDATE(Calendar!$K$2,1),OR(Calendar!$K$4="*",N3106=Calendar!$K$4)),P3106*100+COUNTIFS($P$6:$P$3271,P3106,$Q$6:$Q$3271,"&lt;="&amp;Q3106,$N$6:$N$3271,Calendar!$K$4),"")</f>
        <v/>
      </c>
      <c r="W3106" s="44">
        <f>IF(AND(B3106=Queue!$C$4,OR(Queue!$K$4="*",N3106=Queue!$K$4)),Q3106,"")</f>
        <v/>
      </c>
    </row>
    <row r="3107">
      <c r="A3107" s="35">
        <f>IF(M3107="","",HYPERLINK("https://www.youtube.com/watch?v="&amp;M3107,"▶"))</f>
        <v/>
      </c>
      <c r="B3107" s="36">
        <f>IF(C3107&lt;&gt;"",C3107,IF(P3107&lt;=IFERROR(INDEX(tblChannels[Watched Through],MATCH(N3107,tblChannels[Channel ID],0)),0),"Watched","Unwatched"))</f>
        <v/>
      </c>
      <c r="C3107" s="37" t="n"/>
      <c r="D3107" s="38" t="n"/>
      <c r="E3107" s="39" t="n">
        <v>41313.525</v>
      </c>
      <c r="F3107" s="47" t="inlineStr">
        <is>
          <t>Super Carlin Brothers</t>
        </is>
      </c>
      <c r="G3107" t="inlineStr">
        <is>
          <t>So God Made a Vlogger</t>
        </is>
      </c>
      <c r="H3107" s="41" t="n">
        <v>0.001898148148148148</v>
      </c>
      <c r="I3107" s="42" t="n">
        <v>12742</v>
      </c>
      <c r="J3107" s="42" t="n">
        <v>627</v>
      </c>
      <c r="K3107" s="42" t="n">
        <v>71</v>
      </c>
      <c r="L3107" s="43" t="n"/>
      <c r="M3107" s="44" t="n"/>
      <c r="N3107" s="44" t="inlineStr">
        <is>
          <t>UCKZo4N0lVPccBkSiuyVh4yg</t>
        </is>
      </c>
      <c r="O3107" s="45" t="n">
        <v>41313.73333333333</v>
      </c>
      <c r="P3107" s="46" t="n">
        <v>41313</v>
      </c>
      <c r="Q3107" s="44" t="n">
        <v>165</v>
      </c>
      <c r="R3107" s="44" t="inlineStr">
        <is>
          <t>No Video ID yet</t>
        </is>
      </c>
      <c r="S3107" s="46" t="n"/>
      <c r="T3107" s="46" t="n"/>
      <c r="U3107" s="44" t="n"/>
      <c r="V3107" s="44">
        <f>IF(AND(P3107&gt;=Calendar!$K$2,P3107&lt;EDATE(Calendar!$K$2,1),OR(Calendar!$K$4="*",N3107=Calendar!$K$4)),P3107*100+COUNTIFS($P$6:$P$3271,P3107,$Q$6:$Q$3271,"&lt;="&amp;Q3107,$N$6:$N$3271,Calendar!$K$4),"")</f>
        <v/>
      </c>
      <c r="W3107" s="44">
        <f>IF(AND(B3107=Queue!$C$4,OR(Queue!$K$4="*",N3107=Queue!$K$4)),Q3107,"")</f>
        <v/>
      </c>
    </row>
    <row r="3108">
      <c r="A3108" s="35">
        <f>IF(M3108="","",HYPERLINK("https://www.youtube.com/watch?v="&amp;M3108,"▶"))</f>
        <v/>
      </c>
      <c r="B3108" s="36">
        <f>IF(C3108&lt;&gt;"",C3108,IF(P3108&lt;=IFERROR(INDEX(tblChannels[Watched Through],MATCH(N3108,tblChannels[Channel ID],0)),0),"Watched","Unwatched"))</f>
        <v/>
      </c>
      <c r="C3108" s="37" t="n"/>
      <c r="D3108" s="38" t="n"/>
      <c r="E3108" s="39" t="n">
        <v>41312.59513888889</v>
      </c>
      <c r="F3108" s="47" t="inlineStr">
        <is>
          <t>Super Carlin Brothers</t>
        </is>
      </c>
      <c r="G3108" t="inlineStr">
        <is>
          <t>Human Sanitizer</t>
        </is>
      </c>
      <c r="H3108" s="41" t="n">
        <v>0.001574074074074074</v>
      </c>
      <c r="I3108" s="42" t="n">
        <v>11058</v>
      </c>
      <c r="J3108" s="42" t="n">
        <v>268</v>
      </c>
      <c r="K3108" s="42" t="n">
        <v>57</v>
      </c>
      <c r="L3108" s="43" t="n"/>
      <c r="M3108" s="44" t="n"/>
      <c r="N3108" s="44" t="inlineStr">
        <is>
          <t>UCKZo4N0lVPccBkSiuyVh4yg</t>
        </is>
      </c>
      <c r="O3108" s="45" t="n">
        <v>41312.80347222222</v>
      </c>
      <c r="P3108" s="46" t="n">
        <v>41312</v>
      </c>
      <c r="Q3108" s="44" t="n">
        <v>164</v>
      </c>
      <c r="R3108" s="44" t="inlineStr">
        <is>
          <t>No Video ID yet</t>
        </is>
      </c>
      <c r="S3108" s="46" t="n"/>
      <c r="T3108" s="46" t="n"/>
      <c r="U3108" s="44" t="n"/>
      <c r="V3108" s="44">
        <f>IF(AND(P3108&gt;=Calendar!$K$2,P3108&lt;EDATE(Calendar!$K$2,1),OR(Calendar!$K$4="*",N3108=Calendar!$K$4)),P3108*100+COUNTIFS($P$6:$P$3271,P3108,$Q$6:$Q$3271,"&lt;="&amp;Q3108,$N$6:$N$3271,Calendar!$K$4),"")</f>
        <v/>
      </c>
      <c r="W3108" s="44">
        <f>IF(AND(B3108=Queue!$C$4,OR(Queue!$K$4="*",N3108=Queue!$K$4)),Q3108,"")</f>
        <v/>
      </c>
    </row>
    <row r="3109">
      <c r="A3109" s="35">
        <f>IF(M3109="","",HYPERLINK("https://www.youtube.com/watch?v="&amp;M3109,"▶"))</f>
        <v/>
      </c>
      <c r="B3109" s="36">
        <f>IF(C3109&lt;&gt;"",C3109,IF(P3109&lt;=IFERROR(INDEX(tblChannels[Watched Through],MATCH(N3109,tblChannels[Channel ID],0)),0),"Watched","Unwatched"))</f>
        <v/>
      </c>
      <c r="C3109" s="37" t="n"/>
      <c r="D3109" s="38" t="n"/>
      <c r="E3109" s="39" t="n">
        <v>41311.94583333333</v>
      </c>
      <c r="F3109" s="47" t="inlineStr">
        <is>
          <t>Super Carlin Brothers</t>
        </is>
      </c>
      <c r="G3109" t="inlineStr">
        <is>
          <t>Death by Hand Sanitizer</t>
        </is>
      </c>
      <c r="H3109" s="41" t="n">
        <v>0.001747685185185185</v>
      </c>
      <c r="I3109" s="42" t="n">
        <v>36218</v>
      </c>
      <c r="J3109" s="42" t="n">
        <v>619</v>
      </c>
      <c r="K3109" s="42" t="n">
        <v>146</v>
      </c>
      <c r="L3109" s="43" t="n"/>
      <c r="M3109" s="44" t="n"/>
      <c r="N3109" s="44" t="inlineStr">
        <is>
          <t>UCKZo4N0lVPccBkSiuyVh4yg</t>
        </is>
      </c>
      <c r="O3109" s="45" t="n">
        <v>41312.15416666667</v>
      </c>
      <c r="P3109" s="46" t="n">
        <v>41311</v>
      </c>
      <c r="Q3109" s="44" t="n">
        <v>163</v>
      </c>
      <c r="R3109" s="44" t="inlineStr">
        <is>
          <t>No Video ID yet</t>
        </is>
      </c>
      <c r="S3109" s="46" t="n"/>
      <c r="T3109" s="46" t="n"/>
      <c r="U3109" s="44" t="n"/>
      <c r="V3109" s="44">
        <f>IF(AND(P3109&gt;=Calendar!$K$2,P3109&lt;EDATE(Calendar!$K$2,1),OR(Calendar!$K$4="*",N3109=Calendar!$K$4)),P3109*100+COUNTIFS($P$6:$P$3271,P3109,$Q$6:$Q$3271,"&lt;="&amp;Q3109,$N$6:$N$3271,Calendar!$K$4),"")</f>
        <v/>
      </c>
      <c r="W3109" s="44">
        <f>IF(AND(B3109=Queue!$C$4,OR(Queue!$K$4="*",N3109=Queue!$K$4)),Q3109,"")</f>
        <v/>
      </c>
    </row>
    <row r="3110">
      <c r="A3110" s="35">
        <f>IF(M3110="","",HYPERLINK("https://www.youtube.com/watch?v="&amp;M3110,"▶"))</f>
        <v/>
      </c>
      <c r="B3110" s="36">
        <f>IF(C3110&lt;&gt;"",C3110,IF(P3110&lt;=IFERROR(INDEX(tblChannels[Watched Through],MATCH(N3110,tblChannels[Channel ID],0)),0),"Watched","Unwatched"))</f>
        <v/>
      </c>
      <c r="C3110" s="37" t="n"/>
      <c r="D3110" s="38" t="n"/>
      <c r="E3110" s="39" t="n">
        <v>41310.92361111111</v>
      </c>
      <c r="F3110" s="47" t="inlineStr">
        <is>
          <t>Super Carlin Brothers</t>
        </is>
      </c>
      <c r="G3110" t="inlineStr">
        <is>
          <t>Oreos and Contextual Confidence</t>
        </is>
      </c>
      <c r="H3110" s="41" t="n">
        <v>0.003171296296296296</v>
      </c>
      <c r="I3110" s="42" t="n">
        <v>11880</v>
      </c>
      <c r="J3110" s="42" t="n">
        <v>264</v>
      </c>
      <c r="K3110" s="42" t="n">
        <v>23</v>
      </c>
      <c r="L3110" s="43" t="n"/>
      <c r="M3110" s="44" t="n"/>
      <c r="N3110" s="44" t="inlineStr">
        <is>
          <t>UCKZo4N0lVPccBkSiuyVh4yg</t>
        </is>
      </c>
      <c r="O3110" s="45" t="n">
        <v>41311.13194444445</v>
      </c>
      <c r="P3110" s="46" t="n">
        <v>41310</v>
      </c>
      <c r="Q3110" s="44" t="n">
        <v>162</v>
      </c>
      <c r="R3110" s="44" t="inlineStr">
        <is>
          <t>No Video ID yet</t>
        </is>
      </c>
      <c r="S3110" s="46" t="n"/>
      <c r="T3110" s="46" t="n"/>
      <c r="U3110" s="44" t="n"/>
      <c r="V3110" s="44">
        <f>IF(AND(P3110&gt;=Calendar!$K$2,P3110&lt;EDATE(Calendar!$K$2,1),OR(Calendar!$K$4="*",N3110=Calendar!$K$4)),P3110*100+COUNTIFS($P$6:$P$3271,P3110,$Q$6:$Q$3271,"&lt;="&amp;Q3110,$N$6:$N$3271,Calendar!$K$4),"")</f>
        <v/>
      </c>
      <c r="W3110" s="44">
        <f>IF(AND(B3110=Queue!$C$4,OR(Queue!$K$4="*",N3110=Queue!$K$4)),Q3110,"")</f>
        <v/>
      </c>
    </row>
    <row r="3111">
      <c r="A3111" s="35">
        <f>IF(M3111="","",HYPERLINK("https://www.youtube.com/watch?v="&amp;M3111,"▶"))</f>
        <v/>
      </c>
      <c r="B3111" s="36">
        <f>IF(C3111&lt;&gt;"",C3111,IF(P3111&lt;=IFERROR(INDEX(tblChannels[Watched Through],MATCH(N3111,tblChannels[Channel ID],0)),0),"Watched","Unwatched"))</f>
        <v/>
      </c>
      <c r="C3111" s="37" t="n"/>
      <c r="D3111" s="38" t="n"/>
      <c r="E3111" s="39" t="n">
        <v>41309.98333333333</v>
      </c>
      <c r="F3111" s="47" t="inlineStr">
        <is>
          <t>Super Carlin Brothers</t>
        </is>
      </c>
      <c r="G3111" t="inlineStr">
        <is>
          <t>Birthday, Super Bowl, Ze &amp; Poster Challenge</t>
        </is>
      </c>
      <c r="H3111" s="41" t="n">
        <v>0.0034375</v>
      </c>
      <c r="I3111" s="42" t="n">
        <v>12017</v>
      </c>
      <c r="J3111" s="42" t="n">
        <v>311</v>
      </c>
      <c r="K3111" s="42" t="n">
        <v>76</v>
      </c>
      <c r="L3111" s="43" t="n"/>
      <c r="M3111" s="44" t="n"/>
      <c r="N3111" s="44" t="inlineStr">
        <is>
          <t>UCKZo4N0lVPccBkSiuyVh4yg</t>
        </is>
      </c>
      <c r="O3111" s="45" t="n">
        <v>41310.19166666667</v>
      </c>
      <c r="P3111" s="46" t="n">
        <v>41309</v>
      </c>
      <c r="Q3111" s="44" t="n">
        <v>161</v>
      </c>
      <c r="R3111" s="44" t="inlineStr">
        <is>
          <t>No Video ID yet</t>
        </is>
      </c>
      <c r="S3111" s="46" t="n"/>
      <c r="T3111" s="46" t="n"/>
      <c r="U3111" s="44" t="n"/>
      <c r="V3111" s="44">
        <f>IF(AND(P3111&gt;=Calendar!$K$2,P3111&lt;EDATE(Calendar!$K$2,1),OR(Calendar!$K$4="*",N3111=Calendar!$K$4)),P3111*100+COUNTIFS($P$6:$P$3271,P3111,$Q$6:$Q$3271,"&lt;="&amp;Q3111,$N$6:$N$3271,Calendar!$K$4),"")</f>
        <v/>
      </c>
      <c r="W3111" s="44">
        <f>IF(AND(B3111=Queue!$C$4,OR(Queue!$K$4="*",N3111=Queue!$K$4)),Q3111,"")</f>
        <v/>
      </c>
    </row>
    <row r="3112">
      <c r="A3112" s="35">
        <f>IF(M3112="","",HYPERLINK("https://www.youtube.com/watch?v="&amp;M3112,"▶"))</f>
        <v/>
      </c>
      <c r="B3112" s="36">
        <f>IF(C3112&lt;&gt;"",C3112,IF(P3112&lt;=IFERROR(INDEX(tblChannels[Watched Through],MATCH(N3112,tblChannels[Channel ID],0)),0),"Watched","Unwatched"))</f>
        <v/>
      </c>
      <c r="C3112" s="37" t="n"/>
      <c r="D3112" s="38" t="n"/>
      <c r="E3112" s="39" t="n">
        <v>41306.81875</v>
      </c>
      <c r="F3112" s="47" t="inlineStr">
        <is>
          <t>Super Carlin Brothers</t>
        </is>
      </c>
      <c r="G3112" t="inlineStr">
        <is>
          <t>Super Bowl!</t>
        </is>
      </c>
      <c r="H3112" s="41" t="n">
        <v>0.002685185185185185</v>
      </c>
      <c r="I3112" s="42" t="n">
        <v>10234</v>
      </c>
      <c r="J3112" s="42" t="n">
        <v>214</v>
      </c>
      <c r="K3112" s="42" t="n">
        <v>70</v>
      </c>
      <c r="L3112" s="43" t="n"/>
      <c r="M3112" s="44" t="n"/>
      <c r="N3112" s="44" t="inlineStr">
        <is>
          <t>UCKZo4N0lVPccBkSiuyVh4yg</t>
        </is>
      </c>
      <c r="O3112" s="45" t="n">
        <v>41307.02708333333</v>
      </c>
      <c r="P3112" s="46" t="n">
        <v>41306</v>
      </c>
      <c r="Q3112" s="44" t="n">
        <v>160</v>
      </c>
      <c r="R3112" s="44" t="inlineStr">
        <is>
          <t>No Video ID yet</t>
        </is>
      </c>
      <c r="S3112" s="46" t="n"/>
      <c r="T3112" s="46" t="n"/>
      <c r="U3112" s="44" t="n"/>
      <c r="V3112" s="44">
        <f>IF(AND(P3112&gt;=Calendar!$K$2,P3112&lt;EDATE(Calendar!$K$2,1),OR(Calendar!$K$4="*",N3112=Calendar!$K$4)),P3112*100+COUNTIFS($P$6:$P$3271,P3112,$Q$6:$Q$3271,"&lt;="&amp;Q3112,$N$6:$N$3271,Calendar!$K$4),"")</f>
        <v/>
      </c>
      <c r="W3112" s="44">
        <f>IF(AND(B3112=Queue!$C$4,OR(Queue!$K$4="*",N3112=Queue!$K$4)),Q3112,"")</f>
        <v/>
      </c>
    </row>
    <row r="3113">
      <c r="A3113" s="35">
        <f>IF(M3113="","",HYPERLINK("https://www.youtube.com/watch?v="&amp;M3113,"▶"))</f>
        <v/>
      </c>
      <c r="B3113" s="36">
        <f>IF(C3113&lt;&gt;"",C3113,IF(P3113&lt;=IFERROR(INDEX(tblChannels[Watched Through],MATCH(N3113,tblChannels[Channel ID],0)),0),"Watched","Unwatched"))</f>
        <v/>
      </c>
      <c r="C3113" s="37" t="n"/>
      <c r="D3113" s="38" t="n"/>
      <c r="E3113" s="39" t="n">
        <v>41305.85486111111</v>
      </c>
      <c r="F3113" s="47" t="inlineStr">
        <is>
          <t>Super Carlin Brothers</t>
        </is>
      </c>
      <c r="G3113" t="inlineStr">
        <is>
          <t>Are Narwhals Real?!</t>
        </is>
      </c>
      <c r="H3113" s="41" t="n">
        <v>0.002152777777777778</v>
      </c>
      <c r="I3113" s="42" t="n">
        <v>162106</v>
      </c>
      <c r="J3113" s="42" t="n">
        <v>3622</v>
      </c>
      <c r="K3113" s="42" t="n">
        <v>1448</v>
      </c>
      <c r="L3113" s="43" t="n"/>
      <c r="M3113" s="44" t="n"/>
      <c r="N3113" s="44" t="inlineStr">
        <is>
          <t>UCKZo4N0lVPccBkSiuyVh4yg</t>
        </is>
      </c>
      <c r="O3113" s="45" t="n">
        <v>41306.06319444445</v>
      </c>
      <c r="P3113" s="46" t="n">
        <v>41305</v>
      </c>
      <c r="Q3113" s="44" t="n">
        <v>159</v>
      </c>
      <c r="R3113" s="44" t="inlineStr">
        <is>
          <t>No Video ID yet</t>
        </is>
      </c>
      <c r="S3113" s="46" t="n"/>
      <c r="T3113" s="46" t="n"/>
      <c r="U3113" s="44" t="n"/>
      <c r="V3113" s="44">
        <f>IF(AND(P3113&gt;=Calendar!$K$2,P3113&lt;EDATE(Calendar!$K$2,1),OR(Calendar!$K$4="*",N3113=Calendar!$K$4)),P3113*100+COUNTIFS($P$6:$P$3271,P3113,$Q$6:$Q$3271,"&lt;="&amp;Q3113,$N$6:$N$3271,Calendar!$K$4),"")</f>
        <v/>
      </c>
      <c r="W3113" s="44">
        <f>IF(AND(B3113=Queue!$C$4,OR(Queue!$K$4="*",N3113=Queue!$K$4)),Q3113,"")</f>
        <v/>
      </c>
    </row>
    <row r="3114">
      <c r="A3114" s="35">
        <f>IF(M3114="","",HYPERLINK("https://www.youtube.com/watch?v="&amp;M3114,"▶"))</f>
        <v/>
      </c>
      <c r="B3114" s="36">
        <f>IF(C3114&lt;&gt;"",C3114,IF(P3114&lt;=IFERROR(INDEX(tblChannels[Watched Through],MATCH(N3114,tblChannels[Channel ID],0)),0),"Watched","Unwatched"))</f>
        <v/>
      </c>
      <c r="C3114" s="37" t="n"/>
      <c r="D3114" s="38" t="n"/>
      <c r="E3114" s="39" t="n">
        <v>41304.84097222222</v>
      </c>
      <c r="F3114" s="47" t="inlineStr">
        <is>
          <t>Super Carlin Brothers</t>
        </is>
      </c>
      <c r="G3114" t="inlineStr">
        <is>
          <t>Paid Youtube Subcriptions</t>
        </is>
      </c>
      <c r="H3114" s="41" t="n">
        <v>0.002523148148148148</v>
      </c>
      <c r="I3114" s="42" t="n">
        <v>11052</v>
      </c>
      <c r="J3114" s="42" t="n">
        <v>253</v>
      </c>
      <c r="K3114" s="42" t="n">
        <v>77</v>
      </c>
      <c r="L3114" s="43" t="n"/>
      <c r="M3114" s="44" t="n"/>
      <c r="N3114" s="44" t="inlineStr">
        <is>
          <t>UCKZo4N0lVPccBkSiuyVh4yg</t>
        </is>
      </c>
      <c r="O3114" s="45" t="n">
        <v>41305.04930555556</v>
      </c>
      <c r="P3114" s="46" t="n">
        <v>41304</v>
      </c>
      <c r="Q3114" s="44" t="n">
        <v>158</v>
      </c>
      <c r="R3114" s="44" t="inlineStr">
        <is>
          <t>No Video ID yet</t>
        </is>
      </c>
      <c r="S3114" s="46" t="n"/>
      <c r="T3114" s="46" t="n"/>
      <c r="U3114" s="44" t="n"/>
      <c r="V3114" s="44">
        <f>IF(AND(P3114&gt;=Calendar!$K$2,P3114&lt;EDATE(Calendar!$K$2,1),OR(Calendar!$K$4="*",N3114=Calendar!$K$4)),P3114*100+COUNTIFS($P$6:$P$3271,P3114,$Q$6:$Q$3271,"&lt;="&amp;Q3114,$N$6:$N$3271,Calendar!$K$4),"")</f>
        <v/>
      </c>
      <c r="W3114" s="44">
        <f>IF(AND(B3114=Queue!$C$4,OR(Queue!$K$4="*",N3114=Queue!$K$4)),Q3114,"")</f>
        <v/>
      </c>
    </row>
    <row r="3115">
      <c r="A3115" s="35">
        <f>IF(M3115="","",HYPERLINK("https://www.youtube.com/watch?v="&amp;M3115,"▶"))</f>
        <v/>
      </c>
      <c r="B3115" s="36">
        <f>IF(C3115&lt;&gt;"",C3115,IF(P3115&lt;=IFERROR(INDEX(tblChannels[Watched Through],MATCH(N3115,tblChannels[Channel ID],0)),0),"Watched","Unwatched"))</f>
        <v/>
      </c>
      <c r="C3115" s="37" t="n"/>
      <c r="D3115" s="38" t="n"/>
      <c r="E3115" s="39" t="n">
        <v>41303.97361111111</v>
      </c>
      <c r="F3115" s="47" t="inlineStr">
        <is>
          <t>Super Carlin Brothers</t>
        </is>
      </c>
      <c r="G3115" t="inlineStr">
        <is>
          <t>Jobs I've Had</t>
        </is>
      </c>
      <c r="H3115" s="41" t="n">
        <v>0.002673611111111111</v>
      </c>
      <c r="I3115" s="42" t="n">
        <v>43910</v>
      </c>
      <c r="J3115" s="42" t="n">
        <v>798</v>
      </c>
      <c r="K3115" s="42" t="n">
        <v>141</v>
      </c>
      <c r="L3115" s="43" t="n"/>
      <c r="M3115" s="44" t="n"/>
      <c r="N3115" s="44" t="inlineStr">
        <is>
          <t>UCKZo4N0lVPccBkSiuyVh4yg</t>
        </is>
      </c>
      <c r="O3115" s="45" t="n">
        <v>41304.18194444444</v>
      </c>
      <c r="P3115" s="46" t="n">
        <v>41303</v>
      </c>
      <c r="Q3115" s="44" t="n">
        <v>157</v>
      </c>
      <c r="R3115" s="44" t="inlineStr">
        <is>
          <t>No Video ID yet</t>
        </is>
      </c>
      <c r="S3115" s="46" t="n"/>
      <c r="T3115" s="46" t="n"/>
      <c r="U3115" s="44" t="n"/>
      <c r="V3115" s="44">
        <f>IF(AND(P3115&gt;=Calendar!$K$2,P3115&lt;EDATE(Calendar!$K$2,1),OR(Calendar!$K$4="*",N3115=Calendar!$K$4)),P3115*100+COUNTIFS($P$6:$P$3271,P3115,$Q$6:$Q$3271,"&lt;="&amp;Q3115,$N$6:$N$3271,Calendar!$K$4),"")</f>
        <v/>
      </c>
      <c r="W3115" s="44">
        <f>IF(AND(B3115=Queue!$C$4,OR(Queue!$K$4="*",N3115=Queue!$K$4)),Q3115,"")</f>
        <v/>
      </c>
    </row>
    <row r="3116">
      <c r="A3116" s="35">
        <f>IF(M3116="","",HYPERLINK("https://www.youtube.com/watch?v="&amp;M3116,"▶"))</f>
        <v/>
      </c>
      <c r="B3116" s="36">
        <f>IF(C3116&lt;&gt;"",C3116,IF(P3116&lt;=IFERROR(INDEX(tblChannels[Watched Through],MATCH(N3116,tblChannels[Channel ID],0)),0),"Watched","Unwatched"))</f>
        <v/>
      </c>
      <c r="C3116" s="37" t="n"/>
      <c r="D3116" s="38" t="n"/>
      <c r="E3116" s="39" t="n">
        <v>41302.85208333333</v>
      </c>
      <c r="F3116" s="47" t="inlineStr">
        <is>
          <t>Super Carlin Brothers</t>
        </is>
      </c>
      <c r="G3116" t="inlineStr">
        <is>
          <t>Should a Hobby be a Job?</t>
        </is>
      </c>
      <c r="H3116" s="41" t="n">
        <v>0.002893518518518518</v>
      </c>
      <c r="I3116" s="42" t="n">
        <v>12908</v>
      </c>
      <c r="J3116" s="42" t="n">
        <v>325</v>
      </c>
      <c r="K3116" s="42" t="n">
        <v>113</v>
      </c>
      <c r="L3116" s="43" t="n"/>
      <c r="M3116" s="44" t="n"/>
      <c r="N3116" s="44" t="inlineStr">
        <is>
          <t>UCKZo4N0lVPccBkSiuyVh4yg</t>
        </is>
      </c>
      <c r="O3116" s="45" t="n">
        <v>41303.06041666667</v>
      </c>
      <c r="P3116" s="46" t="n">
        <v>41302</v>
      </c>
      <c r="Q3116" s="44" t="n">
        <v>156</v>
      </c>
      <c r="R3116" s="44" t="inlineStr">
        <is>
          <t>No Video ID yet</t>
        </is>
      </c>
      <c r="S3116" s="46" t="n"/>
      <c r="T3116" s="46" t="n"/>
      <c r="U3116" s="44" t="n"/>
      <c r="V3116" s="44">
        <f>IF(AND(P3116&gt;=Calendar!$K$2,P3116&lt;EDATE(Calendar!$K$2,1),OR(Calendar!$K$4="*",N3116=Calendar!$K$4)),P3116*100+COUNTIFS($P$6:$P$3271,P3116,$Q$6:$Q$3271,"&lt;="&amp;Q3116,$N$6:$N$3271,Calendar!$K$4),"")</f>
        <v/>
      </c>
      <c r="W3116" s="44">
        <f>IF(AND(B3116=Queue!$C$4,OR(Queue!$K$4="*",N3116=Queue!$K$4)),Q3116,"")</f>
        <v/>
      </c>
    </row>
    <row r="3117">
      <c r="A3117" s="35">
        <f>IF(M3117="","",HYPERLINK("https://www.youtube.com/watch?v="&amp;M3117,"▶"))</f>
        <v/>
      </c>
      <c r="B3117" s="36">
        <f>IF(C3117&lt;&gt;"",C3117,IF(P3117&lt;=IFERROR(INDEX(tblChannels[Watched Through],MATCH(N3117,tblChannels[Channel ID],0)),0),"Watched","Unwatched"))</f>
        <v/>
      </c>
      <c r="C3117" s="37" t="n"/>
      <c r="D3117" s="38" t="n"/>
      <c r="E3117" s="39" t="n">
        <v>41299.58402777778</v>
      </c>
      <c r="F3117" s="47" t="inlineStr">
        <is>
          <t>Super Carlin Brothers</t>
        </is>
      </c>
      <c r="G3117" t="inlineStr">
        <is>
          <t>True Facts about Ze Frank</t>
        </is>
      </c>
      <c r="H3117" s="41" t="n">
        <v>0.001782407407407407</v>
      </c>
      <c r="I3117" s="42" t="n">
        <v>635043</v>
      </c>
      <c r="J3117" s="42" t="n">
        <v>9901</v>
      </c>
      <c r="K3117" s="42" t="n">
        <v>715</v>
      </c>
      <c r="L3117" s="43" t="n"/>
      <c r="M3117" s="44" t="n"/>
      <c r="N3117" s="44" t="inlineStr">
        <is>
          <t>UCKZo4N0lVPccBkSiuyVh4yg</t>
        </is>
      </c>
      <c r="O3117" s="45" t="n">
        <v>41299.79236111111</v>
      </c>
      <c r="P3117" s="46" t="n">
        <v>41299</v>
      </c>
      <c r="Q3117" s="44" t="n">
        <v>155</v>
      </c>
      <c r="R3117" s="44" t="inlineStr">
        <is>
          <t>No Video ID yet</t>
        </is>
      </c>
      <c r="S3117" s="46" t="n"/>
      <c r="T3117" s="46" t="n"/>
      <c r="U3117" s="44" t="n"/>
      <c r="V3117" s="44">
        <f>IF(AND(P3117&gt;=Calendar!$K$2,P3117&lt;EDATE(Calendar!$K$2,1),OR(Calendar!$K$4="*",N3117=Calendar!$K$4)),P3117*100+COUNTIFS($P$6:$P$3271,P3117,$Q$6:$Q$3271,"&lt;="&amp;Q3117,$N$6:$N$3271,Calendar!$K$4),"")</f>
        <v/>
      </c>
      <c r="W3117" s="44">
        <f>IF(AND(B3117=Queue!$C$4,OR(Queue!$K$4="*",N3117=Queue!$K$4)),Q3117,"")</f>
        <v/>
      </c>
    </row>
    <row r="3118">
      <c r="A3118" s="35">
        <f>IF(M3118="","",HYPERLINK("https://www.youtube.com/watch?v="&amp;M3118,"▶"))</f>
        <v/>
      </c>
      <c r="B3118" s="36">
        <f>IF(C3118&lt;&gt;"",C3118,IF(P3118&lt;=IFERROR(INDEX(tblChannels[Watched Through],MATCH(N3118,tblChannels[Channel ID],0)),0),"Watched","Unwatched"))</f>
        <v/>
      </c>
      <c r="C3118" s="37" t="n"/>
      <c r="D3118" s="38" t="n"/>
      <c r="E3118" s="39" t="n">
        <v>41298.9125</v>
      </c>
      <c r="F3118" s="47" t="inlineStr">
        <is>
          <t>Super Carlin Brothers</t>
        </is>
      </c>
      <c r="G3118" t="inlineStr">
        <is>
          <t>Commenting First</t>
        </is>
      </c>
      <c r="H3118" s="41" t="n">
        <v>0.001863425925925926</v>
      </c>
      <c r="I3118" s="42" t="n">
        <v>10805</v>
      </c>
      <c r="J3118" s="42" t="n">
        <v>327</v>
      </c>
      <c r="K3118" s="42" t="n">
        <v>524</v>
      </c>
      <c r="L3118" s="43" t="n"/>
      <c r="M3118" s="44" t="n"/>
      <c r="N3118" s="44" t="inlineStr">
        <is>
          <t>UCKZo4N0lVPccBkSiuyVh4yg</t>
        </is>
      </c>
      <c r="O3118" s="45" t="n">
        <v>41299.12083333333</v>
      </c>
      <c r="P3118" s="46" t="n">
        <v>41298</v>
      </c>
      <c r="Q3118" s="44" t="n">
        <v>154</v>
      </c>
      <c r="R3118" s="44" t="inlineStr">
        <is>
          <t>No Video ID yet</t>
        </is>
      </c>
      <c r="S3118" s="46" t="n"/>
      <c r="T3118" s="46" t="n"/>
      <c r="U3118" s="44" t="n"/>
      <c r="V3118" s="44">
        <f>IF(AND(P3118&gt;=Calendar!$K$2,P3118&lt;EDATE(Calendar!$K$2,1),OR(Calendar!$K$4="*",N3118=Calendar!$K$4)),P3118*100+COUNTIFS($P$6:$P$3271,P3118,$Q$6:$Q$3271,"&lt;="&amp;Q3118,$N$6:$N$3271,Calendar!$K$4),"")</f>
        <v/>
      </c>
      <c r="W3118" s="44">
        <f>IF(AND(B3118=Queue!$C$4,OR(Queue!$K$4="*",N3118=Queue!$K$4)),Q3118,"")</f>
        <v/>
      </c>
    </row>
    <row r="3119">
      <c r="A3119" s="35">
        <f>IF(M3119="","",HYPERLINK("https://www.youtube.com/watch?v="&amp;M3119,"▶"))</f>
        <v/>
      </c>
      <c r="B3119" s="36">
        <f>IF(C3119&lt;&gt;"",C3119,IF(P3119&lt;=IFERROR(INDEX(tblChannels[Watched Through],MATCH(N3119,tblChannels[Channel ID],0)),0),"Watched","Unwatched"))</f>
        <v/>
      </c>
      <c r="C3119" s="37" t="n"/>
      <c r="D3119" s="38" t="n"/>
      <c r="E3119" s="39" t="n">
        <v>41297.98611111111</v>
      </c>
      <c r="F3119" s="47" t="inlineStr">
        <is>
          <t>Super Carlin Brothers</t>
        </is>
      </c>
      <c r="G3119" t="inlineStr">
        <is>
          <t>Should I Google Autofill</t>
        </is>
      </c>
      <c r="H3119" s="41" t="n">
        <v>0.003483796296296296</v>
      </c>
      <c r="I3119" s="42" t="n">
        <v>134925</v>
      </c>
      <c r="J3119" s="42" t="n">
        <v>2288</v>
      </c>
      <c r="K3119" s="42" t="n">
        <v>371</v>
      </c>
      <c r="L3119" s="43" t="n"/>
      <c r="M3119" s="44" t="n"/>
      <c r="N3119" s="44" t="inlineStr">
        <is>
          <t>UCKZo4N0lVPccBkSiuyVh4yg</t>
        </is>
      </c>
      <c r="O3119" s="45" t="n">
        <v>41298.19444444445</v>
      </c>
      <c r="P3119" s="46" t="n">
        <v>41297</v>
      </c>
      <c r="Q3119" s="44" t="n">
        <v>153</v>
      </c>
      <c r="R3119" s="44" t="inlineStr">
        <is>
          <t>No Video ID yet</t>
        </is>
      </c>
      <c r="S3119" s="46" t="n"/>
      <c r="T3119" s="46" t="n"/>
      <c r="U3119" s="44" t="n"/>
      <c r="V3119" s="44">
        <f>IF(AND(P3119&gt;=Calendar!$K$2,P3119&lt;EDATE(Calendar!$K$2,1),OR(Calendar!$K$4="*",N3119=Calendar!$K$4)),P3119*100+COUNTIFS($P$6:$P$3271,P3119,$Q$6:$Q$3271,"&lt;="&amp;Q3119,$N$6:$N$3271,Calendar!$K$4),"")</f>
        <v/>
      </c>
      <c r="W3119" s="44">
        <f>IF(AND(B3119=Queue!$C$4,OR(Queue!$K$4="*",N3119=Queue!$K$4)),Q3119,"")</f>
        <v/>
      </c>
    </row>
    <row r="3120">
      <c r="A3120" s="35">
        <f>IF(M3120="","",HYPERLINK("https://www.youtube.com/watch?v="&amp;M3120,"▶"))</f>
        <v/>
      </c>
      <c r="B3120" s="36">
        <f>IF(C3120&lt;&gt;"",C3120,IF(P3120&lt;=IFERROR(INDEX(tblChannels[Watched Through],MATCH(N3120,tblChannels[Channel ID],0)),0),"Watched","Unwatched"))</f>
        <v/>
      </c>
      <c r="C3120" s="37" t="n"/>
      <c r="D3120" s="38" t="n"/>
      <c r="E3120" s="39" t="n">
        <v>41296.92430555556</v>
      </c>
      <c r="F3120" s="47" t="inlineStr">
        <is>
          <t>Super Carlin Brothers</t>
        </is>
      </c>
      <c r="G3120" t="inlineStr">
        <is>
          <t>Night Owl</t>
        </is>
      </c>
      <c r="H3120" s="41" t="n">
        <v>0.0009375</v>
      </c>
      <c r="I3120" s="42" t="n">
        <v>11533</v>
      </c>
      <c r="J3120" s="42" t="n">
        <v>300</v>
      </c>
      <c r="K3120" s="42" t="n">
        <v>84</v>
      </c>
      <c r="L3120" s="43" t="n"/>
      <c r="M3120" s="44" t="n"/>
      <c r="N3120" s="44" t="inlineStr">
        <is>
          <t>UCKZo4N0lVPccBkSiuyVh4yg</t>
        </is>
      </c>
      <c r="O3120" s="45" t="n">
        <v>41297.13263888889</v>
      </c>
      <c r="P3120" s="46" t="n">
        <v>41296</v>
      </c>
      <c r="Q3120" s="44" t="n">
        <v>152</v>
      </c>
      <c r="R3120" s="44" t="inlineStr">
        <is>
          <t>No Video ID yet</t>
        </is>
      </c>
      <c r="S3120" s="46" t="n"/>
      <c r="T3120" s="46" t="n"/>
      <c r="U3120" s="44" t="n"/>
      <c r="V3120" s="44">
        <f>IF(AND(P3120&gt;=Calendar!$K$2,P3120&lt;EDATE(Calendar!$K$2,1),OR(Calendar!$K$4="*",N3120=Calendar!$K$4)),P3120*100+COUNTIFS($P$6:$P$3271,P3120,$Q$6:$Q$3271,"&lt;="&amp;Q3120,$N$6:$N$3271,Calendar!$K$4),"")</f>
        <v/>
      </c>
      <c r="W3120" s="44">
        <f>IF(AND(B3120=Queue!$C$4,OR(Queue!$K$4="*",N3120=Queue!$K$4)),Q3120,"")</f>
        <v/>
      </c>
    </row>
    <row r="3121">
      <c r="A3121" s="35">
        <f>IF(M3121="","",HYPERLINK("https://www.youtube.com/watch?v="&amp;M3121,"▶"))</f>
        <v/>
      </c>
      <c r="B3121" s="36">
        <f>IF(C3121&lt;&gt;"",C3121,IF(P3121&lt;=IFERROR(INDEX(tblChannels[Watched Through],MATCH(N3121,tblChannels[Channel ID],0)),0),"Watched","Unwatched"))</f>
        <v/>
      </c>
      <c r="C3121" s="37" t="n"/>
      <c r="D3121" s="38" t="n"/>
      <c r="E3121" s="39" t="n">
        <v>41295.475</v>
      </c>
      <c r="F3121" s="47" t="inlineStr">
        <is>
          <t>Super Carlin Brothers</t>
        </is>
      </c>
      <c r="G3121" t="inlineStr">
        <is>
          <t>Morning Person!</t>
        </is>
      </c>
      <c r="H3121" s="41" t="n">
        <v>0.002951388888888889</v>
      </c>
      <c r="I3121" s="42" t="n">
        <v>23575</v>
      </c>
      <c r="J3121" s="42" t="n">
        <v>717</v>
      </c>
      <c r="K3121" s="42" t="n">
        <v>178</v>
      </c>
      <c r="L3121" s="43" t="n"/>
      <c r="M3121" s="44" t="n"/>
      <c r="N3121" s="44" t="inlineStr">
        <is>
          <t>UCKZo4N0lVPccBkSiuyVh4yg</t>
        </is>
      </c>
      <c r="O3121" s="45" t="n">
        <v>41295.68333333333</v>
      </c>
      <c r="P3121" s="46" t="n">
        <v>41295</v>
      </c>
      <c r="Q3121" s="44" t="n">
        <v>151</v>
      </c>
      <c r="R3121" s="44" t="inlineStr">
        <is>
          <t>No Video ID yet</t>
        </is>
      </c>
      <c r="S3121" s="46" t="n"/>
      <c r="T3121" s="46" t="n"/>
      <c r="U3121" s="44" t="n"/>
      <c r="V3121" s="44">
        <f>IF(AND(P3121&gt;=Calendar!$K$2,P3121&lt;EDATE(Calendar!$K$2,1),OR(Calendar!$K$4="*",N3121=Calendar!$K$4)),P3121*100+COUNTIFS($P$6:$P$3271,P3121,$Q$6:$Q$3271,"&lt;="&amp;Q3121,$N$6:$N$3271,Calendar!$K$4),"")</f>
        <v/>
      </c>
      <c r="W3121" s="44">
        <f>IF(AND(B3121=Queue!$C$4,OR(Queue!$K$4="*",N3121=Queue!$K$4)),Q3121,"")</f>
        <v/>
      </c>
    </row>
    <row r="3122">
      <c r="A3122" s="35">
        <f>IF(M3122="","",HYPERLINK("https://www.youtube.com/watch?v="&amp;M3122,"▶"))</f>
        <v/>
      </c>
      <c r="B3122" s="36">
        <f>IF(C3122&lt;&gt;"",C3122,IF(P3122&lt;=IFERROR(INDEX(tblChannels[Watched Through],MATCH(N3122,tblChannels[Channel ID],0)),0),"Watched","Unwatched"))</f>
        <v/>
      </c>
      <c r="C3122" s="37" t="n"/>
      <c r="D3122" s="38" t="n"/>
      <c r="E3122" s="39" t="n">
        <v>41292.89652777778</v>
      </c>
      <c r="F3122" s="47" t="inlineStr">
        <is>
          <t>Super Carlin Brothers</t>
        </is>
      </c>
      <c r="G3122" t="inlineStr">
        <is>
          <t>Ask Ben #2</t>
        </is>
      </c>
      <c r="H3122" s="41" t="n">
        <v>0.003414351851851852</v>
      </c>
      <c r="I3122" s="42" t="n">
        <v>13875</v>
      </c>
      <c r="J3122" s="42" t="n">
        <v>342</v>
      </c>
      <c r="K3122" s="42" t="n">
        <v>61</v>
      </c>
      <c r="L3122" s="43" t="n"/>
      <c r="M3122" s="44" t="n"/>
      <c r="N3122" s="44" t="inlineStr">
        <is>
          <t>UCKZo4N0lVPccBkSiuyVh4yg</t>
        </is>
      </c>
      <c r="O3122" s="45" t="n">
        <v>41293.10486111111</v>
      </c>
      <c r="P3122" s="46" t="n">
        <v>41292</v>
      </c>
      <c r="Q3122" s="44" t="n">
        <v>150</v>
      </c>
      <c r="R3122" s="44" t="inlineStr">
        <is>
          <t>No Video ID yet</t>
        </is>
      </c>
      <c r="S3122" s="46" t="n"/>
      <c r="T3122" s="46" t="n"/>
      <c r="U3122" s="44" t="n"/>
      <c r="V3122" s="44">
        <f>IF(AND(P3122&gt;=Calendar!$K$2,P3122&lt;EDATE(Calendar!$K$2,1),OR(Calendar!$K$4="*",N3122=Calendar!$K$4)),P3122*100+COUNTIFS($P$6:$P$3271,P3122,$Q$6:$Q$3271,"&lt;="&amp;Q3122,$N$6:$N$3271,Calendar!$K$4),"")</f>
        <v/>
      </c>
      <c r="W3122" s="44">
        <f>IF(AND(B3122=Queue!$C$4,OR(Queue!$K$4="*",N3122=Queue!$K$4)),Q3122,"")</f>
        <v/>
      </c>
    </row>
    <row r="3123">
      <c r="A3123" s="35">
        <f>IF(M3123="","",HYPERLINK("https://www.youtube.com/watch?v="&amp;M3123,"▶"))</f>
        <v/>
      </c>
      <c r="B3123" s="36">
        <f>IF(C3123&lt;&gt;"",C3123,IF(P3123&lt;=IFERROR(INDEX(tblChannels[Watched Through],MATCH(N3123,tblChannels[Channel ID],0)),0),"Watched","Unwatched"))</f>
        <v/>
      </c>
      <c r="C3123" s="37" t="n"/>
      <c r="D3123" s="38" t="n"/>
      <c r="E3123" s="39" t="n">
        <v>41291.84236111111</v>
      </c>
      <c r="F3123" s="47" t="inlineStr">
        <is>
          <t>Super Carlin Brothers</t>
        </is>
      </c>
      <c r="G3123" t="inlineStr">
        <is>
          <t>Mass Confusion!</t>
        </is>
      </c>
      <c r="H3123" s="41" t="n">
        <v>0.002835648148148148</v>
      </c>
      <c r="I3123" s="42" t="n">
        <v>19174</v>
      </c>
      <c r="J3123" s="42" t="n">
        <v>493</v>
      </c>
      <c r="K3123" s="42" t="n">
        <v>145</v>
      </c>
      <c r="L3123" s="43" t="n"/>
      <c r="M3123" s="44" t="n"/>
      <c r="N3123" s="44" t="inlineStr">
        <is>
          <t>UCKZo4N0lVPccBkSiuyVh4yg</t>
        </is>
      </c>
      <c r="O3123" s="45" t="n">
        <v>41292.05069444444</v>
      </c>
      <c r="P3123" s="46" t="n">
        <v>41291</v>
      </c>
      <c r="Q3123" s="44" t="n">
        <v>149</v>
      </c>
      <c r="R3123" s="44" t="inlineStr">
        <is>
          <t>No Video ID yet</t>
        </is>
      </c>
      <c r="S3123" s="46" t="n"/>
      <c r="T3123" s="46" t="n"/>
      <c r="U3123" s="44" t="n"/>
      <c r="V3123" s="44">
        <f>IF(AND(P3123&gt;=Calendar!$K$2,P3123&lt;EDATE(Calendar!$K$2,1),OR(Calendar!$K$4="*",N3123=Calendar!$K$4)),P3123*100+COUNTIFS($P$6:$P$3271,P3123,$Q$6:$Q$3271,"&lt;="&amp;Q3123,$N$6:$N$3271,Calendar!$K$4),"")</f>
        <v/>
      </c>
      <c r="W3123" s="44">
        <f>IF(AND(B3123=Queue!$C$4,OR(Queue!$K$4="*",N3123=Queue!$K$4)),Q3123,"")</f>
        <v/>
      </c>
    </row>
    <row r="3124">
      <c r="A3124" s="35">
        <f>IF(M3124="","",HYPERLINK("https://www.youtube.com/watch?v="&amp;M3124,"▶"))</f>
        <v/>
      </c>
      <c r="B3124" s="36">
        <f>IF(C3124&lt;&gt;"",C3124,IF(P3124&lt;=IFERROR(INDEX(tblChannels[Watched Through],MATCH(N3124,tblChannels[Channel ID],0)),0),"Watched","Unwatched"))</f>
        <v/>
      </c>
      <c r="C3124" s="37" t="n"/>
      <c r="D3124" s="38" t="n"/>
      <c r="E3124" s="39" t="n">
        <v>41290.84513888889</v>
      </c>
      <c r="F3124" s="47" t="inlineStr">
        <is>
          <t>Super Carlin Brothers</t>
        </is>
      </c>
      <c r="G3124" t="inlineStr">
        <is>
          <t>Chemistry Class</t>
        </is>
      </c>
      <c r="H3124" s="41" t="n">
        <v>0.0025</v>
      </c>
      <c r="I3124" s="42" t="n">
        <v>13218</v>
      </c>
      <c r="J3124" s="42" t="n">
        <v>365</v>
      </c>
      <c r="K3124" s="42" t="n">
        <v>72</v>
      </c>
      <c r="L3124" s="43" t="n"/>
      <c r="M3124" s="44" t="n"/>
      <c r="N3124" s="44" t="inlineStr">
        <is>
          <t>UCKZo4N0lVPccBkSiuyVh4yg</t>
        </is>
      </c>
      <c r="O3124" s="45" t="n">
        <v>41291.05347222222</v>
      </c>
      <c r="P3124" s="46" t="n">
        <v>41290</v>
      </c>
      <c r="Q3124" s="44" t="n">
        <v>148</v>
      </c>
      <c r="R3124" s="44" t="inlineStr">
        <is>
          <t>No Video ID yet</t>
        </is>
      </c>
      <c r="S3124" s="46" t="n"/>
      <c r="T3124" s="46" t="n"/>
      <c r="U3124" s="44" t="n"/>
      <c r="V3124" s="44">
        <f>IF(AND(P3124&gt;=Calendar!$K$2,P3124&lt;EDATE(Calendar!$K$2,1),OR(Calendar!$K$4="*",N3124=Calendar!$K$4)),P3124*100+COUNTIFS($P$6:$P$3271,P3124,$Q$6:$Q$3271,"&lt;="&amp;Q3124,$N$6:$N$3271,Calendar!$K$4),"")</f>
        <v/>
      </c>
      <c r="W3124" s="44">
        <f>IF(AND(B3124=Queue!$C$4,OR(Queue!$K$4="*",N3124=Queue!$K$4)),Q3124,"")</f>
        <v/>
      </c>
    </row>
    <row r="3125">
      <c r="A3125" s="35">
        <f>IF(M3125="","",HYPERLINK("https://www.youtube.com/watch?v="&amp;M3125,"▶"))</f>
        <v/>
      </c>
      <c r="B3125" s="36">
        <f>IF(C3125&lt;&gt;"",C3125,IF(P3125&lt;=IFERROR(INDEX(tblChannels[Watched Through],MATCH(N3125,tblChannels[Channel ID],0)),0),"Watched","Unwatched"))</f>
        <v/>
      </c>
      <c r="C3125" s="37" t="n"/>
      <c r="D3125" s="38" t="n"/>
      <c r="E3125" s="39" t="n">
        <v>41289.95625</v>
      </c>
      <c r="F3125" s="47" t="inlineStr">
        <is>
          <t>Super Carlin Brothers</t>
        </is>
      </c>
      <c r="G3125" t="inlineStr">
        <is>
          <t>Doodle game!</t>
        </is>
      </c>
      <c r="H3125" s="41" t="n">
        <v>0.002604166666666667</v>
      </c>
      <c r="I3125" s="42" t="n">
        <v>22424</v>
      </c>
      <c r="J3125" s="42" t="n">
        <v>488</v>
      </c>
      <c r="K3125" s="42" t="n">
        <v>97</v>
      </c>
      <c r="L3125" s="43" t="n"/>
      <c r="M3125" s="44" t="n"/>
      <c r="N3125" s="44" t="inlineStr">
        <is>
          <t>UCKZo4N0lVPccBkSiuyVh4yg</t>
        </is>
      </c>
      <c r="O3125" s="45" t="n">
        <v>41290.16458333333</v>
      </c>
      <c r="P3125" s="46" t="n">
        <v>41289</v>
      </c>
      <c r="Q3125" s="44" t="n">
        <v>147</v>
      </c>
      <c r="R3125" s="44" t="inlineStr">
        <is>
          <t>No Video ID yet</t>
        </is>
      </c>
      <c r="S3125" s="46" t="n"/>
      <c r="T3125" s="46" t="n"/>
      <c r="U3125" s="44" t="n"/>
      <c r="V3125" s="44">
        <f>IF(AND(P3125&gt;=Calendar!$K$2,P3125&lt;EDATE(Calendar!$K$2,1),OR(Calendar!$K$4="*",N3125=Calendar!$K$4)),P3125*100+COUNTIFS($P$6:$P$3271,P3125,$Q$6:$Q$3271,"&lt;="&amp;Q3125,$N$6:$N$3271,Calendar!$K$4),"")</f>
        <v/>
      </c>
      <c r="W3125" s="44">
        <f>IF(AND(B3125=Queue!$C$4,OR(Queue!$K$4="*",N3125=Queue!$K$4)),Q3125,"")</f>
        <v/>
      </c>
    </row>
    <row r="3126">
      <c r="A3126" s="35">
        <f>IF(M3126="","",HYPERLINK("https://www.youtube.com/watch?v="&amp;M3126,"▶"))</f>
        <v/>
      </c>
      <c r="B3126" s="36">
        <f>IF(C3126&lt;&gt;"",C3126,IF(P3126&lt;=IFERROR(INDEX(tblChannels[Watched Through],MATCH(N3126,tblChannels[Channel ID],0)),0),"Watched","Unwatched"))</f>
        <v/>
      </c>
      <c r="C3126" s="37" t="n"/>
      <c r="D3126" s="38" t="n"/>
      <c r="E3126" s="39" t="n">
        <v>41288.98958333334</v>
      </c>
      <c r="F3126" s="47" t="inlineStr">
        <is>
          <t>Super Carlin Brothers</t>
        </is>
      </c>
      <c r="G3126" t="inlineStr">
        <is>
          <t>Doodle</t>
        </is>
      </c>
      <c r="H3126" s="41" t="n">
        <v>0.001134259259259259</v>
      </c>
      <c r="I3126" s="42" t="n">
        <v>11122</v>
      </c>
      <c r="J3126" s="42" t="n">
        <v>217</v>
      </c>
      <c r="K3126" s="42" t="n">
        <v>50</v>
      </c>
      <c r="L3126" s="43" t="n"/>
      <c r="M3126" s="44" t="n"/>
      <c r="N3126" s="44" t="inlineStr">
        <is>
          <t>UCKZo4N0lVPccBkSiuyVh4yg</t>
        </is>
      </c>
      <c r="O3126" s="45" t="n">
        <v>41289.19791666666</v>
      </c>
      <c r="P3126" s="46" t="n">
        <v>41288</v>
      </c>
      <c r="Q3126" s="44" t="n">
        <v>146</v>
      </c>
      <c r="R3126" s="44" t="inlineStr">
        <is>
          <t>No Video ID yet</t>
        </is>
      </c>
      <c r="S3126" s="46" t="n"/>
      <c r="T3126" s="46" t="n"/>
      <c r="U3126" s="44" t="n"/>
      <c r="V3126" s="44">
        <f>IF(AND(P3126&gt;=Calendar!$K$2,P3126&lt;EDATE(Calendar!$K$2,1),OR(Calendar!$K$4="*",N3126=Calendar!$K$4)),P3126*100+COUNTIFS($P$6:$P$3271,P3126,$Q$6:$Q$3271,"&lt;="&amp;Q3126,$N$6:$N$3271,Calendar!$K$4),"")</f>
        <v/>
      </c>
      <c r="W3126" s="44">
        <f>IF(AND(B3126=Queue!$C$4,OR(Queue!$K$4="*",N3126=Queue!$K$4)),Q3126,"")</f>
        <v/>
      </c>
    </row>
    <row r="3127">
      <c r="A3127" s="35">
        <f>IF(M3127="","",HYPERLINK("https://www.youtube.com/watch?v="&amp;M3127,"▶"))</f>
        <v/>
      </c>
      <c r="B3127" s="36">
        <f>IF(C3127&lt;&gt;"",C3127,IF(P3127&lt;=IFERROR(INDEX(tblChannels[Watched Through],MATCH(N3127,tblChannels[Channel ID],0)),0),"Watched","Unwatched"))</f>
        <v/>
      </c>
      <c r="C3127" s="37" t="n"/>
      <c r="D3127" s="38" t="n"/>
      <c r="E3127" s="39" t="n">
        <v>41285.92847222222</v>
      </c>
      <c r="F3127" s="47" t="inlineStr">
        <is>
          <t>Super Carlin Brothers</t>
        </is>
      </c>
      <c r="G3127" t="inlineStr">
        <is>
          <t>Ask J! #5</t>
        </is>
      </c>
      <c r="H3127" s="41" t="n">
        <v>0.002349537037037037</v>
      </c>
      <c r="I3127" s="42" t="n">
        <v>22129</v>
      </c>
      <c r="J3127" s="42" t="n">
        <v>406</v>
      </c>
      <c r="K3127" s="42" t="n">
        <v>100</v>
      </c>
      <c r="L3127" s="43" t="n"/>
      <c r="M3127" s="44" t="n"/>
      <c r="N3127" s="44" t="inlineStr">
        <is>
          <t>UCKZo4N0lVPccBkSiuyVh4yg</t>
        </is>
      </c>
      <c r="O3127" s="45" t="n">
        <v>41286.13680555556</v>
      </c>
      <c r="P3127" s="46" t="n">
        <v>41285</v>
      </c>
      <c r="Q3127" s="44" t="n">
        <v>145</v>
      </c>
      <c r="R3127" s="44" t="inlineStr">
        <is>
          <t>No Video ID yet</t>
        </is>
      </c>
      <c r="S3127" s="46" t="n"/>
      <c r="T3127" s="46" t="n"/>
      <c r="U3127" s="44" t="n"/>
      <c r="V3127" s="44">
        <f>IF(AND(P3127&gt;=Calendar!$K$2,P3127&lt;EDATE(Calendar!$K$2,1),OR(Calendar!$K$4="*",N3127=Calendar!$K$4)),P3127*100+COUNTIFS($P$6:$P$3271,P3127,$Q$6:$Q$3271,"&lt;="&amp;Q3127,$N$6:$N$3271,Calendar!$K$4),"")</f>
        <v/>
      </c>
      <c r="W3127" s="44">
        <f>IF(AND(B3127=Queue!$C$4,OR(Queue!$K$4="*",N3127=Queue!$K$4)),Q3127,"")</f>
        <v/>
      </c>
    </row>
    <row r="3128">
      <c r="A3128" s="35">
        <f>IF(M3128="","",HYPERLINK("https://www.youtube.com/watch?v="&amp;M3128,"▶"))</f>
        <v/>
      </c>
      <c r="B3128" s="36">
        <f>IF(C3128&lt;&gt;"",C3128,IF(P3128&lt;=IFERROR(INDEX(tblChannels[Watched Through],MATCH(N3128,tblChannels[Channel ID],0)),0),"Watched","Unwatched"))</f>
        <v/>
      </c>
      <c r="C3128" s="37" t="n"/>
      <c r="D3128" s="38" t="n"/>
      <c r="E3128" s="39" t="n">
        <v>41284.94305555556</v>
      </c>
      <c r="F3128" s="47" t="inlineStr">
        <is>
          <t>Super Carlin Brothers</t>
        </is>
      </c>
      <c r="G3128" t="inlineStr">
        <is>
          <t>Delirious Ben Plays with Sound Bytes</t>
        </is>
      </c>
      <c r="H3128" s="41" t="n">
        <v>0.00119212962962963</v>
      </c>
      <c r="I3128" s="42" t="n">
        <v>11636</v>
      </c>
      <c r="J3128" s="42" t="n">
        <v>269</v>
      </c>
      <c r="K3128" s="42" t="n">
        <v>33</v>
      </c>
      <c r="L3128" s="43" t="n"/>
      <c r="M3128" s="44" t="n"/>
      <c r="N3128" s="44" t="inlineStr">
        <is>
          <t>UCKZo4N0lVPccBkSiuyVh4yg</t>
        </is>
      </c>
      <c r="O3128" s="45" t="n">
        <v>41285.15138888889</v>
      </c>
      <c r="P3128" s="46" t="n">
        <v>41284</v>
      </c>
      <c r="Q3128" s="44" t="n">
        <v>144</v>
      </c>
      <c r="R3128" s="44" t="inlineStr">
        <is>
          <t>No Video ID yet</t>
        </is>
      </c>
      <c r="S3128" s="46" t="n"/>
      <c r="T3128" s="46" t="n"/>
      <c r="U3128" s="44" t="n"/>
      <c r="V3128" s="44">
        <f>IF(AND(P3128&gt;=Calendar!$K$2,P3128&lt;EDATE(Calendar!$K$2,1),OR(Calendar!$K$4="*",N3128=Calendar!$K$4)),P3128*100+COUNTIFS($P$6:$P$3271,P3128,$Q$6:$Q$3271,"&lt;="&amp;Q3128,$N$6:$N$3271,Calendar!$K$4),"")</f>
        <v/>
      </c>
      <c r="W3128" s="44">
        <f>IF(AND(B3128=Queue!$C$4,OR(Queue!$K$4="*",N3128=Queue!$K$4)),Q3128,"")</f>
        <v/>
      </c>
    </row>
    <row r="3129">
      <c r="A3129" s="35">
        <f>IF(M3129="","",HYPERLINK("https://www.youtube.com/watch?v="&amp;M3129,"▶"))</f>
        <v/>
      </c>
      <c r="B3129" s="36">
        <f>IF(C3129&lt;&gt;"",C3129,IF(P3129&lt;=IFERROR(INDEX(tblChannels[Watched Through],MATCH(N3129,tblChannels[Channel ID],0)),0),"Watched","Unwatched"))</f>
        <v/>
      </c>
      <c r="C3129" s="37" t="n"/>
      <c r="D3129" s="38" t="n"/>
      <c r="E3129" s="39" t="n">
        <v>41283.97152777778</v>
      </c>
      <c r="F3129" s="47" t="inlineStr">
        <is>
          <t>Super Carlin Brothers</t>
        </is>
      </c>
      <c r="G3129" t="inlineStr">
        <is>
          <t>The first time</t>
        </is>
      </c>
      <c r="H3129" s="41" t="n">
        <v>0.002592592592592593</v>
      </c>
      <c r="I3129" s="42" t="n">
        <v>37186</v>
      </c>
      <c r="J3129" s="42" t="n">
        <v>681</v>
      </c>
      <c r="K3129" s="42" t="n">
        <v>97</v>
      </c>
      <c r="L3129" s="43" t="n"/>
      <c r="M3129" s="44" t="n"/>
      <c r="N3129" s="44" t="inlineStr">
        <is>
          <t>UCKZo4N0lVPccBkSiuyVh4yg</t>
        </is>
      </c>
      <c r="O3129" s="45" t="n">
        <v>41284.17986111111</v>
      </c>
      <c r="P3129" s="46" t="n">
        <v>41283</v>
      </c>
      <c r="Q3129" s="44" t="n">
        <v>143</v>
      </c>
      <c r="R3129" s="44" t="inlineStr">
        <is>
          <t>No Video ID yet</t>
        </is>
      </c>
      <c r="S3129" s="46" t="n"/>
      <c r="T3129" s="46" t="n"/>
      <c r="U3129" s="44" t="n"/>
      <c r="V3129" s="44">
        <f>IF(AND(P3129&gt;=Calendar!$K$2,P3129&lt;EDATE(Calendar!$K$2,1),OR(Calendar!$K$4="*",N3129=Calendar!$K$4)),P3129*100+COUNTIFS($P$6:$P$3271,P3129,$Q$6:$Q$3271,"&lt;="&amp;Q3129,$N$6:$N$3271,Calendar!$K$4),"")</f>
        <v/>
      </c>
      <c r="W3129" s="44">
        <f>IF(AND(B3129=Queue!$C$4,OR(Queue!$K$4="*",N3129=Queue!$K$4)),Q3129,"")</f>
        <v/>
      </c>
    </row>
    <row r="3130">
      <c r="A3130" s="35">
        <f>IF(M3130="","",HYPERLINK("https://www.youtube.com/watch?v="&amp;M3130,"▶"))</f>
        <v/>
      </c>
      <c r="B3130" s="36">
        <f>IF(C3130&lt;&gt;"",C3130,IF(P3130&lt;=IFERROR(INDEX(tblChannels[Watched Through],MATCH(N3130,tblChannels[Channel ID],0)),0),"Watched","Unwatched"))</f>
        <v/>
      </c>
      <c r="C3130" s="37" t="n"/>
      <c r="D3130" s="38" t="n"/>
      <c r="E3130" s="39" t="n">
        <v>41282.95694444444</v>
      </c>
      <c r="F3130" s="47" t="inlineStr">
        <is>
          <t>Super Carlin Brothers</t>
        </is>
      </c>
      <c r="G3130" t="inlineStr">
        <is>
          <t>Knick Knacks</t>
        </is>
      </c>
      <c r="H3130" s="41" t="n">
        <v>0.002418981481481482</v>
      </c>
      <c r="I3130" s="42" t="n">
        <v>12547</v>
      </c>
      <c r="J3130" s="42" t="n">
        <v>308</v>
      </c>
      <c r="K3130" s="42" t="n">
        <v>60</v>
      </c>
      <c r="L3130" s="43" t="n"/>
      <c r="M3130" s="44" t="n"/>
      <c r="N3130" s="44" t="inlineStr">
        <is>
          <t>UCKZo4N0lVPccBkSiuyVh4yg</t>
        </is>
      </c>
      <c r="O3130" s="45" t="n">
        <v>41283.16527777778</v>
      </c>
      <c r="P3130" s="46" t="n">
        <v>41282</v>
      </c>
      <c r="Q3130" s="44" t="n">
        <v>142</v>
      </c>
      <c r="R3130" s="44" t="inlineStr">
        <is>
          <t>No Video ID yet</t>
        </is>
      </c>
      <c r="S3130" s="46" t="n"/>
      <c r="T3130" s="46" t="n"/>
      <c r="U3130" s="44" t="n"/>
      <c r="V3130" s="44">
        <f>IF(AND(P3130&gt;=Calendar!$K$2,P3130&lt;EDATE(Calendar!$K$2,1),OR(Calendar!$K$4="*",N3130=Calendar!$K$4)),P3130*100+COUNTIFS($P$6:$P$3271,P3130,$Q$6:$Q$3271,"&lt;="&amp;Q3130,$N$6:$N$3271,Calendar!$K$4),"")</f>
        <v/>
      </c>
      <c r="W3130" s="44">
        <f>IF(AND(B3130=Queue!$C$4,OR(Queue!$K$4="*",N3130=Queue!$K$4)),Q3130,"")</f>
        <v/>
      </c>
    </row>
    <row r="3131">
      <c r="A3131" s="35">
        <f>IF(M3131="","",HYPERLINK("https://www.youtube.com/watch?v="&amp;M3131,"▶"))</f>
        <v/>
      </c>
      <c r="B3131" s="36">
        <f>IF(C3131&lt;&gt;"",C3131,IF(P3131&lt;=IFERROR(INDEX(tblChannels[Watched Through],MATCH(N3131,tblChannels[Channel ID],0)),0),"Watched","Unwatched"))</f>
        <v/>
      </c>
      <c r="C3131" s="37" t="n"/>
      <c r="D3131" s="38" t="n"/>
      <c r="E3131" s="39" t="n">
        <v>41281.93611111111</v>
      </c>
      <c r="F3131" s="47" t="inlineStr">
        <is>
          <t>Super Carlin Brothers</t>
        </is>
      </c>
      <c r="G3131" t="inlineStr">
        <is>
          <t>Nostalgia Rangers!</t>
        </is>
      </c>
      <c r="H3131" s="41" t="n">
        <v>0.002835648148148148</v>
      </c>
      <c r="I3131" s="42" t="n">
        <v>12657</v>
      </c>
      <c r="J3131" s="42" t="n">
        <v>353</v>
      </c>
      <c r="K3131" s="42" t="n">
        <v>93</v>
      </c>
      <c r="L3131" s="43" t="n"/>
      <c r="M3131" s="44" t="n"/>
      <c r="N3131" s="44" t="inlineStr">
        <is>
          <t>UCKZo4N0lVPccBkSiuyVh4yg</t>
        </is>
      </c>
      <c r="O3131" s="45" t="n">
        <v>41282.14444444444</v>
      </c>
      <c r="P3131" s="46" t="n">
        <v>41281</v>
      </c>
      <c r="Q3131" s="44" t="n">
        <v>141</v>
      </c>
      <c r="R3131" s="44" t="inlineStr">
        <is>
          <t>No Video ID yet</t>
        </is>
      </c>
      <c r="S3131" s="46" t="n"/>
      <c r="T3131" s="46" t="n"/>
      <c r="U3131" s="44" t="n"/>
      <c r="V3131" s="44">
        <f>IF(AND(P3131&gt;=Calendar!$K$2,P3131&lt;EDATE(Calendar!$K$2,1),OR(Calendar!$K$4="*",N3131=Calendar!$K$4)),P3131*100+COUNTIFS($P$6:$P$3271,P3131,$Q$6:$Q$3271,"&lt;="&amp;Q3131,$N$6:$N$3271,Calendar!$K$4),"")</f>
        <v/>
      </c>
      <c r="W3131" s="44">
        <f>IF(AND(B3131=Queue!$C$4,OR(Queue!$K$4="*",N3131=Queue!$K$4)),Q3131,"")</f>
        <v/>
      </c>
    </row>
    <row r="3132">
      <c r="A3132" s="35">
        <f>IF(M3132="","",HYPERLINK("https://www.youtube.com/watch?v="&amp;M3132,"▶"))</f>
        <v/>
      </c>
      <c r="B3132" s="36">
        <f>IF(C3132&lt;&gt;"",C3132,IF(P3132&lt;=IFERROR(INDEX(tblChannels[Watched Through],MATCH(N3132,tblChannels[Channel ID],0)),0),"Watched","Unwatched"))</f>
        <v/>
      </c>
      <c r="C3132" s="37" t="n"/>
      <c r="D3132" s="38" t="n"/>
      <c r="E3132" s="39" t="n">
        <v>41278.77222222222</v>
      </c>
      <c r="F3132" s="47" t="inlineStr">
        <is>
          <t>Super Carlin Brothers</t>
        </is>
      </c>
      <c r="G3132" t="inlineStr">
        <is>
          <t>Duct Tape</t>
        </is>
      </c>
      <c r="H3132" s="41" t="n">
        <v>0.001759259259259259</v>
      </c>
      <c r="I3132" s="42" t="n">
        <v>13475</v>
      </c>
      <c r="J3132" s="42" t="n">
        <v>361</v>
      </c>
      <c r="K3132" s="42" t="n">
        <v>103</v>
      </c>
      <c r="L3132" s="43" t="n"/>
      <c r="M3132" s="44" t="n"/>
      <c r="N3132" s="44" t="inlineStr">
        <is>
          <t>UCKZo4N0lVPccBkSiuyVh4yg</t>
        </is>
      </c>
      <c r="O3132" s="45" t="n">
        <v>41278.98055555556</v>
      </c>
      <c r="P3132" s="46" t="n">
        <v>41278</v>
      </c>
      <c r="Q3132" s="44" t="n">
        <v>140</v>
      </c>
      <c r="R3132" s="44" t="inlineStr">
        <is>
          <t>No Video ID yet</t>
        </is>
      </c>
      <c r="S3132" s="46" t="n"/>
      <c r="T3132" s="46" t="n"/>
      <c r="U3132" s="44" t="n"/>
      <c r="V3132" s="44">
        <f>IF(AND(P3132&gt;=Calendar!$K$2,P3132&lt;EDATE(Calendar!$K$2,1),OR(Calendar!$K$4="*",N3132=Calendar!$K$4)),P3132*100+COUNTIFS($P$6:$P$3271,P3132,$Q$6:$Q$3271,"&lt;="&amp;Q3132,$N$6:$N$3271,Calendar!$K$4),"")</f>
        <v/>
      </c>
      <c r="W3132" s="44">
        <f>IF(AND(B3132=Queue!$C$4,OR(Queue!$K$4="*",N3132=Queue!$K$4)),Q3132,"")</f>
        <v/>
      </c>
    </row>
    <row r="3133">
      <c r="A3133" s="35">
        <f>IF(M3133="","",HYPERLINK("https://www.youtube.com/watch?v="&amp;M3133,"▶"))</f>
        <v/>
      </c>
      <c r="B3133" s="36">
        <f>IF(C3133&lt;&gt;"",C3133,IF(P3133&lt;=IFERROR(INDEX(tblChannels[Watched Through],MATCH(N3133,tblChannels[Channel ID],0)),0),"Watched","Unwatched"))</f>
        <v/>
      </c>
      <c r="C3133" s="37" t="n"/>
      <c r="D3133" s="38" t="n"/>
      <c r="E3133" s="39" t="n">
        <v>41277.91527777778</v>
      </c>
      <c r="F3133" s="47" t="inlineStr">
        <is>
          <t>Super Carlin Brothers</t>
        </is>
      </c>
      <c r="G3133" t="inlineStr">
        <is>
          <t>Stupid Alarm Clocks!</t>
        </is>
      </c>
      <c r="H3133" s="41" t="n">
        <v>0.002766203703703704</v>
      </c>
      <c r="I3133" s="42" t="n">
        <v>42043</v>
      </c>
      <c r="J3133" s="42" t="n">
        <v>771</v>
      </c>
      <c r="K3133" s="42" t="n">
        <v>174</v>
      </c>
      <c r="L3133" s="43" t="n"/>
      <c r="M3133" s="44" t="n"/>
      <c r="N3133" s="44" t="inlineStr">
        <is>
          <t>UCKZo4N0lVPccBkSiuyVh4yg</t>
        </is>
      </c>
      <c r="O3133" s="45" t="n">
        <v>41278.12361111111</v>
      </c>
      <c r="P3133" s="46" t="n">
        <v>41277</v>
      </c>
      <c r="Q3133" s="44" t="n">
        <v>139</v>
      </c>
      <c r="R3133" s="44" t="inlineStr">
        <is>
          <t>No Video ID yet</t>
        </is>
      </c>
      <c r="S3133" s="46" t="n"/>
      <c r="T3133" s="46" t="n"/>
      <c r="U3133" s="44" t="n"/>
      <c r="V3133" s="44">
        <f>IF(AND(P3133&gt;=Calendar!$K$2,P3133&lt;EDATE(Calendar!$K$2,1),OR(Calendar!$K$4="*",N3133=Calendar!$K$4)),P3133*100+COUNTIFS($P$6:$P$3271,P3133,$Q$6:$Q$3271,"&lt;="&amp;Q3133,$N$6:$N$3271,Calendar!$K$4),"")</f>
        <v/>
      </c>
      <c r="W3133" s="44">
        <f>IF(AND(B3133=Queue!$C$4,OR(Queue!$K$4="*",N3133=Queue!$K$4)),Q3133,"")</f>
        <v/>
      </c>
    </row>
    <row r="3134">
      <c r="A3134" s="35">
        <f>IF(M3134="","",HYPERLINK("https://www.youtube.com/watch?v="&amp;M3134,"▶"))</f>
        <v/>
      </c>
      <c r="B3134" s="36">
        <f>IF(C3134&lt;&gt;"",C3134,IF(P3134&lt;=IFERROR(INDEX(tblChannels[Watched Through],MATCH(N3134,tblChannels[Channel ID],0)),0),"Watched","Unwatched"))</f>
        <v/>
      </c>
      <c r="C3134" s="37" t="n"/>
      <c r="D3134" s="38" t="n"/>
      <c r="E3134" s="39" t="n">
        <v>41276.89097222222</v>
      </c>
      <c r="F3134" s="47" t="inlineStr">
        <is>
          <t>Super Carlin Brothers</t>
        </is>
      </c>
      <c r="G3134" t="inlineStr">
        <is>
          <t>If Cookies Were Money</t>
        </is>
      </c>
      <c r="H3134" s="41" t="n">
        <v>0.002372685185185185</v>
      </c>
      <c r="I3134" s="42" t="n">
        <v>14468</v>
      </c>
      <c r="J3134" s="42" t="n">
        <v>357</v>
      </c>
      <c r="K3134" s="42" t="n">
        <v>60</v>
      </c>
      <c r="L3134" s="43" t="n"/>
      <c r="M3134" s="44" t="n"/>
      <c r="N3134" s="44" t="inlineStr">
        <is>
          <t>UCKZo4N0lVPccBkSiuyVh4yg</t>
        </is>
      </c>
      <c r="O3134" s="45" t="n">
        <v>41277.09930555556</v>
      </c>
      <c r="P3134" s="46" t="n">
        <v>41276</v>
      </c>
      <c r="Q3134" s="44" t="n">
        <v>138</v>
      </c>
      <c r="R3134" s="44" t="inlineStr">
        <is>
          <t>No Video ID yet</t>
        </is>
      </c>
      <c r="S3134" s="46" t="n"/>
      <c r="T3134" s="46" t="n"/>
      <c r="U3134" s="44" t="n"/>
      <c r="V3134" s="44">
        <f>IF(AND(P3134&gt;=Calendar!$K$2,P3134&lt;EDATE(Calendar!$K$2,1),OR(Calendar!$K$4="*",N3134=Calendar!$K$4)),P3134*100+COUNTIFS($P$6:$P$3271,P3134,$Q$6:$Q$3271,"&lt;="&amp;Q3134,$N$6:$N$3271,Calendar!$K$4),"")</f>
        <v/>
      </c>
      <c r="W3134" s="44">
        <f>IF(AND(B3134=Queue!$C$4,OR(Queue!$K$4="*",N3134=Queue!$K$4)),Q3134,"")</f>
        <v/>
      </c>
    </row>
    <row r="3135">
      <c r="A3135" s="35">
        <f>IF(M3135="","",HYPERLINK("https://www.youtube.com/watch?v="&amp;M3135,"▶"))</f>
        <v/>
      </c>
      <c r="B3135" s="36">
        <f>IF(C3135&lt;&gt;"",C3135,IF(P3135&lt;=IFERROR(INDEX(tblChannels[Watched Through],MATCH(N3135,tblChannels[Channel ID],0)),0),"Watched","Unwatched"))</f>
        <v/>
      </c>
      <c r="C3135" s="37" t="n"/>
      <c r="D3135" s="38" t="n"/>
      <c r="E3135" s="39" t="n">
        <v>41275.90625</v>
      </c>
      <c r="F3135" s="47" t="inlineStr">
        <is>
          <t>Super Carlin Brothers</t>
        </is>
      </c>
      <c r="G3135" t="inlineStr">
        <is>
          <t>Running Resolution</t>
        </is>
      </c>
      <c r="H3135" s="41" t="n">
        <v>0.002314814814814815</v>
      </c>
      <c r="I3135" s="42" t="n">
        <v>11247</v>
      </c>
      <c r="J3135" s="42" t="n">
        <v>268</v>
      </c>
      <c r="K3135" s="42" t="n">
        <v>74</v>
      </c>
      <c r="L3135" s="43" t="n"/>
      <c r="M3135" s="44" t="n"/>
      <c r="N3135" s="44" t="inlineStr">
        <is>
          <t>UCKZo4N0lVPccBkSiuyVh4yg</t>
        </is>
      </c>
      <c r="O3135" s="45" t="n">
        <v>41276.11458333334</v>
      </c>
      <c r="P3135" s="46" t="n">
        <v>41275</v>
      </c>
      <c r="Q3135" s="44" t="n">
        <v>137</v>
      </c>
      <c r="R3135" s="44" t="inlineStr">
        <is>
          <t>No Video ID yet</t>
        </is>
      </c>
      <c r="S3135" s="46" t="n"/>
      <c r="T3135" s="46" t="n"/>
      <c r="U3135" s="44" t="n"/>
      <c r="V3135" s="44">
        <f>IF(AND(P3135&gt;=Calendar!$K$2,P3135&lt;EDATE(Calendar!$K$2,1),OR(Calendar!$K$4="*",N3135=Calendar!$K$4)),P3135*100+COUNTIFS($P$6:$P$3271,P3135,$Q$6:$Q$3271,"&lt;="&amp;Q3135,$N$6:$N$3271,Calendar!$K$4),"")</f>
        <v/>
      </c>
      <c r="W3135" s="44">
        <f>IF(AND(B3135=Queue!$C$4,OR(Queue!$K$4="*",N3135=Queue!$K$4)),Q3135,"")</f>
        <v/>
      </c>
    </row>
    <row r="3136">
      <c r="A3136" s="35">
        <f>IF(M3136="","",HYPERLINK("https://www.youtube.com/watch?v="&amp;M3136,"▶"))</f>
        <v/>
      </c>
      <c r="B3136" s="36">
        <f>IF(C3136&lt;&gt;"",C3136,IF(P3136&lt;=IFERROR(INDEX(tblChannels[Watched Through],MATCH(N3136,tblChannels[Channel ID],0)),0),"Watched","Unwatched"))</f>
        <v/>
      </c>
      <c r="C3136" s="37" t="n"/>
      <c r="D3136" s="38" t="n"/>
      <c r="E3136" s="39" t="n">
        <v>41274.76041666666</v>
      </c>
      <c r="F3136" s="47" t="inlineStr">
        <is>
          <t>Super Carlin Brothers</t>
        </is>
      </c>
      <c r="G3136" t="inlineStr">
        <is>
          <t>Resolution for Resolutions</t>
        </is>
      </c>
      <c r="H3136" s="41" t="n">
        <v>0.001886574074074074</v>
      </c>
      <c r="I3136" s="42" t="n">
        <v>10249</v>
      </c>
      <c r="J3136" s="42" t="n">
        <v>255</v>
      </c>
      <c r="K3136" s="42" t="n">
        <v>40</v>
      </c>
      <c r="L3136" s="43" t="n"/>
      <c r="M3136" s="44" t="n"/>
      <c r="N3136" s="44" t="inlineStr">
        <is>
          <t>UCKZo4N0lVPccBkSiuyVh4yg</t>
        </is>
      </c>
      <c r="O3136" s="45" t="n">
        <v>41274.96875</v>
      </c>
      <c r="P3136" s="46" t="n">
        <v>41274</v>
      </c>
      <c r="Q3136" s="44" t="n">
        <v>136</v>
      </c>
      <c r="R3136" s="44" t="inlineStr">
        <is>
          <t>No Video ID yet</t>
        </is>
      </c>
      <c r="S3136" s="46" t="n"/>
      <c r="T3136" s="46" t="n"/>
      <c r="U3136" s="44" t="n"/>
      <c r="V3136" s="44">
        <f>IF(AND(P3136&gt;=Calendar!$K$2,P3136&lt;EDATE(Calendar!$K$2,1),OR(Calendar!$K$4="*",N3136=Calendar!$K$4)),P3136*100+COUNTIFS($P$6:$P$3271,P3136,$Q$6:$Q$3271,"&lt;="&amp;Q3136,$N$6:$N$3271,Calendar!$K$4),"")</f>
        <v/>
      </c>
      <c r="W3136" s="44">
        <f>IF(AND(B3136=Queue!$C$4,OR(Queue!$K$4="*",N3136=Queue!$K$4)),Q3136,"")</f>
        <v/>
      </c>
    </row>
    <row r="3137">
      <c r="A3137" s="35">
        <f>IF(M3137="","",HYPERLINK("https://www.youtube.com/watch?v="&amp;M3137,"▶"))</f>
        <v/>
      </c>
      <c r="B3137" s="36">
        <f>IF(C3137&lt;&gt;"",C3137,IF(P3137&lt;=IFERROR(INDEX(tblChannels[Watched Through],MATCH(N3137,tblChannels[Channel ID],0)),0),"Watched","Unwatched"))</f>
        <v/>
      </c>
      <c r="C3137" s="37" t="n"/>
      <c r="D3137" s="38" t="n"/>
      <c r="E3137" s="39" t="n">
        <v>41271.94722222222</v>
      </c>
      <c r="F3137" s="47" t="inlineStr">
        <is>
          <t>Super Carlin Brothers</t>
        </is>
      </c>
      <c r="G3137" t="inlineStr">
        <is>
          <t>Don't orphan the salt!</t>
        </is>
      </c>
      <c r="H3137" s="41" t="n">
        <v>0.002349537037037037</v>
      </c>
      <c r="I3137" s="42" t="n">
        <v>41146</v>
      </c>
      <c r="J3137" s="42" t="n">
        <v>878</v>
      </c>
      <c r="K3137" s="42" t="n">
        <v>274</v>
      </c>
      <c r="L3137" s="43" t="n"/>
      <c r="M3137" s="44" t="n"/>
      <c r="N3137" s="44" t="inlineStr">
        <is>
          <t>UCKZo4N0lVPccBkSiuyVh4yg</t>
        </is>
      </c>
      <c r="O3137" s="45" t="n">
        <v>41272.15555555555</v>
      </c>
      <c r="P3137" s="46" t="n">
        <v>41271</v>
      </c>
      <c r="Q3137" s="44" t="n">
        <v>135</v>
      </c>
      <c r="R3137" s="44" t="inlineStr">
        <is>
          <t>No Video ID yet</t>
        </is>
      </c>
      <c r="S3137" s="46" t="n"/>
      <c r="T3137" s="46" t="n"/>
      <c r="U3137" s="44" t="n"/>
      <c r="V3137" s="44">
        <f>IF(AND(P3137&gt;=Calendar!$K$2,P3137&lt;EDATE(Calendar!$K$2,1),OR(Calendar!$K$4="*",N3137=Calendar!$K$4)),P3137*100+COUNTIFS($P$6:$P$3271,P3137,$Q$6:$Q$3271,"&lt;="&amp;Q3137,$N$6:$N$3271,Calendar!$K$4),"")</f>
        <v/>
      </c>
      <c r="W3137" s="44">
        <f>IF(AND(B3137=Queue!$C$4,OR(Queue!$K$4="*",N3137=Queue!$K$4)),Q3137,"")</f>
        <v/>
      </c>
    </row>
    <row r="3138">
      <c r="A3138" s="35">
        <f>IF(M3138="","",HYPERLINK("https://www.youtube.com/watch?v="&amp;M3138,"▶"))</f>
        <v/>
      </c>
      <c r="B3138" s="36">
        <f>IF(C3138&lt;&gt;"",C3138,IF(P3138&lt;=IFERROR(INDEX(tblChannels[Watched Through],MATCH(N3138,tblChannels[Channel ID],0)),0),"Watched","Unwatched"))</f>
        <v/>
      </c>
      <c r="C3138" s="37" t="n"/>
      <c r="D3138" s="38" t="n"/>
      <c r="E3138" s="39" t="n">
        <v>41270.82291666666</v>
      </c>
      <c r="F3138" s="47" t="inlineStr">
        <is>
          <t>Super Carlin Brothers</t>
        </is>
      </c>
      <c r="G3138" t="inlineStr">
        <is>
          <t>The Year of '012</t>
        </is>
      </c>
      <c r="H3138" s="41" t="n">
        <v>0.001782407407407407</v>
      </c>
      <c r="I3138" s="42" t="n">
        <v>11060</v>
      </c>
      <c r="J3138" s="42" t="n">
        <v>268</v>
      </c>
      <c r="K3138" s="42" t="n">
        <v>55</v>
      </c>
      <c r="L3138" s="43" t="n"/>
      <c r="M3138" s="44" t="n"/>
      <c r="N3138" s="44" t="inlineStr">
        <is>
          <t>UCKZo4N0lVPccBkSiuyVh4yg</t>
        </is>
      </c>
      <c r="O3138" s="45" t="n">
        <v>41271.03125</v>
      </c>
      <c r="P3138" s="46" t="n">
        <v>41270</v>
      </c>
      <c r="Q3138" s="44" t="n">
        <v>134</v>
      </c>
      <c r="R3138" s="44" t="inlineStr">
        <is>
          <t>No Video ID yet</t>
        </is>
      </c>
      <c r="S3138" s="46" t="n"/>
      <c r="T3138" s="46" t="n"/>
      <c r="U3138" s="44" t="n"/>
      <c r="V3138" s="44">
        <f>IF(AND(P3138&gt;=Calendar!$K$2,P3138&lt;EDATE(Calendar!$K$2,1),OR(Calendar!$K$4="*",N3138=Calendar!$K$4)),P3138*100+COUNTIFS($P$6:$P$3271,P3138,$Q$6:$Q$3271,"&lt;="&amp;Q3138,$N$6:$N$3271,Calendar!$K$4),"")</f>
        <v/>
      </c>
      <c r="W3138" s="44">
        <f>IF(AND(B3138=Queue!$C$4,OR(Queue!$K$4="*",N3138=Queue!$K$4)),Q3138,"")</f>
        <v/>
      </c>
    </row>
    <row r="3139">
      <c r="A3139" s="35">
        <f>IF(M3139="","",HYPERLINK("https://www.youtube.com/watch?v="&amp;M3139,"▶"))</f>
        <v/>
      </c>
      <c r="B3139" s="36">
        <f>IF(C3139&lt;&gt;"",C3139,IF(P3139&lt;=IFERROR(INDEX(tblChannels[Watched Through],MATCH(N3139,tblChannels[Channel ID],0)),0),"Watched","Unwatched"))</f>
        <v/>
      </c>
      <c r="C3139" s="37" t="n"/>
      <c r="D3139" s="38" t="n"/>
      <c r="E3139" s="39" t="n">
        <v>41269.92222222222</v>
      </c>
      <c r="F3139" s="47" t="inlineStr">
        <is>
          <t>Super Carlin Brothers</t>
        </is>
      </c>
      <c r="G3139" t="inlineStr">
        <is>
          <t>Beth missed me!</t>
        </is>
      </c>
      <c r="H3139" s="41" t="n">
        <v>0.0007175925925925926</v>
      </c>
      <c r="I3139" s="42" t="n">
        <v>31619</v>
      </c>
      <c r="J3139" s="42" t="n">
        <v>727</v>
      </c>
      <c r="K3139" s="42" t="n">
        <v>86</v>
      </c>
      <c r="L3139" s="43" t="n"/>
      <c r="M3139" s="44" t="n"/>
      <c r="N3139" s="44" t="inlineStr">
        <is>
          <t>UCKZo4N0lVPccBkSiuyVh4yg</t>
        </is>
      </c>
      <c r="O3139" s="45" t="n">
        <v>41270.13055555556</v>
      </c>
      <c r="P3139" s="46" t="n">
        <v>41269</v>
      </c>
      <c r="Q3139" s="44" t="n">
        <v>133</v>
      </c>
      <c r="R3139" s="44" t="inlineStr">
        <is>
          <t>No Video ID yet</t>
        </is>
      </c>
      <c r="S3139" s="46" t="n"/>
      <c r="T3139" s="46" t="n"/>
      <c r="U3139" s="44" t="n"/>
      <c r="V3139" s="44">
        <f>IF(AND(P3139&gt;=Calendar!$K$2,P3139&lt;EDATE(Calendar!$K$2,1),OR(Calendar!$K$4="*",N3139=Calendar!$K$4)),P3139*100+COUNTIFS($P$6:$P$3271,P3139,$Q$6:$Q$3271,"&lt;="&amp;Q3139,$N$6:$N$3271,Calendar!$K$4),"")</f>
        <v/>
      </c>
      <c r="W3139" s="44">
        <f>IF(AND(B3139=Queue!$C$4,OR(Queue!$K$4="*",N3139=Queue!$K$4)),Q3139,"")</f>
        <v/>
      </c>
    </row>
    <row r="3140">
      <c r="A3140" s="35">
        <f>IF(M3140="","",HYPERLINK("https://www.youtube.com/watch?v="&amp;M3140,"▶"))</f>
        <v/>
      </c>
      <c r="B3140" s="36">
        <f>IF(C3140&lt;&gt;"",C3140,IF(P3140&lt;=IFERROR(INDEX(tblChannels[Watched Through],MATCH(N3140,tblChannels[Channel ID],0)),0),"Watched","Unwatched"))</f>
        <v/>
      </c>
      <c r="C3140" s="37" t="n"/>
      <c r="D3140" s="38" t="n"/>
      <c r="E3140" s="39" t="n">
        <v>41268.85625</v>
      </c>
      <c r="F3140" s="47" t="inlineStr">
        <is>
          <t>Super Carlin Brothers</t>
        </is>
      </c>
      <c r="G3140" t="inlineStr">
        <is>
          <t>Barn Quilt and Merry Christmas!</t>
        </is>
      </c>
      <c r="H3140" s="41" t="n">
        <v>0.00130787037037037</v>
      </c>
      <c r="I3140" s="42" t="n">
        <v>10251</v>
      </c>
      <c r="J3140" s="42" t="n">
        <v>270</v>
      </c>
      <c r="K3140" s="42" t="n">
        <v>22</v>
      </c>
      <c r="L3140" s="43" t="n"/>
      <c r="M3140" s="44" t="n"/>
      <c r="N3140" s="44" t="inlineStr">
        <is>
          <t>UCKZo4N0lVPccBkSiuyVh4yg</t>
        </is>
      </c>
      <c r="O3140" s="45" t="n">
        <v>41269.06458333333</v>
      </c>
      <c r="P3140" s="46" t="n">
        <v>41268</v>
      </c>
      <c r="Q3140" s="44" t="n">
        <v>132</v>
      </c>
      <c r="R3140" s="44" t="inlineStr">
        <is>
          <t>No Video ID yet</t>
        </is>
      </c>
      <c r="S3140" s="46" t="n"/>
      <c r="T3140" s="46" t="n"/>
      <c r="U3140" s="44" t="n"/>
      <c r="V3140" s="44">
        <f>IF(AND(P3140&gt;=Calendar!$K$2,P3140&lt;EDATE(Calendar!$K$2,1),OR(Calendar!$K$4="*",N3140=Calendar!$K$4)),P3140*100+COUNTIFS($P$6:$P$3271,P3140,$Q$6:$Q$3271,"&lt;="&amp;Q3140,$N$6:$N$3271,Calendar!$K$4),"")</f>
        <v/>
      </c>
      <c r="W3140" s="44">
        <f>IF(AND(B3140=Queue!$C$4,OR(Queue!$K$4="*",N3140=Queue!$K$4)),Q3140,"")</f>
        <v/>
      </c>
    </row>
    <row r="3141">
      <c r="A3141" s="35">
        <f>IF(M3141="","",HYPERLINK("https://www.youtube.com/watch?v="&amp;M3141,"▶"))</f>
        <v/>
      </c>
      <c r="B3141" s="36">
        <f>IF(C3141&lt;&gt;"",C3141,IF(P3141&lt;=IFERROR(INDEX(tblChannels[Watched Through],MATCH(N3141,tblChannels[Channel ID],0)),0),"Watched","Unwatched"))</f>
        <v/>
      </c>
      <c r="C3141" s="37" t="n"/>
      <c r="D3141" s="38" t="n"/>
      <c r="E3141" s="39" t="n">
        <v>41267.57152777778</v>
      </c>
      <c r="F3141" s="47" t="inlineStr">
        <is>
          <t>Super Carlin Brothers</t>
        </is>
      </c>
      <c r="G3141" t="inlineStr">
        <is>
          <t>Pokemon Car Trip Battle - Juxtabros!</t>
        </is>
      </c>
      <c r="H3141" s="41" t="n">
        <v>0.00306712962962963</v>
      </c>
      <c r="I3141" s="42" t="n">
        <v>11981</v>
      </c>
      <c r="J3141" s="42" t="n">
        <v>281</v>
      </c>
      <c r="K3141" s="42" t="n">
        <v>37</v>
      </c>
      <c r="L3141" s="43" t="n"/>
      <c r="M3141" s="44" t="n"/>
      <c r="N3141" s="44" t="inlineStr">
        <is>
          <t>UCKZo4N0lVPccBkSiuyVh4yg</t>
        </is>
      </c>
      <c r="O3141" s="45" t="n">
        <v>41267.77986111111</v>
      </c>
      <c r="P3141" s="46" t="n">
        <v>41267</v>
      </c>
      <c r="Q3141" s="44" t="n">
        <v>131</v>
      </c>
      <c r="R3141" s="44" t="inlineStr">
        <is>
          <t>No Video ID yet</t>
        </is>
      </c>
      <c r="S3141" s="46" t="n"/>
      <c r="T3141" s="46" t="n"/>
      <c r="U3141" s="44" t="n"/>
      <c r="V3141" s="44">
        <f>IF(AND(P3141&gt;=Calendar!$K$2,P3141&lt;EDATE(Calendar!$K$2,1),OR(Calendar!$K$4="*",N3141=Calendar!$K$4)),P3141*100+COUNTIFS($P$6:$P$3271,P3141,$Q$6:$Q$3271,"&lt;="&amp;Q3141,$N$6:$N$3271,Calendar!$K$4),"")</f>
        <v/>
      </c>
      <c r="W3141" s="44">
        <f>IF(AND(B3141=Queue!$C$4,OR(Queue!$K$4="*",N3141=Queue!$K$4)),Q3141,"")</f>
        <v/>
      </c>
    </row>
    <row r="3142">
      <c r="A3142" s="35">
        <f>IF(M3142="","",HYPERLINK("https://www.youtube.com/watch?v="&amp;M3142,"▶"))</f>
        <v/>
      </c>
      <c r="B3142" s="36">
        <f>IF(C3142&lt;&gt;"",C3142,IF(P3142&lt;=IFERROR(INDEX(tblChannels[Watched Through],MATCH(N3142,tblChannels[Channel ID],0)),0),"Watched","Unwatched"))</f>
        <v/>
      </c>
      <c r="C3142" s="37" t="n"/>
      <c r="D3142" s="38" t="n"/>
      <c r="E3142" s="39" t="n">
        <v>41264.92916666667</v>
      </c>
      <c r="F3142" s="47" t="inlineStr">
        <is>
          <t>Super Carlin Brothers</t>
        </is>
      </c>
      <c r="G3142" t="inlineStr">
        <is>
          <t>Like Button Peer Pressure</t>
        </is>
      </c>
      <c r="H3142" s="41" t="n">
        <v>0.001643518518518519</v>
      </c>
      <c r="I3142" s="42" t="n">
        <v>11472</v>
      </c>
      <c r="J3142" s="42" t="n">
        <v>1059</v>
      </c>
      <c r="K3142" s="42" t="n">
        <v>30</v>
      </c>
      <c r="L3142" s="43" t="n"/>
      <c r="M3142" s="44" t="n"/>
      <c r="N3142" s="44" t="inlineStr">
        <is>
          <t>UCKZo4N0lVPccBkSiuyVh4yg</t>
        </is>
      </c>
      <c r="O3142" s="45" t="n">
        <v>41265.1375</v>
      </c>
      <c r="P3142" s="46" t="n">
        <v>41264</v>
      </c>
      <c r="Q3142" s="44" t="n">
        <v>130</v>
      </c>
      <c r="R3142" s="44" t="inlineStr">
        <is>
          <t>No Video ID yet</t>
        </is>
      </c>
      <c r="S3142" s="46" t="n"/>
      <c r="T3142" s="46" t="n"/>
      <c r="U3142" s="44" t="n"/>
      <c r="V3142" s="44">
        <f>IF(AND(P3142&gt;=Calendar!$K$2,P3142&lt;EDATE(Calendar!$K$2,1),OR(Calendar!$K$4="*",N3142=Calendar!$K$4)),P3142*100+COUNTIFS($P$6:$P$3271,P3142,$Q$6:$Q$3271,"&lt;="&amp;Q3142,$N$6:$N$3271,Calendar!$K$4),"")</f>
        <v/>
      </c>
      <c r="W3142" s="44">
        <f>IF(AND(B3142=Queue!$C$4,OR(Queue!$K$4="*",N3142=Queue!$K$4)),Q3142,"")</f>
        <v/>
      </c>
    </row>
    <row r="3143">
      <c r="A3143" s="35">
        <f>IF(M3143="","",HYPERLINK("https://www.youtube.com/watch?v="&amp;M3143,"▶"))</f>
        <v/>
      </c>
      <c r="B3143" s="36">
        <f>IF(C3143&lt;&gt;"",C3143,IF(P3143&lt;=IFERROR(INDEX(tblChannels[Watched Through],MATCH(N3143,tblChannels[Channel ID],0)),0),"Watched","Unwatched"))</f>
        <v/>
      </c>
      <c r="C3143" s="37" t="n"/>
      <c r="D3143" s="38" t="n"/>
      <c r="E3143" s="39" t="n">
        <v>41263.98125</v>
      </c>
      <c r="F3143" s="47" t="inlineStr">
        <is>
          <t>Super Carlin Brothers</t>
        </is>
      </c>
      <c r="G3143" t="inlineStr">
        <is>
          <t>Online vs. In Person Shopping</t>
        </is>
      </c>
      <c r="H3143" s="41" t="n">
        <v>0.00224537037037037</v>
      </c>
      <c r="I3143" s="42" t="n">
        <v>35544</v>
      </c>
      <c r="J3143" s="42" t="n">
        <v>667</v>
      </c>
      <c r="K3143" s="42" t="n">
        <v>48</v>
      </c>
      <c r="L3143" s="43" t="n"/>
      <c r="M3143" s="44" t="n"/>
      <c r="N3143" s="44" t="inlineStr">
        <is>
          <t>UCKZo4N0lVPccBkSiuyVh4yg</t>
        </is>
      </c>
      <c r="O3143" s="45" t="n">
        <v>41264.18958333333</v>
      </c>
      <c r="P3143" s="46" t="n">
        <v>41263</v>
      </c>
      <c r="Q3143" s="44" t="n">
        <v>129</v>
      </c>
      <c r="R3143" s="44" t="inlineStr">
        <is>
          <t>No Video ID yet</t>
        </is>
      </c>
      <c r="S3143" s="46" t="n"/>
      <c r="T3143" s="46" t="n"/>
      <c r="U3143" s="44" t="n"/>
      <c r="V3143" s="44">
        <f>IF(AND(P3143&gt;=Calendar!$K$2,P3143&lt;EDATE(Calendar!$K$2,1),OR(Calendar!$K$4="*",N3143=Calendar!$K$4)),P3143*100+COUNTIFS($P$6:$P$3271,P3143,$Q$6:$Q$3271,"&lt;="&amp;Q3143,$N$6:$N$3271,Calendar!$K$4),"")</f>
        <v/>
      </c>
      <c r="W3143" s="44">
        <f>IF(AND(B3143=Queue!$C$4,OR(Queue!$K$4="*",N3143=Queue!$K$4)),Q3143,"")</f>
        <v/>
      </c>
    </row>
    <row r="3144">
      <c r="A3144" s="35">
        <f>IF(M3144="","",HYPERLINK("https://www.youtube.com/watch?v="&amp;M3144,"▶"))</f>
        <v/>
      </c>
      <c r="B3144" s="36">
        <f>IF(C3144&lt;&gt;"",C3144,IF(P3144&lt;=IFERROR(INDEX(tblChannels[Watched Through],MATCH(N3144,tblChannels[Channel ID],0)),0),"Watched","Unwatched"))</f>
        <v/>
      </c>
      <c r="C3144" s="37" t="n"/>
      <c r="D3144" s="38" t="n"/>
      <c r="E3144" s="39" t="n">
        <v>41262.97013888889</v>
      </c>
      <c r="F3144" s="47" t="inlineStr">
        <is>
          <t>Super Carlin Brothers</t>
        </is>
      </c>
      <c r="G3144" t="inlineStr">
        <is>
          <t>The Bug</t>
        </is>
      </c>
      <c r="H3144" s="41" t="n">
        <v>0.0009375</v>
      </c>
      <c r="I3144" s="42" t="n">
        <v>10496</v>
      </c>
      <c r="J3144" s="42" t="n">
        <v>199</v>
      </c>
      <c r="K3144" s="42" t="n">
        <v>33</v>
      </c>
      <c r="L3144" s="43" t="n"/>
      <c r="M3144" s="44" t="n"/>
      <c r="N3144" s="44" t="inlineStr">
        <is>
          <t>UCKZo4N0lVPccBkSiuyVh4yg</t>
        </is>
      </c>
      <c r="O3144" s="45" t="n">
        <v>41263.17847222222</v>
      </c>
      <c r="P3144" s="46" t="n">
        <v>41262</v>
      </c>
      <c r="Q3144" s="44" t="n">
        <v>128</v>
      </c>
      <c r="R3144" s="44" t="inlineStr">
        <is>
          <t>No Video ID yet</t>
        </is>
      </c>
      <c r="S3144" s="46" t="n"/>
      <c r="T3144" s="46" t="n"/>
      <c r="U3144" s="44" t="n"/>
      <c r="V3144" s="44">
        <f>IF(AND(P3144&gt;=Calendar!$K$2,P3144&lt;EDATE(Calendar!$K$2,1),OR(Calendar!$K$4="*",N3144=Calendar!$K$4)),P3144*100+COUNTIFS($P$6:$P$3271,P3144,$Q$6:$Q$3271,"&lt;="&amp;Q3144,$N$6:$N$3271,Calendar!$K$4),"")</f>
        <v/>
      </c>
      <c r="W3144" s="44">
        <f>IF(AND(B3144=Queue!$C$4,OR(Queue!$K$4="*",N3144=Queue!$K$4)),Q3144,"")</f>
        <v/>
      </c>
    </row>
    <row r="3145">
      <c r="A3145" s="35">
        <f>IF(M3145="","",HYPERLINK("https://www.youtube.com/watch?v="&amp;M3145,"▶"))</f>
        <v/>
      </c>
      <c r="B3145" s="36">
        <f>IF(C3145&lt;&gt;"",C3145,IF(P3145&lt;=IFERROR(INDEX(tblChannels[Watched Through],MATCH(N3145,tblChannels[Channel ID],0)),0),"Watched","Unwatched"))</f>
        <v/>
      </c>
      <c r="C3145" s="37" t="n"/>
      <c r="D3145" s="38" t="n"/>
      <c r="E3145" s="39" t="n">
        <v>41261.97430555556</v>
      </c>
      <c r="F3145" s="47" t="inlineStr">
        <is>
          <t>Super Carlin Brothers</t>
        </is>
      </c>
      <c r="G3145" t="inlineStr">
        <is>
          <t>What your favorite cookie says about you</t>
        </is>
      </c>
      <c r="H3145" s="41" t="n">
        <v>0.002997685185185185</v>
      </c>
      <c r="I3145" s="42" t="n">
        <v>103759</v>
      </c>
      <c r="J3145" s="42" t="n">
        <v>2034</v>
      </c>
      <c r="K3145" s="42" t="n">
        <v>1664</v>
      </c>
      <c r="L3145" s="43" t="n"/>
      <c r="M3145" s="44" t="n"/>
      <c r="N3145" s="44" t="inlineStr">
        <is>
          <t>UCKZo4N0lVPccBkSiuyVh4yg</t>
        </is>
      </c>
      <c r="O3145" s="45" t="n">
        <v>41262.18263888889</v>
      </c>
      <c r="P3145" s="46" t="n">
        <v>41261</v>
      </c>
      <c r="Q3145" s="44" t="n">
        <v>127</v>
      </c>
      <c r="R3145" s="44" t="inlineStr">
        <is>
          <t>No Video ID yet</t>
        </is>
      </c>
      <c r="S3145" s="46" t="n"/>
      <c r="T3145" s="46" t="n"/>
      <c r="U3145" s="44" t="n"/>
      <c r="V3145" s="44">
        <f>IF(AND(P3145&gt;=Calendar!$K$2,P3145&lt;EDATE(Calendar!$K$2,1),OR(Calendar!$K$4="*",N3145=Calendar!$K$4)),P3145*100+COUNTIFS($P$6:$P$3271,P3145,$Q$6:$Q$3271,"&lt;="&amp;Q3145,$N$6:$N$3271,Calendar!$K$4),"")</f>
        <v/>
      </c>
      <c r="W3145" s="44">
        <f>IF(AND(B3145=Queue!$C$4,OR(Queue!$K$4="*",N3145=Queue!$K$4)),Q3145,"")</f>
        <v/>
      </c>
    </row>
    <row r="3146">
      <c r="A3146" s="35">
        <f>IF(M3146="","",HYPERLINK("https://www.youtube.com/watch?v="&amp;M3146,"▶"))</f>
        <v/>
      </c>
      <c r="B3146" s="36">
        <f>IF(C3146&lt;&gt;"",C3146,IF(P3146&lt;=IFERROR(INDEX(tblChannels[Watched Through],MATCH(N3146,tblChannels[Channel ID],0)),0),"Watched","Unwatched"))</f>
        <v/>
      </c>
      <c r="C3146" s="37" t="n"/>
      <c r="D3146" s="38" t="n"/>
      <c r="E3146" s="39" t="n">
        <v>41260.78125</v>
      </c>
      <c r="F3146" s="47" t="inlineStr">
        <is>
          <t>Super Carlin Brothers</t>
        </is>
      </c>
      <c r="G3146" t="inlineStr">
        <is>
          <t>Project for Awesome: Coral Restoration Foundation #P4A</t>
        </is>
      </c>
      <c r="H3146" s="41" t="n">
        <v>0.002615740740740741</v>
      </c>
      <c r="I3146" s="42" t="n">
        <v>12782</v>
      </c>
      <c r="J3146" s="42" t="n">
        <v>321</v>
      </c>
      <c r="K3146" s="42" t="n">
        <v>45</v>
      </c>
      <c r="L3146" s="43" t="n"/>
      <c r="M3146" s="44" t="n"/>
      <c r="N3146" s="44" t="inlineStr">
        <is>
          <t>UCKZo4N0lVPccBkSiuyVh4yg</t>
        </is>
      </c>
      <c r="O3146" s="45" t="n">
        <v>41260.98958333334</v>
      </c>
      <c r="P3146" s="46" t="n">
        <v>41260</v>
      </c>
      <c r="Q3146" s="44" t="n">
        <v>126</v>
      </c>
      <c r="R3146" s="44" t="inlineStr">
        <is>
          <t>No Video ID yet</t>
        </is>
      </c>
      <c r="S3146" s="46" t="n"/>
      <c r="T3146" s="46" t="n"/>
      <c r="U3146" s="44" t="n"/>
      <c r="V3146" s="44">
        <f>IF(AND(P3146&gt;=Calendar!$K$2,P3146&lt;EDATE(Calendar!$K$2,1),OR(Calendar!$K$4="*",N3146=Calendar!$K$4)),P3146*100+COUNTIFS($P$6:$P$3271,P3146,$Q$6:$Q$3271,"&lt;="&amp;Q3146,$N$6:$N$3271,Calendar!$K$4),"")</f>
        <v/>
      </c>
      <c r="W3146" s="44">
        <f>IF(AND(B3146=Queue!$C$4,OR(Queue!$K$4="*",N3146=Queue!$K$4)),Q3146,"")</f>
        <v/>
      </c>
    </row>
    <row r="3147">
      <c r="A3147" s="35">
        <f>IF(M3147="","",HYPERLINK("https://www.youtube.com/watch?v="&amp;M3147,"▶"))</f>
        <v/>
      </c>
      <c r="B3147" s="36">
        <f>IF(C3147&lt;&gt;"",C3147,IF(P3147&lt;=IFERROR(INDEX(tblChannels[Watched Through],MATCH(N3147,tblChannels[Channel ID],0)),0),"Watched","Unwatched"))</f>
        <v/>
      </c>
      <c r="C3147" s="37" t="n"/>
      <c r="D3147" s="38" t="n"/>
      <c r="E3147" s="39" t="n">
        <v>41257.72986111111</v>
      </c>
      <c r="F3147" s="47" t="inlineStr">
        <is>
          <t>Super Carlin Brothers</t>
        </is>
      </c>
      <c r="G3147" t="inlineStr">
        <is>
          <t>Connecticut Elementary School Shooting</t>
        </is>
      </c>
      <c r="H3147" s="41" t="n">
        <v>0.002766203703703704</v>
      </c>
      <c r="I3147" s="42" t="n">
        <v>13396</v>
      </c>
      <c r="J3147" s="42" t="n">
        <v>391</v>
      </c>
      <c r="K3147" s="42" t="n">
        <v>58</v>
      </c>
      <c r="L3147" s="43" t="n"/>
      <c r="M3147" s="44" t="n"/>
      <c r="N3147" s="44" t="inlineStr">
        <is>
          <t>UCKZo4N0lVPccBkSiuyVh4yg</t>
        </is>
      </c>
      <c r="O3147" s="45" t="n">
        <v>41257.93819444445</v>
      </c>
      <c r="P3147" s="46" t="n">
        <v>41257</v>
      </c>
      <c r="Q3147" s="44" t="n">
        <v>125</v>
      </c>
      <c r="R3147" s="44" t="inlineStr">
        <is>
          <t>No Video ID yet</t>
        </is>
      </c>
      <c r="S3147" s="46" t="n"/>
      <c r="T3147" s="46" t="n"/>
      <c r="U3147" s="44" t="n"/>
      <c r="V3147" s="44">
        <f>IF(AND(P3147&gt;=Calendar!$K$2,P3147&lt;EDATE(Calendar!$K$2,1),OR(Calendar!$K$4="*",N3147=Calendar!$K$4)),P3147*100+COUNTIFS($P$6:$P$3271,P3147,$Q$6:$Q$3271,"&lt;="&amp;Q3147,$N$6:$N$3271,Calendar!$K$4),"")</f>
        <v/>
      </c>
      <c r="W3147" s="44">
        <f>IF(AND(B3147=Queue!$C$4,OR(Queue!$K$4="*",N3147=Queue!$K$4)),Q3147,"")</f>
        <v/>
      </c>
    </row>
    <row r="3148">
      <c r="A3148" s="35">
        <f>IF(M3148="","",HYPERLINK("https://www.youtube.com/watch?v="&amp;M3148,"▶"))</f>
        <v/>
      </c>
      <c r="B3148" s="36">
        <f>IF(C3148&lt;&gt;"",C3148,IF(P3148&lt;=IFERROR(INDEX(tblChannels[Watched Through],MATCH(N3148,tblChannels[Channel ID],0)),0),"Watched","Unwatched"))</f>
        <v/>
      </c>
      <c r="C3148" s="37" t="n"/>
      <c r="D3148" s="38" t="n"/>
      <c r="E3148" s="39" t="n">
        <v>41256.90555555555</v>
      </c>
      <c r="F3148" s="47" t="inlineStr">
        <is>
          <t>Super Carlin Brothers</t>
        </is>
      </c>
      <c r="G3148" t="inlineStr">
        <is>
          <t>Realm Down</t>
        </is>
      </c>
      <c r="H3148" s="41" t="n">
        <v>0.001840277777777778</v>
      </c>
      <c r="I3148" s="42" t="n">
        <v>10759</v>
      </c>
      <c r="J3148" s="42" t="n">
        <v>222</v>
      </c>
      <c r="K3148" s="42" t="n">
        <v>30</v>
      </c>
      <c r="L3148" s="43" t="n"/>
      <c r="M3148" s="44" t="n"/>
      <c r="N3148" s="44" t="inlineStr">
        <is>
          <t>UCKZo4N0lVPccBkSiuyVh4yg</t>
        </is>
      </c>
      <c r="O3148" s="45" t="n">
        <v>41257.11388888889</v>
      </c>
      <c r="P3148" s="46" t="n">
        <v>41256</v>
      </c>
      <c r="Q3148" s="44" t="n">
        <v>124</v>
      </c>
      <c r="R3148" s="44" t="inlineStr">
        <is>
          <t>No Video ID yet</t>
        </is>
      </c>
      <c r="S3148" s="46" t="n"/>
      <c r="T3148" s="46" t="n"/>
      <c r="U3148" s="44" t="n"/>
      <c r="V3148" s="44">
        <f>IF(AND(P3148&gt;=Calendar!$K$2,P3148&lt;EDATE(Calendar!$K$2,1),OR(Calendar!$K$4="*",N3148=Calendar!$K$4)),P3148*100+COUNTIFS($P$6:$P$3271,P3148,$Q$6:$Q$3271,"&lt;="&amp;Q3148,$N$6:$N$3271,Calendar!$K$4),"")</f>
        <v/>
      </c>
      <c r="W3148" s="44">
        <f>IF(AND(B3148=Queue!$C$4,OR(Queue!$K$4="*",N3148=Queue!$K$4)),Q3148,"")</f>
        <v/>
      </c>
    </row>
    <row r="3149">
      <c r="A3149" s="35">
        <f>IF(M3149="","",HYPERLINK("https://www.youtube.com/watch?v="&amp;M3149,"▶"))</f>
        <v/>
      </c>
      <c r="B3149" s="36">
        <f>IF(C3149&lt;&gt;"",C3149,IF(P3149&lt;=IFERROR(INDEX(tblChannels[Watched Through],MATCH(N3149,tblChannels[Channel ID],0)),0),"Watched","Unwatched"))</f>
        <v/>
      </c>
      <c r="C3149" s="37" t="n"/>
      <c r="D3149" s="38" t="n"/>
      <c r="E3149" s="39" t="n">
        <v>41255.95347222222</v>
      </c>
      <c r="F3149" s="47" t="inlineStr">
        <is>
          <t>Super Carlin Brothers</t>
        </is>
      </c>
      <c r="G3149" t="inlineStr">
        <is>
          <t>Top 5 Favorite Video Games</t>
        </is>
      </c>
      <c r="H3149" s="41" t="n">
        <v>0.003391203703703704</v>
      </c>
      <c r="I3149" s="42" t="n">
        <v>18746</v>
      </c>
      <c r="J3149" s="42" t="n">
        <v>452</v>
      </c>
      <c r="K3149" s="42" t="n">
        <v>183</v>
      </c>
      <c r="L3149" s="43" t="n"/>
      <c r="M3149" s="44" t="n"/>
      <c r="N3149" s="44" t="inlineStr">
        <is>
          <t>UCKZo4N0lVPccBkSiuyVh4yg</t>
        </is>
      </c>
      <c r="O3149" s="45" t="n">
        <v>41256.16180555556</v>
      </c>
      <c r="P3149" s="46" t="n">
        <v>41255</v>
      </c>
      <c r="Q3149" s="44" t="n">
        <v>123</v>
      </c>
      <c r="R3149" s="44" t="inlineStr">
        <is>
          <t>No Video ID yet</t>
        </is>
      </c>
      <c r="S3149" s="46" t="n"/>
      <c r="T3149" s="46" t="n"/>
      <c r="U3149" s="44" t="n"/>
      <c r="V3149" s="44">
        <f>IF(AND(P3149&gt;=Calendar!$K$2,P3149&lt;EDATE(Calendar!$K$2,1),OR(Calendar!$K$4="*",N3149=Calendar!$K$4)),P3149*100+COUNTIFS($P$6:$P$3271,P3149,$Q$6:$Q$3271,"&lt;="&amp;Q3149,$N$6:$N$3271,Calendar!$K$4),"")</f>
        <v/>
      </c>
      <c r="W3149" s="44">
        <f>IF(AND(B3149=Queue!$C$4,OR(Queue!$K$4="*",N3149=Queue!$K$4)),Q3149,"")</f>
        <v/>
      </c>
    </row>
    <row r="3150">
      <c r="A3150" s="35">
        <f>IF(M3150="","",HYPERLINK("https://www.youtube.com/watch?v="&amp;M3150,"▶"))</f>
        <v/>
      </c>
      <c r="B3150" s="36">
        <f>IF(C3150&lt;&gt;"",C3150,IF(P3150&lt;=IFERROR(INDEX(tblChannels[Watched Through],MATCH(N3150,tblChannels[Channel ID],0)),0),"Watched","Unwatched"))</f>
        <v/>
      </c>
      <c r="C3150" s="37" t="n"/>
      <c r="D3150" s="38" t="n"/>
      <c r="E3150" s="39" t="n">
        <v>41254.87569444445</v>
      </c>
      <c r="F3150" s="47" t="inlineStr">
        <is>
          <t>Super Carlin Brothers</t>
        </is>
      </c>
      <c r="G3150" t="inlineStr">
        <is>
          <t>Nervous Ticks</t>
        </is>
      </c>
      <c r="H3150" s="41" t="n">
        <v>0.001666666666666667</v>
      </c>
      <c r="I3150" s="42" t="n">
        <v>20387</v>
      </c>
      <c r="J3150" s="42" t="n">
        <v>364</v>
      </c>
      <c r="K3150" s="42" t="n">
        <v>83</v>
      </c>
      <c r="L3150" s="43" t="n"/>
      <c r="M3150" s="44" t="n"/>
      <c r="N3150" s="44" t="inlineStr">
        <is>
          <t>UCKZo4N0lVPccBkSiuyVh4yg</t>
        </is>
      </c>
      <c r="O3150" s="45" t="n">
        <v>41255.08402777778</v>
      </c>
      <c r="P3150" s="46" t="n">
        <v>41254</v>
      </c>
      <c r="Q3150" s="44" t="n">
        <v>122</v>
      </c>
      <c r="R3150" s="44" t="inlineStr">
        <is>
          <t>No Video ID yet</t>
        </is>
      </c>
      <c r="S3150" s="46" t="n"/>
      <c r="T3150" s="46" t="n"/>
      <c r="U3150" s="44" t="n"/>
      <c r="V3150" s="44">
        <f>IF(AND(P3150&gt;=Calendar!$K$2,P3150&lt;EDATE(Calendar!$K$2,1),OR(Calendar!$K$4="*",N3150=Calendar!$K$4)),P3150*100+COUNTIFS($P$6:$P$3271,P3150,$Q$6:$Q$3271,"&lt;="&amp;Q3150,$N$6:$N$3271,Calendar!$K$4),"")</f>
        <v/>
      </c>
      <c r="W3150" s="44">
        <f>IF(AND(B3150=Queue!$C$4,OR(Queue!$K$4="*",N3150=Queue!$K$4)),Q3150,"")</f>
        <v/>
      </c>
    </row>
    <row r="3151">
      <c r="A3151" s="35">
        <f>IF(M3151="","",HYPERLINK("https://www.youtube.com/watch?v="&amp;M3151,"▶"))</f>
        <v/>
      </c>
      <c r="B3151" s="36">
        <f>IF(C3151&lt;&gt;"",C3151,IF(P3151&lt;=IFERROR(INDEX(tblChannels[Watched Through],MATCH(N3151,tblChannels[Channel ID],0)),0),"Watched","Unwatched"))</f>
        <v/>
      </c>
      <c r="C3151" s="37" t="n"/>
      <c r="D3151" s="38" t="n"/>
      <c r="E3151" s="39" t="n">
        <v>41253.59652777778</v>
      </c>
      <c r="F3151" s="47" t="inlineStr">
        <is>
          <t>Super Carlin Brothers</t>
        </is>
      </c>
      <c r="G3151" t="inlineStr">
        <is>
          <t>Platypus VS Koala</t>
        </is>
      </c>
      <c r="H3151" s="41" t="n">
        <v>0.002314814814814815</v>
      </c>
      <c r="I3151" s="42" t="n">
        <v>39825</v>
      </c>
      <c r="J3151" s="42" t="n">
        <v>654</v>
      </c>
      <c r="K3151" s="42" t="n">
        <v>334</v>
      </c>
      <c r="L3151" s="43" t="n"/>
      <c r="M3151" s="44" t="n"/>
      <c r="N3151" s="44" t="inlineStr">
        <is>
          <t>UCKZo4N0lVPccBkSiuyVh4yg</t>
        </is>
      </c>
      <c r="O3151" s="45" t="n">
        <v>41253.80486111111</v>
      </c>
      <c r="P3151" s="46" t="n">
        <v>41253</v>
      </c>
      <c r="Q3151" s="44" t="n">
        <v>121</v>
      </c>
      <c r="R3151" s="44" t="inlineStr">
        <is>
          <t>No Video ID yet</t>
        </is>
      </c>
      <c r="S3151" s="46" t="n"/>
      <c r="T3151" s="46" t="n"/>
      <c r="U3151" s="44" t="n"/>
      <c r="V3151" s="44">
        <f>IF(AND(P3151&gt;=Calendar!$K$2,P3151&lt;EDATE(Calendar!$K$2,1),OR(Calendar!$K$4="*",N3151=Calendar!$K$4)),P3151*100+COUNTIFS($P$6:$P$3271,P3151,$Q$6:$Q$3271,"&lt;="&amp;Q3151,$N$6:$N$3271,Calendar!$K$4),"")</f>
        <v/>
      </c>
      <c r="W3151" s="44">
        <f>IF(AND(B3151=Queue!$C$4,OR(Queue!$K$4="*",N3151=Queue!$K$4)),Q3151,"")</f>
        <v/>
      </c>
    </row>
    <row r="3152">
      <c r="A3152" s="35">
        <f>IF(M3152="","",HYPERLINK("https://www.youtube.com/watch?v="&amp;M3152,"▶"))</f>
        <v/>
      </c>
      <c r="B3152" s="36">
        <f>IF(C3152&lt;&gt;"",C3152,IF(P3152&lt;=IFERROR(INDEX(tblChannels[Watched Through],MATCH(N3152,tblChannels[Channel ID],0)),0),"Watched","Unwatched"))</f>
        <v/>
      </c>
      <c r="C3152" s="37" t="n"/>
      <c r="D3152" s="38" t="n"/>
      <c r="E3152" s="39" t="n">
        <v>41250.94375</v>
      </c>
      <c r="F3152" s="47" t="inlineStr">
        <is>
          <t>Super Carlin Brothers</t>
        </is>
      </c>
      <c r="G3152" t="inlineStr">
        <is>
          <t>Relationship Advice: Breakups</t>
        </is>
      </c>
      <c r="H3152" s="41" t="n">
        <v>0.003425925925925926</v>
      </c>
      <c r="I3152" s="42" t="n">
        <v>17822</v>
      </c>
      <c r="J3152" s="42" t="n">
        <v>443</v>
      </c>
      <c r="K3152" s="42" t="n">
        <v>75</v>
      </c>
      <c r="L3152" s="43" t="n"/>
      <c r="M3152" s="44" t="n"/>
      <c r="N3152" s="44" t="inlineStr">
        <is>
          <t>UCKZo4N0lVPccBkSiuyVh4yg</t>
        </is>
      </c>
      <c r="O3152" s="45" t="n">
        <v>41251.15208333333</v>
      </c>
      <c r="P3152" s="46" t="n">
        <v>41250</v>
      </c>
      <c r="Q3152" s="44" t="n">
        <v>120</v>
      </c>
      <c r="R3152" s="44" t="inlineStr">
        <is>
          <t>No Video ID yet</t>
        </is>
      </c>
      <c r="S3152" s="46" t="n"/>
      <c r="T3152" s="46" t="n"/>
      <c r="U3152" s="44" t="n"/>
      <c r="V3152" s="44">
        <f>IF(AND(P3152&gt;=Calendar!$K$2,P3152&lt;EDATE(Calendar!$K$2,1),OR(Calendar!$K$4="*",N3152=Calendar!$K$4)),P3152*100+COUNTIFS($P$6:$P$3271,P3152,$Q$6:$Q$3271,"&lt;="&amp;Q3152,$N$6:$N$3271,Calendar!$K$4),"")</f>
        <v/>
      </c>
      <c r="W3152" s="44">
        <f>IF(AND(B3152=Queue!$C$4,OR(Queue!$K$4="*",N3152=Queue!$K$4)),Q3152,"")</f>
        <v/>
      </c>
    </row>
    <row r="3153">
      <c r="A3153" s="35">
        <f>IF(M3153="","",HYPERLINK("https://www.youtube.com/watch?v="&amp;M3153,"▶"))</f>
        <v/>
      </c>
      <c r="B3153" s="36">
        <f>IF(C3153&lt;&gt;"",C3153,IF(P3153&lt;=IFERROR(INDEX(tblChannels[Watched Through],MATCH(N3153,tblChannels[Channel ID],0)),0),"Watched","Unwatched"))</f>
        <v/>
      </c>
      <c r="C3153" s="37" t="n"/>
      <c r="D3153" s="38" t="n"/>
      <c r="E3153" s="39" t="n">
        <v>41249.97916666666</v>
      </c>
      <c r="F3153" s="47" t="inlineStr">
        <is>
          <t>Super Carlin Brothers</t>
        </is>
      </c>
      <c r="G3153" t="inlineStr">
        <is>
          <t>How to Ask a Girl Out</t>
        </is>
      </c>
      <c r="H3153" s="41" t="n">
        <v>0.002893518518518518</v>
      </c>
      <c r="I3153" s="42" t="n">
        <v>78856</v>
      </c>
      <c r="J3153" s="42" t="n">
        <v>1869</v>
      </c>
      <c r="K3153" s="42" t="n">
        <v>352</v>
      </c>
      <c r="L3153" s="43" t="n"/>
      <c r="M3153" s="44" t="n"/>
      <c r="N3153" s="44" t="inlineStr">
        <is>
          <t>UCKZo4N0lVPccBkSiuyVh4yg</t>
        </is>
      </c>
      <c r="O3153" s="45" t="n">
        <v>41250.1875</v>
      </c>
      <c r="P3153" s="46" t="n">
        <v>41249</v>
      </c>
      <c r="Q3153" s="44" t="n">
        <v>119</v>
      </c>
      <c r="R3153" s="44" t="inlineStr">
        <is>
          <t>No Video ID yet</t>
        </is>
      </c>
      <c r="S3153" s="46" t="n"/>
      <c r="T3153" s="46" t="n"/>
      <c r="U3153" s="44" t="n"/>
      <c r="V3153" s="44">
        <f>IF(AND(P3153&gt;=Calendar!$K$2,P3153&lt;EDATE(Calendar!$K$2,1),OR(Calendar!$K$4="*",N3153=Calendar!$K$4)),P3153*100+COUNTIFS($P$6:$P$3271,P3153,$Q$6:$Q$3271,"&lt;="&amp;Q3153,$N$6:$N$3271,Calendar!$K$4),"")</f>
        <v/>
      </c>
      <c r="W3153" s="44">
        <f>IF(AND(B3153=Queue!$C$4,OR(Queue!$K$4="*",N3153=Queue!$K$4)),Q3153,"")</f>
        <v/>
      </c>
    </row>
    <row r="3154">
      <c r="A3154" s="35">
        <f>IF(M3154="","",HYPERLINK("https://www.youtube.com/watch?v="&amp;M3154,"▶"))</f>
        <v/>
      </c>
      <c r="B3154" s="36">
        <f>IF(C3154&lt;&gt;"",C3154,IF(P3154&lt;=IFERROR(INDEX(tblChannels[Watched Through],MATCH(N3154,tblChannels[Channel ID],0)),0),"Watched","Unwatched"))</f>
        <v/>
      </c>
      <c r="C3154" s="37" t="n"/>
      <c r="D3154" s="38" t="n"/>
      <c r="E3154" s="39" t="n">
        <v>41248.98611111111</v>
      </c>
      <c r="F3154" s="47" t="inlineStr">
        <is>
          <t>Super Carlin Brothers</t>
        </is>
      </c>
      <c r="G3154" t="inlineStr">
        <is>
          <t>12-05 Day</t>
        </is>
      </c>
      <c r="H3154" s="41" t="n">
        <v>0.002118055555555556</v>
      </c>
      <c r="I3154" s="42" t="n">
        <v>12886</v>
      </c>
      <c r="J3154" s="42" t="n">
        <v>311</v>
      </c>
      <c r="K3154" s="42" t="n">
        <v>44</v>
      </c>
      <c r="L3154" s="43" t="n"/>
      <c r="M3154" s="44" t="n"/>
      <c r="N3154" s="44" t="inlineStr">
        <is>
          <t>UCKZo4N0lVPccBkSiuyVh4yg</t>
        </is>
      </c>
      <c r="O3154" s="45" t="n">
        <v>41249.19444444445</v>
      </c>
      <c r="P3154" s="46" t="n">
        <v>41248</v>
      </c>
      <c r="Q3154" s="44" t="n">
        <v>118</v>
      </c>
      <c r="R3154" s="44" t="inlineStr">
        <is>
          <t>No Video ID yet</t>
        </is>
      </c>
      <c r="S3154" s="46" t="n"/>
      <c r="T3154" s="46" t="n"/>
      <c r="U3154" s="44" t="n"/>
      <c r="V3154" s="44">
        <f>IF(AND(P3154&gt;=Calendar!$K$2,P3154&lt;EDATE(Calendar!$K$2,1),OR(Calendar!$K$4="*",N3154=Calendar!$K$4)),P3154*100+COUNTIFS($P$6:$P$3271,P3154,$Q$6:$Q$3271,"&lt;="&amp;Q3154,$N$6:$N$3271,Calendar!$K$4),"")</f>
        <v/>
      </c>
      <c r="W3154" s="44">
        <f>IF(AND(B3154=Queue!$C$4,OR(Queue!$K$4="*",N3154=Queue!$K$4)),Q3154,"")</f>
        <v/>
      </c>
    </row>
    <row r="3155">
      <c r="A3155" s="35">
        <f>IF(M3155="","",HYPERLINK("https://www.youtube.com/watch?v="&amp;M3155,"▶"))</f>
        <v/>
      </c>
      <c r="B3155" s="36">
        <f>IF(C3155&lt;&gt;"",C3155,IF(P3155&lt;=IFERROR(INDEX(tblChannels[Watched Through],MATCH(N3155,tblChannels[Channel ID],0)),0),"Watched","Unwatched"))</f>
        <v/>
      </c>
      <c r="C3155" s="37" t="n"/>
      <c r="D3155" s="38" t="n"/>
      <c r="E3155" s="39" t="n">
        <v>41247.97638888889</v>
      </c>
      <c r="F3155" s="47" t="inlineStr">
        <is>
          <t>Super Carlin Brothers</t>
        </is>
      </c>
      <c r="G3155" t="inlineStr">
        <is>
          <t>Top 10 Worst ways to wrap a gift</t>
        </is>
      </c>
      <c r="H3155" s="41" t="n">
        <v>0.00375</v>
      </c>
      <c r="I3155" s="42" t="n">
        <v>117335</v>
      </c>
      <c r="J3155" s="42" t="n">
        <v>2837</v>
      </c>
      <c r="K3155" s="42" t="n">
        <v>274</v>
      </c>
      <c r="L3155" s="43" t="n"/>
      <c r="M3155" s="44" t="n"/>
      <c r="N3155" s="44" t="inlineStr">
        <is>
          <t>UCKZo4N0lVPccBkSiuyVh4yg</t>
        </is>
      </c>
      <c r="O3155" s="45" t="n">
        <v>41248.18472222222</v>
      </c>
      <c r="P3155" s="46" t="n">
        <v>41247</v>
      </c>
      <c r="Q3155" s="44" t="n">
        <v>117</v>
      </c>
      <c r="R3155" s="44" t="inlineStr">
        <is>
          <t>No Video ID yet</t>
        </is>
      </c>
      <c r="S3155" s="46" t="n"/>
      <c r="T3155" s="46" t="n"/>
      <c r="U3155" s="44" t="n"/>
      <c r="V3155" s="44">
        <f>IF(AND(P3155&gt;=Calendar!$K$2,P3155&lt;EDATE(Calendar!$K$2,1),OR(Calendar!$K$4="*",N3155=Calendar!$K$4)),P3155*100+COUNTIFS($P$6:$P$3271,P3155,$Q$6:$Q$3271,"&lt;="&amp;Q3155,$N$6:$N$3271,Calendar!$K$4),"")</f>
        <v/>
      </c>
      <c r="W3155" s="44">
        <f>IF(AND(B3155=Queue!$C$4,OR(Queue!$K$4="*",N3155=Queue!$K$4)),Q3155,"")</f>
        <v/>
      </c>
    </row>
    <row r="3156">
      <c r="A3156" s="35">
        <f>IF(M3156="","",HYPERLINK("https://www.youtube.com/watch?v="&amp;M3156,"▶"))</f>
        <v/>
      </c>
      <c r="B3156" s="36">
        <f>IF(C3156&lt;&gt;"",C3156,IF(P3156&lt;=IFERROR(INDEX(tblChannels[Watched Through],MATCH(N3156,tblChannels[Channel ID],0)),0),"Watched","Unwatched"))</f>
        <v/>
      </c>
      <c r="C3156" s="37" t="n"/>
      <c r="D3156" s="38" t="n"/>
      <c r="E3156" s="39" t="n">
        <v>41246.92638888889</v>
      </c>
      <c r="F3156" s="47" t="inlineStr">
        <is>
          <t>Super Carlin Brothers</t>
        </is>
      </c>
      <c r="G3156" t="inlineStr">
        <is>
          <t>Gifts for People Who Google Autofill</t>
        </is>
      </c>
      <c r="H3156" s="41" t="n">
        <v>0.002395833333333333</v>
      </c>
      <c r="I3156" s="42" t="n">
        <v>45607</v>
      </c>
      <c r="J3156" s="42" t="n">
        <v>671</v>
      </c>
      <c r="K3156" s="42" t="n">
        <v>88</v>
      </c>
      <c r="L3156" s="43" t="n"/>
      <c r="M3156" s="44" t="n"/>
      <c r="N3156" s="44" t="inlineStr">
        <is>
          <t>UCKZo4N0lVPccBkSiuyVh4yg</t>
        </is>
      </c>
      <c r="O3156" s="45" t="n">
        <v>41247.13472222222</v>
      </c>
      <c r="P3156" s="46" t="n">
        <v>41246</v>
      </c>
      <c r="Q3156" s="44" t="n">
        <v>116</v>
      </c>
      <c r="R3156" s="44" t="inlineStr">
        <is>
          <t>No Video ID yet</t>
        </is>
      </c>
      <c r="S3156" s="46" t="n"/>
      <c r="T3156" s="46" t="n"/>
      <c r="U3156" s="44" t="n"/>
      <c r="V3156" s="44">
        <f>IF(AND(P3156&gt;=Calendar!$K$2,P3156&lt;EDATE(Calendar!$K$2,1),OR(Calendar!$K$4="*",N3156=Calendar!$K$4)),P3156*100+COUNTIFS($P$6:$P$3271,P3156,$Q$6:$Q$3271,"&lt;="&amp;Q3156,$N$6:$N$3271,Calendar!$K$4),"")</f>
        <v/>
      </c>
      <c r="W3156" s="44">
        <f>IF(AND(B3156=Queue!$C$4,OR(Queue!$K$4="*",N3156=Queue!$K$4)),Q3156,"")</f>
        <v/>
      </c>
    </row>
    <row r="3157">
      <c r="A3157" s="35">
        <f>IF(M3157="","",HYPERLINK("https://www.youtube.com/watch?v="&amp;M3157,"▶"))</f>
        <v/>
      </c>
      <c r="B3157" s="36">
        <f>IF(C3157&lt;&gt;"",C3157,IF(P3157&lt;=IFERROR(INDEX(tblChannels[Watched Through],MATCH(N3157,tblChannels[Channel ID],0)),0),"Watched","Unwatched"))</f>
        <v/>
      </c>
      <c r="C3157" s="37" t="n"/>
      <c r="D3157" s="38" t="n"/>
      <c r="E3157" s="39" t="n">
        <v>41243.82430555556</v>
      </c>
      <c r="F3157" s="47" t="inlineStr">
        <is>
          <t>Super Carlin Brothers</t>
        </is>
      </c>
      <c r="G3157" t="inlineStr">
        <is>
          <t>Profile Picture Cliches</t>
        </is>
      </c>
      <c r="H3157" s="41" t="n">
        <v>0.003159722222222222</v>
      </c>
      <c r="I3157" s="42" t="n">
        <v>82846</v>
      </c>
      <c r="J3157" s="42" t="n">
        <v>1560</v>
      </c>
      <c r="K3157" s="42" t="n">
        <v>402</v>
      </c>
      <c r="L3157" s="43" t="n"/>
      <c r="M3157" s="44" t="n"/>
      <c r="N3157" s="44" t="inlineStr">
        <is>
          <t>UCKZo4N0lVPccBkSiuyVh4yg</t>
        </is>
      </c>
      <c r="O3157" s="45" t="n">
        <v>41244.03263888889</v>
      </c>
      <c r="P3157" s="46" t="n">
        <v>41243</v>
      </c>
      <c r="Q3157" s="44" t="n">
        <v>115</v>
      </c>
      <c r="R3157" s="44" t="inlineStr">
        <is>
          <t>No Video ID yet</t>
        </is>
      </c>
      <c r="S3157" s="46" t="n"/>
      <c r="T3157" s="46" t="n"/>
      <c r="U3157" s="44" t="n"/>
      <c r="V3157" s="44">
        <f>IF(AND(P3157&gt;=Calendar!$K$2,P3157&lt;EDATE(Calendar!$K$2,1),OR(Calendar!$K$4="*",N3157=Calendar!$K$4)),P3157*100+COUNTIFS($P$6:$P$3271,P3157,$Q$6:$Q$3271,"&lt;="&amp;Q3157,$N$6:$N$3271,Calendar!$K$4),"")</f>
        <v/>
      </c>
      <c r="W3157" s="44">
        <f>IF(AND(B3157=Queue!$C$4,OR(Queue!$K$4="*",N3157=Queue!$K$4)),Q3157,"")</f>
        <v/>
      </c>
    </row>
    <row r="3158">
      <c r="A3158" s="35">
        <f>IF(M3158="","",HYPERLINK("https://www.youtube.com/watch?v="&amp;M3158,"▶"))</f>
        <v/>
      </c>
      <c r="B3158" s="36">
        <f>IF(C3158&lt;&gt;"",C3158,IF(P3158&lt;=IFERROR(INDEX(tblChannels[Watched Through],MATCH(N3158,tblChannels[Channel ID],0)),0),"Watched","Unwatched"))</f>
        <v/>
      </c>
      <c r="C3158" s="37" t="n"/>
      <c r="D3158" s="38" t="n"/>
      <c r="E3158" s="39" t="n">
        <v>41242.95138888889</v>
      </c>
      <c r="F3158" s="47" t="inlineStr">
        <is>
          <t>Super Carlin Brothers</t>
        </is>
      </c>
      <c r="G3158" t="inlineStr">
        <is>
          <t>The Mirror Pic</t>
        </is>
      </c>
      <c r="H3158" s="41" t="n">
        <v>0.001400462962962963</v>
      </c>
      <c r="I3158" s="42" t="n">
        <v>12091</v>
      </c>
      <c r="J3158" s="42" t="n">
        <v>247</v>
      </c>
      <c r="K3158" s="42" t="n">
        <v>42</v>
      </c>
      <c r="L3158" s="43" t="n"/>
      <c r="M3158" s="44" t="n"/>
      <c r="N3158" s="44" t="inlineStr">
        <is>
          <t>UCKZo4N0lVPccBkSiuyVh4yg</t>
        </is>
      </c>
      <c r="O3158" s="45" t="n">
        <v>41243.15972222222</v>
      </c>
      <c r="P3158" s="46" t="n">
        <v>41242</v>
      </c>
      <c r="Q3158" s="44" t="n">
        <v>114</v>
      </c>
      <c r="R3158" s="44" t="inlineStr">
        <is>
          <t>No Video ID yet</t>
        </is>
      </c>
      <c r="S3158" s="46" t="n"/>
      <c r="T3158" s="46" t="n"/>
      <c r="U3158" s="44" t="n"/>
      <c r="V3158" s="44">
        <f>IF(AND(P3158&gt;=Calendar!$K$2,P3158&lt;EDATE(Calendar!$K$2,1),OR(Calendar!$K$4="*",N3158=Calendar!$K$4)),P3158*100+COUNTIFS($P$6:$P$3271,P3158,$Q$6:$Q$3271,"&lt;="&amp;Q3158,$N$6:$N$3271,Calendar!$K$4),"")</f>
        <v/>
      </c>
      <c r="W3158" s="44">
        <f>IF(AND(B3158=Queue!$C$4,OR(Queue!$K$4="*",N3158=Queue!$K$4)),Q3158,"")</f>
        <v/>
      </c>
    </row>
    <row r="3159">
      <c r="A3159" s="35">
        <f>IF(M3159="","",HYPERLINK("https://www.youtube.com/watch?v="&amp;M3159,"▶"))</f>
        <v/>
      </c>
      <c r="B3159" s="36">
        <f>IF(C3159&lt;&gt;"",C3159,IF(P3159&lt;=IFERROR(INDEX(tblChannels[Watched Through],MATCH(N3159,tblChannels[Channel ID],0)),0),"Watched","Unwatched"))</f>
        <v/>
      </c>
      <c r="C3159" s="37" t="n"/>
      <c r="D3159" s="38" t="n"/>
      <c r="E3159" s="39" t="n">
        <v>41241.83888888889</v>
      </c>
      <c r="F3159" s="47" t="inlineStr">
        <is>
          <t>Super Carlin Brothers</t>
        </is>
      </c>
      <c r="G3159" t="inlineStr">
        <is>
          <t>Santa and Coal</t>
        </is>
      </c>
      <c r="H3159" s="41" t="n">
        <v>0.002453703703703704</v>
      </c>
      <c r="I3159" s="42" t="n">
        <v>44311</v>
      </c>
      <c r="J3159" s="42" t="n">
        <v>812</v>
      </c>
      <c r="K3159" s="42" t="n">
        <v>247</v>
      </c>
      <c r="L3159" s="43" t="n"/>
      <c r="M3159" s="44" t="n"/>
      <c r="N3159" s="44" t="inlineStr">
        <is>
          <t>UCKZo4N0lVPccBkSiuyVh4yg</t>
        </is>
      </c>
      <c r="O3159" s="45" t="n">
        <v>41242.04722222222</v>
      </c>
      <c r="P3159" s="46" t="n">
        <v>41241</v>
      </c>
      <c r="Q3159" s="44" t="n">
        <v>113</v>
      </c>
      <c r="R3159" s="44" t="inlineStr">
        <is>
          <t>No Video ID yet</t>
        </is>
      </c>
      <c r="S3159" s="46" t="n"/>
      <c r="T3159" s="46" t="n"/>
      <c r="U3159" s="44" t="n"/>
      <c r="V3159" s="44">
        <f>IF(AND(P3159&gt;=Calendar!$K$2,P3159&lt;EDATE(Calendar!$K$2,1),OR(Calendar!$K$4="*",N3159=Calendar!$K$4)),P3159*100+COUNTIFS($P$6:$P$3271,P3159,$Q$6:$Q$3271,"&lt;="&amp;Q3159,$N$6:$N$3271,Calendar!$K$4),"")</f>
        <v/>
      </c>
      <c r="W3159" s="44">
        <f>IF(AND(B3159=Queue!$C$4,OR(Queue!$K$4="*",N3159=Queue!$K$4)),Q3159,"")</f>
        <v/>
      </c>
    </row>
    <row r="3160">
      <c r="A3160" s="35">
        <f>IF(M3160="","",HYPERLINK("https://www.youtube.com/watch?v="&amp;M3160,"▶"))</f>
        <v/>
      </c>
      <c r="B3160" s="36">
        <f>IF(C3160&lt;&gt;"",C3160,IF(P3160&lt;=IFERROR(INDEX(tblChannels[Watched Through],MATCH(N3160,tblChannels[Channel ID],0)),0),"Watched","Unwatched"))</f>
        <v/>
      </c>
      <c r="C3160" s="37" t="n"/>
      <c r="D3160" s="38" t="n"/>
      <c r="E3160" s="39" t="n">
        <v>41240.94305555556</v>
      </c>
      <c r="F3160" s="47" t="inlineStr">
        <is>
          <t>Super Carlin Brothers</t>
        </is>
      </c>
      <c r="G3160" t="inlineStr">
        <is>
          <t>Winning The Lottery</t>
        </is>
      </c>
      <c r="H3160" s="41" t="n">
        <v>0.001168981481481482</v>
      </c>
      <c r="I3160" s="42" t="n">
        <v>11663</v>
      </c>
      <c r="J3160" s="42" t="n">
        <v>235</v>
      </c>
      <c r="K3160" s="42" t="n">
        <v>171</v>
      </c>
      <c r="L3160" s="43" t="n"/>
      <c r="M3160" s="44" t="n"/>
      <c r="N3160" s="44" t="inlineStr">
        <is>
          <t>UCKZo4N0lVPccBkSiuyVh4yg</t>
        </is>
      </c>
      <c r="O3160" s="45" t="n">
        <v>41241.15138888889</v>
      </c>
      <c r="P3160" s="46" t="n">
        <v>41240</v>
      </c>
      <c r="Q3160" s="44" t="n">
        <v>112</v>
      </c>
      <c r="R3160" s="44" t="inlineStr">
        <is>
          <t>No Video ID yet</t>
        </is>
      </c>
      <c r="S3160" s="46" t="n"/>
      <c r="T3160" s="46" t="n"/>
      <c r="U3160" s="44" t="n"/>
      <c r="V3160" s="44">
        <f>IF(AND(P3160&gt;=Calendar!$K$2,P3160&lt;EDATE(Calendar!$K$2,1),OR(Calendar!$K$4="*",N3160=Calendar!$K$4)),P3160*100+COUNTIFS($P$6:$P$3271,P3160,$Q$6:$Q$3271,"&lt;="&amp;Q3160,$N$6:$N$3271,Calendar!$K$4),"")</f>
        <v/>
      </c>
      <c r="W3160" s="44">
        <f>IF(AND(B3160=Queue!$C$4,OR(Queue!$K$4="*",N3160=Queue!$K$4)),Q3160,"")</f>
        <v/>
      </c>
    </row>
    <row r="3161">
      <c r="A3161" s="35">
        <f>IF(M3161="","",HYPERLINK("https://www.youtube.com/watch?v="&amp;M3161,"▶"))</f>
        <v/>
      </c>
      <c r="B3161" s="36">
        <f>IF(C3161&lt;&gt;"",C3161,IF(P3161&lt;=IFERROR(INDEX(tblChannels[Watched Through],MATCH(N3161,tblChannels[Channel ID],0)),0),"Watched","Unwatched"))</f>
        <v/>
      </c>
      <c r="C3161" s="37" t="n"/>
      <c r="D3161" s="38" t="n"/>
      <c r="E3161" s="39" t="n">
        <v>41239.85763888889</v>
      </c>
      <c r="F3161" s="47" t="inlineStr">
        <is>
          <t>Super Carlin Brothers</t>
        </is>
      </c>
      <c r="G3161" t="inlineStr">
        <is>
          <t>Holiday Decorations!</t>
        </is>
      </c>
      <c r="H3161" s="41" t="n">
        <v>0.002905092592592593</v>
      </c>
      <c r="I3161" s="42" t="n">
        <v>26212</v>
      </c>
      <c r="J3161" s="42" t="n">
        <v>510</v>
      </c>
      <c r="K3161" s="42" t="n">
        <v>139</v>
      </c>
      <c r="L3161" s="43" t="n"/>
      <c r="M3161" s="44" t="n"/>
      <c r="N3161" s="44" t="inlineStr">
        <is>
          <t>UCKZo4N0lVPccBkSiuyVh4yg</t>
        </is>
      </c>
      <c r="O3161" s="45" t="n">
        <v>41240.06597222222</v>
      </c>
      <c r="P3161" s="46" t="n">
        <v>41239</v>
      </c>
      <c r="Q3161" s="44" t="n">
        <v>111</v>
      </c>
      <c r="R3161" s="44" t="inlineStr">
        <is>
          <t>No Video ID yet</t>
        </is>
      </c>
      <c r="S3161" s="46" t="n"/>
      <c r="T3161" s="46" t="n"/>
      <c r="U3161" s="44" t="n"/>
      <c r="V3161" s="44">
        <f>IF(AND(P3161&gt;=Calendar!$K$2,P3161&lt;EDATE(Calendar!$K$2,1),OR(Calendar!$K$4="*",N3161=Calendar!$K$4)),P3161*100+COUNTIFS($P$6:$P$3271,P3161,$Q$6:$Q$3271,"&lt;="&amp;Q3161,$N$6:$N$3271,Calendar!$K$4),"")</f>
        <v/>
      </c>
      <c r="W3161" s="44">
        <f>IF(AND(B3161=Queue!$C$4,OR(Queue!$K$4="*",N3161=Queue!$K$4)),Q3161,"")</f>
        <v/>
      </c>
    </row>
    <row r="3162">
      <c r="A3162" s="35">
        <f>IF(M3162="","",HYPERLINK("https://www.youtube.com/watch?v="&amp;M3162,"▶"))</f>
        <v/>
      </c>
      <c r="B3162" s="36">
        <f>IF(C3162&lt;&gt;"",C3162,IF(P3162&lt;=IFERROR(INDEX(tblChannels[Watched Through],MATCH(N3162,tblChannels[Channel ID],0)),0),"Watched","Unwatched"))</f>
        <v/>
      </c>
      <c r="C3162" s="37" t="n"/>
      <c r="D3162" s="38" t="n"/>
      <c r="E3162" s="39" t="n">
        <v>41236.90625</v>
      </c>
      <c r="F3162" s="47" t="inlineStr">
        <is>
          <t>Super Carlin Brothers</t>
        </is>
      </c>
      <c r="G3162" t="inlineStr">
        <is>
          <t>Tomorrow Potential</t>
        </is>
      </c>
      <c r="H3162" s="41" t="n">
        <v>0.001180555555555556</v>
      </c>
      <c r="I3162" s="42" t="n">
        <v>11065</v>
      </c>
      <c r="J3162" s="42" t="n">
        <v>286</v>
      </c>
      <c r="K3162" s="42" t="n">
        <v>45</v>
      </c>
      <c r="L3162" s="43" t="n"/>
      <c r="M3162" s="44" t="n"/>
      <c r="N3162" s="44" t="inlineStr">
        <is>
          <t>UCKZo4N0lVPccBkSiuyVh4yg</t>
        </is>
      </c>
      <c r="O3162" s="45" t="n">
        <v>41237.11458333334</v>
      </c>
      <c r="P3162" s="46" t="n">
        <v>41236</v>
      </c>
      <c r="Q3162" s="44" t="n">
        <v>110</v>
      </c>
      <c r="R3162" s="44" t="inlineStr">
        <is>
          <t>No Video ID yet</t>
        </is>
      </c>
      <c r="S3162" s="46" t="n"/>
      <c r="T3162" s="46" t="n"/>
      <c r="U3162" s="44" t="n"/>
      <c r="V3162" s="44">
        <f>IF(AND(P3162&gt;=Calendar!$K$2,P3162&lt;EDATE(Calendar!$K$2,1),OR(Calendar!$K$4="*",N3162=Calendar!$K$4)),P3162*100+COUNTIFS($P$6:$P$3271,P3162,$Q$6:$Q$3271,"&lt;="&amp;Q3162,$N$6:$N$3271,Calendar!$K$4),"")</f>
        <v/>
      </c>
      <c r="W3162" s="44">
        <f>IF(AND(B3162=Queue!$C$4,OR(Queue!$K$4="*",N3162=Queue!$K$4)),Q3162,"")</f>
        <v/>
      </c>
    </row>
    <row r="3163">
      <c r="A3163" s="35">
        <f>IF(M3163="","",HYPERLINK("https://www.youtube.com/watch?v="&amp;M3163,"▶"))</f>
        <v/>
      </c>
      <c r="B3163" s="36">
        <f>IF(C3163&lt;&gt;"",C3163,IF(P3163&lt;=IFERROR(INDEX(tblChannels[Watched Through],MATCH(N3163,tblChannels[Channel ID],0)),0),"Watched","Unwatched"))</f>
        <v/>
      </c>
      <c r="C3163" s="37" t="n"/>
      <c r="D3163" s="38" t="n"/>
      <c r="E3163" s="39" t="n">
        <v>41235.91805555556</v>
      </c>
      <c r="F3163" s="47" t="inlineStr">
        <is>
          <t>Super Carlin Brothers</t>
        </is>
      </c>
      <c r="G3163" t="inlineStr">
        <is>
          <t>JUXTABROS THANKSGIVING!</t>
        </is>
      </c>
      <c r="H3163" s="41" t="n">
        <v>0.003472222222222222</v>
      </c>
      <c r="I3163" s="42" t="n">
        <v>23936</v>
      </c>
      <c r="J3163" s="42" t="n">
        <v>650</v>
      </c>
      <c r="K3163" s="42" t="n">
        <v>87</v>
      </c>
      <c r="L3163" s="43" t="n"/>
      <c r="M3163" s="44" t="n"/>
      <c r="N3163" s="44" t="inlineStr">
        <is>
          <t>UCKZo4N0lVPccBkSiuyVh4yg</t>
        </is>
      </c>
      <c r="O3163" s="45" t="n">
        <v>41236.12638888889</v>
      </c>
      <c r="P3163" s="46" t="n">
        <v>41235</v>
      </c>
      <c r="Q3163" s="44" t="n">
        <v>109</v>
      </c>
      <c r="R3163" s="44" t="inlineStr">
        <is>
          <t>No Video ID yet</t>
        </is>
      </c>
      <c r="S3163" s="46" t="n"/>
      <c r="T3163" s="46" t="n"/>
      <c r="U3163" s="44" t="n"/>
      <c r="V3163" s="44">
        <f>IF(AND(P3163&gt;=Calendar!$K$2,P3163&lt;EDATE(Calendar!$K$2,1),OR(Calendar!$K$4="*",N3163=Calendar!$K$4)),P3163*100+COUNTIFS($P$6:$P$3271,P3163,$Q$6:$Q$3271,"&lt;="&amp;Q3163,$N$6:$N$3271,Calendar!$K$4),"")</f>
        <v/>
      </c>
      <c r="W3163" s="44">
        <f>IF(AND(B3163=Queue!$C$4,OR(Queue!$K$4="*",N3163=Queue!$K$4)),Q3163,"")</f>
        <v/>
      </c>
    </row>
    <row r="3164">
      <c r="A3164" s="35">
        <f>IF(M3164="","",HYPERLINK("https://www.youtube.com/watch?v="&amp;M3164,"▶"))</f>
        <v/>
      </c>
      <c r="B3164" s="36">
        <f>IF(C3164&lt;&gt;"",C3164,IF(P3164&lt;=IFERROR(INDEX(tblChannels[Watched Through],MATCH(N3164,tblChannels[Channel ID],0)),0),"Watched","Unwatched"))</f>
        <v/>
      </c>
      <c r="C3164" s="37" t="n"/>
      <c r="D3164" s="38" t="n"/>
      <c r="E3164" s="39" t="n">
        <v>41234.94861111111</v>
      </c>
      <c r="F3164" s="47" t="inlineStr">
        <is>
          <t>Super Carlin Brothers</t>
        </is>
      </c>
      <c r="G3164" t="inlineStr">
        <is>
          <t>Burden of a Burden</t>
        </is>
      </c>
      <c r="H3164" s="41" t="n">
        <v>0.001087962962962963</v>
      </c>
      <c r="I3164" s="42" t="n">
        <v>11125</v>
      </c>
      <c r="J3164" s="42" t="n">
        <v>248</v>
      </c>
      <c r="K3164" s="42" t="n">
        <v>29</v>
      </c>
      <c r="L3164" s="43" t="n"/>
      <c r="M3164" s="44" t="n"/>
      <c r="N3164" s="44" t="inlineStr">
        <is>
          <t>UCKZo4N0lVPccBkSiuyVh4yg</t>
        </is>
      </c>
      <c r="O3164" s="45" t="n">
        <v>41235.15694444445</v>
      </c>
      <c r="P3164" s="46" t="n">
        <v>41234</v>
      </c>
      <c r="Q3164" s="44" t="n">
        <v>108</v>
      </c>
      <c r="R3164" s="44" t="inlineStr">
        <is>
          <t>No Video ID yet</t>
        </is>
      </c>
      <c r="S3164" s="46" t="n"/>
      <c r="T3164" s="46" t="n"/>
      <c r="U3164" s="44" t="n"/>
      <c r="V3164" s="44">
        <f>IF(AND(P3164&gt;=Calendar!$K$2,P3164&lt;EDATE(Calendar!$K$2,1),OR(Calendar!$K$4="*",N3164=Calendar!$K$4)),P3164*100+COUNTIFS($P$6:$P$3271,P3164,$Q$6:$Q$3271,"&lt;="&amp;Q3164,$N$6:$N$3271,Calendar!$K$4),"")</f>
        <v/>
      </c>
      <c r="W3164" s="44">
        <f>IF(AND(B3164=Queue!$C$4,OR(Queue!$K$4="*",N3164=Queue!$K$4)),Q3164,"")</f>
        <v/>
      </c>
    </row>
    <row r="3165">
      <c r="A3165" s="35">
        <f>IF(M3165="","",HYPERLINK("https://www.youtube.com/watch?v="&amp;M3165,"▶"))</f>
        <v/>
      </c>
      <c r="B3165" s="36">
        <f>IF(C3165&lt;&gt;"",C3165,IF(P3165&lt;=IFERROR(INDEX(tblChannels[Watched Through],MATCH(N3165,tblChannels[Channel ID],0)),0),"Watched","Unwatched"))</f>
        <v/>
      </c>
      <c r="C3165" s="37" t="n"/>
      <c r="D3165" s="38" t="n"/>
      <c r="E3165" s="39" t="n">
        <v>41233.88055555556</v>
      </c>
      <c r="F3165" s="47" t="inlineStr">
        <is>
          <t>Super Carlin Brothers</t>
        </is>
      </c>
      <c r="G3165" t="inlineStr">
        <is>
          <t>Telling Time</t>
        </is>
      </c>
      <c r="H3165" s="41" t="n">
        <v>0.002731481481481481</v>
      </c>
      <c r="I3165" s="42" t="n">
        <v>26747</v>
      </c>
      <c r="J3165" s="42" t="n">
        <v>512</v>
      </c>
      <c r="K3165" s="42" t="n">
        <v>99</v>
      </c>
      <c r="L3165" s="43" t="n"/>
      <c r="M3165" s="44" t="n"/>
      <c r="N3165" s="44" t="inlineStr">
        <is>
          <t>UCKZo4N0lVPccBkSiuyVh4yg</t>
        </is>
      </c>
      <c r="O3165" s="45" t="n">
        <v>41234.08888888889</v>
      </c>
      <c r="P3165" s="46" t="n">
        <v>41233</v>
      </c>
      <c r="Q3165" s="44" t="n">
        <v>107</v>
      </c>
      <c r="R3165" s="44" t="inlineStr">
        <is>
          <t>No Video ID yet</t>
        </is>
      </c>
      <c r="S3165" s="46" t="n"/>
      <c r="T3165" s="46" t="n"/>
      <c r="U3165" s="44" t="n"/>
      <c r="V3165" s="44">
        <f>IF(AND(P3165&gt;=Calendar!$K$2,P3165&lt;EDATE(Calendar!$K$2,1),OR(Calendar!$K$4="*",N3165=Calendar!$K$4)),P3165*100+COUNTIFS($P$6:$P$3271,P3165,$Q$6:$Q$3271,"&lt;="&amp;Q3165,$N$6:$N$3271,Calendar!$K$4),"")</f>
        <v/>
      </c>
      <c r="W3165" s="44">
        <f>IF(AND(B3165=Queue!$C$4,OR(Queue!$K$4="*",N3165=Queue!$K$4)),Q3165,"")</f>
        <v/>
      </c>
    </row>
    <row r="3166">
      <c r="A3166" s="35">
        <f>IF(M3166="","",HYPERLINK("https://www.youtube.com/watch?v="&amp;M3166,"▶"))</f>
        <v/>
      </c>
      <c r="B3166" s="36">
        <f>IF(C3166&lt;&gt;"",C3166,IF(P3166&lt;=IFERROR(INDEX(tblChannels[Watched Through],MATCH(N3166,tblChannels[Channel ID],0)),0),"Watched","Unwatched"))</f>
        <v/>
      </c>
      <c r="C3166" s="37" t="n"/>
      <c r="D3166" s="38" t="n"/>
      <c r="E3166" s="39" t="n">
        <v>41232.84027777778</v>
      </c>
      <c r="F3166" s="47" t="inlineStr">
        <is>
          <t>Super Carlin Brothers</t>
        </is>
      </c>
      <c r="G3166" t="inlineStr">
        <is>
          <t>Things That Blow Up</t>
        </is>
      </c>
      <c r="H3166" s="41" t="n">
        <v>0.001574074074074074</v>
      </c>
      <c r="I3166" s="42" t="n">
        <v>13302</v>
      </c>
      <c r="J3166" s="42" t="n">
        <v>314</v>
      </c>
      <c r="K3166" s="42" t="n">
        <v>37</v>
      </c>
      <c r="L3166" s="43" t="n"/>
      <c r="M3166" s="44" t="n"/>
      <c r="N3166" s="44" t="inlineStr">
        <is>
          <t>UCKZo4N0lVPccBkSiuyVh4yg</t>
        </is>
      </c>
      <c r="O3166" s="45" t="n">
        <v>41233.04861111111</v>
      </c>
      <c r="P3166" s="46" t="n">
        <v>41232</v>
      </c>
      <c r="Q3166" s="44" t="n">
        <v>106</v>
      </c>
      <c r="R3166" s="44" t="inlineStr">
        <is>
          <t>No Video ID yet</t>
        </is>
      </c>
      <c r="S3166" s="46" t="n"/>
      <c r="T3166" s="46" t="n"/>
      <c r="U3166" s="44" t="n"/>
      <c r="V3166" s="44">
        <f>IF(AND(P3166&gt;=Calendar!$K$2,P3166&lt;EDATE(Calendar!$K$2,1),OR(Calendar!$K$4="*",N3166=Calendar!$K$4)),P3166*100+COUNTIFS($P$6:$P$3271,P3166,$Q$6:$Q$3271,"&lt;="&amp;Q3166,$N$6:$N$3271,Calendar!$K$4),"")</f>
        <v/>
      </c>
      <c r="W3166" s="44">
        <f>IF(AND(B3166=Queue!$C$4,OR(Queue!$K$4="*",N3166=Queue!$K$4)),Q3166,"")</f>
        <v/>
      </c>
    </row>
    <row r="3167">
      <c r="A3167" s="35">
        <f>IF(M3167="","",HYPERLINK("https://www.youtube.com/watch?v="&amp;M3167,"▶"))</f>
        <v/>
      </c>
      <c r="B3167" s="36">
        <f>IF(C3167&lt;&gt;"",C3167,IF(P3167&lt;=IFERROR(INDEX(tblChannels[Watched Through],MATCH(N3167,tblChannels[Channel ID],0)),0),"Watched","Unwatched"))</f>
        <v/>
      </c>
      <c r="C3167" s="37" t="n"/>
      <c r="D3167" s="38" t="n"/>
      <c r="E3167" s="39" t="n">
        <v>41229.85</v>
      </c>
      <c r="F3167" s="47" t="inlineStr">
        <is>
          <t>Super Carlin Brothers</t>
        </is>
      </c>
      <c r="G3167" t="inlineStr">
        <is>
          <t>The ZeFrank Formula</t>
        </is>
      </c>
      <c r="H3167" s="41" t="n">
        <v>0.002777777777777778</v>
      </c>
      <c r="I3167" s="42" t="n">
        <v>27600</v>
      </c>
      <c r="J3167" s="42" t="n">
        <v>1054</v>
      </c>
      <c r="K3167" s="42" t="n">
        <v>175</v>
      </c>
      <c r="L3167" s="43" t="n"/>
      <c r="M3167" s="44" t="n"/>
      <c r="N3167" s="44" t="inlineStr">
        <is>
          <t>UCKZo4N0lVPccBkSiuyVh4yg</t>
        </is>
      </c>
      <c r="O3167" s="45" t="n">
        <v>41230.05833333333</v>
      </c>
      <c r="P3167" s="46" t="n">
        <v>41229</v>
      </c>
      <c r="Q3167" s="44" t="n">
        <v>105</v>
      </c>
      <c r="R3167" s="44" t="inlineStr">
        <is>
          <t>No Video ID yet</t>
        </is>
      </c>
      <c r="S3167" s="46" t="n"/>
      <c r="T3167" s="46" t="n"/>
      <c r="U3167" s="44" t="n"/>
      <c r="V3167" s="44">
        <f>IF(AND(P3167&gt;=Calendar!$K$2,P3167&lt;EDATE(Calendar!$K$2,1),OR(Calendar!$K$4="*",N3167=Calendar!$K$4)),P3167*100+COUNTIFS($P$6:$P$3271,P3167,$Q$6:$Q$3271,"&lt;="&amp;Q3167,$N$6:$N$3271,Calendar!$K$4),"")</f>
        <v/>
      </c>
      <c r="W3167" s="44">
        <f>IF(AND(B3167=Queue!$C$4,OR(Queue!$K$4="*",N3167=Queue!$K$4)),Q3167,"")</f>
        <v/>
      </c>
    </row>
    <row r="3168">
      <c r="A3168" s="35">
        <f>IF(M3168="","",HYPERLINK("https://www.youtube.com/watch?v="&amp;M3168,"▶"))</f>
        <v/>
      </c>
      <c r="B3168" s="36">
        <f>IF(C3168&lt;&gt;"",C3168,IF(P3168&lt;=IFERROR(INDEX(tblChannels[Watched Through],MATCH(N3168,tblChannels[Channel ID],0)),0),"Watched","Unwatched"))</f>
        <v/>
      </c>
      <c r="C3168" s="37" t="n"/>
      <c r="D3168" s="38" t="n"/>
      <c r="E3168" s="39" t="n">
        <v>41228.94166666667</v>
      </c>
      <c r="F3168" s="47" t="inlineStr">
        <is>
          <t>Super Carlin Brothers</t>
        </is>
      </c>
      <c r="G3168" t="inlineStr">
        <is>
          <t>Story Telling Challenge! Joe is a.....</t>
        </is>
      </c>
      <c r="H3168" s="41" t="n">
        <v>0.002083333333333333</v>
      </c>
      <c r="I3168" s="42" t="n">
        <v>13009</v>
      </c>
      <c r="J3168" s="42" t="n">
        <v>279</v>
      </c>
      <c r="K3168" s="42" t="n">
        <v>152</v>
      </c>
      <c r="L3168" s="43" t="n"/>
      <c r="M3168" s="44" t="n"/>
      <c r="N3168" s="44" t="inlineStr">
        <is>
          <t>UCKZo4N0lVPccBkSiuyVh4yg</t>
        </is>
      </c>
      <c r="O3168" s="45" t="n">
        <v>41229.15</v>
      </c>
      <c r="P3168" s="46" t="n">
        <v>41228</v>
      </c>
      <c r="Q3168" s="44" t="n">
        <v>104</v>
      </c>
      <c r="R3168" s="44" t="inlineStr">
        <is>
          <t>No Video ID yet</t>
        </is>
      </c>
      <c r="S3168" s="46" t="n"/>
      <c r="T3168" s="46" t="n"/>
      <c r="U3168" s="44" t="n"/>
      <c r="V3168" s="44">
        <f>IF(AND(P3168&gt;=Calendar!$K$2,P3168&lt;EDATE(Calendar!$K$2,1),OR(Calendar!$K$4="*",N3168=Calendar!$K$4)),P3168*100+COUNTIFS($P$6:$P$3271,P3168,$Q$6:$Q$3271,"&lt;="&amp;Q3168,$N$6:$N$3271,Calendar!$K$4),"")</f>
        <v/>
      </c>
      <c r="W3168" s="44">
        <f>IF(AND(B3168=Queue!$C$4,OR(Queue!$K$4="*",N3168=Queue!$K$4)),Q3168,"")</f>
        <v/>
      </c>
    </row>
    <row r="3169">
      <c r="A3169" s="35">
        <f>IF(M3169="","",HYPERLINK("https://www.youtube.com/watch?v="&amp;M3169,"▶"))</f>
        <v/>
      </c>
      <c r="B3169" s="36">
        <f>IF(C3169&lt;&gt;"",C3169,IF(P3169&lt;=IFERROR(INDEX(tblChannels[Watched Through],MATCH(N3169,tblChannels[Channel ID],0)),0),"Watched","Unwatched"))</f>
        <v/>
      </c>
      <c r="C3169" s="37" t="n"/>
      <c r="D3169" s="38" t="n"/>
      <c r="E3169" s="39" t="n">
        <v>41227.92847222222</v>
      </c>
      <c r="F3169" s="47" t="inlineStr">
        <is>
          <t>Super Carlin Brothers</t>
        </is>
      </c>
      <c r="G3169" t="inlineStr">
        <is>
          <t>What Would I Google Autofill</t>
        </is>
      </c>
      <c r="H3169" s="41" t="n">
        <v>0.002627314814814815</v>
      </c>
      <c r="I3169" s="42" t="n">
        <v>138977</v>
      </c>
      <c r="J3169" s="42" t="n">
        <v>2052</v>
      </c>
      <c r="K3169" s="42" t="n">
        <v>240</v>
      </c>
      <c r="L3169" s="43" t="n"/>
      <c r="M3169" s="44" t="n"/>
      <c r="N3169" s="44" t="inlineStr">
        <is>
          <t>UCKZo4N0lVPccBkSiuyVh4yg</t>
        </is>
      </c>
      <c r="O3169" s="45" t="n">
        <v>41228.13680555556</v>
      </c>
      <c r="P3169" s="46" t="n">
        <v>41227</v>
      </c>
      <c r="Q3169" s="44" t="n">
        <v>103</v>
      </c>
      <c r="R3169" s="44" t="inlineStr">
        <is>
          <t>No Video ID yet</t>
        </is>
      </c>
      <c r="S3169" s="46" t="n"/>
      <c r="T3169" s="46" t="n"/>
      <c r="U3169" s="44" t="n"/>
      <c r="V3169" s="44">
        <f>IF(AND(P3169&gt;=Calendar!$K$2,P3169&lt;EDATE(Calendar!$K$2,1),OR(Calendar!$K$4="*",N3169=Calendar!$K$4)),P3169*100+COUNTIFS($P$6:$P$3271,P3169,$Q$6:$Q$3271,"&lt;="&amp;Q3169,$N$6:$N$3271,Calendar!$K$4),"")</f>
        <v/>
      </c>
      <c r="W3169" s="44">
        <f>IF(AND(B3169=Queue!$C$4,OR(Queue!$K$4="*",N3169=Queue!$K$4)),Q3169,"")</f>
        <v/>
      </c>
    </row>
    <row r="3170">
      <c r="A3170" s="35">
        <f>IF(M3170="","",HYPERLINK("https://www.youtube.com/watch?v="&amp;M3170,"▶"))</f>
        <v/>
      </c>
      <c r="B3170" s="36">
        <f>IF(C3170&lt;&gt;"",C3170,IF(P3170&lt;=IFERROR(INDEX(tblChannels[Watched Through],MATCH(N3170,tblChannels[Channel ID],0)),0),"Watched","Unwatched"))</f>
        <v/>
      </c>
      <c r="C3170" s="37" t="n"/>
      <c r="D3170" s="38" t="n"/>
      <c r="E3170" s="39" t="n">
        <v>41226.90763888889</v>
      </c>
      <c r="F3170" s="47" t="inlineStr">
        <is>
          <t>Super Carlin Brothers</t>
        </is>
      </c>
      <c r="G3170" t="inlineStr">
        <is>
          <t>What is your Scarecrow?</t>
        </is>
      </c>
      <c r="H3170" s="41" t="n">
        <v>0.001875</v>
      </c>
      <c r="I3170" s="42" t="n">
        <v>12827</v>
      </c>
      <c r="J3170" s="42" t="n">
        <v>305</v>
      </c>
      <c r="K3170" s="42" t="n">
        <v>41</v>
      </c>
      <c r="L3170" s="43" t="n"/>
      <c r="M3170" s="44" t="n"/>
      <c r="N3170" s="44" t="inlineStr">
        <is>
          <t>UCKZo4N0lVPccBkSiuyVh4yg</t>
        </is>
      </c>
      <c r="O3170" s="45" t="n">
        <v>41227.11597222222</v>
      </c>
      <c r="P3170" s="46" t="n">
        <v>41226</v>
      </c>
      <c r="Q3170" s="44" t="n">
        <v>102</v>
      </c>
      <c r="R3170" s="44" t="inlineStr">
        <is>
          <t>No Video ID yet</t>
        </is>
      </c>
      <c r="S3170" s="46" t="n"/>
      <c r="T3170" s="46" t="n"/>
      <c r="U3170" s="44" t="n"/>
      <c r="V3170" s="44">
        <f>IF(AND(P3170&gt;=Calendar!$K$2,P3170&lt;EDATE(Calendar!$K$2,1),OR(Calendar!$K$4="*",N3170=Calendar!$K$4)),P3170*100+COUNTIFS($P$6:$P$3271,P3170,$Q$6:$Q$3271,"&lt;="&amp;Q3170,$N$6:$N$3271,Calendar!$K$4),"")</f>
        <v/>
      </c>
      <c r="W3170" s="44">
        <f>IF(AND(B3170=Queue!$C$4,OR(Queue!$K$4="*",N3170=Queue!$K$4)),Q3170,"")</f>
        <v/>
      </c>
    </row>
    <row r="3171">
      <c r="A3171" s="35">
        <f>IF(M3171="","",HYPERLINK("https://www.youtube.com/watch?v="&amp;M3171,"▶"))</f>
        <v/>
      </c>
      <c r="B3171" s="36">
        <f>IF(C3171&lt;&gt;"",C3171,IF(P3171&lt;=IFERROR(INDEX(tblChannels[Watched Through],MATCH(N3171,tblChannels[Channel ID],0)),0),"Watched","Unwatched"))</f>
        <v/>
      </c>
      <c r="C3171" s="37" t="n"/>
      <c r="D3171" s="38" t="n"/>
      <c r="E3171" s="39" t="n">
        <v>41225.88958333333</v>
      </c>
      <c r="F3171" s="47" t="inlineStr">
        <is>
          <t>Super Carlin Brothers</t>
        </is>
      </c>
      <c r="G3171" t="inlineStr">
        <is>
          <t>There's no manly way to eat yogurt</t>
        </is>
      </c>
      <c r="H3171" s="41" t="n">
        <v>0.001921296296296296</v>
      </c>
      <c r="I3171" s="42" t="n">
        <v>88437</v>
      </c>
      <c r="J3171" s="42" t="n">
        <v>1756</v>
      </c>
      <c r="K3171" s="42" t="n">
        <v>448</v>
      </c>
      <c r="L3171" s="43" t="n"/>
      <c r="M3171" s="44" t="n"/>
      <c r="N3171" s="44" t="inlineStr">
        <is>
          <t>UCKZo4N0lVPccBkSiuyVh4yg</t>
        </is>
      </c>
      <c r="O3171" s="45" t="n">
        <v>41226.09791666667</v>
      </c>
      <c r="P3171" s="46" t="n">
        <v>41225</v>
      </c>
      <c r="Q3171" s="44" t="n">
        <v>101</v>
      </c>
      <c r="R3171" s="44" t="inlineStr">
        <is>
          <t>No Video ID yet</t>
        </is>
      </c>
      <c r="S3171" s="46" t="n"/>
      <c r="T3171" s="46" t="n"/>
      <c r="U3171" s="44" t="n"/>
      <c r="V3171" s="44">
        <f>IF(AND(P3171&gt;=Calendar!$K$2,P3171&lt;EDATE(Calendar!$K$2,1),OR(Calendar!$K$4="*",N3171=Calendar!$K$4)),P3171*100+COUNTIFS($P$6:$P$3271,P3171,$Q$6:$Q$3271,"&lt;="&amp;Q3171,$N$6:$N$3271,Calendar!$K$4),"")</f>
        <v/>
      </c>
      <c r="W3171" s="44">
        <f>IF(AND(B3171=Queue!$C$4,OR(Queue!$K$4="*",N3171=Queue!$K$4)),Q3171,"")</f>
        <v/>
      </c>
    </row>
    <row r="3172">
      <c r="A3172" s="35">
        <f>IF(M3172="","",HYPERLINK("https://www.youtube.com/watch?v="&amp;M3172,"▶"))</f>
        <v/>
      </c>
      <c r="B3172" s="36">
        <f>IF(C3172&lt;&gt;"",C3172,IF(P3172&lt;=IFERROR(INDEX(tblChannels[Watched Through],MATCH(N3172,tblChannels[Channel ID],0)),0),"Watched","Unwatched"))</f>
        <v/>
      </c>
      <c r="C3172" s="37" t="n"/>
      <c r="D3172" s="38" t="n"/>
      <c r="E3172" s="39" t="n">
        <v>41222.84027777778</v>
      </c>
      <c r="F3172" s="47" t="inlineStr">
        <is>
          <t>Super Carlin Brothers</t>
        </is>
      </c>
      <c r="G3172" t="inlineStr">
        <is>
          <t>JUXTABROS! VIDEO 100!!!</t>
        </is>
      </c>
      <c r="H3172" s="41" t="n">
        <v>0.004965277777777778</v>
      </c>
      <c r="I3172" s="42" t="n">
        <v>22538</v>
      </c>
      <c r="J3172" s="42" t="n">
        <v>682</v>
      </c>
      <c r="K3172" s="42" t="n">
        <v>129</v>
      </c>
      <c r="L3172" s="43" t="n"/>
      <c r="M3172" s="44" t="n"/>
      <c r="N3172" s="44" t="inlineStr">
        <is>
          <t>UCKZo4N0lVPccBkSiuyVh4yg</t>
        </is>
      </c>
      <c r="O3172" s="45" t="n">
        <v>41223.04861111111</v>
      </c>
      <c r="P3172" s="46" t="n">
        <v>41222</v>
      </c>
      <c r="Q3172" s="44" t="n">
        <v>100</v>
      </c>
      <c r="R3172" s="44" t="inlineStr">
        <is>
          <t>No Video ID yet</t>
        </is>
      </c>
      <c r="S3172" s="46" t="n"/>
      <c r="T3172" s="46" t="n"/>
      <c r="U3172" s="44" t="n"/>
      <c r="V3172" s="44">
        <f>IF(AND(P3172&gt;=Calendar!$K$2,P3172&lt;EDATE(Calendar!$K$2,1),OR(Calendar!$K$4="*",N3172=Calendar!$K$4)),P3172*100+COUNTIFS($P$6:$P$3271,P3172,$Q$6:$Q$3271,"&lt;="&amp;Q3172,$N$6:$N$3271,Calendar!$K$4),"")</f>
        <v/>
      </c>
      <c r="W3172" s="44">
        <f>IF(AND(B3172=Queue!$C$4,OR(Queue!$K$4="*",N3172=Queue!$K$4)),Q3172,"")</f>
        <v/>
      </c>
    </row>
    <row r="3173">
      <c r="A3173" s="35">
        <f>IF(M3173="","",HYPERLINK("https://www.youtube.com/watch?v="&amp;M3173,"▶"))</f>
        <v/>
      </c>
      <c r="B3173" s="36">
        <f>IF(C3173&lt;&gt;"",C3173,IF(P3173&lt;=IFERROR(INDEX(tblChannels[Watched Through],MATCH(N3173,tblChannels[Channel ID],0)),0),"Watched","Unwatched"))</f>
        <v/>
      </c>
      <c r="C3173" s="37" t="n"/>
      <c r="D3173" s="38" t="n"/>
      <c r="E3173" s="39" t="n">
        <v>41221.79444444444</v>
      </c>
      <c r="F3173" s="47" t="inlineStr">
        <is>
          <t>Super Carlin Brothers</t>
        </is>
      </c>
      <c r="G3173" t="inlineStr">
        <is>
          <t>The Truth About Popcorn</t>
        </is>
      </c>
      <c r="H3173" s="41" t="n">
        <v>0.002037037037037037</v>
      </c>
      <c r="I3173" s="42" t="n">
        <v>82762</v>
      </c>
      <c r="J3173" s="42" t="n">
        <v>1773</v>
      </c>
      <c r="K3173" s="42" t="n">
        <v>152</v>
      </c>
      <c r="L3173" s="43" t="n"/>
      <c r="M3173" s="44" t="n"/>
      <c r="N3173" s="44" t="inlineStr">
        <is>
          <t>UCKZo4N0lVPccBkSiuyVh4yg</t>
        </is>
      </c>
      <c r="O3173" s="45" t="n">
        <v>41222.00277777778</v>
      </c>
      <c r="P3173" s="46" t="n">
        <v>41221</v>
      </c>
      <c r="Q3173" s="44" t="n">
        <v>99</v>
      </c>
      <c r="R3173" s="44" t="inlineStr">
        <is>
          <t>No Video ID yet</t>
        </is>
      </c>
      <c r="S3173" s="46" t="n"/>
      <c r="T3173" s="46" t="n"/>
      <c r="U3173" s="44" t="n"/>
      <c r="V3173" s="44">
        <f>IF(AND(P3173&gt;=Calendar!$K$2,P3173&lt;EDATE(Calendar!$K$2,1),OR(Calendar!$K$4="*",N3173=Calendar!$K$4)),P3173*100+COUNTIFS($P$6:$P$3271,P3173,$Q$6:$Q$3271,"&lt;="&amp;Q3173,$N$6:$N$3271,Calendar!$K$4),"")</f>
        <v/>
      </c>
      <c r="W3173" s="44">
        <f>IF(AND(B3173=Queue!$C$4,OR(Queue!$K$4="*",N3173=Queue!$K$4)),Q3173,"")</f>
        <v/>
      </c>
    </row>
    <row r="3174">
      <c r="A3174" s="35">
        <f>IF(M3174="","",HYPERLINK("https://www.youtube.com/watch?v="&amp;M3174,"▶"))</f>
        <v/>
      </c>
      <c r="B3174" s="36">
        <f>IF(C3174&lt;&gt;"",C3174,IF(P3174&lt;=IFERROR(INDEX(tblChannels[Watched Through],MATCH(N3174,tblChannels[Channel ID],0)),0),"Watched","Unwatched"))</f>
        <v/>
      </c>
      <c r="C3174" s="37" t="n"/>
      <c r="D3174" s="38" t="n"/>
      <c r="E3174" s="39" t="n">
        <v>41220.92222222222</v>
      </c>
      <c r="F3174" s="47" t="inlineStr">
        <is>
          <t>Super Carlin Brothers</t>
        </is>
      </c>
      <c r="G3174" t="inlineStr">
        <is>
          <t>Election Results!</t>
        </is>
      </c>
      <c r="H3174" s="41" t="n">
        <v>0.001851851851851852</v>
      </c>
      <c r="I3174" s="42" t="n">
        <v>15464</v>
      </c>
      <c r="J3174" s="42" t="n">
        <v>319</v>
      </c>
      <c r="K3174" s="42" t="n">
        <v>45</v>
      </c>
      <c r="L3174" s="43" t="n"/>
      <c r="M3174" s="44" t="n"/>
      <c r="N3174" s="44" t="inlineStr">
        <is>
          <t>UCKZo4N0lVPccBkSiuyVh4yg</t>
        </is>
      </c>
      <c r="O3174" s="45" t="n">
        <v>41221.13055555556</v>
      </c>
      <c r="P3174" s="46" t="n">
        <v>41220</v>
      </c>
      <c r="Q3174" s="44" t="n">
        <v>98</v>
      </c>
      <c r="R3174" s="44" t="inlineStr">
        <is>
          <t>No Video ID yet</t>
        </is>
      </c>
      <c r="S3174" s="46" t="n"/>
      <c r="T3174" s="46" t="n"/>
      <c r="U3174" s="44" t="n"/>
      <c r="V3174" s="44">
        <f>IF(AND(P3174&gt;=Calendar!$K$2,P3174&lt;EDATE(Calendar!$K$2,1),OR(Calendar!$K$4="*",N3174=Calendar!$K$4)),P3174*100+COUNTIFS($P$6:$P$3271,P3174,$Q$6:$Q$3271,"&lt;="&amp;Q3174,$N$6:$N$3271,Calendar!$K$4),"")</f>
        <v/>
      </c>
      <c r="W3174" s="44">
        <f>IF(AND(B3174=Queue!$C$4,OR(Queue!$K$4="*",N3174=Queue!$K$4)),Q3174,"")</f>
        <v/>
      </c>
    </row>
    <row r="3175">
      <c r="A3175" s="35">
        <f>IF(M3175="","",HYPERLINK("https://www.youtube.com/watch?v="&amp;M3175,"▶"))</f>
        <v/>
      </c>
      <c r="B3175" s="36">
        <f>IF(C3175&lt;&gt;"",C3175,IF(P3175&lt;=IFERROR(INDEX(tblChannels[Watched Through],MATCH(N3175,tblChannels[Channel ID],0)),0),"Watched","Unwatched"))</f>
        <v/>
      </c>
      <c r="C3175" s="37" t="n"/>
      <c r="D3175" s="38" t="n"/>
      <c r="E3175" s="39" t="n">
        <v>41219.88680555556</v>
      </c>
      <c r="F3175" s="47" t="inlineStr">
        <is>
          <t>Super Carlin Brothers</t>
        </is>
      </c>
      <c r="G3175" t="inlineStr">
        <is>
          <t>Stuff to vote on!</t>
        </is>
      </c>
      <c r="H3175" s="41" t="n">
        <v>0.002835648148148148</v>
      </c>
      <c r="I3175" s="42" t="n">
        <v>15507</v>
      </c>
      <c r="J3175" s="42" t="n">
        <v>382</v>
      </c>
      <c r="K3175" s="42" t="n">
        <v>284</v>
      </c>
      <c r="L3175" s="43" t="n"/>
      <c r="M3175" s="44" t="n"/>
      <c r="N3175" s="44" t="inlineStr">
        <is>
          <t>UCKZo4N0lVPccBkSiuyVh4yg</t>
        </is>
      </c>
      <c r="O3175" s="45" t="n">
        <v>41220.09513888889</v>
      </c>
      <c r="P3175" s="46" t="n">
        <v>41219</v>
      </c>
      <c r="Q3175" s="44" t="n">
        <v>97</v>
      </c>
      <c r="R3175" s="44" t="inlineStr">
        <is>
          <t>No Video ID yet</t>
        </is>
      </c>
      <c r="S3175" s="46" t="n"/>
      <c r="T3175" s="46" t="n"/>
      <c r="U3175" s="44" t="n"/>
      <c r="V3175" s="44">
        <f>IF(AND(P3175&gt;=Calendar!$K$2,P3175&lt;EDATE(Calendar!$K$2,1),OR(Calendar!$K$4="*",N3175=Calendar!$K$4)),P3175*100+COUNTIFS($P$6:$P$3271,P3175,$Q$6:$Q$3271,"&lt;="&amp;Q3175,$N$6:$N$3271,Calendar!$K$4),"")</f>
        <v/>
      </c>
      <c r="W3175" s="44">
        <f>IF(AND(B3175=Queue!$C$4,OR(Queue!$K$4="*",N3175=Queue!$K$4)),Q3175,"")</f>
        <v/>
      </c>
    </row>
    <row r="3176">
      <c r="A3176" s="35">
        <f>IF(M3176="","",HYPERLINK("https://www.youtube.com/watch?v="&amp;M3176,"▶"))</f>
        <v/>
      </c>
      <c r="B3176" s="36">
        <f>IF(C3176&lt;&gt;"",C3176,IF(P3176&lt;=IFERROR(INDEX(tblChannels[Watched Through],MATCH(N3176,tblChannels[Channel ID],0)),0),"Watched","Unwatched"))</f>
        <v/>
      </c>
      <c r="C3176" s="37" t="n"/>
      <c r="D3176" s="38" t="n"/>
      <c r="E3176" s="39" t="n">
        <v>41218.81388888889</v>
      </c>
      <c r="F3176" s="47" t="inlineStr">
        <is>
          <t>Super Carlin Brothers</t>
        </is>
      </c>
      <c r="G3176" t="inlineStr">
        <is>
          <t>Hello</t>
        </is>
      </c>
      <c r="H3176" s="41" t="n">
        <v>0.001377314814814815</v>
      </c>
      <c r="I3176" s="42" t="n">
        <v>12466</v>
      </c>
      <c r="J3176" s="42" t="n">
        <v>296</v>
      </c>
      <c r="K3176" s="42" t="n">
        <v>64</v>
      </c>
      <c r="L3176" s="43" t="n"/>
      <c r="M3176" s="44" t="n"/>
      <c r="N3176" s="44" t="inlineStr">
        <is>
          <t>UCKZo4N0lVPccBkSiuyVh4yg</t>
        </is>
      </c>
      <c r="O3176" s="45" t="n">
        <v>41219.02222222222</v>
      </c>
      <c r="P3176" s="46" t="n">
        <v>41218</v>
      </c>
      <c r="Q3176" s="44" t="n">
        <v>96</v>
      </c>
      <c r="R3176" s="44" t="inlineStr">
        <is>
          <t>No Video ID yet</t>
        </is>
      </c>
      <c r="S3176" s="46" t="n"/>
      <c r="T3176" s="46" t="n"/>
      <c r="U3176" s="44" t="n"/>
      <c r="V3176" s="44">
        <f>IF(AND(P3176&gt;=Calendar!$K$2,P3176&lt;EDATE(Calendar!$K$2,1),OR(Calendar!$K$4="*",N3176=Calendar!$K$4)),P3176*100+COUNTIFS($P$6:$P$3271,P3176,$Q$6:$Q$3271,"&lt;="&amp;Q3176,$N$6:$N$3271,Calendar!$K$4),"")</f>
        <v/>
      </c>
      <c r="W3176" s="44">
        <f>IF(AND(B3176=Queue!$C$4,OR(Queue!$K$4="*",N3176=Queue!$K$4)),Q3176,"")</f>
        <v/>
      </c>
    </row>
    <row r="3177">
      <c r="A3177" s="35">
        <f>IF(M3177="","",HYPERLINK("https://www.youtube.com/watch?v="&amp;M3177,"▶"))</f>
        <v/>
      </c>
      <c r="B3177" s="36">
        <f>IF(C3177&lt;&gt;"",C3177,IF(P3177&lt;=IFERROR(INDEX(tblChannels[Watched Through],MATCH(N3177,tblChannels[Channel ID],0)),0),"Watched","Unwatched"))</f>
        <v/>
      </c>
      <c r="C3177" s="37" t="n"/>
      <c r="D3177" s="38" t="n"/>
      <c r="E3177" s="39" t="n">
        <v>41215.82083333333</v>
      </c>
      <c r="F3177" s="47" t="inlineStr">
        <is>
          <t>Super Carlin Brothers</t>
        </is>
      </c>
      <c r="G3177" t="inlineStr">
        <is>
          <t>How to Open Doors</t>
        </is>
      </c>
      <c r="H3177" s="41" t="n">
        <v>0.002048611111111111</v>
      </c>
      <c r="I3177" s="42" t="n">
        <v>68739</v>
      </c>
      <c r="J3177" s="42" t="n">
        <v>1457</v>
      </c>
      <c r="K3177" s="42" t="n">
        <v>450</v>
      </c>
      <c r="L3177" s="43" t="n"/>
      <c r="M3177" s="44" t="n"/>
      <c r="N3177" s="44" t="inlineStr">
        <is>
          <t>UCKZo4N0lVPccBkSiuyVh4yg</t>
        </is>
      </c>
      <c r="O3177" s="45" t="n">
        <v>41215.9875</v>
      </c>
      <c r="P3177" s="46" t="n">
        <v>41215</v>
      </c>
      <c r="Q3177" s="44" t="n">
        <v>95</v>
      </c>
      <c r="R3177" s="44" t="inlineStr">
        <is>
          <t>No Video ID yet</t>
        </is>
      </c>
      <c r="S3177" s="46" t="n"/>
      <c r="T3177" s="46" t="n"/>
      <c r="U3177" s="44" t="n"/>
      <c r="V3177" s="44">
        <f>IF(AND(P3177&gt;=Calendar!$K$2,P3177&lt;EDATE(Calendar!$K$2,1),OR(Calendar!$K$4="*",N3177=Calendar!$K$4)),P3177*100+COUNTIFS($P$6:$P$3271,P3177,$Q$6:$Q$3271,"&lt;="&amp;Q3177,$N$6:$N$3271,Calendar!$K$4),"")</f>
        <v/>
      </c>
      <c r="W3177" s="44">
        <f>IF(AND(B3177=Queue!$C$4,OR(Queue!$K$4="*",N3177=Queue!$K$4)),Q3177,"")</f>
        <v/>
      </c>
    </row>
    <row r="3178">
      <c r="A3178" s="35">
        <f>IF(M3178="","",HYPERLINK("https://www.youtube.com/watch?v="&amp;M3178,"▶"))</f>
        <v/>
      </c>
      <c r="B3178" s="36">
        <f>IF(C3178&lt;&gt;"",C3178,IF(P3178&lt;=IFERROR(INDEX(tblChannels[Watched Through],MATCH(N3178,tblChannels[Channel ID],0)),0),"Watched","Unwatched"))</f>
        <v/>
      </c>
      <c r="C3178" s="37" t="n"/>
      <c r="D3178" s="38" t="n"/>
      <c r="E3178" s="39" t="n">
        <v>41214.71527777778</v>
      </c>
      <c r="F3178" s="47" t="inlineStr">
        <is>
          <t>Super Carlin Brothers</t>
        </is>
      </c>
      <c r="G3178" t="inlineStr">
        <is>
          <t>The Door Holding Paradox</t>
        </is>
      </c>
      <c r="H3178" s="41" t="n">
        <v>0.002280092592592593</v>
      </c>
      <c r="I3178" s="42" t="n">
        <v>22709</v>
      </c>
      <c r="J3178" s="42" t="n">
        <v>499</v>
      </c>
      <c r="K3178" s="42" t="n">
        <v>89</v>
      </c>
      <c r="L3178" s="43" t="n"/>
      <c r="M3178" s="44" t="n"/>
      <c r="N3178" s="44" t="inlineStr">
        <is>
          <t>UCKZo4N0lVPccBkSiuyVh4yg</t>
        </is>
      </c>
      <c r="O3178" s="45" t="n">
        <v>41214.88194444445</v>
      </c>
      <c r="P3178" s="46" t="n">
        <v>41214</v>
      </c>
      <c r="Q3178" s="44" t="n">
        <v>94</v>
      </c>
      <c r="R3178" s="44" t="inlineStr">
        <is>
          <t>No Video ID yet</t>
        </is>
      </c>
      <c r="S3178" s="46" t="n"/>
      <c r="T3178" s="46" t="n"/>
      <c r="U3178" s="44" t="n"/>
      <c r="V3178" s="44">
        <f>IF(AND(P3178&gt;=Calendar!$K$2,P3178&lt;EDATE(Calendar!$K$2,1),OR(Calendar!$K$4="*",N3178=Calendar!$K$4)),P3178*100+COUNTIFS($P$6:$P$3271,P3178,$Q$6:$Q$3271,"&lt;="&amp;Q3178,$N$6:$N$3271,Calendar!$K$4),"")</f>
        <v/>
      </c>
      <c r="W3178" s="44">
        <f>IF(AND(B3178=Queue!$C$4,OR(Queue!$K$4="*",N3178=Queue!$K$4)),Q3178,"")</f>
        <v/>
      </c>
    </row>
    <row r="3179">
      <c r="A3179" s="35">
        <f>IF(M3179="","",HYPERLINK("https://www.youtube.com/watch?v="&amp;M3179,"▶"))</f>
        <v/>
      </c>
      <c r="B3179" s="36">
        <f>IF(C3179&lt;&gt;"",C3179,IF(P3179&lt;=IFERROR(INDEX(tblChannels[Watched Through],MATCH(N3179,tblChannels[Channel ID],0)),0),"Watched","Unwatched"))</f>
        <v/>
      </c>
      <c r="C3179" s="37" t="n"/>
      <c r="D3179" s="38" t="n"/>
      <c r="E3179" s="39" t="n">
        <v>41213.95069444444</v>
      </c>
      <c r="F3179" s="47" t="inlineStr">
        <is>
          <t>Super Carlin Brothers</t>
        </is>
      </c>
      <c r="G3179" t="inlineStr">
        <is>
          <t>State of the Shave</t>
        </is>
      </c>
      <c r="H3179" s="41" t="n">
        <v>0.001608796296296296</v>
      </c>
      <c r="I3179" s="42" t="n">
        <v>16931</v>
      </c>
      <c r="J3179" s="42" t="n">
        <v>470</v>
      </c>
      <c r="K3179" s="42" t="n">
        <v>86</v>
      </c>
      <c r="L3179" s="43" t="n"/>
      <c r="M3179" s="44" t="n"/>
      <c r="N3179" s="44" t="inlineStr">
        <is>
          <t>UCKZo4N0lVPccBkSiuyVh4yg</t>
        </is>
      </c>
      <c r="O3179" s="45" t="n">
        <v>41214.11736111111</v>
      </c>
      <c r="P3179" s="46" t="n">
        <v>41213</v>
      </c>
      <c r="Q3179" s="44" t="n">
        <v>93</v>
      </c>
      <c r="R3179" s="44" t="inlineStr">
        <is>
          <t>No Video ID yet</t>
        </is>
      </c>
      <c r="S3179" s="46" t="n"/>
      <c r="T3179" s="46" t="n"/>
      <c r="U3179" s="44" t="n"/>
      <c r="V3179" s="44">
        <f>IF(AND(P3179&gt;=Calendar!$K$2,P3179&lt;EDATE(Calendar!$K$2,1),OR(Calendar!$K$4="*",N3179=Calendar!$K$4)),P3179*100+COUNTIFS($P$6:$P$3271,P3179,$Q$6:$Q$3271,"&lt;="&amp;Q3179,$N$6:$N$3271,Calendar!$K$4),"")</f>
        <v/>
      </c>
      <c r="W3179" s="44">
        <f>IF(AND(B3179=Queue!$C$4,OR(Queue!$K$4="*",N3179=Queue!$K$4)),Q3179,"")</f>
        <v/>
      </c>
    </row>
    <row r="3180">
      <c r="A3180" s="35">
        <f>IF(M3180="","",HYPERLINK("https://www.youtube.com/watch?v="&amp;M3180,"▶"))</f>
        <v/>
      </c>
      <c r="B3180" s="36">
        <f>IF(C3180&lt;&gt;"",C3180,IF(P3180&lt;=IFERROR(INDEX(tblChannels[Watched Through],MATCH(N3180,tblChannels[Channel ID],0)),0),"Watched","Unwatched"))</f>
        <v/>
      </c>
      <c r="C3180" s="37" t="n"/>
      <c r="D3180" s="38" t="n"/>
      <c r="E3180" s="39" t="n">
        <v>41212.91944444444</v>
      </c>
      <c r="F3180" s="47" t="inlineStr">
        <is>
          <t>Super Carlin Brothers</t>
        </is>
      </c>
      <c r="G3180" t="inlineStr">
        <is>
          <t>The Recipe for the Perfect Day</t>
        </is>
      </c>
      <c r="H3180" s="41" t="n">
        <v>0.002546296296296297</v>
      </c>
      <c r="I3180" s="42" t="n">
        <v>13578</v>
      </c>
      <c r="J3180" s="42" t="n">
        <v>323</v>
      </c>
      <c r="K3180" s="42" t="n">
        <v>25</v>
      </c>
      <c r="L3180" s="43" t="n"/>
      <c r="M3180" s="44" t="n"/>
      <c r="N3180" s="44" t="inlineStr">
        <is>
          <t>UCKZo4N0lVPccBkSiuyVh4yg</t>
        </is>
      </c>
      <c r="O3180" s="45" t="n">
        <v>41213.08611111111</v>
      </c>
      <c r="P3180" s="46" t="n">
        <v>41212</v>
      </c>
      <c r="Q3180" s="44" t="n">
        <v>92</v>
      </c>
      <c r="R3180" s="44" t="inlineStr">
        <is>
          <t>No Video ID yet</t>
        </is>
      </c>
      <c r="S3180" s="46" t="n"/>
      <c r="T3180" s="46" t="n"/>
      <c r="U3180" s="44" t="n"/>
      <c r="V3180" s="44">
        <f>IF(AND(P3180&gt;=Calendar!$K$2,P3180&lt;EDATE(Calendar!$K$2,1),OR(Calendar!$K$4="*",N3180=Calendar!$K$4)),P3180*100+COUNTIFS($P$6:$P$3271,P3180,$Q$6:$Q$3271,"&lt;="&amp;Q3180,$N$6:$N$3271,Calendar!$K$4),"")</f>
        <v/>
      </c>
      <c r="W3180" s="44">
        <f>IF(AND(B3180=Queue!$C$4,OR(Queue!$K$4="*",N3180=Queue!$K$4)),Q3180,"")</f>
        <v/>
      </c>
    </row>
    <row r="3181">
      <c r="A3181" s="35">
        <f>IF(M3181="","",HYPERLINK("https://www.youtube.com/watch?v="&amp;M3181,"▶"))</f>
        <v/>
      </c>
      <c r="B3181" s="36">
        <f>IF(C3181&lt;&gt;"",C3181,IF(P3181&lt;=IFERROR(INDEX(tblChannels[Watched Through],MATCH(N3181,tblChannels[Channel ID],0)),0),"Watched","Unwatched"))</f>
        <v/>
      </c>
      <c r="C3181" s="37" t="n"/>
      <c r="D3181" s="38" t="n"/>
      <c r="E3181" s="39" t="n">
        <v>41211.86458333334</v>
      </c>
      <c r="F3181" s="47" t="inlineStr">
        <is>
          <t>Super Carlin Brothers</t>
        </is>
      </c>
      <c r="G3181" t="inlineStr">
        <is>
          <t>A Rad Day</t>
        </is>
      </c>
      <c r="H3181" s="41" t="n">
        <v>0.002835648148148148</v>
      </c>
      <c r="I3181" s="42" t="n">
        <v>14647</v>
      </c>
      <c r="J3181" s="42" t="n">
        <v>366</v>
      </c>
      <c r="K3181" s="42" t="n">
        <v>99</v>
      </c>
      <c r="L3181" s="43" t="n"/>
      <c r="M3181" s="44" t="n"/>
      <c r="N3181" s="44" t="inlineStr">
        <is>
          <t>UCKZo4N0lVPccBkSiuyVh4yg</t>
        </is>
      </c>
      <c r="O3181" s="45" t="n">
        <v>41212.03125</v>
      </c>
      <c r="P3181" s="46" t="n">
        <v>41211</v>
      </c>
      <c r="Q3181" s="44" t="n">
        <v>91</v>
      </c>
      <c r="R3181" s="44" t="inlineStr">
        <is>
          <t>No Video ID yet</t>
        </is>
      </c>
      <c r="S3181" s="46" t="n"/>
      <c r="T3181" s="46" t="n"/>
      <c r="U3181" s="44" t="n"/>
      <c r="V3181" s="44">
        <f>IF(AND(P3181&gt;=Calendar!$K$2,P3181&lt;EDATE(Calendar!$K$2,1),OR(Calendar!$K$4="*",N3181=Calendar!$K$4)),P3181*100+COUNTIFS($P$6:$P$3271,P3181,$Q$6:$Q$3271,"&lt;="&amp;Q3181,$N$6:$N$3271,Calendar!$K$4),"")</f>
        <v/>
      </c>
      <c r="W3181" s="44">
        <f>IF(AND(B3181=Queue!$C$4,OR(Queue!$K$4="*",N3181=Queue!$K$4)),Q3181,"")</f>
        <v/>
      </c>
    </row>
    <row r="3182">
      <c r="A3182" s="35">
        <f>IF(M3182="","",HYPERLINK("https://www.youtube.com/watch?v="&amp;M3182,"▶"))</f>
        <v/>
      </c>
      <c r="B3182" s="36">
        <f>IF(C3182&lt;&gt;"",C3182,IF(P3182&lt;=IFERROR(INDEX(tblChannels[Watched Through],MATCH(N3182,tblChannels[Channel ID],0)),0),"Watched","Unwatched"))</f>
        <v/>
      </c>
      <c r="C3182" s="37" t="n"/>
      <c r="D3182" s="38" t="n"/>
      <c r="E3182" s="39" t="n">
        <v>41208.81319444445</v>
      </c>
      <c r="F3182" s="47" t="inlineStr">
        <is>
          <t>Super Carlin Brothers</t>
        </is>
      </c>
      <c r="G3182" t="inlineStr">
        <is>
          <t>From Books to Films</t>
        </is>
      </c>
      <c r="H3182" s="41" t="n">
        <v>0.001678240740740741</v>
      </c>
      <c r="I3182" s="42" t="n">
        <v>18268</v>
      </c>
      <c r="J3182" s="42" t="n">
        <v>443</v>
      </c>
      <c r="K3182" s="42" t="n">
        <v>102</v>
      </c>
      <c r="L3182" s="43" t="n"/>
      <c r="M3182" s="44" t="n"/>
      <c r="N3182" s="44" t="inlineStr">
        <is>
          <t>UCKZo4N0lVPccBkSiuyVh4yg</t>
        </is>
      </c>
      <c r="O3182" s="45" t="n">
        <v>41208.97986111111</v>
      </c>
      <c r="P3182" s="46" t="n">
        <v>41208</v>
      </c>
      <c r="Q3182" s="44" t="n">
        <v>90</v>
      </c>
      <c r="R3182" s="44" t="inlineStr">
        <is>
          <t>No Video ID yet</t>
        </is>
      </c>
      <c r="S3182" s="46" t="n"/>
      <c r="T3182" s="46" t="n"/>
      <c r="U3182" s="44" t="n"/>
      <c r="V3182" s="44">
        <f>IF(AND(P3182&gt;=Calendar!$K$2,P3182&lt;EDATE(Calendar!$K$2,1),OR(Calendar!$K$4="*",N3182=Calendar!$K$4)),P3182*100+COUNTIFS($P$6:$P$3271,P3182,$Q$6:$Q$3271,"&lt;="&amp;Q3182,$N$6:$N$3271,Calendar!$K$4),"")</f>
        <v/>
      </c>
      <c r="W3182" s="44">
        <f>IF(AND(B3182=Queue!$C$4,OR(Queue!$K$4="*",N3182=Queue!$K$4)),Q3182,"")</f>
        <v/>
      </c>
    </row>
    <row r="3183">
      <c r="A3183" s="35">
        <f>IF(M3183="","",HYPERLINK("https://www.youtube.com/watch?v="&amp;M3183,"▶"))</f>
        <v/>
      </c>
      <c r="B3183" s="36">
        <f>IF(C3183&lt;&gt;"",C3183,IF(P3183&lt;=IFERROR(INDEX(tblChannels[Watched Through],MATCH(N3183,tblChannels[Channel ID],0)),0),"Watched","Unwatched"))</f>
        <v/>
      </c>
      <c r="C3183" s="37" t="n"/>
      <c r="D3183" s="38" t="n"/>
      <c r="E3183" s="39" t="n">
        <v>41207.5</v>
      </c>
      <c r="F3183" s="47" t="inlineStr">
        <is>
          <t>Super Carlin Brothers</t>
        </is>
      </c>
      <c r="G3183" t="inlineStr">
        <is>
          <t>SIRIUSLY</t>
        </is>
      </c>
      <c r="H3183" s="41" t="n">
        <v>0.001701388888888889</v>
      </c>
      <c r="I3183" s="42" t="n">
        <v>499511</v>
      </c>
      <c r="J3183" s="42" t="n">
        <v>9673</v>
      </c>
      <c r="K3183" s="42" t="n">
        <v>2784</v>
      </c>
      <c r="L3183" s="43" t="n"/>
      <c r="M3183" s="44" t="n"/>
      <c r="N3183" s="44" t="inlineStr">
        <is>
          <t>UCKZo4N0lVPccBkSiuyVh4yg</t>
        </is>
      </c>
      <c r="O3183" s="45" t="n">
        <v>41207.66666666666</v>
      </c>
      <c r="P3183" s="46" t="n">
        <v>41207</v>
      </c>
      <c r="Q3183" s="44" t="n">
        <v>89</v>
      </c>
      <c r="R3183" s="44" t="inlineStr">
        <is>
          <t>No Video ID yet</t>
        </is>
      </c>
      <c r="S3183" s="46" t="n"/>
      <c r="T3183" s="46" t="n"/>
      <c r="U3183" s="44" t="n"/>
      <c r="V3183" s="44">
        <f>IF(AND(P3183&gt;=Calendar!$K$2,P3183&lt;EDATE(Calendar!$K$2,1),OR(Calendar!$K$4="*",N3183=Calendar!$K$4)),P3183*100+COUNTIFS($P$6:$P$3271,P3183,$Q$6:$Q$3271,"&lt;="&amp;Q3183,$N$6:$N$3271,Calendar!$K$4),"")</f>
        <v/>
      </c>
      <c r="W3183" s="44">
        <f>IF(AND(B3183=Queue!$C$4,OR(Queue!$K$4="*",N3183=Queue!$K$4)),Q3183,"")</f>
        <v/>
      </c>
    </row>
    <row r="3184">
      <c r="A3184" s="35">
        <f>IF(M3184="","",HYPERLINK("https://www.youtube.com/watch?v="&amp;M3184,"▶"))</f>
        <v/>
      </c>
      <c r="B3184" s="36">
        <f>IF(C3184&lt;&gt;"",C3184,IF(P3184&lt;=IFERROR(INDEX(tblChannels[Watched Through],MATCH(N3184,tblChannels[Channel ID],0)),0),"Watched","Unwatched"))</f>
        <v/>
      </c>
      <c r="C3184" s="37" t="n"/>
      <c r="D3184" s="38" t="n"/>
      <c r="E3184" s="39" t="n">
        <v>41206.81458333333</v>
      </c>
      <c r="F3184" s="47" t="inlineStr">
        <is>
          <t>Super Carlin Brothers</t>
        </is>
      </c>
      <c r="G3184" t="inlineStr">
        <is>
          <t>Harry Potter Confessional</t>
        </is>
      </c>
      <c r="H3184" s="41" t="n">
        <v>0.001921296296296296</v>
      </c>
      <c r="I3184" s="42" t="n">
        <v>80857</v>
      </c>
      <c r="J3184" s="42" t="n">
        <v>1215</v>
      </c>
      <c r="K3184" s="42" t="n">
        <v>375</v>
      </c>
      <c r="L3184" s="43" t="n"/>
      <c r="M3184" s="44" t="n"/>
      <c r="N3184" s="44" t="inlineStr">
        <is>
          <t>UCKZo4N0lVPccBkSiuyVh4yg</t>
        </is>
      </c>
      <c r="O3184" s="45" t="n">
        <v>41206.98125</v>
      </c>
      <c r="P3184" s="46" t="n">
        <v>41206</v>
      </c>
      <c r="Q3184" s="44" t="n">
        <v>88</v>
      </c>
      <c r="R3184" s="44" t="inlineStr">
        <is>
          <t>No Video ID yet</t>
        </is>
      </c>
      <c r="S3184" s="46" t="n"/>
      <c r="T3184" s="46" t="n"/>
      <c r="U3184" s="44" t="n"/>
      <c r="V3184" s="44">
        <f>IF(AND(P3184&gt;=Calendar!$K$2,P3184&lt;EDATE(Calendar!$K$2,1),OR(Calendar!$K$4="*",N3184=Calendar!$K$4)),P3184*100+COUNTIFS($P$6:$P$3271,P3184,$Q$6:$Q$3271,"&lt;="&amp;Q3184,$N$6:$N$3271,Calendar!$K$4),"")</f>
        <v/>
      </c>
      <c r="W3184" s="44">
        <f>IF(AND(B3184=Queue!$C$4,OR(Queue!$K$4="*",N3184=Queue!$K$4)),Q3184,"")</f>
        <v/>
      </c>
    </row>
    <row r="3185">
      <c r="A3185" s="35">
        <f>IF(M3185="","",HYPERLINK("https://www.youtube.com/watch?v="&amp;M3185,"▶"))</f>
        <v/>
      </c>
      <c r="B3185" s="36">
        <f>IF(C3185&lt;&gt;"",C3185,IF(P3185&lt;=IFERROR(INDEX(tblChannels[Watched Through],MATCH(N3185,tblChannels[Channel ID],0)),0),"Watched","Unwatched"))</f>
        <v/>
      </c>
      <c r="C3185" s="37" t="n"/>
      <c r="D3185" s="38" t="n"/>
      <c r="E3185" s="39" t="n">
        <v>41205.90069444444</v>
      </c>
      <c r="F3185" s="47" t="inlineStr">
        <is>
          <t>Super Carlin Brothers</t>
        </is>
      </c>
      <c r="G3185" t="inlineStr">
        <is>
          <t>QUIDDITCH MAKES NO SENSE!</t>
        </is>
      </c>
      <c r="H3185" s="41" t="n">
        <v>0.002962962962962963</v>
      </c>
      <c r="I3185" s="42" t="n">
        <v>658070</v>
      </c>
      <c r="J3185" s="42" t="n">
        <v>9971</v>
      </c>
      <c r="K3185" s="42" t="n">
        <v>3195</v>
      </c>
      <c r="L3185" s="43" t="n"/>
      <c r="M3185" s="44" t="n"/>
      <c r="N3185" s="44" t="inlineStr">
        <is>
          <t>UCKZo4N0lVPccBkSiuyVh4yg</t>
        </is>
      </c>
      <c r="O3185" s="45" t="n">
        <v>41206.06736111111</v>
      </c>
      <c r="P3185" s="46" t="n">
        <v>41205</v>
      </c>
      <c r="Q3185" s="44" t="n">
        <v>87</v>
      </c>
      <c r="R3185" s="44" t="inlineStr">
        <is>
          <t>No Video ID yet</t>
        </is>
      </c>
      <c r="S3185" s="46" t="n"/>
      <c r="T3185" s="46" t="n"/>
      <c r="U3185" s="44" t="n"/>
      <c r="V3185" s="44">
        <f>IF(AND(P3185&gt;=Calendar!$K$2,P3185&lt;EDATE(Calendar!$K$2,1),OR(Calendar!$K$4="*",N3185=Calendar!$K$4)),P3185*100+COUNTIFS($P$6:$P$3271,P3185,$Q$6:$Q$3271,"&lt;="&amp;Q3185,$N$6:$N$3271,Calendar!$K$4),"")</f>
        <v/>
      </c>
      <c r="W3185" s="44">
        <f>IF(AND(B3185=Queue!$C$4,OR(Queue!$K$4="*",N3185=Queue!$K$4)),Q3185,"")</f>
        <v/>
      </c>
    </row>
    <row r="3186">
      <c r="A3186" s="35">
        <f>IF(M3186="","",HYPERLINK("https://www.youtube.com/watch?v="&amp;M3186,"▶"))</f>
        <v/>
      </c>
      <c r="B3186" s="36">
        <f>IF(C3186&lt;&gt;"",C3186,IF(P3186&lt;=IFERROR(INDEX(tblChannels[Watched Through],MATCH(N3186,tblChannels[Channel ID],0)),0),"Watched","Unwatched"))</f>
        <v/>
      </c>
      <c r="C3186" s="37" t="n"/>
      <c r="D3186" s="38" t="n"/>
      <c r="E3186" s="39" t="n">
        <v>41204.94305555556</v>
      </c>
      <c r="F3186" s="47" t="inlineStr">
        <is>
          <t>Super Carlin Brothers</t>
        </is>
      </c>
      <c r="G3186" t="inlineStr">
        <is>
          <t>Hogwarts and Charts</t>
        </is>
      </c>
      <c r="H3186" s="41" t="n">
        <v>0.002476851851851852</v>
      </c>
      <c r="I3186" s="42" t="n">
        <v>87422</v>
      </c>
      <c r="J3186" s="42" t="n">
        <v>1466</v>
      </c>
      <c r="K3186" s="42" t="n">
        <v>810</v>
      </c>
      <c r="L3186" s="43" t="n"/>
      <c r="M3186" s="44" t="n"/>
      <c r="N3186" s="44" t="inlineStr">
        <is>
          <t>UCKZo4N0lVPccBkSiuyVh4yg</t>
        </is>
      </c>
      <c r="O3186" s="45" t="n">
        <v>41205.10972222222</v>
      </c>
      <c r="P3186" s="46" t="n">
        <v>41204</v>
      </c>
      <c r="Q3186" s="44" t="n">
        <v>86</v>
      </c>
      <c r="R3186" s="44" t="inlineStr">
        <is>
          <t>No Video ID yet</t>
        </is>
      </c>
      <c r="S3186" s="46" t="n"/>
      <c r="T3186" s="46" t="n"/>
      <c r="U3186" s="44" t="n"/>
      <c r="V3186" s="44">
        <f>IF(AND(P3186&gt;=Calendar!$K$2,P3186&lt;EDATE(Calendar!$K$2,1),OR(Calendar!$K$4="*",N3186=Calendar!$K$4)),P3186*100+COUNTIFS($P$6:$P$3271,P3186,$Q$6:$Q$3271,"&lt;="&amp;Q3186,$N$6:$N$3271,Calendar!$K$4),"")</f>
        <v/>
      </c>
      <c r="W3186" s="44">
        <f>IF(AND(B3186=Queue!$C$4,OR(Queue!$K$4="*",N3186=Queue!$K$4)),Q3186,"")</f>
        <v/>
      </c>
    </row>
    <row r="3187">
      <c r="A3187" s="35">
        <f>IF(M3187="","",HYPERLINK("https://www.youtube.com/watch?v="&amp;M3187,"▶"))</f>
        <v/>
      </c>
      <c r="B3187" s="36">
        <f>IF(C3187&lt;&gt;"",C3187,IF(P3187&lt;=IFERROR(INDEX(tblChannels[Watched Through],MATCH(N3187,tblChannels[Channel ID],0)),0),"Watched","Unwatched"))</f>
        <v/>
      </c>
      <c r="C3187" s="37" t="n"/>
      <c r="D3187" s="38" t="n"/>
      <c r="E3187" s="39" t="n">
        <v>41201.83194444444</v>
      </c>
      <c r="F3187" s="47" t="inlineStr">
        <is>
          <t>Super Carlin Brothers</t>
        </is>
      </c>
      <c r="G3187" t="inlineStr">
        <is>
          <t>Ask J! #4</t>
        </is>
      </c>
      <c r="H3187" s="41" t="n">
        <v>0.002002314814814815</v>
      </c>
      <c r="I3187" s="42" t="n">
        <v>24431</v>
      </c>
      <c r="J3187" s="42" t="n">
        <v>477</v>
      </c>
      <c r="K3187" s="42" t="n">
        <v>333</v>
      </c>
      <c r="L3187" s="43" t="n"/>
      <c r="M3187" s="44" t="n"/>
      <c r="N3187" s="44" t="inlineStr">
        <is>
          <t>UCKZo4N0lVPccBkSiuyVh4yg</t>
        </is>
      </c>
      <c r="O3187" s="45" t="n">
        <v>41201.99861111111</v>
      </c>
      <c r="P3187" s="46" t="n">
        <v>41201</v>
      </c>
      <c r="Q3187" s="44" t="n">
        <v>85</v>
      </c>
      <c r="R3187" s="44" t="inlineStr">
        <is>
          <t>No Video ID yet</t>
        </is>
      </c>
      <c r="S3187" s="46" t="n"/>
      <c r="T3187" s="46" t="n"/>
      <c r="U3187" s="44" t="n"/>
      <c r="V3187" s="44">
        <f>IF(AND(P3187&gt;=Calendar!$K$2,P3187&lt;EDATE(Calendar!$K$2,1),OR(Calendar!$K$4="*",N3187=Calendar!$K$4)),P3187*100+COUNTIFS($P$6:$P$3271,P3187,$Q$6:$Q$3271,"&lt;="&amp;Q3187,$N$6:$N$3271,Calendar!$K$4),"")</f>
        <v/>
      </c>
      <c r="W3187" s="44">
        <f>IF(AND(B3187=Queue!$C$4,OR(Queue!$K$4="*",N3187=Queue!$K$4)),Q3187,"")</f>
        <v/>
      </c>
    </row>
    <row r="3188">
      <c r="A3188" s="35">
        <f>IF(M3188="","",HYPERLINK("https://www.youtube.com/watch?v="&amp;M3188,"▶"))</f>
        <v/>
      </c>
      <c r="B3188" s="36">
        <f>IF(C3188&lt;&gt;"",C3188,IF(P3188&lt;=IFERROR(INDEX(tblChannels[Watched Through],MATCH(N3188,tblChannels[Channel ID],0)),0),"Watched","Unwatched"))</f>
        <v/>
      </c>
      <c r="C3188" s="37" t="n"/>
      <c r="D3188" s="38" t="n"/>
      <c r="E3188" s="39" t="n">
        <v>41200.92986111111</v>
      </c>
      <c r="F3188" s="47" t="inlineStr">
        <is>
          <t>Super Carlin Brothers</t>
        </is>
      </c>
      <c r="G3188" t="inlineStr">
        <is>
          <t>Has Apple Still Got it?</t>
        </is>
      </c>
      <c r="H3188" s="41" t="n">
        <v>0.002361111111111111</v>
      </c>
      <c r="I3188" s="42" t="n">
        <v>13414</v>
      </c>
      <c r="J3188" s="42" t="n">
        <v>289</v>
      </c>
      <c r="K3188" s="42" t="n">
        <v>49</v>
      </c>
      <c r="L3188" s="43" t="n"/>
      <c r="M3188" s="44" t="n"/>
      <c r="N3188" s="44" t="inlineStr">
        <is>
          <t>UCKZo4N0lVPccBkSiuyVh4yg</t>
        </is>
      </c>
      <c r="O3188" s="45" t="n">
        <v>41201.09652777778</v>
      </c>
      <c r="P3188" s="46" t="n">
        <v>41200</v>
      </c>
      <c r="Q3188" s="44" t="n">
        <v>84</v>
      </c>
      <c r="R3188" s="44" t="inlineStr">
        <is>
          <t>No Video ID yet</t>
        </is>
      </c>
      <c r="S3188" s="46" t="n"/>
      <c r="T3188" s="46" t="n"/>
      <c r="U3188" s="44" t="n"/>
      <c r="V3188" s="44">
        <f>IF(AND(P3188&gt;=Calendar!$K$2,P3188&lt;EDATE(Calendar!$K$2,1),OR(Calendar!$K$4="*",N3188=Calendar!$K$4)),P3188*100+COUNTIFS($P$6:$P$3271,P3188,$Q$6:$Q$3271,"&lt;="&amp;Q3188,$N$6:$N$3271,Calendar!$K$4),"")</f>
        <v/>
      </c>
      <c r="W3188" s="44">
        <f>IF(AND(B3188=Queue!$C$4,OR(Queue!$K$4="*",N3188=Queue!$K$4)),Q3188,"")</f>
        <v/>
      </c>
    </row>
    <row r="3189">
      <c r="A3189" s="35">
        <f>IF(M3189="","",HYPERLINK("https://www.youtube.com/watch?v="&amp;M3189,"▶"))</f>
        <v/>
      </c>
      <c r="B3189" s="36">
        <f>IF(C3189&lt;&gt;"",C3189,IF(P3189&lt;=IFERROR(INDEX(tblChannels[Watched Through],MATCH(N3189,tblChannels[Channel ID],0)),0),"Watched","Unwatched"))</f>
        <v/>
      </c>
      <c r="C3189" s="37" t="n"/>
      <c r="D3189" s="38" t="n"/>
      <c r="E3189" s="39" t="n">
        <v>41200.00208333333</v>
      </c>
      <c r="F3189" s="47" t="inlineStr">
        <is>
          <t>Super Carlin Brothers</t>
        </is>
      </c>
      <c r="G3189" t="inlineStr">
        <is>
          <t>How To Carve Your Face on a Pumpkin!</t>
        </is>
      </c>
      <c r="H3189" s="41" t="n">
        <v>0.002858796296296296</v>
      </c>
      <c r="I3189" s="42" t="n">
        <v>52563</v>
      </c>
      <c r="J3189" s="42" t="n">
        <v>852</v>
      </c>
      <c r="K3189" s="42" t="n">
        <v>54</v>
      </c>
      <c r="L3189" s="43" t="n"/>
      <c r="M3189" s="44" t="n"/>
      <c r="N3189" s="44" t="inlineStr">
        <is>
          <t>UCKZo4N0lVPccBkSiuyVh4yg</t>
        </is>
      </c>
      <c r="O3189" s="45" t="n">
        <v>41200.16875</v>
      </c>
      <c r="P3189" s="46" t="n">
        <v>41200</v>
      </c>
      <c r="Q3189" s="44" t="n">
        <v>83</v>
      </c>
      <c r="R3189" s="44" t="inlineStr">
        <is>
          <t>No Video ID yet</t>
        </is>
      </c>
      <c r="S3189" s="46" t="n"/>
      <c r="T3189" s="46" t="n"/>
      <c r="U3189" s="44" t="n"/>
      <c r="V3189" s="44">
        <f>IF(AND(P3189&gt;=Calendar!$K$2,P3189&lt;EDATE(Calendar!$K$2,1),OR(Calendar!$K$4="*",N3189=Calendar!$K$4)),P3189*100+COUNTIFS($P$6:$P$3271,P3189,$Q$6:$Q$3271,"&lt;="&amp;Q3189,$N$6:$N$3271,Calendar!$K$4),"")</f>
        <v/>
      </c>
      <c r="W3189" s="44">
        <f>IF(AND(B3189=Queue!$C$4,OR(Queue!$K$4="*",N3189=Queue!$K$4)),Q3189,"")</f>
        <v/>
      </c>
    </row>
    <row r="3190">
      <c r="A3190" s="35">
        <f>IF(M3190="","",HYPERLINK("https://www.youtube.com/watch?v="&amp;M3190,"▶"))</f>
        <v/>
      </c>
      <c r="B3190" s="36">
        <f>IF(C3190&lt;&gt;"",C3190,IF(P3190&lt;=IFERROR(INDEX(tblChannels[Watched Through],MATCH(N3190,tblChannels[Channel ID],0)),0),"Watched","Unwatched"))</f>
        <v/>
      </c>
      <c r="C3190" s="37" t="n"/>
      <c r="D3190" s="38" t="n"/>
      <c r="E3190" s="39" t="n">
        <v>41198.95555555556</v>
      </c>
      <c r="F3190" s="47" t="inlineStr">
        <is>
          <t>Super Carlin Brothers</t>
        </is>
      </c>
      <c r="G3190" t="inlineStr">
        <is>
          <t>How to Google Autofill</t>
        </is>
      </c>
      <c r="H3190" s="41" t="n">
        <v>0.003935185185185185</v>
      </c>
      <c r="I3190" s="42" t="n">
        <v>58135</v>
      </c>
      <c r="J3190" s="42" t="n">
        <v>979</v>
      </c>
      <c r="K3190" s="42" t="n">
        <v>154</v>
      </c>
      <c r="L3190" s="43" t="n"/>
      <c r="M3190" s="44" t="n"/>
      <c r="N3190" s="44" t="inlineStr">
        <is>
          <t>UCKZo4N0lVPccBkSiuyVh4yg</t>
        </is>
      </c>
      <c r="O3190" s="45" t="n">
        <v>41199.12222222222</v>
      </c>
      <c r="P3190" s="46" t="n">
        <v>41198</v>
      </c>
      <c r="Q3190" s="44" t="n">
        <v>82</v>
      </c>
      <c r="R3190" s="44" t="inlineStr">
        <is>
          <t>No Video ID yet</t>
        </is>
      </c>
      <c r="S3190" s="46" t="n"/>
      <c r="T3190" s="46" t="n"/>
      <c r="U3190" s="44" t="n"/>
      <c r="V3190" s="44">
        <f>IF(AND(P3190&gt;=Calendar!$K$2,P3190&lt;EDATE(Calendar!$K$2,1),OR(Calendar!$K$4="*",N3190=Calendar!$K$4)),P3190*100+COUNTIFS($P$6:$P$3271,P3190,$Q$6:$Q$3271,"&lt;="&amp;Q3190,$N$6:$N$3271,Calendar!$K$4),"")</f>
        <v/>
      </c>
      <c r="W3190" s="44">
        <f>IF(AND(B3190=Queue!$C$4,OR(Queue!$K$4="*",N3190=Queue!$K$4)),Q3190,"")</f>
        <v/>
      </c>
    </row>
    <row r="3191">
      <c r="A3191" s="35">
        <f>IF(M3191="","",HYPERLINK("https://www.youtube.com/watch?v="&amp;M3191,"▶"))</f>
        <v/>
      </c>
      <c r="B3191" s="36">
        <f>IF(C3191&lt;&gt;"",C3191,IF(P3191&lt;=IFERROR(INDEX(tblChannels[Watched Through],MATCH(N3191,tblChannels[Channel ID],0)),0),"Watched","Unwatched"))</f>
        <v/>
      </c>
      <c r="C3191" s="37" t="n"/>
      <c r="D3191" s="38" t="n"/>
      <c r="E3191" s="39" t="n">
        <v>41197.91944444444</v>
      </c>
      <c r="F3191" s="47" t="inlineStr">
        <is>
          <t>Super Carlin Brothers</t>
        </is>
      </c>
      <c r="G3191" t="inlineStr">
        <is>
          <t>I LOVE PUMPKINS!!!</t>
        </is>
      </c>
      <c r="H3191" s="41" t="n">
        <v>0.002430555555555556</v>
      </c>
      <c r="I3191" s="42" t="n">
        <v>23994</v>
      </c>
      <c r="J3191" s="42" t="n">
        <v>511</v>
      </c>
      <c r="K3191" s="42" t="n">
        <v>150</v>
      </c>
      <c r="L3191" s="43" t="n"/>
      <c r="M3191" s="44" t="n"/>
      <c r="N3191" s="44" t="inlineStr">
        <is>
          <t>UCKZo4N0lVPccBkSiuyVh4yg</t>
        </is>
      </c>
      <c r="O3191" s="45" t="n">
        <v>41198.08611111111</v>
      </c>
      <c r="P3191" s="46" t="n">
        <v>41197</v>
      </c>
      <c r="Q3191" s="44" t="n">
        <v>81</v>
      </c>
      <c r="R3191" s="44" t="inlineStr">
        <is>
          <t>No Video ID yet</t>
        </is>
      </c>
      <c r="S3191" s="46" t="n"/>
      <c r="T3191" s="46" t="n"/>
      <c r="U3191" s="44" t="n"/>
      <c r="V3191" s="44">
        <f>IF(AND(P3191&gt;=Calendar!$K$2,P3191&lt;EDATE(Calendar!$K$2,1),OR(Calendar!$K$4="*",N3191=Calendar!$K$4)),P3191*100+COUNTIFS($P$6:$P$3271,P3191,$Q$6:$Q$3271,"&lt;="&amp;Q3191,$N$6:$N$3271,Calendar!$K$4),"")</f>
        <v/>
      </c>
      <c r="W3191" s="44">
        <f>IF(AND(B3191=Queue!$C$4,OR(Queue!$K$4="*",N3191=Queue!$K$4)),Q3191,"")</f>
        <v/>
      </c>
    </row>
    <row r="3192">
      <c r="A3192" s="35">
        <f>IF(M3192="","",HYPERLINK("https://www.youtube.com/watch?v="&amp;M3192,"▶"))</f>
        <v/>
      </c>
      <c r="B3192" s="36">
        <f>IF(C3192&lt;&gt;"",C3192,IF(P3192&lt;=IFERROR(INDEX(tblChannels[Watched Through],MATCH(N3192,tblChannels[Channel ID],0)),0),"Watched","Unwatched"))</f>
        <v/>
      </c>
      <c r="C3192" s="37" t="n"/>
      <c r="D3192" s="38" t="n"/>
      <c r="E3192" s="39" t="n">
        <v>41194.92152777778</v>
      </c>
      <c r="F3192" s="47" t="inlineStr">
        <is>
          <t>Super Carlin Brothers</t>
        </is>
      </c>
      <c r="G3192" t="inlineStr">
        <is>
          <t>Push the Envelope</t>
        </is>
      </c>
      <c r="H3192" s="41" t="n">
        <v>0.00212962962962963</v>
      </c>
      <c r="I3192" s="42" t="n">
        <v>13783</v>
      </c>
      <c r="J3192" s="42" t="n">
        <v>319</v>
      </c>
      <c r="K3192" s="42" t="n">
        <v>32</v>
      </c>
      <c r="L3192" s="43" t="n"/>
      <c r="M3192" s="44" t="n"/>
      <c r="N3192" s="44" t="inlineStr">
        <is>
          <t>UCKZo4N0lVPccBkSiuyVh4yg</t>
        </is>
      </c>
      <c r="O3192" s="45" t="n">
        <v>41195.08819444444</v>
      </c>
      <c r="P3192" s="46" t="n">
        <v>41194</v>
      </c>
      <c r="Q3192" s="44" t="n">
        <v>80</v>
      </c>
      <c r="R3192" s="44" t="inlineStr">
        <is>
          <t>No Video ID yet</t>
        </is>
      </c>
      <c r="S3192" s="46" t="n"/>
      <c r="T3192" s="46" t="n"/>
      <c r="U3192" s="44" t="n"/>
      <c r="V3192" s="44">
        <f>IF(AND(P3192&gt;=Calendar!$K$2,P3192&lt;EDATE(Calendar!$K$2,1),OR(Calendar!$K$4="*",N3192=Calendar!$K$4)),P3192*100+COUNTIFS($P$6:$P$3271,P3192,$Q$6:$Q$3271,"&lt;="&amp;Q3192,$N$6:$N$3271,Calendar!$K$4),"")</f>
        <v/>
      </c>
      <c r="W3192" s="44">
        <f>IF(AND(B3192=Queue!$C$4,OR(Queue!$K$4="*",N3192=Queue!$K$4)),Q3192,"")</f>
        <v/>
      </c>
    </row>
    <row r="3193">
      <c r="A3193" s="35">
        <f>IF(M3193="","",HYPERLINK("https://www.youtube.com/watch?v="&amp;M3193,"▶"))</f>
        <v/>
      </c>
      <c r="B3193" s="36">
        <f>IF(C3193&lt;&gt;"",C3193,IF(P3193&lt;=IFERROR(INDEX(tblChannels[Watched Through],MATCH(N3193,tblChannels[Channel ID],0)),0),"Watched","Unwatched"))</f>
        <v/>
      </c>
      <c r="C3193" s="37" t="n"/>
      <c r="D3193" s="38" t="n"/>
      <c r="E3193" s="39" t="n">
        <v>41193.93680555555</v>
      </c>
      <c r="F3193" s="47" t="inlineStr">
        <is>
          <t>Super Carlin Brothers</t>
        </is>
      </c>
      <c r="G3193" t="inlineStr">
        <is>
          <t>The Boy Who Cried Wolf</t>
        </is>
      </c>
      <c r="H3193" s="41" t="n">
        <v>0.002268518518518519</v>
      </c>
      <c r="I3193" s="42" t="n">
        <v>52891</v>
      </c>
      <c r="J3193" s="42" t="n">
        <v>1051</v>
      </c>
      <c r="K3193" s="42" t="n">
        <v>183</v>
      </c>
      <c r="L3193" s="43" t="n"/>
      <c r="M3193" s="44" t="n"/>
      <c r="N3193" s="44" t="inlineStr">
        <is>
          <t>UCKZo4N0lVPccBkSiuyVh4yg</t>
        </is>
      </c>
      <c r="O3193" s="45" t="n">
        <v>41194.10347222222</v>
      </c>
      <c r="P3193" s="46" t="n">
        <v>41193</v>
      </c>
      <c r="Q3193" s="44" t="n">
        <v>79</v>
      </c>
      <c r="R3193" s="44" t="inlineStr">
        <is>
          <t>No Video ID yet</t>
        </is>
      </c>
      <c r="S3193" s="46" t="n"/>
      <c r="T3193" s="46" t="n"/>
      <c r="U3193" s="44" t="n"/>
      <c r="V3193" s="44">
        <f>IF(AND(P3193&gt;=Calendar!$K$2,P3193&lt;EDATE(Calendar!$K$2,1),OR(Calendar!$K$4="*",N3193=Calendar!$K$4)),P3193*100+COUNTIFS($P$6:$P$3271,P3193,$Q$6:$Q$3271,"&lt;="&amp;Q3193,$N$6:$N$3271,Calendar!$K$4),"")</f>
        <v/>
      </c>
      <c r="W3193" s="44">
        <f>IF(AND(B3193=Queue!$C$4,OR(Queue!$K$4="*",N3193=Queue!$K$4)),Q3193,"")</f>
        <v/>
      </c>
    </row>
    <row r="3194">
      <c r="A3194" s="35">
        <f>IF(M3194="","",HYPERLINK("https://www.youtube.com/watch?v="&amp;M3194,"▶"))</f>
        <v/>
      </c>
      <c r="B3194" s="36">
        <f>IF(C3194&lt;&gt;"",C3194,IF(P3194&lt;=IFERROR(INDEX(tblChannels[Watched Through],MATCH(N3194,tblChannels[Channel ID],0)),0),"Watched","Unwatched"))</f>
        <v/>
      </c>
      <c r="C3194" s="37" t="n"/>
      <c r="D3194" s="38" t="n"/>
      <c r="E3194" s="39" t="n">
        <v>41192.77152777778</v>
      </c>
      <c r="F3194" s="47" t="inlineStr">
        <is>
          <t>Super Carlin Brothers</t>
        </is>
      </c>
      <c r="G3194" t="inlineStr">
        <is>
          <t>Emergency Room Stories</t>
        </is>
      </c>
      <c r="H3194" s="41" t="n">
        <v>0.001793981481481481</v>
      </c>
      <c r="I3194" s="42" t="n">
        <v>19572</v>
      </c>
      <c r="J3194" s="42" t="n">
        <v>411</v>
      </c>
      <c r="K3194" s="42" t="n">
        <v>193</v>
      </c>
      <c r="L3194" s="43" t="n"/>
      <c r="M3194" s="44" t="n"/>
      <c r="N3194" s="44" t="inlineStr">
        <is>
          <t>UCKZo4N0lVPccBkSiuyVh4yg</t>
        </is>
      </c>
      <c r="O3194" s="45" t="n">
        <v>41192.93819444445</v>
      </c>
      <c r="P3194" s="46" t="n">
        <v>41192</v>
      </c>
      <c r="Q3194" s="44" t="n">
        <v>78</v>
      </c>
      <c r="R3194" s="44" t="inlineStr">
        <is>
          <t>No Video ID yet</t>
        </is>
      </c>
      <c r="S3194" s="46" t="n"/>
      <c r="T3194" s="46" t="n"/>
      <c r="U3194" s="44" t="n"/>
      <c r="V3194" s="44">
        <f>IF(AND(P3194&gt;=Calendar!$K$2,P3194&lt;EDATE(Calendar!$K$2,1),OR(Calendar!$K$4="*",N3194=Calendar!$K$4)),P3194*100+COUNTIFS($P$6:$P$3271,P3194,$Q$6:$Q$3271,"&lt;="&amp;Q3194,$N$6:$N$3271,Calendar!$K$4),"")</f>
        <v/>
      </c>
      <c r="W3194" s="44">
        <f>IF(AND(B3194=Queue!$C$4,OR(Queue!$K$4="*",N3194=Queue!$K$4)),Q3194,"")</f>
        <v/>
      </c>
    </row>
    <row r="3195">
      <c r="A3195" s="35">
        <f>IF(M3195="","",HYPERLINK("https://www.youtube.com/watch?v="&amp;M3195,"▶"))</f>
        <v/>
      </c>
      <c r="B3195" s="36">
        <f>IF(C3195&lt;&gt;"",C3195,IF(P3195&lt;=IFERROR(INDEX(tblChannels[Watched Through],MATCH(N3195,tblChannels[Channel ID],0)),0),"Watched","Unwatched"))</f>
        <v/>
      </c>
      <c r="C3195" s="37" t="n"/>
      <c r="D3195" s="38" t="n"/>
      <c r="E3195" s="39" t="n">
        <v>41191.86805555555</v>
      </c>
      <c r="F3195" s="47" t="inlineStr">
        <is>
          <t>Super Carlin Brothers</t>
        </is>
      </c>
      <c r="G3195" t="inlineStr">
        <is>
          <t>Phone ADD</t>
        </is>
      </c>
      <c r="H3195" s="41" t="n">
        <v>0.0015625</v>
      </c>
      <c r="I3195" s="42" t="n">
        <v>21325</v>
      </c>
      <c r="J3195" s="42" t="n">
        <v>505</v>
      </c>
      <c r="K3195" s="42" t="n">
        <v>155</v>
      </c>
      <c r="L3195" s="43" t="n"/>
      <c r="M3195" s="44" t="n"/>
      <c r="N3195" s="44" t="inlineStr">
        <is>
          <t>UCKZo4N0lVPccBkSiuyVh4yg</t>
        </is>
      </c>
      <c r="O3195" s="45" t="n">
        <v>41192.03472222222</v>
      </c>
      <c r="P3195" s="46" t="n">
        <v>41191</v>
      </c>
      <c r="Q3195" s="44" t="n">
        <v>77</v>
      </c>
      <c r="R3195" s="44" t="inlineStr">
        <is>
          <t>No Video ID yet</t>
        </is>
      </c>
      <c r="S3195" s="46" t="n"/>
      <c r="T3195" s="46" t="n"/>
      <c r="U3195" s="44" t="n"/>
      <c r="V3195" s="44">
        <f>IF(AND(P3195&gt;=Calendar!$K$2,P3195&lt;EDATE(Calendar!$K$2,1),OR(Calendar!$K$4="*",N3195=Calendar!$K$4)),P3195*100+COUNTIFS($P$6:$P$3271,P3195,$Q$6:$Q$3271,"&lt;="&amp;Q3195,$N$6:$N$3271,Calendar!$K$4),"")</f>
        <v/>
      </c>
      <c r="W3195" s="44">
        <f>IF(AND(B3195=Queue!$C$4,OR(Queue!$K$4="*",N3195=Queue!$K$4)),Q3195,"")</f>
        <v/>
      </c>
    </row>
    <row r="3196">
      <c r="A3196" s="35">
        <f>IF(M3196="","",HYPERLINK("https://www.youtube.com/watch?v="&amp;M3196,"▶"))</f>
        <v/>
      </c>
      <c r="B3196" s="36">
        <f>IF(C3196&lt;&gt;"",C3196,IF(P3196&lt;=IFERROR(INDEX(tblChannels[Watched Through],MATCH(N3196,tblChannels[Channel ID],0)),0),"Watched","Unwatched"))</f>
        <v/>
      </c>
      <c r="C3196" s="37" t="n"/>
      <c r="D3196" s="38" t="n"/>
      <c r="E3196" s="39" t="n">
        <v>41190.82638888889</v>
      </c>
      <c r="F3196" s="47" t="inlineStr">
        <is>
          <t>Super Carlin Brothers</t>
        </is>
      </c>
      <c r="G3196" t="inlineStr">
        <is>
          <t>Controversial Columbus Day</t>
        </is>
      </c>
      <c r="H3196" s="41" t="n">
        <v>0.001875</v>
      </c>
      <c r="I3196" s="42" t="n">
        <v>13766</v>
      </c>
      <c r="J3196" s="42" t="n">
        <v>277</v>
      </c>
      <c r="K3196" s="42" t="n">
        <v>72</v>
      </c>
      <c r="L3196" s="43" t="n"/>
      <c r="M3196" s="44" t="n"/>
      <c r="N3196" s="44" t="inlineStr">
        <is>
          <t>UCKZo4N0lVPccBkSiuyVh4yg</t>
        </is>
      </c>
      <c r="O3196" s="45" t="n">
        <v>41190.99305555555</v>
      </c>
      <c r="P3196" s="46" t="n">
        <v>41190</v>
      </c>
      <c r="Q3196" s="44" t="n">
        <v>76</v>
      </c>
      <c r="R3196" s="44" t="inlineStr">
        <is>
          <t>No Video ID yet</t>
        </is>
      </c>
      <c r="S3196" s="46" t="n"/>
      <c r="T3196" s="46" t="n"/>
      <c r="U3196" s="44" t="n"/>
      <c r="V3196" s="44">
        <f>IF(AND(P3196&gt;=Calendar!$K$2,P3196&lt;EDATE(Calendar!$K$2,1),OR(Calendar!$K$4="*",N3196=Calendar!$K$4)),P3196*100+COUNTIFS($P$6:$P$3271,P3196,$Q$6:$Q$3271,"&lt;="&amp;Q3196,$N$6:$N$3271,Calendar!$K$4),"")</f>
        <v/>
      </c>
      <c r="W3196" s="44">
        <f>IF(AND(B3196=Queue!$C$4,OR(Queue!$K$4="*",N3196=Queue!$K$4)),Q3196,"")</f>
        <v/>
      </c>
    </row>
    <row r="3197">
      <c r="A3197" s="35">
        <f>IF(M3197="","",HYPERLINK("https://www.youtube.com/watch?v="&amp;M3197,"▶"))</f>
        <v/>
      </c>
      <c r="B3197" s="36">
        <f>IF(C3197&lt;&gt;"",C3197,IF(P3197&lt;=IFERROR(INDEX(tblChannels[Watched Through],MATCH(N3197,tblChannels[Channel ID],0)),0),"Watched","Unwatched"))</f>
        <v/>
      </c>
      <c r="C3197" s="37" t="n"/>
      <c r="D3197" s="38" t="n"/>
      <c r="E3197" s="39" t="n">
        <v>41187.93125</v>
      </c>
      <c r="F3197" s="47" t="inlineStr">
        <is>
          <t>Super Carlin Brothers</t>
        </is>
      </c>
      <c r="G3197" t="inlineStr">
        <is>
          <t>Nerimon's YouTube Survey 2012!</t>
        </is>
      </c>
      <c r="H3197" s="41" t="n">
        <v>0.002685185185185185</v>
      </c>
      <c r="I3197" s="42" t="n">
        <v>15732</v>
      </c>
      <c r="J3197" s="42" t="n">
        <v>383</v>
      </c>
      <c r="K3197" s="42" t="n">
        <v>67</v>
      </c>
      <c r="L3197" s="43" t="n"/>
      <c r="M3197" s="44" t="n"/>
      <c r="N3197" s="44" t="inlineStr">
        <is>
          <t>UCKZo4N0lVPccBkSiuyVh4yg</t>
        </is>
      </c>
      <c r="O3197" s="45" t="n">
        <v>41188.09791666667</v>
      </c>
      <c r="P3197" s="46" t="n">
        <v>41187</v>
      </c>
      <c r="Q3197" s="44" t="n">
        <v>75</v>
      </c>
      <c r="R3197" s="44" t="inlineStr">
        <is>
          <t>No Video ID yet</t>
        </is>
      </c>
      <c r="S3197" s="46" t="n"/>
      <c r="T3197" s="46" t="n"/>
      <c r="U3197" s="44" t="n"/>
      <c r="V3197" s="44">
        <f>IF(AND(P3197&gt;=Calendar!$K$2,P3197&lt;EDATE(Calendar!$K$2,1),OR(Calendar!$K$4="*",N3197=Calendar!$K$4)),P3197*100+COUNTIFS($P$6:$P$3271,P3197,$Q$6:$Q$3271,"&lt;="&amp;Q3197,$N$6:$N$3271,Calendar!$K$4),"")</f>
        <v/>
      </c>
      <c r="W3197" s="44">
        <f>IF(AND(B3197=Queue!$C$4,OR(Queue!$K$4="*",N3197=Queue!$K$4)),Q3197,"")</f>
        <v/>
      </c>
    </row>
    <row r="3198">
      <c r="A3198" s="35">
        <f>IF(M3198="","",HYPERLINK("https://www.youtube.com/watch?v="&amp;M3198,"▶"))</f>
        <v/>
      </c>
      <c r="B3198" s="36">
        <f>IF(C3198&lt;&gt;"",C3198,IF(P3198&lt;=IFERROR(INDEX(tblChannels[Watched Through],MATCH(N3198,tblChannels[Channel ID],0)),0),"Watched","Unwatched"))</f>
        <v/>
      </c>
      <c r="C3198" s="37" t="n"/>
      <c r="D3198" s="38" t="n"/>
      <c r="E3198" s="39" t="n">
        <v>41186.9375</v>
      </c>
      <c r="F3198" s="47" t="inlineStr">
        <is>
          <t>Super Carlin Brothers</t>
        </is>
      </c>
      <c r="G3198" t="inlineStr">
        <is>
          <t>Be a Hobbyist</t>
        </is>
      </c>
      <c r="H3198" s="41" t="n">
        <v>0.002638888888888889</v>
      </c>
      <c r="I3198" s="42" t="n">
        <v>14672</v>
      </c>
      <c r="J3198" s="42" t="n">
        <v>339</v>
      </c>
      <c r="K3198" s="42" t="n">
        <v>54</v>
      </c>
      <c r="L3198" s="43" t="n"/>
      <c r="M3198" s="44" t="n"/>
      <c r="N3198" s="44" t="inlineStr">
        <is>
          <t>UCKZo4N0lVPccBkSiuyVh4yg</t>
        </is>
      </c>
      <c r="O3198" s="45" t="n">
        <v>41187.10416666666</v>
      </c>
      <c r="P3198" s="46" t="n">
        <v>41186</v>
      </c>
      <c r="Q3198" s="44" t="n">
        <v>74</v>
      </c>
      <c r="R3198" s="44" t="inlineStr">
        <is>
          <t>No Video ID yet</t>
        </is>
      </c>
      <c r="S3198" s="46" t="n"/>
      <c r="T3198" s="46" t="n"/>
      <c r="U3198" s="44" t="n"/>
      <c r="V3198" s="44">
        <f>IF(AND(P3198&gt;=Calendar!$K$2,P3198&lt;EDATE(Calendar!$K$2,1),OR(Calendar!$K$4="*",N3198=Calendar!$K$4)),P3198*100+COUNTIFS($P$6:$P$3271,P3198,$Q$6:$Q$3271,"&lt;="&amp;Q3198,$N$6:$N$3271,Calendar!$K$4),"")</f>
        <v/>
      </c>
      <c r="W3198" s="44">
        <f>IF(AND(B3198=Queue!$C$4,OR(Queue!$K$4="*",N3198=Queue!$K$4)),Q3198,"")</f>
        <v/>
      </c>
    </row>
    <row r="3199">
      <c r="A3199" s="35">
        <f>IF(M3199="","",HYPERLINK("https://www.youtube.com/watch?v="&amp;M3199,"▶"))</f>
        <v/>
      </c>
      <c r="B3199" s="36">
        <f>IF(C3199&lt;&gt;"",C3199,IF(P3199&lt;=IFERROR(INDEX(tblChannels[Watched Through],MATCH(N3199,tblChannels[Channel ID],0)),0),"Watched","Unwatched"))</f>
        <v/>
      </c>
      <c r="C3199" s="37" t="n"/>
      <c r="D3199" s="38" t="n"/>
      <c r="E3199" s="39" t="n">
        <v>41185.91041666667</v>
      </c>
      <c r="F3199" s="47" t="inlineStr">
        <is>
          <t>Super Carlin Brothers</t>
        </is>
      </c>
      <c r="G3199" t="inlineStr">
        <is>
          <t>Tipping Tips</t>
        </is>
      </c>
      <c r="H3199" s="41" t="n">
        <v>0.002743055555555555</v>
      </c>
      <c r="I3199" s="42" t="n">
        <v>28060</v>
      </c>
      <c r="J3199" s="42" t="n">
        <v>639</v>
      </c>
      <c r="K3199" s="42" t="n">
        <v>170</v>
      </c>
      <c r="L3199" s="43" t="n"/>
      <c r="M3199" s="44" t="n"/>
      <c r="N3199" s="44" t="inlineStr">
        <is>
          <t>UCKZo4N0lVPccBkSiuyVh4yg</t>
        </is>
      </c>
      <c r="O3199" s="45" t="n">
        <v>41186.07708333333</v>
      </c>
      <c r="P3199" s="46" t="n">
        <v>41185</v>
      </c>
      <c r="Q3199" s="44" t="n">
        <v>73</v>
      </c>
      <c r="R3199" s="44" t="inlineStr">
        <is>
          <t>No Video ID yet</t>
        </is>
      </c>
      <c r="S3199" s="46" t="n"/>
      <c r="T3199" s="46" t="n"/>
      <c r="U3199" s="44" t="n"/>
      <c r="V3199" s="44">
        <f>IF(AND(P3199&gt;=Calendar!$K$2,P3199&lt;EDATE(Calendar!$K$2,1),OR(Calendar!$K$4="*",N3199=Calendar!$K$4)),P3199*100+COUNTIFS($P$6:$P$3271,P3199,$Q$6:$Q$3271,"&lt;="&amp;Q3199,$N$6:$N$3271,Calendar!$K$4),"")</f>
        <v/>
      </c>
      <c r="W3199" s="44">
        <f>IF(AND(B3199=Queue!$C$4,OR(Queue!$K$4="*",N3199=Queue!$K$4)),Q3199,"")</f>
        <v/>
      </c>
    </row>
    <row r="3200">
      <c r="A3200" s="35">
        <f>IF(M3200="","",HYPERLINK("https://www.youtube.com/watch?v="&amp;M3200,"▶"))</f>
        <v/>
      </c>
      <c r="B3200" s="36">
        <f>IF(C3200&lt;&gt;"",C3200,IF(P3200&lt;=IFERROR(INDEX(tblChannels[Watched Through],MATCH(N3200,tblChannels[Channel ID],0)),0),"Watched","Unwatched"))</f>
        <v/>
      </c>
      <c r="C3200" s="37" t="n"/>
      <c r="D3200" s="38" t="n"/>
      <c r="E3200" s="39" t="n">
        <v>41184.94097222222</v>
      </c>
      <c r="F3200" s="47" t="inlineStr">
        <is>
          <t>Super Carlin Brothers</t>
        </is>
      </c>
      <c r="G3200" t="inlineStr">
        <is>
          <t>Tuesdays Suck</t>
        </is>
      </c>
      <c r="H3200" s="41" t="n">
        <v>0.001759259259259259</v>
      </c>
      <c r="I3200" s="42" t="n">
        <v>15563</v>
      </c>
      <c r="J3200" s="42" t="n">
        <v>389</v>
      </c>
      <c r="K3200" s="42" t="n">
        <v>92</v>
      </c>
      <c r="L3200" s="43" t="n"/>
      <c r="M3200" s="44" t="n"/>
      <c r="N3200" s="44" t="inlineStr">
        <is>
          <t>UCKZo4N0lVPccBkSiuyVh4yg</t>
        </is>
      </c>
      <c r="O3200" s="45" t="n">
        <v>41185.10763888889</v>
      </c>
      <c r="P3200" s="46" t="n">
        <v>41184</v>
      </c>
      <c r="Q3200" s="44" t="n">
        <v>72</v>
      </c>
      <c r="R3200" s="44" t="inlineStr">
        <is>
          <t>No Video ID yet</t>
        </is>
      </c>
      <c r="S3200" s="46" t="n"/>
      <c r="T3200" s="46" t="n"/>
      <c r="U3200" s="44" t="n"/>
      <c r="V3200" s="44">
        <f>IF(AND(P3200&gt;=Calendar!$K$2,P3200&lt;EDATE(Calendar!$K$2,1),OR(Calendar!$K$4="*",N3200=Calendar!$K$4)),P3200*100+COUNTIFS($P$6:$P$3271,P3200,$Q$6:$Q$3271,"&lt;="&amp;Q3200,$N$6:$N$3271,Calendar!$K$4),"")</f>
        <v/>
      </c>
      <c r="W3200" s="44">
        <f>IF(AND(B3200=Queue!$C$4,OR(Queue!$K$4="*",N3200=Queue!$K$4)),Q3200,"")</f>
        <v/>
      </c>
    </row>
    <row r="3201">
      <c r="A3201" s="35">
        <f>IF(M3201="","",HYPERLINK("https://www.youtube.com/watch?v="&amp;M3201,"▶"))</f>
        <v/>
      </c>
      <c r="B3201" s="36">
        <f>IF(C3201&lt;&gt;"",C3201,IF(P3201&lt;=IFERROR(INDEX(tblChannels[Watched Through],MATCH(N3201,tblChannels[Channel ID],0)),0),"Watched","Unwatched"))</f>
        <v/>
      </c>
      <c r="C3201" s="37" t="n"/>
      <c r="D3201" s="38" t="n"/>
      <c r="E3201" s="39" t="n">
        <v>41183.93402777778</v>
      </c>
      <c r="F3201" s="47" t="inlineStr">
        <is>
          <t>Super Carlin Brothers</t>
        </is>
      </c>
      <c r="G3201" t="inlineStr">
        <is>
          <t>Why do we yawn?</t>
        </is>
      </c>
      <c r="H3201" s="41" t="n">
        <v>0.001793981481481481</v>
      </c>
      <c r="I3201" s="42" t="n">
        <v>45256</v>
      </c>
      <c r="J3201" s="42" t="n">
        <v>829</v>
      </c>
      <c r="K3201" s="42" t="n">
        <v>703</v>
      </c>
      <c r="L3201" s="43" t="n"/>
      <c r="M3201" s="44" t="n"/>
      <c r="N3201" s="44" t="inlineStr">
        <is>
          <t>UCKZo4N0lVPccBkSiuyVh4yg</t>
        </is>
      </c>
      <c r="O3201" s="45" t="n">
        <v>41184.10069444445</v>
      </c>
      <c r="P3201" s="46" t="n">
        <v>41183</v>
      </c>
      <c r="Q3201" s="44" t="n">
        <v>71</v>
      </c>
      <c r="R3201" s="44" t="inlineStr">
        <is>
          <t>No Video ID yet</t>
        </is>
      </c>
      <c r="S3201" s="46" t="n"/>
      <c r="T3201" s="46" t="n"/>
      <c r="U3201" s="44" t="n"/>
      <c r="V3201" s="44">
        <f>IF(AND(P3201&gt;=Calendar!$K$2,P3201&lt;EDATE(Calendar!$K$2,1),OR(Calendar!$K$4="*",N3201=Calendar!$K$4)),P3201*100+COUNTIFS($P$6:$P$3271,P3201,$Q$6:$Q$3271,"&lt;="&amp;Q3201,$N$6:$N$3271,Calendar!$K$4),"")</f>
        <v/>
      </c>
      <c r="W3201" s="44">
        <f>IF(AND(B3201=Queue!$C$4,OR(Queue!$K$4="*",N3201=Queue!$K$4)),Q3201,"")</f>
        <v/>
      </c>
    </row>
    <row r="3202">
      <c r="A3202" s="35">
        <f>IF(M3202="","",HYPERLINK("https://www.youtube.com/watch?v="&amp;M3202,"▶"))</f>
        <v/>
      </c>
      <c r="B3202" s="36">
        <f>IF(C3202&lt;&gt;"",C3202,IF(P3202&lt;=IFERROR(INDEX(tblChannels[Watched Through],MATCH(N3202,tblChannels[Channel ID],0)),0),"Watched","Unwatched"))</f>
        <v/>
      </c>
      <c r="C3202" s="37" t="n"/>
      <c r="D3202" s="38" t="n"/>
      <c r="E3202" s="39" t="n">
        <v>41180.84791666667</v>
      </c>
      <c r="F3202" s="47" t="inlineStr">
        <is>
          <t>Super Carlin Brothers</t>
        </is>
      </c>
      <c r="G3202" t="inlineStr">
        <is>
          <t>Sector Celebrities</t>
        </is>
      </c>
      <c r="H3202" s="41" t="n">
        <v>0.001388888888888889</v>
      </c>
      <c r="I3202" s="42" t="n">
        <v>12674</v>
      </c>
      <c r="J3202" s="42" t="n">
        <v>293</v>
      </c>
      <c r="K3202" s="42" t="n">
        <v>87</v>
      </c>
      <c r="L3202" s="43" t="n"/>
      <c r="M3202" s="44" t="n"/>
      <c r="N3202" s="44" t="inlineStr">
        <is>
          <t>UCKZo4N0lVPccBkSiuyVh4yg</t>
        </is>
      </c>
      <c r="O3202" s="45" t="n">
        <v>41181.01458333333</v>
      </c>
      <c r="P3202" s="46" t="n">
        <v>41180</v>
      </c>
      <c r="Q3202" s="44" t="n">
        <v>70</v>
      </c>
      <c r="R3202" s="44" t="inlineStr">
        <is>
          <t>No Video ID yet</t>
        </is>
      </c>
      <c r="S3202" s="46" t="n"/>
      <c r="T3202" s="46" t="n"/>
      <c r="U3202" s="44" t="n"/>
      <c r="V3202" s="44">
        <f>IF(AND(P3202&gt;=Calendar!$K$2,P3202&lt;EDATE(Calendar!$K$2,1),OR(Calendar!$K$4="*",N3202=Calendar!$K$4)),P3202*100+COUNTIFS($P$6:$P$3271,P3202,$Q$6:$Q$3271,"&lt;="&amp;Q3202,$N$6:$N$3271,Calendar!$K$4),"")</f>
        <v/>
      </c>
      <c r="W3202" s="44">
        <f>IF(AND(B3202=Queue!$C$4,OR(Queue!$K$4="*",N3202=Queue!$K$4)),Q3202,"")</f>
        <v/>
      </c>
    </row>
    <row r="3203">
      <c r="A3203" s="35">
        <f>IF(M3203="","",HYPERLINK("https://www.youtube.com/watch?v="&amp;M3203,"▶"))</f>
        <v/>
      </c>
      <c r="B3203" s="36">
        <f>IF(C3203&lt;&gt;"",C3203,IF(P3203&lt;=IFERROR(INDEX(tblChannels[Watched Through],MATCH(N3203,tblChannels[Channel ID],0)),0),"Watched","Unwatched"))</f>
        <v/>
      </c>
      <c r="C3203" s="37" t="n"/>
      <c r="D3203" s="38" t="n"/>
      <c r="E3203" s="39" t="n">
        <v>41179.93819444445</v>
      </c>
      <c r="F3203" s="47" t="inlineStr">
        <is>
          <t>Super Carlin Brothers</t>
        </is>
      </c>
      <c r="G3203" t="inlineStr">
        <is>
          <t>Fear of Google Autofill</t>
        </is>
      </c>
      <c r="H3203" s="41" t="n">
        <v>0.002986111111111111</v>
      </c>
      <c r="I3203" s="42" t="n">
        <v>221585</v>
      </c>
      <c r="J3203" s="42" t="n">
        <v>3617</v>
      </c>
      <c r="K3203" s="42" t="n">
        <v>1304</v>
      </c>
      <c r="L3203" s="43" t="n"/>
      <c r="M3203" s="44" t="n"/>
      <c r="N3203" s="44" t="inlineStr">
        <is>
          <t>UCKZo4N0lVPccBkSiuyVh4yg</t>
        </is>
      </c>
      <c r="O3203" s="45" t="n">
        <v>41180.10486111111</v>
      </c>
      <c r="P3203" s="46" t="n">
        <v>41179</v>
      </c>
      <c r="Q3203" s="44" t="n">
        <v>69</v>
      </c>
      <c r="R3203" s="44" t="inlineStr">
        <is>
          <t>No Video ID yet</t>
        </is>
      </c>
      <c r="S3203" s="46" t="n"/>
      <c r="T3203" s="46" t="n"/>
      <c r="U3203" s="44" t="n"/>
      <c r="V3203" s="44">
        <f>IF(AND(P3203&gt;=Calendar!$K$2,P3203&lt;EDATE(Calendar!$K$2,1),OR(Calendar!$K$4="*",N3203=Calendar!$K$4)),P3203*100+COUNTIFS($P$6:$P$3271,P3203,$Q$6:$Q$3271,"&lt;="&amp;Q3203,$N$6:$N$3271,Calendar!$K$4),"")</f>
        <v/>
      </c>
      <c r="W3203" s="44">
        <f>IF(AND(B3203=Queue!$C$4,OR(Queue!$K$4="*",N3203=Queue!$K$4)),Q3203,"")</f>
        <v/>
      </c>
    </row>
    <row r="3204">
      <c r="A3204" s="35">
        <f>IF(M3204="","",HYPERLINK("https://www.youtube.com/watch?v="&amp;M3204,"▶"))</f>
        <v/>
      </c>
      <c r="B3204" s="36">
        <f>IF(C3204&lt;&gt;"",C3204,IF(P3204&lt;=IFERROR(INDEX(tblChannels[Watched Through],MATCH(N3204,tblChannels[Channel ID],0)),0),"Watched","Unwatched"))</f>
        <v/>
      </c>
      <c r="C3204" s="37" t="n"/>
      <c r="D3204" s="38" t="n"/>
      <c r="E3204" s="39" t="n">
        <v>41178.97777777778</v>
      </c>
      <c r="F3204" s="47" t="inlineStr">
        <is>
          <t>Super Carlin Brothers</t>
        </is>
      </c>
      <c r="G3204" t="inlineStr">
        <is>
          <t>Uncertainty Avoidance</t>
        </is>
      </c>
      <c r="H3204" s="41" t="n">
        <v>0.001909722222222222</v>
      </c>
      <c r="I3204" s="42" t="n">
        <v>14902</v>
      </c>
      <c r="J3204" s="42" t="n">
        <v>335</v>
      </c>
      <c r="K3204" s="42" t="n">
        <v>32</v>
      </c>
      <c r="L3204" s="43" t="n"/>
      <c r="M3204" s="44" t="n"/>
      <c r="N3204" s="44" t="inlineStr">
        <is>
          <t>UCKZo4N0lVPccBkSiuyVh4yg</t>
        </is>
      </c>
      <c r="O3204" s="45" t="n">
        <v>41179.14444444444</v>
      </c>
      <c r="P3204" s="46" t="n">
        <v>41178</v>
      </c>
      <c r="Q3204" s="44" t="n">
        <v>68</v>
      </c>
      <c r="R3204" s="44" t="inlineStr">
        <is>
          <t>No Video ID yet</t>
        </is>
      </c>
      <c r="S3204" s="46" t="n"/>
      <c r="T3204" s="46" t="n"/>
      <c r="U3204" s="44" t="n"/>
      <c r="V3204" s="44">
        <f>IF(AND(P3204&gt;=Calendar!$K$2,P3204&lt;EDATE(Calendar!$K$2,1),OR(Calendar!$K$4="*",N3204=Calendar!$K$4)),P3204*100+COUNTIFS($P$6:$P$3271,P3204,$Q$6:$Q$3271,"&lt;="&amp;Q3204,$N$6:$N$3271,Calendar!$K$4),"")</f>
        <v/>
      </c>
      <c r="W3204" s="44">
        <f>IF(AND(B3204=Queue!$C$4,OR(Queue!$K$4="*",N3204=Queue!$K$4)),Q3204,"")</f>
        <v/>
      </c>
    </row>
    <row r="3205">
      <c r="A3205" s="35">
        <f>IF(M3205="","",HYPERLINK("https://www.youtube.com/watch?v="&amp;M3205,"▶"))</f>
        <v/>
      </c>
      <c r="B3205" s="36">
        <f>IF(C3205&lt;&gt;"",C3205,IF(P3205&lt;=IFERROR(INDEX(tblChannels[Watched Through],MATCH(N3205,tblChannels[Channel ID],0)),0),"Watched","Unwatched"))</f>
        <v/>
      </c>
      <c r="C3205" s="37" t="n"/>
      <c r="D3205" s="38" t="n"/>
      <c r="E3205" s="39" t="n">
        <v>41177.97222222222</v>
      </c>
      <c r="F3205" s="47" t="inlineStr">
        <is>
          <t>Super Carlin Brothers</t>
        </is>
      </c>
      <c r="G3205" t="inlineStr">
        <is>
          <t>42 Uses for a Towel</t>
        </is>
      </c>
      <c r="H3205" s="41" t="n">
        <v>0.001782407407407407</v>
      </c>
      <c r="I3205" s="42" t="n">
        <v>124496</v>
      </c>
      <c r="J3205" s="42" t="n">
        <v>3193</v>
      </c>
      <c r="K3205" s="42" t="n">
        <v>687</v>
      </c>
      <c r="L3205" s="43" t="n"/>
      <c r="M3205" s="44" t="n"/>
      <c r="N3205" s="44" t="inlineStr">
        <is>
          <t>UCKZo4N0lVPccBkSiuyVh4yg</t>
        </is>
      </c>
      <c r="O3205" s="45" t="n">
        <v>41178.13888888889</v>
      </c>
      <c r="P3205" s="46" t="n">
        <v>41177</v>
      </c>
      <c r="Q3205" s="44" t="n">
        <v>67</v>
      </c>
      <c r="R3205" s="44" t="inlineStr">
        <is>
          <t>No Video ID yet</t>
        </is>
      </c>
      <c r="S3205" s="46" t="n"/>
      <c r="T3205" s="46" t="n"/>
      <c r="U3205" s="44" t="n"/>
      <c r="V3205" s="44">
        <f>IF(AND(P3205&gt;=Calendar!$K$2,P3205&lt;EDATE(Calendar!$K$2,1),OR(Calendar!$K$4="*",N3205=Calendar!$K$4)),P3205*100+COUNTIFS($P$6:$P$3271,P3205,$Q$6:$Q$3271,"&lt;="&amp;Q3205,$N$6:$N$3271,Calendar!$K$4),"")</f>
        <v/>
      </c>
      <c r="W3205" s="44">
        <f>IF(AND(B3205=Queue!$C$4,OR(Queue!$K$4="*",N3205=Queue!$K$4)),Q3205,"")</f>
        <v/>
      </c>
    </row>
    <row r="3206">
      <c r="A3206" s="35">
        <f>IF(M3206="","",HYPERLINK("https://www.youtube.com/watch?v="&amp;M3206,"▶"))</f>
        <v/>
      </c>
      <c r="B3206" s="36">
        <f>IF(C3206&lt;&gt;"",C3206,IF(P3206&lt;=IFERROR(INDEX(tblChannels[Watched Through],MATCH(N3206,tblChannels[Channel ID],0)),0),"Watched","Unwatched"))</f>
        <v/>
      </c>
      <c r="C3206" s="37" t="n"/>
      <c r="D3206" s="38" t="n"/>
      <c r="E3206" s="39" t="n">
        <v>41176.93263888889</v>
      </c>
      <c r="F3206" s="47" t="inlineStr">
        <is>
          <t>Super Carlin Brothers</t>
        </is>
      </c>
      <c r="G3206" t="inlineStr">
        <is>
          <t>Murphy's Law</t>
        </is>
      </c>
      <c r="H3206" s="41" t="n">
        <v>0.002430555555555556</v>
      </c>
      <c r="I3206" s="42" t="n">
        <v>17455</v>
      </c>
      <c r="J3206" s="42" t="n">
        <v>405</v>
      </c>
      <c r="K3206" s="42" t="n">
        <v>45</v>
      </c>
      <c r="L3206" s="43" t="n"/>
      <c r="M3206" s="44" t="n"/>
      <c r="N3206" s="44" t="inlineStr">
        <is>
          <t>UCKZo4N0lVPccBkSiuyVh4yg</t>
        </is>
      </c>
      <c r="O3206" s="45" t="n">
        <v>41177.09930555556</v>
      </c>
      <c r="P3206" s="46" t="n">
        <v>41176</v>
      </c>
      <c r="Q3206" s="44" t="n">
        <v>66</v>
      </c>
      <c r="R3206" s="44" t="inlineStr">
        <is>
          <t>No Video ID yet</t>
        </is>
      </c>
      <c r="S3206" s="46" t="n"/>
      <c r="T3206" s="46" t="n"/>
      <c r="U3206" s="44" t="n"/>
      <c r="V3206" s="44">
        <f>IF(AND(P3206&gt;=Calendar!$K$2,P3206&lt;EDATE(Calendar!$K$2,1),OR(Calendar!$K$4="*",N3206=Calendar!$K$4)),P3206*100+COUNTIFS($P$6:$P$3271,P3206,$Q$6:$Q$3271,"&lt;="&amp;Q3206,$N$6:$N$3271,Calendar!$K$4),"")</f>
        <v/>
      </c>
      <c r="W3206" s="44">
        <f>IF(AND(B3206=Queue!$C$4,OR(Queue!$K$4="*",N3206=Queue!$K$4)),Q3206,"")</f>
        <v/>
      </c>
    </row>
    <row r="3207">
      <c r="A3207" s="35">
        <f>IF(M3207="","",HYPERLINK("https://www.youtube.com/watch?v="&amp;M3207,"▶"))</f>
        <v/>
      </c>
      <c r="B3207" s="36">
        <f>IF(C3207&lt;&gt;"",C3207,IF(P3207&lt;=IFERROR(INDEX(tblChannels[Watched Through],MATCH(N3207,tblChannels[Channel ID],0)),0),"Watched","Unwatched"))</f>
        <v/>
      </c>
      <c r="C3207" s="37" t="n"/>
      <c r="D3207" s="38" t="n"/>
      <c r="E3207" s="39" t="n">
        <v>41173.93263888889</v>
      </c>
      <c r="F3207" s="47" t="inlineStr">
        <is>
          <t>Super Carlin Brothers</t>
        </is>
      </c>
      <c r="G3207" t="inlineStr">
        <is>
          <t>How to do Light Graffiti!</t>
        </is>
      </c>
      <c r="H3207" s="41" t="n">
        <v>0.002141203703703704</v>
      </c>
      <c r="I3207" s="42" t="n">
        <v>35037</v>
      </c>
      <c r="J3207" s="42" t="n">
        <v>878</v>
      </c>
      <c r="K3207" s="42" t="n">
        <v>87</v>
      </c>
      <c r="L3207" s="43" t="n"/>
      <c r="M3207" s="44" t="n"/>
      <c r="N3207" s="44" t="inlineStr">
        <is>
          <t>UCKZo4N0lVPccBkSiuyVh4yg</t>
        </is>
      </c>
      <c r="O3207" s="45" t="n">
        <v>41174.09930555556</v>
      </c>
      <c r="P3207" s="46" t="n">
        <v>41173</v>
      </c>
      <c r="Q3207" s="44" t="n">
        <v>65</v>
      </c>
      <c r="R3207" s="44" t="inlineStr">
        <is>
          <t>No Video ID yet</t>
        </is>
      </c>
      <c r="S3207" s="46" t="n"/>
      <c r="T3207" s="46" t="n"/>
      <c r="U3207" s="44" t="n"/>
      <c r="V3207" s="44">
        <f>IF(AND(P3207&gt;=Calendar!$K$2,P3207&lt;EDATE(Calendar!$K$2,1),OR(Calendar!$K$4="*",N3207=Calendar!$K$4)),P3207*100+COUNTIFS($P$6:$P$3271,P3207,$Q$6:$Q$3271,"&lt;="&amp;Q3207,$N$6:$N$3271,Calendar!$K$4),"")</f>
        <v/>
      </c>
      <c r="W3207" s="44">
        <f>IF(AND(B3207=Queue!$C$4,OR(Queue!$K$4="*",N3207=Queue!$K$4)),Q3207,"")</f>
        <v/>
      </c>
    </row>
    <row r="3208">
      <c r="A3208" s="35">
        <f>IF(M3208="","",HYPERLINK("https://www.youtube.com/watch?v="&amp;M3208,"▶"))</f>
        <v/>
      </c>
      <c r="B3208" s="36">
        <f>IF(C3208&lt;&gt;"",C3208,IF(P3208&lt;=IFERROR(INDEX(tblChannels[Watched Through],MATCH(N3208,tblChannels[Channel ID],0)),0),"Watched","Unwatched"))</f>
        <v/>
      </c>
      <c r="C3208" s="37" t="n"/>
      <c r="D3208" s="38" t="n"/>
      <c r="E3208" s="39" t="n">
        <v>41172.78472222222</v>
      </c>
      <c r="F3208" s="47" t="inlineStr">
        <is>
          <t>Super Carlin Brothers</t>
        </is>
      </c>
      <c r="G3208" t="inlineStr">
        <is>
          <t>Ask Ben!</t>
        </is>
      </c>
      <c r="H3208" s="41" t="n">
        <v>0.002708333333333333</v>
      </c>
      <c r="I3208" s="42" t="n">
        <v>17062</v>
      </c>
      <c r="J3208" s="42" t="n">
        <v>404</v>
      </c>
      <c r="K3208" s="42" t="n">
        <v>43</v>
      </c>
      <c r="L3208" s="43" t="n"/>
      <c r="M3208" s="44" t="n"/>
      <c r="N3208" s="44" t="inlineStr">
        <is>
          <t>UCKZo4N0lVPccBkSiuyVh4yg</t>
        </is>
      </c>
      <c r="O3208" s="45" t="n">
        <v>41172.95138888889</v>
      </c>
      <c r="P3208" s="46" t="n">
        <v>41172</v>
      </c>
      <c r="Q3208" s="44" t="n">
        <v>64</v>
      </c>
      <c r="R3208" s="44" t="inlineStr">
        <is>
          <t>No Video ID yet</t>
        </is>
      </c>
      <c r="S3208" s="46" t="n"/>
      <c r="T3208" s="46" t="n"/>
      <c r="U3208" s="44" t="n"/>
      <c r="V3208" s="44">
        <f>IF(AND(P3208&gt;=Calendar!$K$2,P3208&lt;EDATE(Calendar!$K$2,1),OR(Calendar!$K$4="*",N3208=Calendar!$K$4)),P3208*100+COUNTIFS($P$6:$P$3271,P3208,$Q$6:$Q$3271,"&lt;="&amp;Q3208,$N$6:$N$3271,Calendar!$K$4),"")</f>
        <v/>
      </c>
      <c r="W3208" s="44">
        <f>IF(AND(B3208=Queue!$C$4,OR(Queue!$K$4="*",N3208=Queue!$K$4)),Q3208,"")</f>
        <v/>
      </c>
    </row>
    <row r="3209">
      <c r="A3209" s="35">
        <f>IF(M3209="","",HYPERLINK("https://www.youtube.com/watch?v="&amp;M3209,"▶"))</f>
        <v/>
      </c>
      <c r="B3209" s="36">
        <f>IF(C3209&lt;&gt;"",C3209,IF(P3209&lt;=IFERROR(INDEX(tblChannels[Watched Through],MATCH(N3209,tblChannels[Channel ID],0)),0),"Watched","Unwatched"))</f>
        <v/>
      </c>
      <c r="C3209" s="37" t="n"/>
      <c r="D3209" s="38" t="n"/>
      <c r="E3209" s="39" t="n">
        <v>41171.95069444444</v>
      </c>
      <c r="F3209" s="47" t="inlineStr">
        <is>
          <t>Super Carlin Brothers</t>
        </is>
      </c>
      <c r="G3209" t="inlineStr">
        <is>
          <t>Play with your toys!</t>
        </is>
      </c>
      <c r="H3209" s="41" t="n">
        <v>0.002650462962962963</v>
      </c>
      <c r="I3209" s="42" t="n">
        <v>51794</v>
      </c>
      <c r="J3209" s="42" t="n">
        <v>1043</v>
      </c>
      <c r="K3209" s="42" t="n">
        <v>148</v>
      </c>
      <c r="L3209" s="43" t="n"/>
      <c r="M3209" s="44" t="n"/>
      <c r="N3209" s="44" t="inlineStr">
        <is>
          <t>UCKZo4N0lVPccBkSiuyVh4yg</t>
        </is>
      </c>
      <c r="O3209" s="45" t="n">
        <v>41172.11736111111</v>
      </c>
      <c r="P3209" s="46" t="n">
        <v>41171</v>
      </c>
      <c r="Q3209" s="44" t="n">
        <v>63</v>
      </c>
      <c r="R3209" s="44" t="inlineStr">
        <is>
          <t>No Video ID yet</t>
        </is>
      </c>
      <c r="S3209" s="46" t="n"/>
      <c r="T3209" s="46" t="n"/>
      <c r="U3209" s="44" t="n"/>
      <c r="V3209" s="44">
        <f>IF(AND(P3209&gt;=Calendar!$K$2,P3209&lt;EDATE(Calendar!$K$2,1),OR(Calendar!$K$4="*",N3209=Calendar!$K$4)),P3209*100+COUNTIFS($P$6:$P$3271,P3209,$Q$6:$Q$3271,"&lt;="&amp;Q3209,$N$6:$N$3271,Calendar!$K$4),"")</f>
        <v/>
      </c>
      <c r="W3209" s="44">
        <f>IF(AND(B3209=Queue!$C$4,OR(Queue!$K$4="*",N3209=Queue!$K$4)),Q3209,"")</f>
        <v/>
      </c>
    </row>
    <row r="3210">
      <c r="A3210" s="35">
        <f>IF(M3210="","",HYPERLINK("https://www.youtube.com/watch?v="&amp;M3210,"▶"))</f>
        <v/>
      </c>
      <c r="B3210" s="36">
        <f>IF(C3210&lt;&gt;"",C3210,IF(P3210&lt;=IFERROR(INDEX(tblChannels[Watched Through],MATCH(N3210,tblChannels[Channel ID],0)),0),"Watched","Unwatched"))</f>
        <v/>
      </c>
      <c r="C3210" s="37" t="n"/>
      <c r="D3210" s="38" t="n"/>
      <c r="E3210" s="39" t="n">
        <v>41170.77986111111</v>
      </c>
      <c r="F3210" s="47" t="inlineStr">
        <is>
          <t>Super Carlin Brothers</t>
        </is>
      </c>
      <c r="G3210" t="inlineStr">
        <is>
          <t>A Continuation of a Condiment Conversation</t>
        </is>
      </c>
      <c r="H3210" s="41" t="n">
        <v>0.002974537037037037</v>
      </c>
      <c r="I3210" s="42" t="n">
        <v>14934</v>
      </c>
      <c r="J3210" s="42" t="n">
        <v>378</v>
      </c>
      <c r="K3210" s="42" t="n">
        <v>35</v>
      </c>
      <c r="L3210" s="43" t="n"/>
      <c r="M3210" s="44" t="n"/>
      <c r="N3210" s="44" t="inlineStr">
        <is>
          <t>UCKZo4N0lVPccBkSiuyVh4yg</t>
        </is>
      </c>
      <c r="O3210" s="45" t="n">
        <v>41170.94652777778</v>
      </c>
      <c r="P3210" s="46" t="n">
        <v>41170</v>
      </c>
      <c r="Q3210" s="44" t="n">
        <v>62</v>
      </c>
      <c r="R3210" s="44" t="inlineStr">
        <is>
          <t>No Video ID yet</t>
        </is>
      </c>
      <c r="S3210" s="46" t="n"/>
      <c r="T3210" s="46" t="n"/>
      <c r="U3210" s="44" t="n"/>
      <c r="V3210" s="44">
        <f>IF(AND(P3210&gt;=Calendar!$K$2,P3210&lt;EDATE(Calendar!$K$2,1),OR(Calendar!$K$4="*",N3210=Calendar!$K$4)),P3210*100+COUNTIFS($P$6:$P$3271,P3210,$Q$6:$Q$3271,"&lt;="&amp;Q3210,$N$6:$N$3271,Calendar!$K$4),"")</f>
        <v/>
      </c>
      <c r="W3210" s="44">
        <f>IF(AND(B3210=Queue!$C$4,OR(Queue!$K$4="*",N3210=Queue!$K$4)),Q3210,"")</f>
        <v/>
      </c>
    </row>
    <row r="3211">
      <c r="A3211" s="35">
        <f>IF(M3211="","",HYPERLINK("https://www.youtube.com/watch?v="&amp;M3211,"▶"))</f>
        <v/>
      </c>
      <c r="B3211" s="36">
        <f>IF(C3211&lt;&gt;"",C3211,IF(P3211&lt;=IFERROR(INDEX(tblChannels[Watched Through],MATCH(N3211,tblChannels[Channel ID],0)),0),"Watched","Unwatched"))</f>
        <v/>
      </c>
      <c r="C3211" s="37" t="n"/>
      <c r="D3211" s="38" t="n"/>
      <c r="E3211" s="39" t="n">
        <v>41169.94027777778</v>
      </c>
      <c r="F3211" s="47" t="inlineStr">
        <is>
          <t>Super Carlin Brothers</t>
        </is>
      </c>
      <c r="G3211" t="inlineStr">
        <is>
          <t>The Ketchup Catch Up</t>
        </is>
      </c>
      <c r="H3211" s="41" t="n">
        <v>0.003275462962962963</v>
      </c>
      <c r="I3211" s="42" t="n">
        <v>55696</v>
      </c>
      <c r="J3211" s="42" t="n">
        <v>1251</v>
      </c>
      <c r="K3211" s="42" t="n">
        <v>425</v>
      </c>
      <c r="L3211" s="43" t="n"/>
      <c r="M3211" s="44" t="n"/>
      <c r="N3211" s="44" t="inlineStr">
        <is>
          <t>UCKZo4N0lVPccBkSiuyVh4yg</t>
        </is>
      </c>
      <c r="O3211" s="45" t="n">
        <v>41170.10694444444</v>
      </c>
      <c r="P3211" s="46" t="n">
        <v>41169</v>
      </c>
      <c r="Q3211" s="44" t="n">
        <v>61</v>
      </c>
      <c r="R3211" s="44" t="inlineStr">
        <is>
          <t>No Video ID yet</t>
        </is>
      </c>
      <c r="S3211" s="46" t="n"/>
      <c r="T3211" s="46" t="n"/>
      <c r="U3211" s="44" t="n"/>
      <c r="V3211" s="44">
        <f>IF(AND(P3211&gt;=Calendar!$K$2,P3211&lt;EDATE(Calendar!$K$2,1),OR(Calendar!$K$4="*",N3211=Calendar!$K$4)),P3211*100+COUNTIFS($P$6:$P$3271,P3211,$Q$6:$Q$3271,"&lt;="&amp;Q3211,$N$6:$N$3271,Calendar!$K$4),"")</f>
        <v/>
      </c>
      <c r="W3211" s="44">
        <f>IF(AND(B3211=Queue!$C$4,OR(Queue!$K$4="*",N3211=Queue!$K$4)),Q3211,"")</f>
        <v/>
      </c>
    </row>
    <row r="3212">
      <c r="A3212" s="35">
        <f>IF(M3212="","",HYPERLINK("https://www.youtube.com/watch?v="&amp;M3212,"▶"))</f>
        <v/>
      </c>
      <c r="B3212" s="36">
        <f>IF(C3212&lt;&gt;"",C3212,IF(P3212&lt;=IFERROR(INDEX(tblChannels[Watched Through],MATCH(N3212,tblChannels[Channel ID],0)),0),"Watched","Unwatched"))</f>
        <v/>
      </c>
      <c r="C3212" s="37" t="n"/>
      <c r="D3212" s="38" t="n"/>
      <c r="E3212" s="39" t="n">
        <v>41166.81597222222</v>
      </c>
      <c r="F3212" s="47" t="inlineStr">
        <is>
          <t>Super Carlin Brothers</t>
        </is>
      </c>
      <c r="G3212" t="inlineStr">
        <is>
          <t>Vloggers Block</t>
        </is>
      </c>
      <c r="H3212" s="41" t="n">
        <v>0.002418981481481482</v>
      </c>
      <c r="I3212" s="42" t="n">
        <v>14338</v>
      </c>
      <c r="J3212" s="42" t="n">
        <v>377</v>
      </c>
      <c r="K3212" s="42" t="n">
        <v>36</v>
      </c>
      <c r="L3212" s="43" t="n"/>
      <c r="M3212" s="44" t="n"/>
      <c r="N3212" s="44" t="inlineStr">
        <is>
          <t>UCKZo4N0lVPccBkSiuyVh4yg</t>
        </is>
      </c>
      <c r="O3212" s="45" t="n">
        <v>41166.98263888889</v>
      </c>
      <c r="P3212" s="46" t="n">
        <v>41166</v>
      </c>
      <c r="Q3212" s="44" t="n">
        <v>60</v>
      </c>
      <c r="R3212" s="44" t="inlineStr">
        <is>
          <t>No Video ID yet</t>
        </is>
      </c>
      <c r="S3212" s="46" t="n"/>
      <c r="T3212" s="46" t="n"/>
      <c r="U3212" s="44" t="n"/>
      <c r="V3212" s="44">
        <f>IF(AND(P3212&gt;=Calendar!$K$2,P3212&lt;EDATE(Calendar!$K$2,1),OR(Calendar!$K$4="*",N3212=Calendar!$K$4)),P3212*100+COUNTIFS($P$6:$P$3271,P3212,$Q$6:$Q$3271,"&lt;="&amp;Q3212,$N$6:$N$3271,Calendar!$K$4),"")</f>
        <v/>
      </c>
      <c r="W3212" s="44">
        <f>IF(AND(B3212=Queue!$C$4,OR(Queue!$K$4="*",N3212=Queue!$K$4)),Q3212,"")</f>
        <v/>
      </c>
    </row>
    <row r="3213">
      <c r="A3213" s="35">
        <f>IF(M3213="","",HYPERLINK("https://www.youtube.com/watch?v="&amp;M3213,"▶"))</f>
        <v/>
      </c>
      <c r="B3213" s="36">
        <f>IF(C3213&lt;&gt;"",C3213,IF(P3213&lt;=IFERROR(INDEX(tblChannels[Watched Through],MATCH(N3213,tblChannels[Channel ID],0)),0),"Watched","Unwatched"))</f>
        <v/>
      </c>
      <c r="C3213" s="37" t="n"/>
      <c r="D3213" s="38" t="n"/>
      <c r="E3213" s="39" t="n">
        <v>41166.00625</v>
      </c>
      <c r="F3213" s="47" t="inlineStr">
        <is>
          <t>Super Carlin Brothers</t>
        </is>
      </c>
      <c r="G3213" t="inlineStr">
        <is>
          <t>Should guys wear pink?</t>
        </is>
      </c>
      <c r="H3213" s="41" t="n">
        <v>0.00193287037037037</v>
      </c>
      <c r="I3213" s="42" t="n">
        <v>42982</v>
      </c>
      <c r="J3213" s="42" t="n">
        <v>942</v>
      </c>
      <c r="K3213" s="42" t="n">
        <v>320</v>
      </c>
      <c r="L3213" s="43" t="n"/>
      <c r="M3213" s="44" t="n"/>
      <c r="N3213" s="44" t="inlineStr">
        <is>
          <t>UCKZo4N0lVPccBkSiuyVh4yg</t>
        </is>
      </c>
      <c r="O3213" s="45" t="n">
        <v>41166.17291666667</v>
      </c>
      <c r="P3213" s="46" t="n">
        <v>41166</v>
      </c>
      <c r="Q3213" s="44" t="n">
        <v>59</v>
      </c>
      <c r="R3213" s="44" t="inlineStr">
        <is>
          <t>No Video ID yet</t>
        </is>
      </c>
      <c r="S3213" s="46" t="n"/>
      <c r="T3213" s="46" t="n"/>
      <c r="U3213" s="44" t="n"/>
      <c r="V3213" s="44">
        <f>IF(AND(P3213&gt;=Calendar!$K$2,P3213&lt;EDATE(Calendar!$K$2,1),OR(Calendar!$K$4="*",N3213=Calendar!$K$4)),P3213*100+COUNTIFS($P$6:$P$3271,P3213,$Q$6:$Q$3271,"&lt;="&amp;Q3213,$N$6:$N$3271,Calendar!$K$4),"")</f>
        <v/>
      </c>
      <c r="W3213" s="44">
        <f>IF(AND(B3213=Queue!$C$4,OR(Queue!$K$4="*",N3213=Queue!$K$4)),Q3213,"")</f>
        <v/>
      </c>
    </row>
    <row r="3214">
      <c r="A3214" s="35">
        <f>IF(M3214="","",HYPERLINK("https://www.youtube.com/watch?v="&amp;M3214,"▶"))</f>
        <v/>
      </c>
      <c r="B3214" s="36">
        <f>IF(C3214&lt;&gt;"",C3214,IF(P3214&lt;=IFERROR(INDEX(tblChannels[Watched Through],MATCH(N3214,tblChannels[Channel ID],0)),0),"Watched","Unwatched"))</f>
        <v/>
      </c>
      <c r="C3214" s="37" t="n"/>
      <c r="D3214" s="38" t="n"/>
      <c r="E3214" s="39" t="n">
        <v>41164.91736111111</v>
      </c>
      <c r="F3214" s="47" t="inlineStr">
        <is>
          <t>Super Carlin Brothers</t>
        </is>
      </c>
      <c r="G3214" t="inlineStr">
        <is>
          <t>How to Handle Criticism</t>
        </is>
      </c>
      <c r="H3214" s="41" t="n">
        <v>0.00337962962962963</v>
      </c>
      <c r="I3214" s="42" t="n">
        <v>17144</v>
      </c>
      <c r="J3214" s="42" t="n">
        <v>585</v>
      </c>
      <c r="K3214" s="42" t="n">
        <v>57</v>
      </c>
      <c r="L3214" s="43" t="n"/>
      <c r="M3214" s="44" t="n"/>
      <c r="N3214" s="44" t="inlineStr">
        <is>
          <t>UCKZo4N0lVPccBkSiuyVh4yg</t>
        </is>
      </c>
      <c r="O3214" s="45" t="n">
        <v>41165.08402777778</v>
      </c>
      <c r="P3214" s="46" t="n">
        <v>41164</v>
      </c>
      <c r="Q3214" s="44" t="n">
        <v>58</v>
      </c>
      <c r="R3214" s="44" t="inlineStr">
        <is>
          <t>No Video ID yet</t>
        </is>
      </c>
      <c r="S3214" s="46" t="n"/>
      <c r="T3214" s="46" t="n"/>
      <c r="U3214" s="44" t="n"/>
      <c r="V3214" s="44">
        <f>IF(AND(P3214&gt;=Calendar!$K$2,P3214&lt;EDATE(Calendar!$K$2,1),OR(Calendar!$K$4="*",N3214=Calendar!$K$4)),P3214*100+COUNTIFS($P$6:$P$3271,P3214,$Q$6:$Q$3271,"&lt;="&amp;Q3214,$N$6:$N$3271,Calendar!$K$4),"")</f>
        <v/>
      </c>
      <c r="W3214" s="44">
        <f>IF(AND(B3214=Queue!$C$4,OR(Queue!$K$4="*",N3214=Queue!$K$4)),Q3214,"")</f>
        <v/>
      </c>
    </row>
    <row r="3215">
      <c r="A3215" s="35">
        <f>IF(M3215="","",HYPERLINK("https://www.youtube.com/watch?v="&amp;M3215,"▶"))</f>
        <v/>
      </c>
      <c r="B3215" s="36">
        <f>IF(C3215&lt;&gt;"",C3215,IF(P3215&lt;=IFERROR(INDEX(tblChannels[Watched Through],MATCH(N3215,tblChannels[Channel ID],0)),0),"Watched","Unwatched"))</f>
        <v/>
      </c>
      <c r="C3215" s="37" t="n"/>
      <c r="D3215" s="38" t="n"/>
      <c r="E3215" s="39" t="n">
        <v>41163.95416666667</v>
      </c>
      <c r="F3215" s="47" t="inlineStr">
        <is>
          <t>Super Carlin Brothers</t>
        </is>
      </c>
      <c r="G3215" t="inlineStr">
        <is>
          <t>Why do bad things happen?</t>
        </is>
      </c>
      <c r="H3215" s="41" t="n">
        <v>0.002662037037037037</v>
      </c>
      <c r="I3215" s="42" t="n">
        <v>40976</v>
      </c>
      <c r="J3215" s="42" t="n">
        <v>791</v>
      </c>
      <c r="K3215" s="42" t="n">
        <v>137</v>
      </c>
      <c r="L3215" s="43" t="n"/>
      <c r="M3215" s="44" t="n"/>
      <c r="N3215" s="44" t="inlineStr">
        <is>
          <t>UCKZo4N0lVPccBkSiuyVh4yg</t>
        </is>
      </c>
      <c r="O3215" s="45" t="n">
        <v>41164.12083333333</v>
      </c>
      <c r="P3215" s="46" t="n">
        <v>41163</v>
      </c>
      <c r="Q3215" s="44" t="n">
        <v>57</v>
      </c>
      <c r="R3215" s="44" t="inlineStr">
        <is>
          <t>No Video ID yet</t>
        </is>
      </c>
      <c r="S3215" s="46" t="n"/>
      <c r="T3215" s="46" t="n"/>
      <c r="U3215" s="44" t="n"/>
      <c r="V3215" s="44">
        <f>IF(AND(P3215&gt;=Calendar!$K$2,P3215&lt;EDATE(Calendar!$K$2,1),OR(Calendar!$K$4="*",N3215=Calendar!$K$4)),P3215*100+COUNTIFS($P$6:$P$3271,P3215,$Q$6:$Q$3271,"&lt;="&amp;Q3215,$N$6:$N$3271,Calendar!$K$4),"")</f>
        <v/>
      </c>
      <c r="W3215" s="44">
        <f>IF(AND(B3215=Queue!$C$4,OR(Queue!$K$4="*",N3215=Queue!$K$4)),Q3215,"")</f>
        <v/>
      </c>
    </row>
    <row r="3216">
      <c r="A3216" s="35">
        <f>IF(M3216="","",HYPERLINK("https://www.youtube.com/watch?v="&amp;M3216,"▶"))</f>
        <v/>
      </c>
      <c r="B3216" s="36">
        <f>IF(C3216&lt;&gt;"",C3216,IF(P3216&lt;=IFERROR(INDEX(tblChannels[Watched Through],MATCH(N3216,tblChannels[Channel ID],0)),0),"Watched","Unwatched"))</f>
        <v/>
      </c>
      <c r="C3216" s="37" t="n"/>
      <c r="D3216" s="38" t="n"/>
      <c r="E3216" s="39" t="n">
        <v>41162.91388888889</v>
      </c>
      <c r="F3216" s="47" t="inlineStr">
        <is>
          <t>Super Carlin Brothers</t>
        </is>
      </c>
      <c r="G3216" t="inlineStr">
        <is>
          <t>How to Spend Money</t>
        </is>
      </c>
      <c r="H3216" s="41" t="n">
        <v>0.002627314814814815</v>
      </c>
      <c r="I3216" s="42" t="n">
        <v>16524</v>
      </c>
      <c r="J3216" s="42" t="n">
        <v>364</v>
      </c>
      <c r="K3216" s="42" t="n">
        <v>39</v>
      </c>
      <c r="L3216" s="43" t="n"/>
      <c r="M3216" s="44" t="n"/>
      <c r="N3216" s="44" t="inlineStr">
        <is>
          <t>UCKZo4N0lVPccBkSiuyVh4yg</t>
        </is>
      </c>
      <c r="O3216" s="45" t="n">
        <v>41163.08055555556</v>
      </c>
      <c r="P3216" s="46" t="n">
        <v>41162</v>
      </c>
      <c r="Q3216" s="44" t="n">
        <v>56</v>
      </c>
      <c r="R3216" s="44" t="inlineStr">
        <is>
          <t>No Video ID yet</t>
        </is>
      </c>
      <c r="S3216" s="46" t="n"/>
      <c r="T3216" s="46" t="n"/>
      <c r="U3216" s="44" t="n"/>
      <c r="V3216" s="44">
        <f>IF(AND(P3216&gt;=Calendar!$K$2,P3216&lt;EDATE(Calendar!$K$2,1),OR(Calendar!$K$4="*",N3216=Calendar!$K$4)),P3216*100+COUNTIFS($P$6:$P$3271,P3216,$Q$6:$Q$3271,"&lt;="&amp;Q3216,$N$6:$N$3271,Calendar!$K$4),"")</f>
        <v/>
      </c>
      <c r="W3216" s="44">
        <f>IF(AND(B3216=Queue!$C$4,OR(Queue!$K$4="*",N3216=Queue!$K$4)),Q3216,"")</f>
        <v/>
      </c>
    </row>
    <row r="3217">
      <c r="A3217" s="35">
        <f>IF(M3217="","",HYPERLINK("https://www.youtube.com/watch?v="&amp;M3217,"▶"))</f>
        <v/>
      </c>
      <c r="B3217" s="36">
        <f>IF(C3217&lt;&gt;"",C3217,IF(P3217&lt;=IFERROR(INDEX(tblChannels[Watched Through],MATCH(N3217,tblChannels[Channel ID],0)),0),"Watched","Unwatched"))</f>
        <v/>
      </c>
      <c r="C3217" s="37" t="n"/>
      <c r="D3217" s="38" t="n"/>
      <c r="E3217" s="39" t="n">
        <v>41159.80972222222</v>
      </c>
      <c r="F3217" s="47" t="inlineStr">
        <is>
          <t>Super Carlin Brothers</t>
        </is>
      </c>
      <c r="G3217" t="inlineStr">
        <is>
          <t>Ask J! #3</t>
        </is>
      </c>
      <c r="H3217" s="41" t="n">
        <v>0.003043981481481481</v>
      </c>
      <c r="I3217" s="42" t="n">
        <v>28576</v>
      </c>
      <c r="J3217" s="42" t="n">
        <v>594</v>
      </c>
      <c r="K3217" s="42" t="n">
        <v>131</v>
      </c>
      <c r="L3217" s="43" t="n"/>
      <c r="M3217" s="44" t="n"/>
      <c r="N3217" s="44" t="inlineStr">
        <is>
          <t>UCKZo4N0lVPccBkSiuyVh4yg</t>
        </is>
      </c>
      <c r="O3217" s="45" t="n">
        <v>41159.97638888889</v>
      </c>
      <c r="P3217" s="46" t="n">
        <v>41159</v>
      </c>
      <c r="Q3217" s="44" t="n">
        <v>55</v>
      </c>
      <c r="R3217" s="44" t="inlineStr">
        <is>
          <t>No Video ID yet</t>
        </is>
      </c>
      <c r="S3217" s="46" t="n"/>
      <c r="T3217" s="46" t="n"/>
      <c r="U3217" s="44" t="n"/>
      <c r="V3217" s="44">
        <f>IF(AND(P3217&gt;=Calendar!$K$2,P3217&lt;EDATE(Calendar!$K$2,1),OR(Calendar!$K$4="*",N3217=Calendar!$K$4)),P3217*100+COUNTIFS($P$6:$P$3271,P3217,$Q$6:$Q$3271,"&lt;="&amp;Q3217,$N$6:$N$3271,Calendar!$K$4),"")</f>
        <v/>
      </c>
      <c r="W3217" s="44">
        <f>IF(AND(B3217=Queue!$C$4,OR(Queue!$K$4="*",N3217=Queue!$K$4)),Q3217,"")</f>
        <v/>
      </c>
    </row>
    <row r="3218">
      <c r="A3218" s="35">
        <f>IF(M3218="","",HYPERLINK("https://www.youtube.com/watch?v="&amp;M3218,"▶"))</f>
        <v/>
      </c>
      <c r="B3218" s="36">
        <f>IF(C3218&lt;&gt;"",C3218,IF(P3218&lt;=IFERROR(INDEX(tblChannels[Watched Through],MATCH(N3218,tblChannels[Channel ID],0)),0),"Watched","Unwatched"))</f>
        <v/>
      </c>
      <c r="C3218" s="37" t="n"/>
      <c r="D3218" s="38" t="n"/>
      <c r="E3218" s="39" t="n">
        <v>41158.90763888889</v>
      </c>
      <c r="F3218" s="47" t="inlineStr">
        <is>
          <t>Super Carlin Brothers</t>
        </is>
      </c>
      <c r="G3218" t="inlineStr">
        <is>
          <t>Do What You Love, Love What You Do</t>
        </is>
      </c>
      <c r="H3218" s="41" t="n">
        <v>0.001678240740740741</v>
      </c>
      <c r="I3218" s="42" t="n">
        <v>15202</v>
      </c>
      <c r="J3218" s="42" t="n">
        <v>348</v>
      </c>
      <c r="K3218" s="42" t="n">
        <v>48</v>
      </c>
      <c r="L3218" s="43" t="n"/>
      <c r="M3218" s="44" t="n"/>
      <c r="N3218" s="44" t="inlineStr">
        <is>
          <t>UCKZo4N0lVPccBkSiuyVh4yg</t>
        </is>
      </c>
      <c r="O3218" s="45" t="n">
        <v>41159.07430555556</v>
      </c>
      <c r="P3218" s="46" t="n">
        <v>41158</v>
      </c>
      <c r="Q3218" s="44" t="n">
        <v>54</v>
      </c>
      <c r="R3218" s="44" t="inlineStr">
        <is>
          <t>No Video ID yet</t>
        </is>
      </c>
      <c r="S3218" s="46" t="n"/>
      <c r="T3218" s="46" t="n"/>
      <c r="U3218" s="44" t="n"/>
      <c r="V3218" s="44">
        <f>IF(AND(P3218&gt;=Calendar!$K$2,P3218&lt;EDATE(Calendar!$K$2,1),OR(Calendar!$K$4="*",N3218=Calendar!$K$4)),P3218*100+COUNTIFS($P$6:$P$3271,P3218,$Q$6:$Q$3271,"&lt;="&amp;Q3218,$N$6:$N$3271,Calendar!$K$4),"")</f>
        <v/>
      </c>
      <c r="W3218" s="44">
        <f>IF(AND(B3218=Queue!$C$4,OR(Queue!$K$4="*",N3218=Queue!$K$4)),Q3218,"")</f>
        <v/>
      </c>
    </row>
    <row r="3219">
      <c r="A3219" s="35">
        <f>IF(M3219="","",HYPERLINK("https://www.youtube.com/watch?v="&amp;M3219,"▶"))</f>
        <v/>
      </c>
      <c r="B3219" s="36">
        <f>IF(C3219&lt;&gt;"",C3219,IF(P3219&lt;=IFERROR(INDEX(tblChannels[Watched Through],MATCH(N3219,tblChannels[Channel ID],0)),0),"Watched","Unwatched"))</f>
        <v/>
      </c>
      <c r="C3219" s="37" t="n"/>
      <c r="D3219" s="38" t="n"/>
      <c r="E3219" s="39" t="n">
        <v>41157.91944444444</v>
      </c>
      <c r="F3219" s="47" t="inlineStr">
        <is>
          <t>Super Carlin Brothers</t>
        </is>
      </c>
      <c r="G3219" t="inlineStr">
        <is>
          <t>Sleeping with Jonathan</t>
        </is>
      </c>
      <c r="H3219" s="41" t="n">
        <v>0.002696759259259259</v>
      </c>
      <c r="I3219" s="42" t="n">
        <v>53667</v>
      </c>
      <c r="J3219" s="42" t="n">
        <v>1320</v>
      </c>
      <c r="K3219" s="42" t="n">
        <v>318</v>
      </c>
      <c r="L3219" s="43" t="n"/>
      <c r="M3219" s="44" t="n"/>
      <c r="N3219" s="44" t="inlineStr">
        <is>
          <t>UCKZo4N0lVPccBkSiuyVh4yg</t>
        </is>
      </c>
      <c r="O3219" s="45" t="n">
        <v>41158.08611111111</v>
      </c>
      <c r="P3219" s="46" t="n">
        <v>41157</v>
      </c>
      <c r="Q3219" s="44" t="n">
        <v>53</v>
      </c>
      <c r="R3219" s="44" t="inlineStr">
        <is>
          <t>No Video ID yet</t>
        </is>
      </c>
      <c r="S3219" s="46" t="n"/>
      <c r="T3219" s="46" t="n"/>
      <c r="U3219" s="44" t="n"/>
      <c r="V3219" s="44">
        <f>IF(AND(P3219&gt;=Calendar!$K$2,P3219&lt;EDATE(Calendar!$K$2,1),OR(Calendar!$K$4="*",N3219=Calendar!$K$4)),P3219*100+COUNTIFS($P$6:$P$3271,P3219,$Q$6:$Q$3271,"&lt;="&amp;Q3219,$N$6:$N$3271,Calendar!$K$4),"")</f>
        <v/>
      </c>
      <c r="W3219" s="44">
        <f>IF(AND(B3219=Queue!$C$4,OR(Queue!$K$4="*",N3219=Queue!$K$4)),Q3219,"")</f>
        <v/>
      </c>
    </row>
    <row r="3220">
      <c r="A3220" s="35">
        <f>IF(M3220="","",HYPERLINK("https://www.youtube.com/watch?v="&amp;M3220,"▶"))</f>
        <v/>
      </c>
      <c r="B3220" s="36">
        <f>IF(C3220&lt;&gt;"",C3220,IF(P3220&lt;=IFERROR(INDEX(tblChannels[Watched Through],MATCH(N3220,tblChannels[Channel ID],0)),0),"Watched","Unwatched"))</f>
        <v/>
      </c>
      <c r="C3220" s="37" t="n"/>
      <c r="D3220" s="38" t="n"/>
      <c r="E3220" s="39" t="n">
        <v>41156.8</v>
      </c>
      <c r="F3220" s="47" t="inlineStr">
        <is>
          <t>Super Carlin Brothers</t>
        </is>
      </c>
      <c r="G3220" t="inlineStr">
        <is>
          <t>The Day Your Parents Join Facebook</t>
        </is>
      </c>
      <c r="H3220" s="41" t="n">
        <v>0.002685185185185185</v>
      </c>
      <c r="I3220" s="42" t="n">
        <v>21495</v>
      </c>
      <c r="J3220" s="42" t="n">
        <v>512</v>
      </c>
      <c r="K3220" s="42" t="n">
        <v>99</v>
      </c>
      <c r="L3220" s="43" t="n"/>
      <c r="M3220" s="44" t="n"/>
      <c r="N3220" s="44" t="inlineStr">
        <is>
          <t>UCKZo4N0lVPccBkSiuyVh4yg</t>
        </is>
      </c>
      <c r="O3220" s="45" t="n">
        <v>41156.96666666667</v>
      </c>
      <c r="P3220" s="46" t="n">
        <v>41156</v>
      </c>
      <c r="Q3220" s="44" t="n">
        <v>52</v>
      </c>
      <c r="R3220" s="44" t="inlineStr">
        <is>
          <t>No Video ID yet</t>
        </is>
      </c>
      <c r="S3220" s="46" t="n"/>
      <c r="T3220" s="46" t="n"/>
      <c r="U3220" s="44" t="n"/>
      <c r="V3220" s="44">
        <f>IF(AND(P3220&gt;=Calendar!$K$2,P3220&lt;EDATE(Calendar!$K$2,1),OR(Calendar!$K$4="*",N3220=Calendar!$K$4)),P3220*100+COUNTIFS($P$6:$P$3271,P3220,$Q$6:$Q$3271,"&lt;="&amp;Q3220,$N$6:$N$3271,Calendar!$K$4),"")</f>
        <v/>
      </c>
      <c r="W3220" s="44">
        <f>IF(AND(B3220=Queue!$C$4,OR(Queue!$K$4="*",N3220=Queue!$K$4)),Q3220,"")</f>
        <v/>
      </c>
    </row>
    <row r="3221">
      <c r="A3221" s="35">
        <f>IF(M3221="","",HYPERLINK("https://www.youtube.com/watch?v="&amp;M3221,"▶"))</f>
        <v/>
      </c>
      <c r="B3221" s="36">
        <f>IF(C3221&lt;&gt;"",C3221,IF(P3221&lt;=IFERROR(INDEX(tblChannels[Watched Through],MATCH(N3221,tblChannels[Channel ID],0)),0),"Watched","Unwatched"))</f>
        <v/>
      </c>
      <c r="C3221" s="37" t="n"/>
      <c r="D3221" s="38" t="n"/>
      <c r="E3221" s="39" t="n">
        <v>41155.70069444444</v>
      </c>
      <c r="F3221" s="47" t="inlineStr">
        <is>
          <t>Super Carlin Brothers</t>
        </is>
      </c>
      <c r="G3221" t="inlineStr">
        <is>
          <t>Football Season!</t>
        </is>
      </c>
      <c r="H3221" s="41" t="n">
        <v>0.002951388888888889</v>
      </c>
      <c r="I3221" s="42" t="n">
        <v>18157</v>
      </c>
      <c r="J3221" s="42" t="n">
        <v>430</v>
      </c>
      <c r="K3221" s="42" t="n">
        <v>143</v>
      </c>
      <c r="L3221" s="43" t="n"/>
      <c r="M3221" s="44" t="n"/>
      <c r="N3221" s="44" t="inlineStr">
        <is>
          <t>UCKZo4N0lVPccBkSiuyVh4yg</t>
        </is>
      </c>
      <c r="O3221" s="45" t="n">
        <v>41155.86736111111</v>
      </c>
      <c r="P3221" s="46" t="n">
        <v>41155</v>
      </c>
      <c r="Q3221" s="44" t="n">
        <v>51</v>
      </c>
      <c r="R3221" s="44" t="inlineStr">
        <is>
          <t>No Video ID yet</t>
        </is>
      </c>
      <c r="S3221" s="46" t="n"/>
      <c r="T3221" s="46" t="n"/>
      <c r="U3221" s="44" t="n"/>
      <c r="V3221" s="44">
        <f>IF(AND(P3221&gt;=Calendar!$K$2,P3221&lt;EDATE(Calendar!$K$2,1),OR(Calendar!$K$4="*",N3221=Calendar!$K$4)),P3221*100+COUNTIFS($P$6:$P$3271,P3221,$Q$6:$Q$3271,"&lt;="&amp;Q3221,$N$6:$N$3271,Calendar!$K$4),"")</f>
        <v/>
      </c>
      <c r="W3221" s="44">
        <f>IF(AND(B3221=Queue!$C$4,OR(Queue!$K$4="*",N3221=Queue!$K$4)),Q3221,"")</f>
        <v/>
      </c>
    </row>
    <row r="3222">
      <c r="A3222" s="35">
        <f>IF(M3222="","",HYPERLINK("https://www.youtube.com/watch?v="&amp;M3222,"▶"))</f>
        <v/>
      </c>
      <c r="B3222" s="36">
        <f>IF(C3222&lt;&gt;"",C3222,IF(P3222&lt;=IFERROR(INDEX(tblChannels[Watched Through],MATCH(N3222,tblChannels[Channel ID],0)),0),"Watched","Unwatched"))</f>
        <v/>
      </c>
      <c r="C3222" s="37" t="n"/>
      <c r="D3222" s="38" t="n"/>
      <c r="E3222" s="39" t="n">
        <v>41152.79930555556</v>
      </c>
      <c r="F3222" s="47" t="inlineStr">
        <is>
          <t>Super Carlin Brothers</t>
        </is>
      </c>
      <c r="G3222" t="inlineStr">
        <is>
          <t>How Finding Nemo Ruined My Life</t>
        </is>
      </c>
      <c r="H3222" s="41" t="n">
        <v>0.001956018518518518</v>
      </c>
      <c r="I3222" s="42" t="n">
        <v>152626</v>
      </c>
      <c r="J3222" s="42" t="n">
        <v>3105</v>
      </c>
      <c r="K3222" s="42" t="n">
        <v>759</v>
      </c>
      <c r="L3222" s="43" t="n"/>
      <c r="M3222" s="44" t="n"/>
      <c r="N3222" s="44" t="inlineStr">
        <is>
          <t>UCKZo4N0lVPccBkSiuyVh4yg</t>
        </is>
      </c>
      <c r="O3222" s="45" t="n">
        <v>41152.96597222222</v>
      </c>
      <c r="P3222" s="46" t="n">
        <v>41152</v>
      </c>
      <c r="Q3222" s="44" t="n">
        <v>50</v>
      </c>
      <c r="R3222" s="44" t="inlineStr">
        <is>
          <t>No Video ID yet</t>
        </is>
      </c>
      <c r="S3222" s="46" t="n"/>
      <c r="T3222" s="46" t="n"/>
      <c r="U3222" s="44" t="n"/>
      <c r="V3222" s="44">
        <f>IF(AND(P3222&gt;=Calendar!$K$2,P3222&lt;EDATE(Calendar!$K$2,1),OR(Calendar!$K$4="*",N3222=Calendar!$K$4)),P3222*100+COUNTIFS($P$6:$P$3271,P3222,$Q$6:$Q$3271,"&lt;="&amp;Q3222,$N$6:$N$3271,Calendar!$K$4),"")</f>
        <v/>
      </c>
      <c r="W3222" s="44">
        <f>IF(AND(B3222=Queue!$C$4,OR(Queue!$K$4="*",N3222=Queue!$K$4)),Q3222,"")</f>
        <v/>
      </c>
    </row>
    <row r="3223">
      <c r="A3223" s="35">
        <f>IF(M3223="","",HYPERLINK("https://www.youtube.com/watch?v="&amp;M3223,"▶"))</f>
        <v/>
      </c>
      <c r="B3223" s="36">
        <f>IF(C3223&lt;&gt;"",C3223,IF(P3223&lt;=IFERROR(INDEX(tblChannels[Watched Through],MATCH(N3223,tblChannels[Channel ID],0)),0),"Watched","Unwatched"))</f>
        <v/>
      </c>
      <c r="C3223" s="37" t="n"/>
      <c r="D3223" s="38" t="n"/>
      <c r="E3223" s="39" t="n">
        <v>41151.85555555556</v>
      </c>
      <c r="F3223" s="47" t="inlineStr">
        <is>
          <t>Super Carlin Brothers</t>
        </is>
      </c>
      <c r="G3223" t="inlineStr">
        <is>
          <t>First World Problems</t>
        </is>
      </c>
      <c r="H3223" s="41" t="n">
        <v>0.003043981481481481</v>
      </c>
      <c r="I3223" s="42" t="n">
        <v>96717</v>
      </c>
      <c r="J3223" s="42" t="n">
        <v>2093</v>
      </c>
      <c r="K3223" s="42" t="n">
        <v>360</v>
      </c>
      <c r="L3223" s="43" t="n"/>
      <c r="M3223" s="44" t="n"/>
      <c r="N3223" s="44" t="inlineStr">
        <is>
          <t>UCKZo4N0lVPccBkSiuyVh4yg</t>
        </is>
      </c>
      <c r="O3223" s="45" t="n">
        <v>41152.02222222222</v>
      </c>
      <c r="P3223" s="46" t="n">
        <v>41151</v>
      </c>
      <c r="Q3223" s="44" t="n">
        <v>49</v>
      </c>
      <c r="R3223" s="44" t="inlineStr">
        <is>
          <t>No Video ID yet</t>
        </is>
      </c>
      <c r="S3223" s="46" t="n"/>
      <c r="T3223" s="46" t="n"/>
      <c r="U3223" s="44" t="n"/>
      <c r="V3223" s="44">
        <f>IF(AND(P3223&gt;=Calendar!$K$2,P3223&lt;EDATE(Calendar!$K$2,1),OR(Calendar!$K$4="*",N3223=Calendar!$K$4)),P3223*100+COUNTIFS($P$6:$P$3271,P3223,$Q$6:$Q$3271,"&lt;="&amp;Q3223,$N$6:$N$3271,Calendar!$K$4),"")</f>
        <v/>
      </c>
      <c r="W3223" s="44">
        <f>IF(AND(B3223=Queue!$C$4,OR(Queue!$K$4="*",N3223=Queue!$K$4)),Q3223,"")</f>
        <v/>
      </c>
    </row>
    <row r="3224">
      <c r="A3224" s="35">
        <f>IF(M3224="","",HYPERLINK("https://www.youtube.com/watch?v="&amp;M3224,"▶"))</f>
        <v/>
      </c>
      <c r="B3224" s="36">
        <f>IF(C3224&lt;&gt;"",C3224,IF(P3224&lt;=IFERROR(INDEX(tblChannels[Watched Through],MATCH(N3224,tblChannels[Channel ID],0)),0),"Watched","Unwatched"))</f>
        <v/>
      </c>
      <c r="C3224" s="37" t="n"/>
      <c r="D3224" s="38" t="n"/>
      <c r="E3224" s="39" t="n">
        <v>41150.75208333333</v>
      </c>
      <c r="F3224" s="47" t="inlineStr">
        <is>
          <t>Super Carlin Brothers</t>
        </is>
      </c>
      <c r="G3224" t="inlineStr">
        <is>
          <t>Operation Failure</t>
        </is>
      </c>
      <c r="H3224" s="41" t="n">
        <v>0.002199074074074074</v>
      </c>
      <c r="I3224" s="42" t="n">
        <v>17078</v>
      </c>
      <c r="J3224" s="42" t="n">
        <v>395</v>
      </c>
      <c r="K3224" s="42" t="n">
        <v>40</v>
      </c>
      <c r="L3224" s="43" t="n"/>
      <c r="M3224" s="44" t="n"/>
      <c r="N3224" s="44" t="inlineStr">
        <is>
          <t>UCKZo4N0lVPccBkSiuyVh4yg</t>
        </is>
      </c>
      <c r="O3224" s="45" t="n">
        <v>41150.91875</v>
      </c>
      <c r="P3224" s="46" t="n">
        <v>41150</v>
      </c>
      <c r="Q3224" s="44" t="n">
        <v>48</v>
      </c>
      <c r="R3224" s="44" t="inlineStr">
        <is>
          <t>No Video ID yet</t>
        </is>
      </c>
      <c r="S3224" s="46" t="n"/>
      <c r="T3224" s="46" t="n"/>
      <c r="U3224" s="44" t="n"/>
      <c r="V3224" s="44">
        <f>IF(AND(P3224&gt;=Calendar!$K$2,P3224&lt;EDATE(Calendar!$K$2,1),OR(Calendar!$K$4="*",N3224=Calendar!$K$4)),P3224*100+COUNTIFS($P$6:$P$3271,P3224,$Q$6:$Q$3271,"&lt;="&amp;Q3224,$N$6:$N$3271,Calendar!$K$4),"")</f>
        <v/>
      </c>
      <c r="W3224" s="44">
        <f>IF(AND(B3224=Queue!$C$4,OR(Queue!$K$4="*",N3224=Queue!$K$4)),Q3224,"")</f>
        <v/>
      </c>
    </row>
    <row r="3225">
      <c r="A3225" s="35">
        <f>IF(M3225="","",HYPERLINK("https://www.youtube.com/watch?v="&amp;M3225,"▶"))</f>
        <v/>
      </c>
      <c r="B3225" s="36">
        <f>IF(C3225&lt;&gt;"",C3225,IF(P3225&lt;=IFERROR(INDEX(tblChannels[Watched Through],MATCH(N3225,tblChannels[Channel ID],0)),0),"Watched","Unwatched"))</f>
        <v/>
      </c>
      <c r="C3225" s="37" t="n"/>
      <c r="D3225" s="38" t="n"/>
      <c r="E3225" s="39" t="n">
        <v>41149.86805555555</v>
      </c>
      <c r="F3225" s="47" t="inlineStr">
        <is>
          <t>Super Carlin Brothers</t>
        </is>
      </c>
      <c r="G3225" t="inlineStr">
        <is>
          <t>Fixty miles of fun!</t>
        </is>
      </c>
      <c r="H3225" s="41" t="n">
        <v>0.003159722222222222</v>
      </c>
      <c r="I3225" s="42" t="n">
        <v>27264</v>
      </c>
      <c r="J3225" s="42" t="n">
        <v>639</v>
      </c>
      <c r="K3225" s="42" t="n">
        <v>54</v>
      </c>
      <c r="L3225" s="43" t="n"/>
      <c r="M3225" s="44" t="n"/>
      <c r="N3225" s="44" t="inlineStr">
        <is>
          <t>UCKZo4N0lVPccBkSiuyVh4yg</t>
        </is>
      </c>
      <c r="O3225" s="45" t="n">
        <v>41150.03472222222</v>
      </c>
      <c r="P3225" s="46" t="n">
        <v>41149</v>
      </c>
      <c r="Q3225" s="44" t="n">
        <v>47</v>
      </c>
      <c r="R3225" s="44" t="inlineStr">
        <is>
          <t>No Video ID yet</t>
        </is>
      </c>
      <c r="S3225" s="46" t="n"/>
      <c r="T3225" s="46" t="n"/>
      <c r="U3225" s="44" t="n"/>
      <c r="V3225" s="44">
        <f>IF(AND(P3225&gt;=Calendar!$K$2,P3225&lt;EDATE(Calendar!$K$2,1),OR(Calendar!$K$4="*",N3225=Calendar!$K$4)),P3225*100+COUNTIFS($P$6:$P$3271,P3225,$Q$6:$Q$3271,"&lt;="&amp;Q3225,$N$6:$N$3271,Calendar!$K$4),"")</f>
        <v/>
      </c>
      <c r="W3225" s="44">
        <f>IF(AND(B3225=Queue!$C$4,OR(Queue!$K$4="*",N3225=Queue!$K$4)),Q3225,"")</f>
        <v/>
      </c>
    </row>
    <row r="3226">
      <c r="A3226" s="35">
        <f>IF(M3226="","",HYPERLINK("https://www.youtube.com/watch?v="&amp;M3226,"▶"))</f>
        <v/>
      </c>
      <c r="B3226" s="36">
        <f>IF(C3226&lt;&gt;"",C3226,IF(P3226&lt;=IFERROR(INDEX(tblChannels[Watched Through],MATCH(N3226,tblChannels[Channel ID],0)),0),"Watched","Unwatched"))</f>
        <v/>
      </c>
      <c r="C3226" s="37" t="n"/>
      <c r="D3226" s="38" t="n"/>
      <c r="E3226" s="39" t="n">
        <v>41148.93194444444</v>
      </c>
      <c r="F3226" s="47" t="inlineStr">
        <is>
          <t>Super Carlin Brothers</t>
        </is>
      </c>
      <c r="G3226" t="inlineStr">
        <is>
          <t>The Armstrongs</t>
        </is>
      </c>
      <c r="H3226" s="41" t="n">
        <v>0.002534722222222222</v>
      </c>
      <c r="I3226" s="42" t="n">
        <v>15980</v>
      </c>
      <c r="J3226" s="42" t="n">
        <v>358</v>
      </c>
      <c r="K3226" s="42" t="n">
        <v>49</v>
      </c>
      <c r="L3226" s="43" t="n"/>
      <c r="M3226" s="44" t="n"/>
      <c r="N3226" s="44" t="inlineStr">
        <is>
          <t>UCKZo4N0lVPccBkSiuyVh4yg</t>
        </is>
      </c>
      <c r="O3226" s="45" t="n">
        <v>41149.09861111111</v>
      </c>
      <c r="P3226" s="46" t="n">
        <v>41148</v>
      </c>
      <c r="Q3226" s="44" t="n">
        <v>46</v>
      </c>
      <c r="R3226" s="44" t="inlineStr">
        <is>
          <t>No Video ID yet</t>
        </is>
      </c>
      <c r="S3226" s="46" t="n"/>
      <c r="T3226" s="46" t="n"/>
      <c r="U3226" s="44" t="n"/>
      <c r="V3226" s="44">
        <f>IF(AND(P3226&gt;=Calendar!$K$2,P3226&lt;EDATE(Calendar!$K$2,1),OR(Calendar!$K$4="*",N3226=Calendar!$K$4)),P3226*100+COUNTIFS($P$6:$P$3271,P3226,$Q$6:$Q$3271,"&lt;="&amp;Q3226,$N$6:$N$3271,Calendar!$K$4),"")</f>
        <v/>
      </c>
      <c r="W3226" s="44">
        <f>IF(AND(B3226=Queue!$C$4,OR(Queue!$K$4="*",N3226=Queue!$K$4)),Q3226,"")</f>
        <v/>
      </c>
    </row>
    <row r="3227">
      <c r="A3227" s="35">
        <f>IF(M3227="","",HYPERLINK("https://www.youtube.com/watch?v="&amp;M3227,"▶"))</f>
        <v/>
      </c>
      <c r="B3227" s="36">
        <f>IF(C3227&lt;&gt;"",C3227,IF(P3227&lt;=IFERROR(INDEX(tblChannels[Watched Through],MATCH(N3227,tblChannels[Channel ID],0)),0),"Watched","Unwatched"))</f>
        <v/>
      </c>
      <c r="C3227" s="37" t="n"/>
      <c r="D3227" s="38" t="n"/>
      <c r="E3227" s="39" t="n">
        <v>41145.94097222222</v>
      </c>
      <c r="F3227" s="47" t="inlineStr">
        <is>
          <t>Super Carlin Brothers</t>
        </is>
      </c>
      <c r="G3227" t="inlineStr">
        <is>
          <t>Waiting Rooms</t>
        </is>
      </c>
      <c r="H3227" s="41" t="n">
        <v>0.002662037037037037</v>
      </c>
      <c r="I3227" s="42" t="n">
        <v>78879</v>
      </c>
      <c r="J3227" s="42" t="n">
        <v>1597</v>
      </c>
      <c r="K3227" s="42" t="n">
        <v>337</v>
      </c>
      <c r="L3227" s="43" t="n"/>
      <c r="M3227" s="44" t="n"/>
      <c r="N3227" s="44" t="inlineStr">
        <is>
          <t>UCKZo4N0lVPccBkSiuyVh4yg</t>
        </is>
      </c>
      <c r="O3227" s="45" t="n">
        <v>41146.10763888889</v>
      </c>
      <c r="P3227" s="46" t="n">
        <v>41145</v>
      </c>
      <c r="Q3227" s="44" t="n">
        <v>45</v>
      </c>
      <c r="R3227" s="44" t="inlineStr">
        <is>
          <t>No Video ID yet</t>
        </is>
      </c>
      <c r="S3227" s="46" t="n"/>
      <c r="T3227" s="46" t="n"/>
      <c r="U3227" s="44" t="n"/>
      <c r="V3227" s="44">
        <f>IF(AND(P3227&gt;=Calendar!$K$2,P3227&lt;EDATE(Calendar!$K$2,1),OR(Calendar!$K$4="*",N3227=Calendar!$K$4)),P3227*100+COUNTIFS($P$6:$P$3271,P3227,$Q$6:$Q$3271,"&lt;="&amp;Q3227,$N$6:$N$3271,Calendar!$K$4),"")</f>
        <v/>
      </c>
      <c r="W3227" s="44">
        <f>IF(AND(B3227=Queue!$C$4,OR(Queue!$K$4="*",N3227=Queue!$K$4)),Q3227,"")</f>
        <v/>
      </c>
    </row>
    <row r="3228">
      <c r="A3228" s="35">
        <f>IF(M3228="","",HYPERLINK("https://www.youtube.com/watch?v="&amp;M3228,"▶"))</f>
        <v/>
      </c>
      <c r="B3228" s="36">
        <f>IF(C3228&lt;&gt;"",C3228,IF(P3228&lt;=IFERROR(INDEX(tblChannels[Watched Through],MATCH(N3228,tblChannels[Channel ID],0)),0),"Watched","Unwatched"))</f>
        <v/>
      </c>
      <c r="C3228" s="37" t="n"/>
      <c r="D3228" s="38" t="n"/>
      <c r="E3228" s="39" t="n">
        <v>41144.80069444444</v>
      </c>
      <c r="F3228" s="47" t="inlineStr">
        <is>
          <t>Super Carlin Brothers</t>
        </is>
      </c>
      <c r="G3228" t="inlineStr">
        <is>
          <t>Awkward Stander</t>
        </is>
      </c>
      <c r="H3228" s="41" t="n">
        <v>0.002256944444444444</v>
      </c>
      <c r="I3228" s="42" t="n">
        <v>17088</v>
      </c>
      <c r="J3228" s="42" t="n">
        <v>448</v>
      </c>
      <c r="K3228" s="42" t="n">
        <v>60</v>
      </c>
      <c r="L3228" s="43" t="n"/>
      <c r="M3228" s="44" t="n"/>
      <c r="N3228" s="44" t="inlineStr">
        <is>
          <t>UCKZo4N0lVPccBkSiuyVh4yg</t>
        </is>
      </c>
      <c r="O3228" s="45" t="n">
        <v>41144.96736111111</v>
      </c>
      <c r="P3228" s="46" t="n">
        <v>41144</v>
      </c>
      <c r="Q3228" s="44" t="n">
        <v>44</v>
      </c>
      <c r="R3228" s="44" t="inlineStr">
        <is>
          <t>No Video ID yet</t>
        </is>
      </c>
      <c r="S3228" s="46" t="n"/>
      <c r="T3228" s="46" t="n"/>
      <c r="U3228" s="44" t="n"/>
      <c r="V3228" s="44">
        <f>IF(AND(P3228&gt;=Calendar!$K$2,P3228&lt;EDATE(Calendar!$K$2,1),OR(Calendar!$K$4="*",N3228=Calendar!$K$4)),P3228*100+COUNTIFS($P$6:$P$3271,P3228,$Q$6:$Q$3271,"&lt;="&amp;Q3228,$N$6:$N$3271,Calendar!$K$4),"")</f>
        <v/>
      </c>
      <c r="W3228" s="44">
        <f>IF(AND(B3228=Queue!$C$4,OR(Queue!$K$4="*",N3228=Queue!$K$4)),Q3228,"")</f>
        <v/>
      </c>
    </row>
    <row r="3229">
      <c r="A3229" s="35">
        <f>IF(M3229="","",HYPERLINK("https://www.youtube.com/watch?v="&amp;M3229,"▶"))</f>
        <v/>
      </c>
      <c r="B3229" s="36">
        <f>IF(C3229&lt;&gt;"",C3229,IF(P3229&lt;=IFERROR(INDEX(tblChannels[Watched Through],MATCH(N3229,tblChannels[Channel ID],0)),0),"Watched","Unwatched"))</f>
        <v/>
      </c>
      <c r="C3229" s="37" t="n"/>
      <c r="D3229" s="38" t="n"/>
      <c r="E3229" s="39" t="n">
        <v>41143.87847222222</v>
      </c>
      <c r="F3229" s="47" t="inlineStr">
        <is>
          <t>Super Carlin Brothers</t>
        </is>
      </c>
      <c r="G3229" t="inlineStr">
        <is>
          <t>Food Thoughts</t>
        </is>
      </c>
      <c r="H3229" s="41" t="n">
        <v>0.002881944444444444</v>
      </c>
      <c r="I3229" s="42" t="n">
        <v>55636</v>
      </c>
      <c r="J3229" s="42" t="n">
        <v>991</v>
      </c>
      <c r="K3229" s="42" t="n">
        <v>208</v>
      </c>
      <c r="L3229" s="43" t="n"/>
      <c r="M3229" s="44" t="n"/>
      <c r="N3229" s="44" t="inlineStr">
        <is>
          <t>UCKZo4N0lVPccBkSiuyVh4yg</t>
        </is>
      </c>
      <c r="O3229" s="45" t="n">
        <v>41144.04513888889</v>
      </c>
      <c r="P3229" s="46" t="n">
        <v>41143</v>
      </c>
      <c r="Q3229" s="44" t="n">
        <v>43</v>
      </c>
      <c r="R3229" s="44" t="inlineStr">
        <is>
          <t>No Video ID yet</t>
        </is>
      </c>
      <c r="S3229" s="46" t="n"/>
      <c r="T3229" s="46" t="n"/>
      <c r="U3229" s="44" t="n"/>
      <c r="V3229" s="44">
        <f>IF(AND(P3229&gt;=Calendar!$K$2,P3229&lt;EDATE(Calendar!$K$2,1),OR(Calendar!$K$4="*",N3229=Calendar!$K$4)),P3229*100+COUNTIFS($P$6:$P$3271,P3229,$Q$6:$Q$3271,"&lt;="&amp;Q3229,$N$6:$N$3271,Calendar!$K$4),"")</f>
        <v/>
      </c>
      <c r="W3229" s="44">
        <f>IF(AND(B3229=Queue!$C$4,OR(Queue!$K$4="*",N3229=Queue!$K$4)),Q3229,"")</f>
        <v/>
      </c>
    </row>
    <row r="3230">
      <c r="A3230" s="35">
        <f>IF(M3230="","",HYPERLINK("https://www.youtube.com/watch?v="&amp;M3230,"▶"))</f>
        <v/>
      </c>
      <c r="B3230" s="36">
        <f>IF(C3230&lt;&gt;"",C3230,IF(P3230&lt;=IFERROR(INDEX(tblChannels[Watched Through],MATCH(N3230,tblChannels[Channel ID],0)),0),"Watched","Unwatched"))</f>
        <v/>
      </c>
      <c r="C3230" s="37" t="n"/>
      <c r="D3230" s="38" t="n"/>
      <c r="E3230" s="39" t="n">
        <v>41142.95902777778</v>
      </c>
      <c r="F3230" s="47" t="inlineStr">
        <is>
          <t>Super Carlin Brothers</t>
        </is>
      </c>
      <c r="G3230" t="inlineStr">
        <is>
          <t>Negative Political Ads</t>
        </is>
      </c>
      <c r="H3230" s="41" t="n">
        <v>0.002361111111111111</v>
      </c>
      <c r="I3230" s="42" t="n">
        <v>17981</v>
      </c>
      <c r="J3230" s="42" t="n">
        <v>434</v>
      </c>
      <c r="K3230" s="42" t="n">
        <v>41</v>
      </c>
      <c r="L3230" s="43" t="n"/>
      <c r="M3230" s="44" t="n"/>
      <c r="N3230" s="44" t="inlineStr">
        <is>
          <t>UCKZo4N0lVPccBkSiuyVh4yg</t>
        </is>
      </c>
      <c r="O3230" s="45" t="n">
        <v>41143.12569444445</v>
      </c>
      <c r="P3230" s="46" t="n">
        <v>41142</v>
      </c>
      <c r="Q3230" s="44" t="n">
        <v>42</v>
      </c>
      <c r="R3230" s="44" t="inlineStr">
        <is>
          <t>No Video ID yet</t>
        </is>
      </c>
      <c r="S3230" s="46" t="n"/>
      <c r="T3230" s="46" t="n"/>
      <c r="U3230" s="44" t="n"/>
      <c r="V3230" s="44">
        <f>IF(AND(P3230&gt;=Calendar!$K$2,P3230&lt;EDATE(Calendar!$K$2,1),OR(Calendar!$K$4="*",N3230=Calendar!$K$4)),P3230*100+COUNTIFS($P$6:$P$3271,P3230,$Q$6:$Q$3271,"&lt;="&amp;Q3230,$N$6:$N$3271,Calendar!$K$4),"")</f>
        <v/>
      </c>
      <c r="W3230" s="44">
        <f>IF(AND(B3230=Queue!$C$4,OR(Queue!$K$4="*",N3230=Queue!$K$4)),Q3230,"")</f>
        <v/>
      </c>
    </row>
    <row r="3231">
      <c r="A3231" s="35">
        <f>IF(M3231="","",HYPERLINK("https://www.youtube.com/watch?v="&amp;M3231,"▶"))</f>
        <v/>
      </c>
      <c r="B3231" s="36">
        <f>IF(C3231&lt;&gt;"",C3231,IF(P3231&lt;=IFERROR(INDEX(tblChannels[Watched Through],MATCH(N3231,tblChannels[Channel ID],0)),0),"Watched","Unwatched"))</f>
        <v/>
      </c>
      <c r="C3231" s="37" t="n"/>
      <c r="D3231" s="38" t="n"/>
      <c r="E3231" s="39" t="n">
        <v>41141.94791666666</v>
      </c>
      <c r="F3231" s="47" t="inlineStr">
        <is>
          <t>Super Carlin Brothers</t>
        </is>
      </c>
      <c r="G3231" t="inlineStr">
        <is>
          <t>The To-Do's</t>
        </is>
      </c>
      <c r="H3231" s="41" t="n">
        <v>0.002326388888888889</v>
      </c>
      <c r="I3231" s="42" t="n">
        <v>27533</v>
      </c>
      <c r="J3231" s="42" t="n">
        <v>678</v>
      </c>
      <c r="K3231" s="42" t="n">
        <v>151</v>
      </c>
      <c r="L3231" s="43" t="n"/>
      <c r="M3231" s="44" t="n"/>
      <c r="N3231" s="44" t="inlineStr">
        <is>
          <t>UCKZo4N0lVPccBkSiuyVh4yg</t>
        </is>
      </c>
      <c r="O3231" s="45" t="n">
        <v>41142.11458333334</v>
      </c>
      <c r="P3231" s="46" t="n">
        <v>41141</v>
      </c>
      <c r="Q3231" s="44" t="n">
        <v>41</v>
      </c>
      <c r="R3231" s="44" t="inlineStr">
        <is>
          <t>No Video ID yet</t>
        </is>
      </c>
      <c r="S3231" s="46" t="n"/>
      <c r="T3231" s="46" t="n"/>
      <c r="U3231" s="44" t="n"/>
      <c r="V3231" s="44">
        <f>IF(AND(P3231&gt;=Calendar!$K$2,P3231&lt;EDATE(Calendar!$K$2,1),OR(Calendar!$K$4="*",N3231=Calendar!$K$4)),P3231*100+COUNTIFS($P$6:$P$3271,P3231,$Q$6:$Q$3271,"&lt;="&amp;Q3231,$N$6:$N$3271,Calendar!$K$4),"")</f>
        <v/>
      </c>
      <c r="W3231" s="44">
        <f>IF(AND(B3231=Queue!$C$4,OR(Queue!$K$4="*",N3231=Queue!$K$4)),Q3231,"")</f>
        <v/>
      </c>
    </row>
    <row r="3232">
      <c r="A3232" s="35">
        <f>IF(M3232="","",HYPERLINK("https://www.youtube.com/watch?v="&amp;M3232,"▶"))</f>
        <v/>
      </c>
      <c r="B3232" s="36">
        <f>IF(C3232&lt;&gt;"",C3232,IF(P3232&lt;=IFERROR(INDEX(tblChannels[Watched Through],MATCH(N3232,tblChannels[Channel ID],0)),0),"Watched","Unwatched"))</f>
        <v/>
      </c>
      <c r="C3232" s="37" t="n"/>
      <c r="D3232" s="38" t="n"/>
      <c r="E3232" s="39" t="n">
        <v>41138.79861111111</v>
      </c>
      <c r="F3232" s="47" t="inlineStr">
        <is>
          <t>Super Carlin Brothers</t>
        </is>
      </c>
      <c r="G3232" t="inlineStr">
        <is>
          <t>Why I'm Not a Reporter</t>
        </is>
      </c>
      <c r="H3232" s="41" t="n">
        <v>0.002476851851851852</v>
      </c>
      <c r="I3232" s="42" t="n">
        <v>19230</v>
      </c>
      <c r="J3232" s="42" t="n">
        <v>532</v>
      </c>
      <c r="K3232" s="42" t="n">
        <v>67</v>
      </c>
      <c r="L3232" s="43" t="n"/>
      <c r="M3232" s="44" t="n"/>
      <c r="N3232" s="44" t="inlineStr">
        <is>
          <t>UCKZo4N0lVPccBkSiuyVh4yg</t>
        </is>
      </c>
      <c r="O3232" s="45" t="n">
        <v>41138.96527777778</v>
      </c>
      <c r="P3232" s="46" t="n">
        <v>41138</v>
      </c>
      <c r="Q3232" s="44" t="n">
        <v>40</v>
      </c>
      <c r="R3232" s="44" t="inlineStr">
        <is>
          <t>No Video ID yet</t>
        </is>
      </c>
      <c r="S3232" s="46" t="n"/>
      <c r="T3232" s="46" t="n"/>
      <c r="U3232" s="44" t="n"/>
      <c r="V3232" s="44">
        <f>IF(AND(P3232&gt;=Calendar!$K$2,P3232&lt;EDATE(Calendar!$K$2,1),OR(Calendar!$K$4="*",N3232=Calendar!$K$4)),P3232*100+COUNTIFS($P$6:$P$3271,P3232,$Q$6:$Q$3271,"&lt;="&amp;Q3232,$N$6:$N$3271,Calendar!$K$4),"")</f>
        <v/>
      </c>
      <c r="W3232" s="44">
        <f>IF(AND(B3232=Queue!$C$4,OR(Queue!$K$4="*",N3232=Queue!$K$4)),Q3232,"")</f>
        <v/>
      </c>
    </row>
    <row r="3233">
      <c r="A3233" s="35">
        <f>IF(M3233="","",HYPERLINK("https://www.youtube.com/watch?v="&amp;M3233,"▶"))</f>
        <v/>
      </c>
      <c r="B3233" s="36">
        <f>IF(C3233&lt;&gt;"",C3233,IF(P3233&lt;=IFERROR(INDEX(tblChannels[Watched Through],MATCH(N3233,tblChannels[Channel ID],0)),0),"Watched","Unwatched"))</f>
        <v/>
      </c>
      <c r="C3233" s="37" t="n"/>
      <c r="D3233" s="38" t="n"/>
      <c r="E3233" s="39" t="n">
        <v>41137.92152777778</v>
      </c>
      <c r="F3233" s="47" t="inlineStr">
        <is>
          <t>Super Carlin Brothers</t>
        </is>
      </c>
      <c r="G3233" t="inlineStr">
        <is>
          <t>My Worst Breakup</t>
        </is>
      </c>
      <c r="H3233" s="41" t="n">
        <v>0.003194444444444445</v>
      </c>
      <c r="I3233" s="42" t="n">
        <v>80004</v>
      </c>
      <c r="J3233" s="42" t="n">
        <v>1688</v>
      </c>
      <c r="K3233" s="42" t="n">
        <v>221</v>
      </c>
      <c r="L3233" s="43" t="n"/>
      <c r="M3233" s="44" t="n"/>
      <c r="N3233" s="44" t="inlineStr">
        <is>
          <t>UCKZo4N0lVPccBkSiuyVh4yg</t>
        </is>
      </c>
      <c r="O3233" s="45" t="n">
        <v>41138.08819444444</v>
      </c>
      <c r="P3233" s="46" t="n">
        <v>41137</v>
      </c>
      <c r="Q3233" s="44" t="n">
        <v>39</v>
      </c>
      <c r="R3233" s="44" t="inlineStr">
        <is>
          <t>No Video ID yet</t>
        </is>
      </c>
      <c r="S3233" s="46" t="n"/>
      <c r="T3233" s="46" t="n"/>
      <c r="U3233" s="44" t="n"/>
      <c r="V3233" s="44">
        <f>IF(AND(P3233&gt;=Calendar!$K$2,P3233&lt;EDATE(Calendar!$K$2,1),OR(Calendar!$K$4="*",N3233=Calendar!$K$4)),P3233*100+COUNTIFS($P$6:$P$3271,P3233,$Q$6:$Q$3271,"&lt;="&amp;Q3233,$N$6:$N$3271,Calendar!$K$4),"")</f>
        <v/>
      </c>
      <c r="W3233" s="44">
        <f>IF(AND(B3233=Queue!$C$4,OR(Queue!$K$4="*",N3233=Queue!$K$4)),Q3233,"")</f>
        <v/>
      </c>
    </row>
    <row r="3234">
      <c r="A3234" s="35">
        <f>IF(M3234="","",HYPERLINK("https://www.youtube.com/watch?v="&amp;M3234,"▶"))</f>
        <v/>
      </c>
      <c r="B3234" s="36">
        <f>IF(C3234&lt;&gt;"",C3234,IF(P3234&lt;=IFERROR(INDEX(tblChannels[Watched Through],MATCH(N3234,tblChannels[Channel ID],0)),0),"Watched","Unwatched"))</f>
        <v/>
      </c>
      <c r="C3234" s="37" t="n"/>
      <c r="D3234" s="38" t="n"/>
      <c r="E3234" s="39" t="n">
        <v>41136.67083333333</v>
      </c>
      <c r="F3234" s="47" t="inlineStr">
        <is>
          <t>Super Carlin Brothers</t>
        </is>
      </c>
      <c r="G3234" t="inlineStr">
        <is>
          <t>Blobs and Breakups</t>
        </is>
      </c>
      <c r="H3234" s="41" t="n">
        <v>0.00212962962962963</v>
      </c>
      <c r="I3234" s="42" t="n">
        <v>20033</v>
      </c>
      <c r="J3234" s="42" t="n">
        <v>419</v>
      </c>
      <c r="K3234" s="42" t="n">
        <v>31</v>
      </c>
      <c r="L3234" s="43" t="n"/>
      <c r="M3234" s="44" t="n"/>
      <c r="N3234" s="44" t="inlineStr">
        <is>
          <t>UCKZo4N0lVPccBkSiuyVh4yg</t>
        </is>
      </c>
      <c r="O3234" s="45" t="n">
        <v>41136.8375</v>
      </c>
      <c r="P3234" s="46" t="n">
        <v>41136</v>
      </c>
      <c r="Q3234" s="44" t="n">
        <v>38</v>
      </c>
      <c r="R3234" s="44" t="inlineStr">
        <is>
          <t>No Video ID yet</t>
        </is>
      </c>
      <c r="S3234" s="46" t="n"/>
      <c r="T3234" s="46" t="n"/>
      <c r="U3234" s="44" t="n"/>
      <c r="V3234" s="44">
        <f>IF(AND(P3234&gt;=Calendar!$K$2,P3234&lt;EDATE(Calendar!$K$2,1),OR(Calendar!$K$4="*",N3234=Calendar!$K$4)),P3234*100+COUNTIFS($P$6:$P$3271,P3234,$Q$6:$Q$3271,"&lt;="&amp;Q3234,$N$6:$N$3271,Calendar!$K$4),"")</f>
        <v/>
      </c>
      <c r="W3234" s="44">
        <f>IF(AND(B3234=Queue!$C$4,OR(Queue!$K$4="*",N3234=Queue!$K$4)),Q3234,"")</f>
        <v/>
      </c>
    </row>
    <row r="3235">
      <c r="A3235" s="35">
        <f>IF(M3235="","",HYPERLINK("https://www.youtube.com/watch?v="&amp;M3235,"▶"))</f>
        <v/>
      </c>
      <c r="B3235" s="36">
        <f>IF(C3235&lt;&gt;"",C3235,IF(P3235&lt;=IFERROR(INDEX(tblChannels[Watched Through],MATCH(N3235,tblChannels[Channel ID],0)),0),"Watched","Unwatched"))</f>
        <v/>
      </c>
      <c r="C3235" s="37" t="n"/>
      <c r="D3235" s="38" t="n"/>
      <c r="E3235" s="39" t="n">
        <v>41135.8625</v>
      </c>
      <c r="F3235" s="47" t="inlineStr">
        <is>
          <t>Super Carlin Brothers</t>
        </is>
      </c>
      <c r="G3235" t="inlineStr">
        <is>
          <t>Shark Gets Angry!</t>
        </is>
      </c>
      <c r="H3235" s="41" t="n">
        <v>0.002685185185185185</v>
      </c>
      <c r="I3235" s="42" t="n">
        <v>34906</v>
      </c>
      <c r="J3235" s="42" t="n">
        <v>764</v>
      </c>
      <c r="K3235" s="42" t="n">
        <v>157</v>
      </c>
      <c r="L3235" s="43" t="n"/>
      <c r="M3235" s="44" t="n"/>
      <c r="N3235" s="44" t="inlineStr">
        <is>
          <t>UCKZo4N0lVPccBkSiuyVh4yg</t>
        </is>
      </c>
      <c r="O3235" s="45" t="n">
        <v>41136.02916666667</v>
      </c>
      <c r="P3235" s="46" t="n">
        <v>41135</v>
      </c>
      <c r="Q3235" s="44" t="n">
        <v>37</v>
      </c>
      <c r="R3235" s="44" t="inlineStr">
        <is>
          <t>No Video ID yet</t>
        </is>
      </c>
      <c r="S3235" s="46" t="n"/>
      <c r="T3235" s="46" t="n"/>
      <c r="U3235" s="44" t="n"/>
      <c r="V3235" s="44">
        <f>IF(AND(P3235&gt;=Calendar!$K$2,P3235&lt;EDATE(Calendar!$K$2,1),OR(Calendar!$K$4="*",N3235=Calendar!$K$4)),P3235*100+COUNTIFS($P$6:$P$3271,P3235,$Q$6:$Q$3271,"&lt;="&amp;Q3235,$N$6:$N$3271,Calendar!$K$4),"")</f>
        <v/>
      </c>
      <c r="W3235" s="44">
        <f>IF(AND(B3235=Queue!$C$4,OR(Queue!$K$4="*",N3235=Queue!$K$4)),Q3235,"")</f>
        <v/>
      </c>
    </row>
    <row r="3236">
      <c r="A3236" s="35">
        <f>IF(M3236="","",HYPERLINK("https://www.youtube.com/watch?v="&amp;M3236,"▶"))</f>
        <v/>
      </c>
      <c r="B3236" s="36">
        <f>IF(C3236&lt;&gt;"",C3236,IF(P3236&lt;=IFERROR(INDEX(tblChannels[Watched Through],MATCH(N3236,tblChannels[Channel ID],0)),0),"Watched","Unwatched"))</f>
        <v/>
      </c>
      <c r="C3236" s="37" t="n"/>
      <c r="D3236" s="38" t="n"/>
      <c r="E3236" s="39" t="n">
        <v>41134.7</v>
      </c>
      <c r="F3236" s="47" t="inlineStr">
        <is>
          <t>Super Carlin Brothers</t>
        </is>
      </c>
      <c r="G3236" t="inlineStr">
        <is>
          <t>Single Topic Friends</t>
        </is>
      </c>
      <c r="H3236" s="41" t="n">
        <v>0.002106481481481481</v>
      </c>
      <c r="I3236" s="42" t="n">
        <v>18918</v>
      </c>
      <c r="J3236" s="42" t="n">
        <v>474</v>
      </c>
      <c r="K3236" s="42" t="n">
        <v>65</v>
      </c>
      <c r="L3236" s="43" t="n"/>
      <c r="M3236" s="44" t="n"/>
      <c r="N3236" s="44" t="inlineStr">
        <is>
          <t>UCKZo4N0lVPccBkSiuyVh4yg</t>
        </is>
      </c>
      <c r="O3236" s="45" t="n">
        <v>41134.86666666667</v>
      </c>
      <c r="P3236" s="46" t="n">
        <v>41134</v>
      </c>
      <c r="Q3236" s="44" t="n">
        <v>36</v>
      </c>
      <c r="R3236" s="44" t="inlineStr">
        <is>
          <t>No Video ID yet</t>
        </is>
      </c>
      <c r="S3236" s="46" t="n"/>
      <c r="T3236" s="46" t="n"/>
      <c r="U3236" s="44" t="n"/>
      <c r="V3236" s="44">
        <f>IF(AND(P3236&gt;=Calendar!$K$2,P3236&lt;EDATE(Calendar!$K$2,1),OR(Calendar!$K$4="*",N3236=Calendar!$K$4)),P3236*100+COUNTIFS($P$6:$P$3271,P3236,$Q$6:$Q$3271,"&lt;="&amp;Q3236,$N$6:$N$3271,Calendar!$K$4),"")</f>
        <v/>
      </c>
      <c r="W3236" s="44">
        <f>IF(AND(B3236=Queue!$C$4,OR(Queue!$K$4="*",N3236=Queue!$K$4)),Q3236,"")</f>
        <v/>
      </c>
    </row>
    <row r="3237">
      <c r="A3237" s="35">
        <f>IF(M3237="","",HYPERLINK("https://www.youtube.com/watch?v="&amp;M3237,"▶"))</f>
        <v/>
      </c>
      <c r="B3237" s="36">
        <f>IF(C3237&lt;&gt;"",C3237,IF(P3237&lt;=IFERROR(INDEX(tblChannels[Watched Through],MATCH(N3237,tblChannels[Channel ID],0)),0),"Watched","Unwatched"))</f>
        <v/>
      </c>
      <c r="C3237" s="37" t="n"/>
      <c r="D3237" s="38" t="n"/>
      <c r="E3237" s="39" t="n">
        <v>41131.81805555556</v>
      </c>
      <c r="F3237" s="47" t="inlineStr">
        <is>
          <t>Super Carlin Brothers</t>
        </is>
      </c>
      <c r="G3237" t="inlineStr">
        <is>
          <t>Ask J! #2</t>
        </is>
      </c>
      <c r="H3237" s="41" t="n">
        <v>0.002939814814814815</v>
      </c>
      <c r="I3237" s="42" t="n">
        <v>32417</v>
      </c>
      <c r="J3237" s="42" t="n">
        <v>704</v>
      </c>
      <c r="K3237" s="42" t="n">
        <v>102</v>
      </c>
      <c r="L3237" s="43" t="n"/>
      <c r="M3237" s="44" t="n"/>
      <c r="N3237" s="44" t="inlineStr">
        <is>
          <t>UCKZo4N0lVPccBkSiuyVh4yg</t>
        </is>
      </c>
      <c r="O3237" s="45" t="n">
        <v>41131.98472222222</v>
      </c>
      <c r="P3237" s="46" t="n">
        <v>41131</v>
      </c>
      <c r="Q3237" s="44" t="n">
        <v>35</v>
      </c>
      <c r="R3237" s="44" t="inlineStr">
        <is>
          <t>No Video ID yet</t>
        </is>
      </c>
      <c r="S3237" s="46" t="n"/>
      <c r="T3237" s="46" t="n"/>
      <c r="U3237" s="44" t="n"/>
      <c r="V3237" s="44">
        <f>IF(AND(P3237&gt;=Calendar!$K$2,P3237&lt;EDATE(Calendar!$K$2,1),OR(Calendar!$K$4="*",N3237=Calendar!$K$4)),P3237*100+COUNTIFS($P$6:$P$3271,P3237,$Q$6:$Q$3271,"&lt;="&amp;Q3237,$N$6:$N$3271,Calendar!$K$4),"")</f>
        <v/>
      </c>
      <c r="W3237" s="44">
        <f>IF(AND(B3237=Queue!$C$4,OR(Queue!$K$4="*",N3237=Queue!$K$4)),Q3237,"")</f>
        <v/>
      </c>
    </row>
    <row r="3238">
      <c r="A3238" s="35">
        <f>IF(M3238="","",HYPERLINK("https://www.youtube.com/watch?v="&amp;M3238,"▶"))</f>
        <v/>
      </c>
      <c r="B3238" s="36">
        <f>IF(C3238&lt;&gt;"",C3238,IF(P3238&lt;=IFERROR(INDEX(tblChannels[Watched Through],MATCH(N3238,tblChannels[Channel ID],0)),0),"Watched","Unwatched"))</f>
        <v/>
      </c>
      <c r="C3238" s="37" t="n"/>
      <c r="D3238" s="38" t="n"/>
      <c r="E3238" s="39" t="n">
        <v>41130.675</v>
      </c>
      <c r="F3238" s="47" t="inlineStr">
        <is>
          <t>Super Carlin Brothers</t>
        </is>
      </c>
      <c r="G3238" t="inlineStr">
        <is>
          <t>Do as I Say, Not as I Do.</t>
        </is>
      </c>
      <c r="H3238" s="41" t="n">
        <v>0.002256944444444444</v>
      </c>
      <c r="I3238" s="42" t="n">
        <v>22563</v>
      </c>
      <c r="J3238" s="42" t="n">
        <v>543</v>
      </c>
      <c r="K3238" s="42" t="n">
        <v>59</v>
      </c>
      <c r="L3238" s="43" t="n"/>
      <c r="M3238" s="44" t="n"/>
      <c r="N3238" s="44" t="inlineStr">
        <is>
          <t>UCKZo4N0lVPccBkSiuyVh4yg</t>
        </is>
      </c>
      <c r="O3238" s="45" t="n">
        <v>41130.84166666667</v>
      </c>
      <c r="P3238" s="46" t="n">
        <v>41130</v>
      </c>
      <c r="Q3238" s="44" t="n">
        <v>34</v>
      </c>
      <c r="R3238" s="44" t="inlineStr">
        <is>
          <t>No Video ID yet</t>
        </is>
      </c>
      <c r="S3238" s="46" t="n"/>
      <c r="T3238" s="46" t="n"/>
      <c r="U3238" s="44" t="n"/>
      <c r="V3238" s="44">
        <f>IF(AND(P3238&gt;=Calendar!$K$2,P3238&lt;EDATE(Calendar!$K$2,1),OR(Calendar!$K$4="*",N3238=Calendar!$K$4)),P3238*100+COUNTIFS($P$6:$P$3271,P3238,$Q$6:$Q$3271,"&lt;="&amp;Q3238,$N$6:$N$3271,Calendar!$K$4),"")</f>
        <v/>
      </c>
      <c r="W3238" s="44">
        <f>IF(AND(B3238=Queue!$C$4,OR(Queue!$K$4="*",N3238=Queue!$K$4)),Q3238,"")</f>
        <v/>
      </c>
    </row>
    <row r="3239">
      <c r="A3239" s="35">
        <f>IF(M3239="","",HYPERLINK("https://www.youtube.com/watch?v="&amp;M3239,"▶"))</f>
        <v/>
      </c>
      <c r="B3239" s="36">
        <f>IF(C3239&lt;&gt;"",C3239,IF(P3239&lt;=IFERROR(INDEX(tblChannels[Watched Through],MATCH(N3239,tblChannels[Channel ID],0)),0),"Watched","Unwatched"))</f>
        <v/>
      </c>
      <c r="C3239" s="37" t="n"/>
      <c r="D3239" s="38" t="n"/>
      <c r="E3239" s="39" t="n">
        <v>41129.89375</v>
      </c>
      <c r="F3239" s="47" t="inlineStr">
        <is>
          <t>Super Carlin Brothers</t>
        </is>
      </c>
      <c r="G3239" t="inlineStr">
        <is>
          <t>You can't count to a Billion</t>
        </is>
      </c>
      <c r="H3239" s="41" t="n">
        <v>0.002708333333333333</v>
      </c>
      <c r="I3239" s="42" t="n">
        <v>605399</v>
      </c>
      <c r="J3239" s="42" t="n">
        <v>11625</v>
      </c>
      <c r="K3239" s="42" t="n">
        <v>2060</v>
      </c>
      <c r="L3239" s="43" t="n"/>
      <c r="M3239" s="44" t="n"/>
      <c r="N3239" s="44" t="inlineStr">
        <is>
          <t>UCKZo4N0lVPccBkSiuyVh4yg</t>
        </is>
      </c>
      <c r="O3239" s="45" t="n">
        <v>41130.06041666667</v>
      </c>
      <c r="P3239" s="46" t="n">
        <v>41129</v>
      </c>
      <c r="Q3239" s="44" t="n">
        <v>33</v>
      </c>
      <c r="R3239" s="44" t="inlineStr">
        <is>
          <t>No Video ID yet</t>
        </is>
      </c>
      <c r="S3239" s="46" t="n"/>
      <c r="T3239" s="46" t="n"/>
      <c r="U3239" s="44" t="n"/>
      <c r="V3239" s="44">
        <f>IF(AND(P3239&gt;=Calendar!$K$2,P3239&lt;EDATE(Calendar!$K$2,1),OR(Calendar!$K$4="*",N3239=Calendar!$K$4)),P3239*100+COUNTIFS($P$6:$P$3271,P3239,$Q$6:$Q$3271,"&lt;="&amp;Q3239,$N$6:$N$3271,Calendar!$K$4),"")</f>
        <v/>
      </c>
      <c r="W3239" s="44">
        <f>IF(AND(B3239=Queue!$C$4,OR(Queue!$K$4="*",N3239=Queue!$K$4)),Q3239,"")</f>
        <v/>
      </c>
    </row>
    <row r="3240">
      <c r="A3240" s="35">
        <f>IF(M3240="","",HYPERLINK("https://www.youtube.com/watch?v="&amp;M3240,"▶"))</f>
        <v/>
      </c>
      <c r="B3240" s="36">
        <f>IF(C3240&lt;&gt;"",C3240,IF(P3240&lt;=IFERROR(INDEX(tblChannels[Watched Through],MATCH(N3240,tblChannels[Channel ID],0)),0),"Watched","Unwatched"))</f>
        <v/>
      </c>
      <c r="C3240" s="37" t="n"/>
      <c r="D3240" s="38" t="n"/>
      <c r="E3240" s="39" t="n">
        <v>41128.61597222222</v>
      </c>
      <c r="F3240" s="47" t="inlineStr">
        <is>
          <t>Super Carlin Brothers</t>
        </is>
      </c>
      <c r="G3240" t="inlineStr">
        <is>
          <t>Teleportation Anxiety</t>
        </is>
      </c>
      <c r="H3240" s="41" t="n">
        <v>0.002395833333333333</v>
      </c>
      <c r="I3240" s="42" t="n">
        <v>19916</v>
      </c>
      <c r="J3240" s="42" t="n">
        <v>510</v>
      </c>
      <c r="K3240" s="42" t="n">
        <v>77</v>
      </c>
      <c r="L3240" s="43" t="n"/>
      <c r="M3240" s="44" t="n"/>
      <c r="N3240" s="44" t="inlineStr">
        <is>
          <t>UCKZo4N0lVPccBkSiuyVh4yg</t>
        </is>
      </c>
      <c r="O3240" s="45" t="n">
        <v>41128.78263888889</v>
      </c>
      <c r="P3240" s="46" t="n">
        <v>41128</v>
      </c>
      <c r="Q3240" s="44" t="n">
        <v>32</v>
      </c>
      <c r="R3240" s="44" t="inlineStr">
        <is>
          <t>No Video ID yet</t>
        </is>
      </c>
      <c r="S3240" s="46" t="n"/>
      <c r="T3240" s="46" t="n"/>
      <c r="U3240" s="44" t="n"/>
      <c r="V3240" s="44">
        <f>IF(AND(P3240&gt;=Calendar!$K$2,P3240&lt;EDATE(Calendar!$K$2,1),OR(Calendar!$K$4="*",N3240=Calendar!$K$4)),P3240*100+COUNTIFS($P$6:$P$3271,P3240,$Q$6:$Q$3271,"&lt;="&amp;Q3240,$N$6:$N$3271,Calendar!$K$4),"")</f>
        <v/>
      </c>
      <c r="W3240" s="44">
        <f>IF(AND(B3240=Queue!$C$4,OR(Queue!$K$4="*",N3240=Queue!$K$4)),Q3240,"")</f>
        <v/>
      </c>
    </row>
    <row r="3241">
      <c r="A3241" s="35">
        <f>IF(M3241="","",HYPERLINK("https://www.youtube.com/watch?v="&amp;M3241,"▶"))</f>
        <v/>
      </c>
      <c r="B3241" s="36">
        <f>IF(C3241&lt;&gt;"",C3241,IF(P3241&lt;=IFERROR(INDEX(tblChannels[Watched Through],MATCH(N3241,tblChannels[Channel ID],0)),0),"Watched","Unwatched"))</f>
        <v/>
      </c>
      <c r="C3241" s="37" t="n"/>
      <c r="D3241" s="38" t="n"/>
      <c r="E3241" s="39" t="n">
        <v>41127.83958333333</v>
      </c>
      <c r="F3241" s="47" t="inlineStr">
        <is>
          <t>Super Carlin Brothers</t>
        </is>
      </c>
      <c r="G3241" t="inlineStr">
        <is>
          <t>Road Trips and Backflips</t>
        </is>
      </c>
      <c r="H3241" s="41" t="n">
        <v>0.002430555555555556</v>
      </c>
      <c r="I3241" s="42" t="n">
        <v>21783</v>
      </c>
      <c r="J3241" s="42" t="n">
        <v>545</v>
      </c>
      <c r="K3241" s="42" t="n">
        <v>86</v>
      </c>
      <c r="L3241" s="43" t="n"/>
      <c r="M3241" s="44" t="n"/>
      <c r="N3241" s="44" t="inlineStr">
        <is>
          <t>UCKZo4N0lVPccBkSiuyVh4yg</t>
        </is>
      </c>
      <c r="O3241" s="45" t="n">
        <v>41128.00625</v>
      </c>
      <c r="P3241" s="46" t="n">
        <v>41127</v>
      </c>
      <c r="Q3241" s="44" t="n">
        <v>31</v>
      </c>
      <c r="R3241" s="44" t="inlineStr">
        <is>
          <t>No Video ID yet</t>
        </is>
      </c>
      <c r="S3241" s="46" t="n"/>
      <c r="T3241" s="46" t="n"/>
      <c r="U3241" s="44" t="n"/>
      <c r="V3241" s="44">
        <f>IF(AND(P3241&gt;=Calendar!$K$2,P3241&lt;EDATE(Calendar!$K$2,1),OR(Calendar!$K$4="*",N3241=Calendar!$K$4)),P3241*100+COUNTIFS($P$6:$P$3271,P3241,$Q$6:$Q$3271,"&lt;="&amp;Q3241,$N$6:$N$3271,Calendar!$K$4),"")</f>
        <v/>
      </c>
      <c r="W3241" s="44">
        <f>IF(AND(B3241=Queue!$C$4,OR(Queue!$K$4="*",N3241=Queue!$K$4)),Q3241,"")</f>
        <v/>
      </c>
    </row>
    <row r="3242">
      <c r="A3242" s="35">
        <f>IF(M3242="","",HYPERLINK("https://www.youtube.com/watch?v="&amp;M3242,"▶"))</f>
        <v/>
      </c>
      <c r="B3242" s="36">
        <f>IF(C3242&lt;&gt;"",C3242,IF(P3242&lt;=IFERROR(INDEX(tblChannels[Watched Through],MATCH(N3242,tblChannels[Channel ID],0)),0),"Watched","Unwatched"))</f>
        <v/>
      </c>
      <c r="C3242" s="37" t="n"/>
      <c r="D3242" s="38" t="n"/>
      <c r="E3242" s="39" t="n">
        <v>41124.69166666667</v>
      </c>
      <c r="F3242" s="47" t="inlineStr">
        <is>
          <t>Super Carlin Brothers</t>
        </is>
      </c>
      <c r="G3242" t="inlineStr">
        <is>
          <t>Comment Arguments</t>
        </is>
      </c>
      <c r="H3242" s="41" t="n">
        <v>0.001909722222222222</v>
      </c>
      <c r="I3242" s="42" t="n">
        <v>20368</v>
      </c>
      <c r="J3242" s="42" t="n">
        <v>485</v>
      </c>
      <c r="K3242" s="42" t="n">
        <v>68</v>
      </c>
      <c r="L3242" s="43" t="n"/>
      <c r="M3242" s="44" t="n"/>
      <c r="N3242" s="44" t="inlineStr">
        <is>
          <t>UCKZo4N0lVPccBkSiuyVh4yg</t>
        </is>
      </c>
      <c r="O3242" s="45" t="n">
        <v>41124.85833333333</v>
      </c>
      <c r="P3242" s="46" t="n">
        <v>41124</v>
      </c>
      <c r="Q3242" s="44" t="n">
        <v>30</v>
      </c>
      <c r="R3242" s="44" t="inlineStr">
        <is>
          <t>No Video ID yet</t>
        </is>
      </c>
      <c r="S3242" s="46" t="n"/>
      <c r="T3242" s="46" t="n"/>
      <c r="U3242" s="44" t="n"/>
      <c r="V3242" s="44">
        <f>IF(AND(P3242&gt;=Calendar!$K$2,P3242&lt;EDATE(Calendar!$K$2,1),OR(Calendar!$K$4="*",N3242=Calendar!$K$4)),P3242*100+COUNTIFS($P$6:$P$3271,P3242,$Q$6:$Q$3271,"&lt;="&amp;Q3242,$N$6:$N$3271,Calendar!$K$4),"")</f>
        <v/>
      </c>
      <c r="W3242" s="44">
        <f>IF(AND(B3242=Queue!$C$4,OR(Queue!$K$4="*",N3242=Queue!$K$4)),Q3242,"")</f>
        <v/>
      </c>
    </row>
    <row r="3243">
      <c r="A3243" s="35">
        <f>IF(M3243="","",HYPERLINK("https://www.youtube.com/watch?v="&amp;M3243,"▶"))</f>
        <v/>
      </c>
      <c r="B3243" s="36">
        <f>IF(C3243&lt;&gt;"",C3243,IF(P3243&lt;=IFERROR(INDEX(tblChannels[Watched Through],MATCH(N3243,tblChannels[Channel ID],0)),0),"Watched","Unwatched"))</f>
        <v/>
      </c>
      <c r="C3243" s="37" t="n"/>
      <c r="D3243" s="38" t="n"/>
      <c r="E3243" s="39" t="n">
        <v>41123.91458333333</v>
      </c>
      <c r="F3243" s="47" t="inlineStr">
        <is>
          <t>Super Carlin Brothers</t>
        </is>
      </c>
      <c r="G3243" t="inlineStr">
        <is>
          <t>Olympic Spoilers = LAME</t>
        </is>
      </c>
      <c r="H3243" s="41" t="n">
        <v>0.0025</v>
      </c>
      <c r="I3243" s="42" t="n">
        <v>21710</v>
      </c>
      <c r="J3243" s="42" t="n">
        <v>486</v>
      </c>
      <c r="K3243" s="42" t="n">
        <v>55</v>
      </c>
      <c r="L3243" s="43" t="n"/>
      <c r="M3243" s="44" t="n"/>
      <c r="N3243" s="44" t="inlineStr">
        <is>
          <t>UCKZo4N0lVPccBkSiuyVh4yg</t>
        </is>
      </c>
      <c r="O3243" s="45" t="n">
        <v>41124.08125</v>
      </c>
      <c r="P3243" s="46" t="n">
        <v>41123</v>
      </c>
      <c r="Q3243" s="44" t="n">
        <v>29</v>
      </c>
      <c r="R3243" s="44" t="inlineStr">
        <is>
          <t>No Video ID yet</t>
        </is>
      </c>
      <c r="S3243" s="46" t="n"/>
      <c r="T3243" s="46" t="n"/>
      <c r="U3243" s="44" t="n"/>
      <c r="V3243" s="44">
        <f>IF(AND(P3243&gt;=Calendar!$K$2,P3243&lt;EDATE(Calendar!$K$2,1),OR(Calendar!$K$4="*",N3243=Calendar!$K$4)),P3243*100+COUNTIFS($P$6:$P$3271,P3243,$Q$6:$Q$3271,"&lt;="&amp;Q3243,$N$6:$N$3271,Calendar!$K$4),"")</f>
        <v/>
      </c>
      <c r="W3243" s="44">
        <f>IF(AND(B3243=Queue!$C$4,OR(Queue!$K$4="*",N3243=Queue!$K$4)),Q3243,"")</f>
        <v/>
      </c>
    </row>
    <row r="3244">
      <c r="A3244" s="35">
        <f>IF(M3244="","",HYPERLINK("https://www.youtube.com/watch?v="&amp;M3244,"▶"))</f>
        <v/>
      </c>
      <c r="B3244" s="36">
        <f>IF(C3244&lt;&gt;"",C3244,IF(P3244&lt;=IFERROR(INDEX(tblChannels[Watched Through],MATCH(N3244,tblChannels[Channel ID],0)),0),"Watched","Unwatched"))</f>
        <v/>
      </c>
      <c r="C3244" s="37" t="n"/>
      <c r="D3244" s="38" t="n"/>
      <c r="E3244" s="39" t="n">
        <v>41122.59583333333</v>
      </c>
      <c r="F3244" s="47" t="inlineStr">
        <is>
          <t>Super Carlin Brothers</t>
        </is>
      </c>
      <c r="G3244" t="inlineStr">
        <is>
          <t>The Attack of the Giraffalents and What Would You Do Wednesday!</t>
        </is>
      </c>
      <c r="H3244" s="41" t="n">
        <v>0.001863425925925926</v>
      </c>
      <c r="I3244" s="42" t="n">
        <v>21514</v>
      </c>
      <c r="J3244" s="42" t="n">
        <v>525</v>
      </c>
      <c r="K3244" s="42" t="n">
        <v>67</v>
      </c>
      <c r="L3244" s="43" t="n"/>
      <c r="M3244" s="44" t="n"/>
      <c r="N3244" s="44" t="inlineStr">
        <is>
          <t>UCKZo4N0lVPccBkSiuyVh4yg</t>
        </is>
      </c>
      <c r="O3244" s="45" t="n">
        <v>41122.7625</v>
      </c>
      <c r="P3244" s="46" t="n">
        <v>41122</v>
      </c>
      <c r="Q3244" s="44" t="n">
        <v>28</v>
      </c>
      <c r="R3244" s="44" t="inlineStr">
        <is>
          <t>No Video ID yet</t>
        </is>
      </c>
      <c r="S3244" s="46" t="n"/>
      <c r="T3244" s="46" t="n"/>
      <c r="U3244" s="44" t="n"/>
      <c r="V3244" s="44">
        <f>IF(AND(P3244&gt;=Calendar!$K$2,P3244&lt;EDATE(Calendar!$K$2,1),OR(Calendar!$K$4="*",N3244=Calendar!$K$4)),P3244*100+COUNTIFS($P$6:$P$3271,P3244,$Q$6:$Q$3271,"&lt;="&amp;Q3244,$N$6:$N$3271,Calendar!$K$4),"")</f>
        <v/>
      </c>
      <c r="W3244" s="44">
        <f>IF(AND(B3244=Queue!$C$4,OR(Queue!$K$4="*",N3244=Queue!$K$4)),Q3244,"")</f>
        <v/>
      </c>
    </row>
    <row r="3245">
      <c r="A3245" s="35">
        <f>IF(M3245="","",HYPERLINK("https://www.youtube.com/watch?v="&amp;M3245,"▶"))</f>
        <v/>
      </c>
      <c r="B3245" s="36">
        <f>IF(C3245&lt;&gt;"",C3245,IF(P3245&lt;=IFERROR(INDEX(tblChannels[Watched Through],MATCH(N3245,tblChannels[Channel ID],0)),0),"Watched","Unwatched"))</f>
        <v/>
      </c>
      <c r="C3245" s="37" t="n"/>
      <c r="D3245" s="38" t="n"/>
      <c r="E3245" s="39" t="n">
        <v>41121.92291666667</v>
      </c>
      <c r="F3245" s="47" t="inlineStr">
        <is>
          <t>Super Carlin Brothers</t>
        </is>
      </c>
      <c r="G3245" t="inlineStr">
        <is>
          <t>Offensive Movies</t>
        </is>
      </c>
      <c r="H3245" s="41" t="n">
        <v>0.002650462962962963</v>
      </c>
      <c r="I3245" s="42" t="n">
        <v>100937</v>
      </c>
      <c r="J3245" s="42" t="n">
        <v>2013</v>
      </c>
      <c r="K3245" s="42" t="n">
        <v>1015</v>
      </c>
      <c r="L3245" s="43" t="n"/>
      <c r="M3245" s="44" t="n"/>
      <c r="N3245" s="44" t="inlineStr">
        <is>
          <t>UCKZo4N0lVPccBkSiuyVh4yg</t>
        </is>
      </c>
      <c r="O3245" s="45" t="n">
        <v>41122.08958333333</v>
      </c>
      <c r="P3245" s="46" t="n">
        <v>41121</v>
      </c>
      <c r="Q3245" s="44" t="n">
        <v>27</v>
      </c>
      <c r="R3245" s="44" t="inlineStr">
        <is>
          <t>No Video ID yet</t>
        </is>
      </c>
      <c r="S3245" s="46" t="n"/>
      <c r="T3245" s="46" t="n"/>
      <c r="U3245" s="44" t="n"/>
      <c r="V3245" s="44">
        <f>IF(AND(P3245&gt;=Calendar!$K$2,P3245&lt;EDATE(Calendar!$K$2,1),OR(Calendar!$K$4="*",N3245=Calendar!$K$4)),P3245*100+COUNTIFS($P$6:$P$3271,P3245,$Q$6:$Q$3271,"&lt;="&amp;Q3245,$N$6:$N$3271,Calendar!$K$4),"")</f>
        <v/>
      </c>
      <c r="W3245" s="44">
        <f>IF(AND(B3245=Queue!$C$4,OR(Queue!$K$4="*",N3245=Queue!$K$4)),Q3245,"")</f>
        <v/>
      </c>
    </row>
    <row r="3246">
      <c r="A3246" s="35">
        <f>IF(M3246="","",HYPERLINK("https://www.youtube.com/watch?v="&amp;M3246,"▶"))</f>
        <v/>
      </c>
      <c r="B3246" s="36">
        <f>IF(C3246&lt;&gt;"",C3246,IF(P3246&lt;=IFERROR(INDEX(tblChannels[Watched Through],MATCH(N3246,tblChannels[Channel ID],0)),0),"Watched","Unwatched"))</f>
        <v/>
      </c>
      <c r="C3246" s="37" t="n"/>
      <c r="D3246" s="38" t="n"/>
      <c r="E3246" s="39" t="n">
        <v>41120.74722222222</v>
      </c>
      <c r="F3246" s="47" t="inlineStr">
        <is>
          <t>Super Carlin Brothers</t>
        </is>
      </c>
      <c r="G3246" t="inlineStr">
        <is>
          <t>3D, Not For Me</t>
        </is>
      </c>
      <c r="H3246" s="41" t="n">
        <v>0.002534722222222222</v>
      </c>
      <c r="I3246" s="42" t="n">
        <v>23971</v>
      </c>
      <c r="J3246" s="42" t="n">
        <v>518</v>
      </c>
      <c r="K3246" s="42" t="n">
        <v>89</v>
      </c>
      <c r="L3246" s="43" t="n"/>
      <c r="M3246" s="44" t="n"/>
      <c r="N3246" s="44" t="inlineStr">
        <is>
          <t>UCKZo4N0lVPccBkSiuyVh4yg</t>
        </is>
      </c>
      <c r="O3246" s="45" t="n">
        <v>41120.91388888889</v>
      </c>
      <c r="P3246" s="46" t="n">
        <v>41120</v>
      </c>
      <c r="Q3246" s="44" t="n">
        <v>26</v>
      </c>
      <c r="R3246" s="44" t="inlineStr">
        <is>
          <t>No Video ID yet</t>
        </is>
      </c>
      <c r="S3246" s="46" t="n"/>
      <c r="T3246" s="46" t="n"/>
      <c r="U3246" s="44" t="n"/>
      <c r="V3246" s="44">
        <f>IF(AND(P3246&gt;=Calendar!$K$2,P3246&lt;EDATE(Calendar!$K$2,1),OR(Calendar!$K$4="*",N3246=Calendar!$K$4)),P3246*100+COUNTIFS($P$6:$P$3271,P3246,$Q$6:$Q$3271,"&lt;="&amp;Q3246,$N$6:$N$3271,Calendar!$K$4),"")</f>
        <v/>
      </c>
      <c r="W3246" s="44">
        <f>IF(AND(B3246=Queue!$C$4,OR(Queue!$K$4="*",N3246=Queue!$K$4)),Q3246,"")</f>
        <v/>
      </c>
    </row>
    <row r="3247">
      <c r="A3247" s="35">
        <f>IF(M3247="","",HYPERLINK("https://www.youtube.com/watch?v="&amp;M3247,"▶"))</f>
        <v/>
      </c>
      <c r="B3247" s="36">
        <f>IF(C3247&lt;&gt;"",C3247,IF(P3247&lt;=IFERROR(INDEX(tblChannels[Watched Through],MATCH(N3247,tblChannels[Channel ID],0)),0),"Watched","Unwatched"))</f>
        <v/>
      </c>
      <c r="C3247" s="37" t="n"/>
      <c r="D3247" s="38" t="n"/>
      <c r="E3247" s="39" t="n">
        <v>41117.36527777778</v>
      </c>
      <c r="F3247" s="47" t="inlineStr">
        <is>
          <t>Super Carlin Brothers</t>
        </is>
      </c>
      <c r="G3247" t="inlineStr">
        <is>
          <t>Ask J!</t>
        </is>
      </c>
      <c r="H3247" s="41" t="n">
        <v>0.002476851851851852</v>
      </c>
      <c r="I3247" s="42" t="n">
        <v>36526</v>
      </c>
      <c r="J3247" s="42" t="n">
        <v>752</v>
      </c>
      <c r="K3247" s="42" t="n">
        <v>75</v>
      </c>
      <c r="L3247" s="43" t="n"/>
      <c r="M3247" s="44" t="n"/>
      <c r="N3247" s="44" t="inlineStr">
        <is>
          <t>UCKZo4N0lVPccBkSiuyVh4yg</t>
        </is>
      </c>
      <c r="O3247" s="45" t="n">
        <v>41117.53194444445</v>
      </c>
      <c r="P3247" s="46" t="n">
        <v>41117</v>
      </c>
      <c r="Q3247" s="44" t="n">
        <v>25</v>
      </c>
      <c r="R3247" s="44" t="inlineStr">
        <is>
          <t>No Video ID yet</t>
        </is>
      </c>
      <c r="S3247" s="46" t="n"/>
      <c r="T3247" s="46" t="n"/>
      <c r="U3247" s="44" t="n"/>
      <c r="V3247" s="44">
        <f>IF(AND(P3247&gt;=Calendar!$K$2,P3247&lt;EDATE(Calendar!$K$2,1),OR(Calendar!$K$4="*",N3247=Calendar!$K$4)),P3247*100+COUNTIFS($P$6:$P$3271,P3247,$Q$6:$Q$3271,"&lt;="&amp;Q3247,$N$6:$N$3271,Calendar!$K$4),"")</f>
        <v/>
      </c>
      <c r="W3247" s="44">
        <f>IF(AND(B3247=Queue!$C$4,OR(Queue!$K$4="*",N3247=Queue!$K$4)),Q3247,"")</f>
        <v/>
      </c>
    </row>
    <row r="3248">
      <c r="A3248" s="35">
        <f>IF(M3248="","",HYPERLINK("https://www.youtube.com/watch?v="&amp;M3248,"▶"))</f>
        <v/>
      </c>
      <c r="B3248" s="36">
        <f>IF(C3248&lt;&gt;"",C3248,IF(P3248&lt;=IFERROR(INDEX(tblChannels[Watched Through],MATCH(N3248,tblChannels[Channel ID],0)),0),"Watched","Unwatched"))</f>
        <v/>
      </c>
      <c r="C3248" s="37" t="n"/>
      <c r="D3248" s="38" t="n"/>
      <c r="E3248" s="39" t="n">
        <v>41116.53402777778</v>
      </c>
      <c r="F3248" s="47" t="inlineStr">
        <is>
          <t>Super Carlin Brothers</t>
        </is>
      </c>
      <c r="G3248" t="inlineStr">
        <is>
          <t>What to Wear and Ask J!</t>
        </is>
      </c>
      <c r="H3248" s="41" t="n">
        <v>0.001828703703703704</v>
      </c>
      <c r="I3248" s="42" t="n">
        <v>23901</v>
      </c>
      <c r="J3248" s="42" t="n">
        <v>595</v>
      </c>
      <c r="K3248" s="42" t="n">
        <v>48</v>
      </c>
      <c r="L3248" s="43" t="n"/>
      <c r="M3248" s="44" t="n"/>
      <c r="N3248" s="44" t="inlineStr">
        <is>
          <t>UCKZo4N0lVPccBkSiuyVh4yg</t>
        </is>
      </c>
      <c r="O3248" s="45" t="n">
        <v>41116.70069444444</v>
      </c>
      <c r="P3248" s="46" t="n">
        <v>41116</v>
      </c>
      <c r="Q3248" s="44" t="n">
        <v>24</v>
      </c>
      <c r="R3248" s="44" t="inlineStr">
        <is>
          <t>No Video ID yet</t>
        </is>
      </c>
      <c r="S3248" s="46" t="n"/>
      <c r="T3248" s="46" t="n"/>
      <c r="U3248" s="44" t="n"/>
      <c r="V3248" s="44">
        <f>IF(AND(P3248&gt;=Calendar!$K$2,P3248&lt;EDATE(Calendar!$K$2,1),OR(Calendar!$K$4="*",N3248=Calendar!$K$4)),P3248*100+COUNTIFS($P$6:$P$3271,P3248,$Q$6:$Q$3271,"&lt;="&amp;Q3248,$N$6:$N$3271,Calendar!$K$4),"")</f>
        <v/>
      </c>
      <c r="W3248" s="44">
        <f>IF(AND(B3248=Queue!$C$4,OR(Queue!$K$4="*",N3248=Queue!$K$4)),Q3248,"")</f>
        <v/>
      </c>
    </row>
    <row r="3249">
      <c r="A3249" s="35">
        <f>IF(M3249="","",HYPERLINK("https://www.youtube.com/watch?v="&amp;M3249,"▶"))</f>
        <v/>
      </c>
      <c r="B3249" s="36">
        <f>IF(C3249&lt;&gt;"",C3249,IF(P3249&lt;=IFERROR(INDEX(tblChannels[Watched Through],MATCH(N3249,tblChannels[Channel ID],0)),0),"Watched","Unwatched"))</f>
        <v/>
      </c>
      <c r="C3249" s="37" t="n"/>
      <c r="D3249" s="38" t="n"/>
      <c r="E3249" s="39" t="n">
        <v>41115.85763888889</v>
      </c>
      <c r="F3249" s="47" t="inlineStr">
        <is>
          <t>Super Carlin Brothers</t>
        </is>
      </c>
      <c r="G3249" t="inlineStr">
        <is>
          <t>I look horrible in hats</t>
        </is>
      </c>
      <c r="H3249" s="41" t="n">
        <v>0.002754629629629629</v>
      </c>
      <c r="I3249" s="42" t="n">
        <v>64531</v>
      </c>
      <c r="J3249" s="42" t="n">
        <v>1289</v>
      </c>
      <c r="K3249" s="42" t="n">
        <v>172</v>
      </c>
      <c r="L3249" s="43" t="n"/>
      <c r="M3249" s="44" t="n"/>
      <c r="N3249" s="44" t="inlineStr">
        <is>
          <t>UCKZo4N0lVPccBkSiuyVh4yg</t>
        </is>
      </c>
      <c r="O3249" s="45" t="n">
        <v>41116.02430555555</v>
      </c>
      <c r="P3249" s="46" t="n">
        <v>41115</v>
      </c>
      <c r="Q3249" s="44" t="n">
        <v>23</v>
      </c>
      <c r="R3249" s="44" t="inlineStr">
        <is>
          <t>No Video ID yet</t>
        </is>
      </c>
      <c r="S3249" s="46" t="n"/>
      <c r="T3249" s="46" t="n"/>
      <c r="U3249" s="44" t="n"/>
      <c r="V3249" s="44">
        <f>IF(AND(P3249&gt;=Calendar!$K$2,P3249&lt;EDATE(Calendar!$K$2,1),OR(Calendar!$K$4="*",N3249=Calendar!$K$4)),P3249*100+COUNTIFS($P$6:$P$3271,P3249,$Q$6:$Q$3271,"&lt;="&amp;Q3249,$N$6:$N$3271,Calendar!$K$4),"")</f>
        <v/>
      </c>
      <c r="W3249" s="44">
        <f>IF(AND(B3249=Queue!$C$4,OR(Queue!$K$4="*",N3249=Queue!$K$4)),Q3249,"")</f>
        <v/>
      </c>
    </row>
    <row r="3250">
      <c r="A3250" s="35">
        <f>IF(M3250="","",HYPERLINK("https://www.youtube.com/watch?v="&amp;M3250,"▶"))</f>
        <v/>
      </c>
      <c r="B3250" s="36">
        <f>IF(C3250&lt;&gt;"",C3250,IF(P3250&lt;=IFERROR(INDEX(tblChannels[Watched Through],MATCH(N3250,tblChannels[Channel ID],0)),0),"Watched","Unwatched"))</f>
        <v/>
      </c>
      <c r="C3250" s="37" t="n"/>
      <c r="D3250" s="38" t="n"/>
      <c r="E3250" s="39" t="n">
        <v>41113.91527777778</v>
      </c>
      <c r="F3250" s="47" t="inlineStr">
        <is>
          <t>Super Carlin Brothers</t>
        </is>
      </c>
      <c r="G3250" t="inlineStr">
        <is>
          <t>Steve Prefontaine</t>
        </is>
      </c>
      <c r="H3250" s="41" t="n">
        <v>0.002430555555555556</v>
      </c>
      <c r="I3250" s="42" t="n">
        <v>26918</v>
      </c>
      <c r="J3250" s="42" t="n">
        <v>626</v>
      </c>
      <c r="K3250" s="42" t="n">
        <v>91</v>
      </c>
      <c r="L3250" s="43" t="n"/>
      <c r="M3250" s="44" t="n"/>
      <c r="N3250" s="44" t="inlineStr">
        <is>
          <t>UCKZo4N0lVPccBkSiuyVh4yg</t>
        </is>
      </c>
      <c r="O3250" s="45" t="n">
        <v>41114.08194444444</v>
      </c>
      <c r="P3250" s="46" t="n">
        <v>41113</v>
      </c>
      <c r="Q3250" s="44" t="n">
        <v>22</v>
      </c>
      <c r="R3250" s="44" t="inlineStr">
        <is>
          <t>No Video ID yet</t>
        </is>
      </c>
      <c r="S3250" s="46" t="n"/>
      <c r="T3250" s="46" t="n"/>
      <c r="U3250" s="44" t="n"/>
      <c r="V3250" s="44">
        <f>IF(AND(P3250&gt;=Calendar!$K$2,P3250&lt;EDATE(Calendar!$K$2,1),OR(Calendar!$K$4="*",N3250=Calendar!$K$4)),P3250*100+COUNTIFS($P$6:$P$3271,P3250,$Q$6:$Q$3271,"&lt;="&amp;Q3250,$N$6:$N$3271,Calendar!$K$4),"")</f>
        <v/>
      </c>
      <c r="W3250" s="44">
        <f>IF(AND(B3250=Queue!$C$4,OR(Queue!$K$4="*",N3250=Queue!$K$4)),Q3250,"")</f>
        <v/>
      </c>
    </row>
    <row r="3251">
      <c r="A3251" s="35">
        <f>IF(M3251="","",HYPERLINK("https://www.youtube.com/watch?v="&amp;M3251,"▶"))</f>
        <v/>
      </c>
      <c r="B3251" s="36">
        <f>IF(C3251&lt;&gt;"",C3251,IF(P3251&lt;=IFERROR(INDEX(tblChannels[Watched Through],MATCH(N3251,tblChannels[Channel ID],0)),0),"Watched","Unwatched"))</f>
        <v/>
      </c>
      <c r="C3251" s="37" t="n"/>
      <c r="D3251" s="38" t="n"/>
      <c r="E3251" s="39" t="n">
        <v>41110.83819444444</v>
      </c>
      <c r="F3251" s="47" t="inlineStr">
        <is>
          <t>Super Carlin Brothers</t>
        </is>
      </c>
      <c r="G3251" t="inlineStr">
        <is>
          <t>The Dark Knight on a Dark Night</t>
        </is>
      </c>
      <c r="H3251" s="41" t="n">
        <v>0.001898148148148148</v>
      </c>
      <c r="I3251" s="42" t="n">
        <v>22930</v>
      </c>
      <c r="J3251" s="42" t="n">
        <v>516</v>
      </c>
      <c r="K3251" s="42" t="n">
        <v>44</v>
      </c>
      <c r="L3251" s="43" t="n"/>
      <c r="M3251" s="44" t="n"/>
      <c r="N3251" s="44" t="inlineStr">
        <is>
          <t>UCKZo4N0lVPccBkSiuyVh4yg</t>
        </is>
      </c>
      <c r="O3251" s="45" t="n">
        <v>41111.00486111111</v>
      </c>
      <c r="P3251" s="46" t="n">
        <v>41110</v>
      </c>
      <c r="Q3251" s="44" t="n">
        <v>21</v>
      </c>
      <c r="R3251" s="44" t="inlineStr">
        <is>
          <t>No Video ID yet</t>
        </is>
      </c>
      <c r="S3251" s="46" t="n"/>
      <c r="T3251" s="46" t="n"/>
      <c r="U3251" s="44" t="n"/>
      <c r="V3251" s="44">
        <f>IF(AND(P3251&gt;=Calendar!$K$2,P3251&lt;EDATE(Calendar!$K$2,1),OR(Calendar!$K$4="*",N3251=Calendar!$K$4)),P3251*100+COUNTIFS($P$6:$P$3271,P3251,$Q$6:$Q$3271,"&lt;="&amp;Q3251,$N$6:$N$3271,Calendar!$K$4),"")</f>
        <v/>
      </c>
      <c r="W3251" s="44">
        <f>IF(AND(B3251=Queue!$C$4,OR(Queue!$K$4="*",N3251=Queue!$K$4)),Q3251,"")</f>
        <v/>
      </c>
    </row>
    <row r="3252">
      <c r="A3252" s="35">
        <f>IF(M3252="","",HYPERLINK("https://www.youtube.com/watch?v="&amp;M3252,"▶"))</f>
        <v/>
      </c>
      <c r="B3252" s="36">
        <f>IF(C3252&lt;&gt;"",C3252,IF(P3252&lt;=IFERROR(INDEX(tblChannels[Watched Through],MATCH(N3252,tblChannels[Channel ID],0)),0),"Watched","Unwatched"))</f>
        <v/>
      </c>
      <c r="C3252" s="37" t="n"/>
      <c r="D3252" s="38" t="n"/>
      <c r="E3252" s="39" t="n">
        <v>41109.86944444444</v>
      </c>
      <c r="F3252" s="47" t="inlineStr">
        <is>
          <t>Super Carlin Brothers</t>
        </is>
      </c>
      <c r="G3252" t="inlineStr">
        <is>
          <t>Death by Google Autofill</t>
        </is>
      </c>
      <c r="H3252" s="41" t="n">
        <v>0.002974537037037037</v>
      </c>
      <c r="I3252" s="42" t="n">
        <v>295651</v>
      </c>
      <c r="J3252" s="42" t="n">
        <v>4748</v>
      </c>
      <c r="K3252" s="42" t="n">
        <v>1380</v>
      </c>
      <c r="L3252" s="43" t="n"/>
      <c r="M3252" s="44" t="n"/>
      <c r="N3252" s="44" t="inlineStr">
        <is>
          <t>UCKZo4N0lVPccBkSiuyVh4yg</t>
        </is>
      </c>
      <c r="O3252" s="45" t="n">
        <v>41110.03611111111</v>
      </c>
      <c r="P3252" s="46" t="n">
        <v>41109</v>
      </c>
      <c r="Q3252" s="44" t="n">
        <v>20</v>
      </c>
      <c r="R3252" s="44" t="inlineStr">
        <is>
          <t>No Video ID yet</t>
        </is>
      </c>
      <c r="S3252" s="46" t="n"/>
      <c r="T3252" s="46" t="n"/>
      <c r="U3252" s="44" t="n"/>
      <c r="V3252" s="44">
        <f>IF(AND(P3252&gt;=Calendar!$K$2,P3252&lt;EDATE(Calendar!$K$2,1),OR(Calendar!$K$4="*",N3252=Calendar!$K$4)),P3252*100+COUNTIFS($P$6:$P$3271,P3252,$Q$6:$Q$3271,"&lt;="&amp;Q3252,$N$6:$N$3271,Calendar!$K$4),"")</f>
        <v/>
      </c>
      <c r="W3252" s="44">
        <f>IF(AND(B3252=Queue!$C$4,OR(Queue!$K$4="*",N3252=Queue!$K$4)),Q3252,"")</f>
        <v/>
      </c>
    </row>
    <row r="3253">
      <c r="A3253" s="35">
        <f>IF(M3253="","",HYPERLINK("https://www.youtube.com/watch?v="&amp;M3253,"▶"))</f>
        <v/>
      </c>
      <c r="B3253" s="36">
        <f>IF(C3253&lt;&gt;"",C3253,IF(P3253&lt;=IFERROR(INDEX(tblChannels[Watched Through],MATCH(N3253,tblChannels[Channel ID],0)),0),"Watched","Unwatched"))</f>
        <v/>
      </c>
      <c r="C3253" s="37" t="n"/>
      <c r="D3253" s="38" t="n"/>
      <c r="E3253" s="39" t="n">
        <v>41108.73611111111</v>
      </c>
      <c r="F3253" s="47" t="inlineStr">
        <is>
          <t>Super Carlin Brothers</t>
        </is>
      </c>
      <c r="G3253" t="inlineStr">
        <is>
          <t>Toasters are More Deadly Than Roller Coasters</t>
        </is>
      </c>
      <c r="H3253" s="41" t="n">
        <v>0.001875</v>
      </c>
      <c r="I3253" s="42" t="n">
        <v>27821</v>
      </c>
      <c r="J3253" s="42" t="n">
        <v>745</v>
      </c>
      <c r="K3253" s="42" t="n">
        <v>98</v>
      </c>
      <c r="L3253" s="43" t="n"/>
      <c r="M3253" s="44" t="n"/>
      <c r="N3253" s="44" t="inlineStr">
        <is>
          <t>UCKZo4N0lVPccBkSiuyVh4yg</t>
        </is>
      </c>
      <c r="O3253" s="45" t="n">
        <v>41108.90277777778</v>
      </c>
      <c r="P3253" s="46" t="n">
        <v>41108</v>
      </c>
      <c r="Q3253" s="44" t="n">
        <v>19</v>
      </c>
      <c r="R3253" s="44" t="inlineStr">
        <is>
          <t>No Video ID yet</t>
        </is>
      </c>
      <c r="S3253" s="46" t="n"/>
      <c r="T3253" s="46" t="n"/>
      <c r="U3253" s="44" t="n"/>
      <c r="V3253" s="44">
        <f>IF(AND(P3253&gt;=Calendar!$K$2,P3253&lt;EDATE(Calendar!$K$2,1),OR(Calendar!$K$4="*",N3253=Calendar!$K$4)),P3253*100+COUNTIFS($P$6:$P$3271,P3253,$Q$6:$Q$3271,"&lt;="&amp;Q3253,$N$6:$N$3271,Calendar!$K$4),"")</f>
        <v/>
      </c>
      <c r="W3253" s="44">
        <f>IF(AND(B3253=Queue!$C$4,OR(Queue!$K$4="*",N3253=Queue!$K$4)),Q3253,"")</f>
        <v/>
      </c>
    </row>
    <row r="3254">
      <c r="A3254" s="35">
        <f>IF(M3254="","",HYPERLINK("https://www.youtube.com/watch?v="&amp;M3254,"▶"))</f>
        <v/>
      </c>
      <c r="B3254" s="36">
        <f>IF(C3254&lt;&gt;"",C3254,IF(P3254&lt;=IFERROR(INDEX(tblChannels[Watched Through],MATCH(N3254,tblChannels[Channel ID],0)),0),"Watched","Unwatched"))</f>
        <v/>
      </c>
      <c r="C3254" s="37" t="n"/>
      <c r="D3254" s="38" t="n"/>
      <c r="E3254" s="39" t="n">
        <v>41107.53194444445</v>
      </c>
      <c r="F3254" s="47" t="inlineStr">
        <is>
          <t>Super Carlin Brothers</t>
        </is>
      </c>
      <c r="G3254" t="inlineStr">
        <is>
          <t>The Secret Agenda</t>
        </is>
      </c>
      <c r="H3254" s="41" t="n">
        <v>0.001435185185185185</v>
      </c>
      <c r="I3254" s="42" t="n">
        <v>23815</v>
      </c>
      <c r="J3254" s="42" t="n">
        <v>532</v>
      </c>
      <c r="K3254" s="42" t="n">
        <v>29</v>
      </c>
      <c r="L3254" s="43" t="n"/>
      <c r="M3254" s="44" t="n"/>
      <c r="N3254" s="44" t="inlineStr">
        <is>
          <t>UCKZo4N0lVPccBkSiuyVh4yg</t>
        </is>
      </c>
      <c r="O3254" s="45" t="n">
        <v>41107.69861111111</v>
      </c>
      <c r="P3254" s="46" t="n">
        <v>41107</v>
      </c>
      <c r="Q3254" s="44" t="n">
        <v>18</v>
      </c>
      <c r="R3254" s="44" t="inlineStr">
        <is>
          <t>No Video ID yet</t>
        </is>
      </c>
      <c r="S3254" s="46" t="n"/>
      <c r="T3254" s="46" t="n"/>
      <c r="U3254" s="44" t="n"/>
      <c r="V3254" s="44">
        <f>IF(AND(P3254&gt;=Calendar!$K$2,P3254&lt;EDATE(Calendar!$K$2,1),OR(Calendar!$K$4="*",N3254=Calendar!$K$4)),P3254*100+COUNTIFS($P$6:$P$3271,P3254,$Q$6:$Q$3271,"&lt;="&amp;Q3254,$N$6:$N$3271,Calendar!$K$4),"")</f>
        <v/>
      </c>
      <c r="W3254" s="44">
        <f>IF(AND(B3254=Queue!$C$4,OR(Queue!$K$4="*",N3254=Queue!$K$4)),Q3254,"")</f>
        <v/>
      </c>
    </row>
    <row r="3255">
      <c r="A3255" s="35">
        <f>IF(M3255="","",HYPERLINK("https://www.youtube.com/watch?v="&amp;M3255,"▶"))</f>
        <v/>
      </c>
      <c r="B3255" s="36">
        <f>IF(C3255&lt;&gt;"",C3255,IF(P3255&lt;=IFERROR(INDEX(tblChannels[Watched Through],MATCH(N3255,tblChannels[Channel ID],0)),0),"Watched","Unwatched"))</f>
        <v/>
      </c>
      <c r="C3255" s="37" t="n"/>
      <c r="D3255" s="38" t="n"/>
      <c r="E3255" s="39" t="n">
        <v>41106.71805555555</v>
      </c>
      <c r="F3255" s="47" t="inlineStr">
        <is>
          <t>Super Carlin Brothers</t>
        </is>
      </c>
      <c r="G3255" t="inlineStr">
        <is>
          <t>Will the New Batman Movie Stack Up?</t>
        </is>
      </c>
      <c r="H3255" s="41" t="n">
        <v>0.002094907407407407</v>
      </c>
      <c r="I3255" s="42" t="n">
        <v>25311</v>
      </c>
      <c r="J3255" s="42" t="n">
        <v>558</v>
      </c>
      <c r="K3255" s="42" t="n">
        <v>58</v>
      </c>
      <c r="L3255" s="43" t="n"/>
      <c r="M3255" s="44" t="n"/>
      <c r="N3255" s="44" t="inlineStr">
        <is>
          <t>UCKZo4N0lVPccBkSiuyVh4yg</t>
        </is>
      </c>
      <c r="O3255" s="45" t="n">
        <v>41106.88472222222</v>
      </c>
      <c r="P3255" s="46" t="n">
        <v>41106</v>
      </c>
      <c r="Q3255" s="44" t="n">
        <v>17</v>
      </c>
      <c r="R3255" s="44" t="inlineStr">
        <is>
          <t>No Video ID yet</t>
        </is>
      </c>
      <c r="S3255" s="46" t="n"/>
      <c r="T3255" s="46" t="n"/>
      <c r="U3255" s="44" t="n"/>
      <c r="V3255" s="44">
        <f>IF(AND(P3255&gt;=Calendar!$K$2,P3255&lt;EDATE(Calendar!$K$2,1),OR(Calendar!$K$4="*",N3255=Calendar!$K$4)),P3255*100+COUNTIFS($P$6:$P$3271,P3255,$Q$6:$Q$3271,"&lt;="&amp;Q3255,$N$6:$N$3271,Calendar!$K$4),"")</f>
        <v/>
      </c>
      <c r="W3255" s="44">
        <f>IF(AND(B3255=Queue!$C$4,OR(Queue!$K$4="*",N3255=Queue!$K$4)),Q3255,"")</f>
        <v/>
      </c>
    </row>
    <row r="3256">
      <c r="A3256" s="35">
        <f>IF(M3256="","",HYPERLINK("https://www.youtube.com/watch?v="&amp;M3256,"▶"))</f>
        <v/>
      </c>
      <c r="B3256" s="36">
        <f>IF(C3256&lt;&gt;"",C3256,IF(P3256&lt;=IFERROR(INDEX(tblChannels[Watched Through],MATCH(N3256,tblChannels[Channel ID],0)),0),"Watched","Unwatched"))</f>
        <v/>
      </c>
      <c r="C3256" s="37" t="n"/>
      <c r="D3256" s="38" t="n"/>
      <c r="E3256" s="39" t="n">
        <v>41103.77916666667</v>
      </c>
      <c r="F3256" s="47" t="inlineStr">
        <is>
          <t>Super Carlin Brothers</t>
        </is>
      </c>
      <c r="G3256" t="inlineStr">
        <is>
          <t>Times I've been pulled over</t>
        </is>
      </c>
      <c r="H3256" s="41" t="n">
        <v>0.003171296296296296</v>
      </c>
      <c r="I3256" s="42" t="n">
        <v>51369</v>
      </c>
      <c r="J3256" s="42" t="n">
        <v>1093</v>
      </c>
      <c r="K3256" s="42" t="n">
        <v>119</v>
      </c>
      <c r="L3256" s="43" t="n"/>
      <c r="M3256" s="44" t="n"/>
      <c r="N3256" s="44" t="inlineStr">
        <is>
          <t>UCKZo4N0lVPccBkSiuyVh4yg</t>
        </is>
      </c>
      <c r="O3256" s="45" t="n">
        <v>41103.94583333333</v>
      </c>
      <c r="P3256" s="46" t="n">
        <v>41103</v>
      </c>
      <c r="Q3256" s="44" t="n">
        <v>16</v>
      </c>
      <c r="R3256" s="44" t="inlineStr">
        <is>
          <t>No Video ID yet</t>
        </is>
      </c>
      <c r="S3256" s="46" t="n"/>
      <c r="T3256" s="46" t="n"/>
      <c r="U3256" s="44" t="n"/>
      <c r="V3256" s="44">
        <f>IF(AND(P3256&gt;=Calendar!$K$2,P3256&lt;EDATE(Calendar!$K$2,1),OR(Calendar!$K$4="*",N3256=Calendar!$K$4)),P3256*100+COUNTIFS($P$6:$P$3271,P3256,$Q$6:$Q$3271,"&lt;="&amp;Q3256,$N$6:$N$3271,Calendar!$K$4),"")</f>
        <v/>
      </c>
      <c r="W3256" s="44">
        <f>IF(AND(B3256=Queue!$C$4,OR(Queue!$K$4="*",N3256=Queue!$K$4)),Q3256,"")</f>
        <v/>
      </c>
    </row>
    <row r="3257">
      <c r="A3257" s="35">
        <f>IF(M3257="","",HYPERLINK("https://www.youtube.com/watch?v="&amp;M3257,"▶"))</f>
        <v/>
      </c>
      <c r="B3257" s="36">
        <f>IF(C3257&lt;&gt;"",C3257,IF(P3257&lt;=IFERROR(INDEX(tblChannels[Watched Through],MATCH(N3257,tblChannels[Channel ID],0)),0),"Watched","Unwatched"))</f>
        <v/>
      </c>
      <c r="C3257" s="37" t="n"/>
      <c r="D3257" s="38" t="n"/>
      <c r="E3257" s="39" t="n">
        <v>41102.84861111111</v>
      </c>
      <c r="F3257" s="47" t="inlineStr">
        <is>
          <t>Super Carlin Brothers</t>
        </is>
      </c>
      <c r="G3257" t="inlineStr">
        <is>
          <t>Cops Make Me Angry</t>
        </is>
      </c>
      <c r="H3257" s="41" t="n">
        <v>0.001724537037037037</v>
      </c>
      <c r="I3257" s="42" t="n">
        <v>31433</v>
      </c>
      <c r="J3257" s="42" t="n">
        <v>691</v>
      </c>
      <c r="K3257" s="42" t="n">
        <v>96</v>
      </c>
      <c r="L3257" s="43" t="n"/>
      <c r="M3257" s="44" t="n"/>
      <c r="N3257" s="44" t="inlineStr">
        <is>
          <t>UCKZo4N0lVPccBkSiuyVh4yg</t>
        </is>
      </c>
      <c r="O3257" s="45" t="n">
        <v>41103.01527777778</v>
      </c>
      <c r="P3257" s="46" t="n">
        <v>41102</v>
      </c>
      <c r="Q3257" s="44" t="n">
        <v>15</v>
      </c>
      <c r="R3257" s="44" t="inlineStr">
        <is>
          <t>No Video ID yet</t>
        </is>
      </c>
      <c r="S3257" s="46" t="n"/>
      <c r="T3257" s="46" t="n"/>
      <c r="U3257" s="44" t="n"/>
      <c r="V3257" s="44">
        <f>IF(AND(P3257&gt;=Calendar!$K$2,P3257&lt;EDATE(Calendar!$K$2,1),OR(Calendar!$K$4="*",N3257=Calendar!$K$4)),P3257*100+COUNTIFS($P$6:$P$3271,P3257,$Q$6:$Q$3271,"&lt;="&amp;Q3257,$N$6:$N$3271,Calendar!$K$4),"")</f>
        <v/>
      </c>
      <c r="W3257" s="44">
        <f>IF(AND(B3257=Queue!$C$4,OR(Queue!$K$4="*",N3257=Queue!$K$4)),Q3257,"")</f>
        <v/>
      </c>
    </row>
    <row r="3258">
      <c r="A3258" s="35">
        <f>IF(M3258="","",HYPERLINK("https://www.youtube.com/watch?v="&amp;M3258,"▶"))</f>
        <v/>
      </c>
      <c r="B3258" s="36">
        <f>IF(C3258&lt;&gt;"",C3258,IF(P3258&lt;=IFERROR(INDEX(tblChannels[Watched Through],MATCH(N3258,tblChannels[Channel ID],0)),0),"Watched","Unwatched"))</f>
        <v/>
      </c>
      <c r="C3258" s="37" t="n"/>
      <c r="D3258" s="38" t="n"/>
      <c r="E3258" s="39" t="n">
        <v>41101.93680555555</v>
      </c>
      <c r="F3258" s="47" t="inlineStr">
        <is>
          <t>Super Carlin Brothers</t>
        </is>
      </c>
      <c r="G3258" t="inlineStr">
        <is>
          <t>Turtle gets laid</t>
        </is>
      </c>
      <c r="H3258" s="41" t="n">
        <v>0.003252314814814815</v>
      </c>
      <c r="I3258" s="42" t="n">
        <v>41375</v>
      </c>
      <c r="J3258" s="42" t="n">
        <v>962</v>
      </c>
      <c r="K3258" s="42" t="n">
        <v>97</v>
      </c>
      <c r="L3258" s="43" t="n"/>
      <c r="M3258" s="44" t="n"/>
      <c r="N3258" s="44" t="inlineStr">
        <is>
          <t>UCKZo4N0lVPccBkSiuyVh4yg</t>
        </is>
      </c>
      <c r="O3258" s="45" t="n">
        <v>41102.10347222222</v>
      </c>
      <c r="P3258" s="46" t="n">
        <v>41101</v>
      </c>
      <c r="Q3258" s="44" t="n">
        <v>14</v>
      </c>
      <c r="R3258" s="44" t="inlineStr">
        <is>
          <t>No Video ID yet</t>
        </is>
      </c>
      <c r="S3258" s="46" t="n"/>
      <c r="T3258" s="46" t="n"/>
      <c r="U3258" s="44" t="n"/>
      <c r="V3258" s="44">
        <f>IF(AND(P3258&gt;=Calendar!$K$2,P3258&lt;EDATE(Calendar!$K$2,1),OR(Calendar!$K$4="*",N3258=Calendar!$K$4)),P3258*100+COUNTIFS($P$6:$P$3271,P3258,$Q$6:$Q$3271,"&lt;="&amp;Q3258,$N$6:$N$3271,Calendar!$K$4),"")</f>
        <v/>
      </c>
      <c r="W3258" s="44">
        <f>IF(AND(B3258=Queue!$C$4,OR(Queue!$K$4="*",N3258=Queue!$K$4)),Q3258,"")</f>
        <v/>
      </c>
    </row>
    <row r="3259">
      <c r="A3259" s="35">
        <f>IF(M3259="","",HYPERLINK("https://www.youtube.com/watch?v="&amp;M3259,"▶"))</f>
        <v/>
      </c>
      <c r="B3259" s="36">
        <f>IF(C3259&lt;&gt;"",C3259,IF(P3259&lt;=IFERROR(INDEX(tblChannels[Watched Through],MATCH(N3259,tblChannels[Channel ID],0)),0),"Watched","Unwatched"))</f>
        <v/>
      </c>
      <c r="C3259" s="37" t="n"/>
      <c r="D3259" s="38" t="n"/>
      <c r="E3259" s="39" t="n">
        <v>41100.63541666666</v>
      </c>
      <c r="F3259" s="47" t="inlineStr">
        <is>
          <t>Super Carlin Brothers</t>
        </is>
      </c>
      <c r="G3259" t="inlineStr">
        <is>
          <t>How to Treat Vacation Guests</t>
        </is>
      </c>
      <c r="H3259" s="41" t="n">
        <v>0.001168981481481482</v>
      </c>
      <c r="I3259" s="42" t="n">
        <v>27816</v>
      </c>
      <c r="J3259" s="42" t="n">
        <v>603</v>
      </c>
      <c r="K3259" s="42" t="n">
        <v>39</v>
      </c>
      <c r="L3259" s="43" t="n"/>
      <c r="M3259" s="44" t="n"/>
      <c r="N3259" s="44" t="inlineStr">
        <is>
          <t>UCKZo4N0lVPccBkSiuyVh4yg</t>
        </is>
      </c>
      <c r="O3259" s="45" t="n">
        <v>41100.80208333334</v>
      </c>
      <c r="P3259" s="46" t="n">
        <v>41100</v>
      </c>
      <c r="Q3259" s="44" t="n">
        <v>13</v>
      </c>
      <c r="R3259" s="44" t="inlineStr">
        <is>
          <t>No Video ID yet</t>
        </is>
      </c>
      <c r="S3259" s="46" t="n"/>
      <c r="T3259" s="46" t="n"/>
      <c r="U3259" s="44" t="n"/>
      <c r="V3259" s="44">
        <f>IF(AND(P3259&gt;=Calendar!$K$2,P3259&lt;EDATE(Calendar!$K$2,1),OR(Calendar!$K$4="*",N3259=Calendar!$K$4)),P3259*100+COUNTIFS($P$6:$P$3271,P3259,$Q$6:$Q$3271,"&lt;="&amp;Q3259,$N$6:$N$3271,Calendar!$K$4),"")</f>
        <v/>
      </c>
      <c r="W3259" s="44">
        <f>IF(AND(B3259=Queue!$C$4,OR(Queue!$K$4="*",N3259=Queue!$K$4)),Q3259,"")</f>
        <v/>
      </c>
    </row>
    <row r="3260">
      <c r="A3260" s="35">
        <f>IF(M3260="","",HYPERLINK("https://www.youtube.com/watch?v="&amp;M3260,"▶"))</f>
        <v/>
      </c>
      <c r="B3260" s="36">
        <f>IF(C3260&lt;&gt;"",C3260,IF(P3260&lt;=IFERROR(INDEX(tblChannels[Watched Through],MATCH(N3260,tblChannels[Channel ID],0)),0),"Watched","Unwatched"))</f>
        <v/>
      </c>
      <c r="C3260" s="37" t="n"/>
      <c r="D3260" s="38" t="n"/>
      <c r="E3260" s="39" t="n">
        <v>41099.575</v>
      </c>
      <c r="F3260" s="47" t="inlineStr">
        <is>
          <t>Super Carlin Brothers</t>
        </is>
      </c>
      <c r="G3260" t="inlineStr">
        <is>
          <t>The different things are different</t>
        </is>
      </c>
      <c r="H3260" s="41" t="n">
        <v>0.002384259259259259</v>
      </c>
      <c r="I3260" s="42" t="n">
        <v>31435</v>
      </c>
      <c r="J3260" s="42" t="n">
        <v>834</v>
      </c>
      <c r="K3260" s="42" t="n">
        <v>105</v>
      </c>
      <c r="L3260" s="43" t="n"/>
      <c r="M3260" s="44" t="n"/>
      <c r="N3260" s="44" t="inlineStr">
        <is>
          <t>UCKZo4N0lVPccBkSiuyVh4yg</t>
        </is>
      </c>
      <c r="O3260" s="45" t="n">
        <v>41099.74166666667</v>
      </c>
      <c r="P3260" s="46" t="n">
        <v>41099</v>
      </c>
      <c r="Q3260" s="44" t="n">
        <v>12</v>
      </c>
      <c r="R3260" s="44" t="inlineStr">
        <is>
          <t>No Video ID yet</t>
        </is>
      </c>
      <c r="S3260" s="46" t="n"/>
      <c r="T3260" s="46" t="n"/>
      <c r="U3260" s="44" t="n"/>
      <c r="V3260" s="44">
        <f>IF(AND(P3260&gt;=Calendar!$K$2,P3260&lt;EDATE(Calendar!$K$2,1),OR(Calendar!$K$4="*",N3260=Calendar!$K$4)),P3260*100+COUNTIFS($P$6:$P$3271,P3260,$Q$6:$Q$3271,"&lt;="&amp;Q3260,$N$6:$N$3271,Calendar!$K$4),"")</f>
        <v/>
      </c>
      <c r="W3260" s="44">
        <f>IF(AND(B3260=Queue!$C$4,OR(Queue!$K$4="*",N3260=Queue!$K$4)),Q3260,"")</f>
        <v/>
      </c>
    </row>
    <row r="3261">
      <c r="A3261" s="35">
        <f>IF(M3261="","",HYPERLINK("https://www.youtube.com/watch?v="&amp;M3261,"▶"))</f>
        <v/>
      </c>
      <c r="B3261" s="36">
        <f>IF(C3261&lt;&gt;"",C3261,IF(P3261&lt;=IFERROR(INDEX(tblChannels[Watched Through],MATCH(N3261,tblChannels[Channel ID],0)),0),"Watched","Unwatched"))</f>
        <v/>
      </c>
      <c r="C3261" s="37" t="n"/>
      <c r="D3261" s="38" t="n"/>
      <c r="E3261" s="39" t="n">
        <v>41096.63402777778</v>
      </c>
      <c r="F3261" s="47" t="inlineStr">
        <is>
          <t>Super Carlin Brothers</t>
        </is>
      </c>
      <c r="G3261" t="inlineStr">
        <is>
          <t>Girlfriend Help</t>
        </is>
      </c>
      <c r="H3261" s="41" t="n">
        <v>0.001412037037037037</v>
      </c>
      <c r="I3261" s="42" t="n">
        <v>35850</v>
      </c>
      <c r="J3261" s="42" t="n">
        <v>757</v>
      </c>
      <c r="K3261" s="42" t="n">
        <v>113</v>
      </c>
      <c r="L3261" s="43" t="n"/>
      <c r="M3261" s="44" t="n"/>
      <c r="N3261" s="44" t="inlineStr">
        <is>
          <t>UCKZo4N0lVPccBkSiuyVh4yg</t>
        </is>
      </c>
      <c r="O3261" s="45" t="n">
        <v>41096.80069444444</v>
      </c>
      <c r="P3261" s="46" t="n">
        <v>41096</v>
      </c>
      <c r="Q3261" s="44" t="n">
        <v>11</v>
      </c>
      <c r="R3261" s="44" t="inlineStr">
        <is>
          <t>No Video ID yet</t>
        </is>
      </c>
      <c r="S3261" s="46" t="n"/>
      <c r="T3261" s="46" t="n"/>
      <c r="U3261" s="44" t="n"/>
      <c r="V3261" s="44">
        <f>IF(AND(P3261&gt;=Calendar!$K$2,P3261&lt;EDATE(Calendar!$K$2,1),OR(Calendar!$K$4="*",N3261=Calendar!$K$4)),P3261*100+COUNTIFS($P$6:$P$3271,P3261,$Q$6:$Q$3271,"&lt;="&amp;Q3261,$N$6:$N$3271,Calendar!$K$4),"")</f>
        <v/>
      </c>
      <c r="W3261" s="44">
        <f>IF(AND(B3261=Queue!$C$4,OR(Queue!$K$4="*",N3261=Queue!$K$4)),Q3261,"")</f>
        <v/>
      </c>
    </row>
    <row r="3262">
      <c r="A3262" s="35">
        <f>IF(M3262="","",HYPERLINK("https://www.youtube.com/watch?v="&amp;M3262,"▶"))</f>
        <v/>
      </c>
      <c r="B3262" s="36">
        <f>IF(C3262&lt;&gt;"",C3262,IF(P3262&lt;=IFERROR(INDEX(tblChannels[Watched Through],MATCH(N3262,tblChannels[Channel ID],0)),0),"Watched","Unwatched"))</f>
        <v/>
      </c>
      <c r="C3262" s="37" t="n"/>
      <c r="D3262" s="38" t="n"/>
      <c r="E3262" s="39" t="n">
        <v>41095.83611111111</v>
      </c>
      <c r="F3262" s="47" t="inlineStr">
        <is>
          <t>Super Carlin Brothers</t>
        </is>
      </c>
      <c r="G3262" t="inlineStr">
        <is>
          <t>Advice I've received</t>
        </is>
      </c>
      <c r="H3262" s="41" t="n">
        <v>0.002777777777777778</v>
      </c>
      <c r="I3262" s="42" t="n">
        <v>62013</v>
      </c>
      <c r="J3262" s="42" t="n">
        <v>1393</v>
      </c>
      <c r="K3262" s="42" t="n">
        <v>164</v>
      </c>
      <c r="L3262" s="43" t="n"/>
      <c r="M3262" s="44" t="n"/>
      <c r="N3262" s="44" t="inlineStr">
        <is>
          <t>UCKZo4N0lVPccBkSiuyVh4yg</t>
        </is>
      </c>
      <c r="O3262" s="45" t="n">
        <v>41096.00277777778</v>
      </c>
      <c r="P3262" s="46" t="n">
        <v>41095</v>
      </c>
      <c r="Q3262" s="44" t="n">
        <v>10</v>
      </c>
      <c r="R3262" s="44" t="inlineStr">
        <is>
          <t>No Video ID yet</t>
        </is>
      </c>
      <c r="S3262" s="46" t="n"/>
      <c r="T3262" s="46" t="n"/>
      <c r="U3262" s="44" t="n"/>
      <c r="V3262" s="44">
        <f>IF(AND(P3262&gt;=Calendar!$K$2,P3262&lt;EDATE(Calendar!$K$2,1),OR(Calendar!$K$4="*",N3262=Calendar!$K$4)),P3262*100+COUNTIFS($P$6:$P$3271,P3262,$Q$6:$Q$3271,"&lt;="&amp;Q3262,$N$6:$N$3271,Calendar!$K$4),"")</f>
        <v/>
      </c>
      <c r="W3262" s="44">
        <f>IF(AND(B3262=Queue!$C$4,OR(Queue!$K$4="*",N3262=Queue!$K$4)),Q3262,"")</f>
        <v/>
      </c>
    </row>
    <row r="3263">
      <c r="A3263" s="35">
        <f>IF(M3263="","",HYPERLINK("https://www.youtube.com/watch?v="&amp;M3263,"▶"))</f>
        <v/>
      </c>
      <c r="B3263" s="36">
        <f>IF(C3263&lt;&gt;"",C3263,IF(P3263&lt;=IFERROR(INDEX(tblChannels[Watched Through],MATCH(N3263,tblChannels[Channel ID],0)),0),"Watched","Unwatched"))</f>
        <v/>
      </c>
      <c r="C3263" s="37" t="n"/>
      <c r="D3263" s="38" t="n"/>
      <c r="E3263" s="39" t="n">
        <v>41094.69583333333</v>
      </c>
      <c r="F3263" s="47" t="inlineStr">
        <is>
          <t>Super Carlin Brothers</t>
        </is>
      </c>
      <c r="G3263" t="inlineStr">
        <is>
          <t>Grizzly Eagle Shark!!</t>
        </is>
      </c>
      <c r="H3263" s="41" t="n">
        <v>0.00162037037037037</v>
      </c>
      <c r="I3263" s="42" t="n">
        <v>42602</v>
      </c>
      <c r="J3263" s="42" t="n">
        <v>1265</v>
      </c>
      <c r="K3263" s="42" t="n">
        <v>169</v>
      </c>
      <c r="L3263" s="43" t="n"/>
      <c r="M3263" s="44" t="n"/>
      <c r="N3263" s="44" t="inlineStr">
        <is>
          <t>UCKZo4N0lVPccBkSiuyVh4yg</t>
        </is>
      </c>
      <c r="O3263" s="45" t="n">
        <v>41094.8625</v>
      </c>
      <c r="P3263" s="46" t="n">
        <v>41094</v>
      </c>
      <c r="Q3263" s="44" t="n">
        <v>9</v>
      </c>
      <c r="R3263" s="44" t="inlineStr">
        <is>
          <t>No Video ID yet</t>
        </is>
      </c>
      <c r="S3263" s="46" t="n"/>
      <c r="T3263" s="46" t="n"/>
      <c r="U3263" s="44" t="n"/>
      <c r="V3263" s="44">
        <f>IF(AND(P3263&gt;=Calendar!$K$2,P3263&lt;EDATE(Calendar!$K$2,1),OR(Calendar!$K$4="*",N3263=Calendar!$K$4)),P3263*100+COUNTIFS($P$6:$P$3271,P3263,$Q$6:$Q$3271,"&lt;="&amp;Q3263,$N$6:$N$3271,Calendar!$K$4),"")</f>
        <v/>
      </c>
      <c r="W3263" s="44">
        <f>IF(AND(B3263=Queue!$C$4,OR(Queue!$K$4="*",N3263=Queue!$K$4)),Q3263,"")</f>
        <v/>
      </c>
    </row>
    <row r="3264">
      <c r="A3264" s="35">
        <f>IF(M3264="","",HYPERLINK("https://www.youtube.com/watch?v="&amp;M3264,"▶"))</f>
        <v/>
      </c>
      <c r="B3264" s="36">
        <f>IF(C3264&lt;&gt;"",C3264,IF(P3264&lt;=IFERROR(INDEX(tblChannels[Watched Through],MATCH(N3264,tblChannels[Channel ID],0)),0),"Watched","Unwatched"))</f>
        <v/>
      </c>
      <c r="C3264" s="37" t="n"/>
      <c r="D3264" s="38" t="n"/>
      <c r="E3264" s="39" t="n">
        <v>41093.83194444444</v>
      </c>
      <c r="F3264" s="47" t="inlineStr">
        <is>
          <t>Super Carlin Brothers</t>
        </is>
      </c>
      <c r="G3264" t="inlineStr">
        <is>
          <t>The Amazing Spider Man!</t>
        </is>
      </c>
      <c r="H3264" s="41" t="n">
        <v>0.002627314814814815</v>
      </c>
      <c r="I3264" s="42" t="n">
        <v>53495</v>
      </c>
      <c r="J3264" s="42" t="n">
        <v>1225</v>
      </c>
      <c r="K3264" s="42" t="n">
        <v>177</v>
      </c>
      <c r="L3264" s="43" t="n"/>
      <c r="M3264" s="44" t="n"/>
      <c r="N3264" s="44" t="inlineStr">
        <is>
          <t>UCKZo4N0lVPccBkSiuyVh4yg</t>
        </is>
      </c>
      <c r="O3264" s="45" t="n">
        <v>41093.99861111111</v>
      </c>
      <c r="P3264" s="46" t="n">
        <v>41093</v>
      </c>
      <c r="Q3264" s="44" t="n">
        <v>8</v>
      </c>
      <c r="R3264" s="44" t="inlineStr">
        <is>
          <t>No Video ID yet</t>
        </is>
      </c>
      <c r="S3264" s="46" t="n"/>
      <c r="T3264" s="46" t="n"/>
      <c r="U3264" s="44" t="n"/>
      <c r="V3264" s="44">
        <f>IF(AND(P3264&gt;=Calendar!$K$2,P3264&lt;EDATE(Calendar!$K$2,1),OR(Calendar!$K$4="*",N3264=Calendar!$K$4)),P3264*100+COUNTIFS($P$6:$P$3271,P3264,$Q$6:$Q$3271,"&lt;="&amp;Q3264,$N$6:$N$3271,Calendar!$K$4),"")</f>
        <v/>
      </c>
      <c r="W3264" s="44">
        <f>IF(AND(B3264=Queue!$C$4,OR(Queue!$K$4="*",N3264=Queue!$K$4)),Q3264,"")</f>
        <v/>
      </c>
    </row>
    <row r="3265">
      <c r="A3265" s="35">
        <f>IF(M3265="","",HYPERLINK("https://www.youtube.com/watch?v="&amp;M3265,"▶"))</f>
        <v/>
      </c>
      <c r="B3265" s="36">
        <f>IF(C3265&lt;&gt;"",C3265,IF(P3265&lt;=IFERROR(INDEX(tblChannels[Watched Through],MATCH(N3265,tblChannels[Channel ID],0)),0),"Watched","Unwatched"))</f>
        <v/>
      </c>
      <c r="C3265" s="37" t="n"/>
      <c r="D3265" s="38" t="n"/>
      <c r="E3265" s="39" t="n">
        <v>41092.68819444445</v>
      </c>
      <c r="F3265" s="47" t="inlineStr">
        <is>
          <t>Super Carlin Brothers</t>
        </is>
      </c>
      <c r="G3265" t="inlineStr">
        <is>
          <t>Did You Read an Audiobook?</t>
        </is>
      </c>
      <c r="H3265" s="41" t="n">
        <v>0.001053240740740741</v>
      </c>
      <c r="I3265" s="42" t="n">
        <v>35721</v>
      </c>
      <c r="J3265" s="42" t="n">
        <v>836</v>
      </c>
      <c r="K3265" s="42" t="n">
        <v>126</v>
      </c>
      <c r="L3265" s="43" t="n"/>
      <c r="M3265" s="44" t="n"/>
      <c r="N3265" s="44" t="inlineStr">
        <is>
          <t>UCKZo4N0lVPccBkSiuyVh4yg</t>
        </is>
      </c>
      <c r="O3265" s="45" t="n">
        <v>41092.85486111111</v>
      </c>
      <c r="P3265" s="46" t="n">
        <v>41092</v>
      </c>
      <c r="Q3265" s="44" t="n">
        <v>7</v>
      </c>
      <c r="R3265" s="44" t="inlineStr">
        <is>
          <t>No Video ID yet</t>
        </is>
      </c>
      <c r="S3265" s="46" t="n"/>
      <c r="T3265" s="46" t="n"/>
      <c r="U3265" s="44" t="n"/>
      <c r="V3265" s="44">
        <f>IF(AND(P3265&gt;=Calendar!$K$2,P3265&lt;EDATE(Calendar!$K$2,1),OR(Calendar!$K$4="*",N3265=Calendar!$K$4)),P3265*100+COUNTIFS($P$6:$P$3271,P3265,$Q$6:$Q$3271,"&lt;="&amp;Q3265,$N$6:$N$3271,Calendar!$K$4),"")</f>
        <v/>
      </c>
      <c r="W3265" s="44">
        <f>IF(AND(B3265=Queue!$C$4,OR(Queue!$K$4="*",N3265=Queue!$K$4)),Q3265,"")</f>
        <v/>
      </c>
    </row>
    <row r="3266">
      <c r="A3266" s="35">
        <f>IF(M3266="","",HYPERLINK("https://www.youtube.com/watch?v="&amp;M3266,"▶"))</f>
        <v/>
      </c>
      <c r="B3266" s="36">
        <f>IF(C3266&lt;&gt;"",C3266,IF(P3266&lt;=IFERROR(INDEX(tblChannels[Watched Through],MATCH(N3266,tblChannels[Channel ID],0)),0),"Watched","Unwatched"))</f>
        <v/>
      </c>
      <c r="C3266" s="37" t="n"/>
      <c r="D3266" s="38" t="n"/>
      <c r="E3266" s="39" t="n">
        <v>41089.91388888889</v>
      </c>
      <c r="F3266" s="47" t="inlineStr">
        <is>
          <t>Super Carlin Brothers</t>
        </is>
      </c>
      <c r="G3266" t="inlineStr">
        <is>
          <t>Golf karts are awesome!</t>
        </is>
      </c>
      <c r="H3266" s="41" t="n">
        <v>0.002627314814814815</v>
      </c>
      <c r="I3266" s="42" t="n">
        <v>41536</v>
      </c>
      <c r="J3266" s="42" t="n">
        <v>1119</v>
      </c>
      <c r="K3266" s="42" t="n">
        <v>133</v>
      </c>
      <c r="L3266" s="43" t="n"/>
      <c r="M3266" s="44" t="n"/>
      <c r="N3266" s="44" t="inlineStr">
        <is>
          <t>UCKZo4N0lVPccBkSiuyVh4yg</t>
        </is>
      </c>
      <c r="O3266" s="45" t="n">
        <v>41090.08055555556</v>
      </c>
      <c r="P3266" s="46" t="n">
        <v>41089</v>
      </c>
      <c r="Q3266" s="44" t="n">
        <v>6</v>
      </c>
      <c r="R3266" s="44" t="inlineStr">
        <is>
          <t>No Video ID yet</t>
        </is>
      </c>
      <c r="S3266" s="46" t="n"/>
      <c r="T3266" s="46" t="n"/>
      <c r="U3266" s="44" t="n"/>
      <c r="V3266" s="44">
        <f>IF(AND(P3266&gt;=Calendar!$K$2,P3266&lt;EDATE(Calendar!$K$2,1),OR(Calendar!$K$4="*",N3266=Calendar!$K$4)),P3266*100+COUNTIFS($P$6:$P$3271,P3266,$Q$6:$Q$3271,"&lt;="&amp;Q3266,$N$6:$N$3271,Calendar!$K$4),"")</f>
        <v/>
      </c>
      <c r="W3266" s="44">
        <f>IF(AND(B3266=Queue!$C$4,OR(Queue!$K$4="*",N3266=Queue!$K$4)),Q3266,"")</f>
        <v/>
      </c>
    </row>
    <row r="3267">
      <c r="A3267" s="35">
        <f>IF(M3267="","",HYPERLINK("https://www.youtube.com/watch?v="&amp;M3267,"▶"))</f>
        <v/>
      </c>
      <c r="B3267" s="36">
        <f>IF(C3267&lt;&gt;"",C3267,IF(P3267&lt;=IFERROR(INDEX(tblChannels[Watched Through],MATCH(N3267,tblChannels[Channel ID],0)),0),"Watched","Unwatched"))</f>
        <v/>
      </c>
      <c r="C3267" s="37" t="n"/>
      <c r="D3267" s="38" t="n"/>
      <c r="E3267" s="39" t="n">
        <v>41088.65486111111</v>
      </c>
      <c r="F3267" s="47" t="inlineStr">
        <is>
          <t>Super Carlin Brothers</t>
        </is>
      </c>
      <c r="G3267" t="inlineStr">
        <is>
          <t>Get Rewarded for Watching TV!</t>
        </is>
      </c>
      <c r="H3267" s="41" t="n">
        <v>0.001712962962962963</v>
      </c>
      <c r="I3267" s="42" t="n">
        <v>43829</v>
      </c>
      <c r="J3267" s="42" t="n">
        <v>1128</v>
      </c>
      <c r="K3267" s="42" t="n">
        <v>140</v>
      </c>
      <c r="L3267" s="43" t="n"/>
      <c r="M3267" s="44" t="n"/>
      <c r="N3267" s="44" t="inlineStr">
        <is>
          <t>UCKZo4N0lVPccBkSiuyVh4yg</t>
        </is>
      </c>
      <c r="O3267" s="45" t="n">
        <v>41088.82152777778</v>
      </c>
      <c r="P3267" s="46" t="n">
        <v>41088</v>
      </c>
      <c r="Q3267" s="44" t="n">
        <v>5</v>
      </c>
      <c r="R3267" s="44" t="inlineStr">
        <is>
          <t>No Video ID yet</t>
        </is>
      </c>
      <c r="S3267" s="46" t="n"/>
      <c r="T3267" s="46" t="n"/>
      <c r="U3267" s="44" t="n"/>
      <c r="V3267" s="44">
        <f>IF(AND(P3267&gt;=Calendar!$K$2,P3267&lt;EDATE(Calendar!$K$2,1),OR(Calendar!$K$4="*",N3267=Calendar!$K$4)),P3267*100+COUNTIFS($P$6:$P$3271,P3267,$Q$6:$Q$3271,"&lt;="&amp;Q3267,$N$6:$N$3271,Calendar!$K$4),"")</f>
        <v/>
      </c>
      <c r="W3267" s="44">
        <f>IF(AND(B3267=Queue!$C$4,OR(Queue!$K$4="*",N3267=Queue!$K$4)),Q3267,"")</f>
        <v/>
      </c>
    </row>
    <row r="3268">
      <c r="A3268" s="35">
        <f>IF(M3268="","",HYPERLINK("https://www.youtube.com/watch?v="&amp;M3268,"▶"))</f>
        <v/>
      </c>
      <c r="B3268" s="36">
        <f>IF(C3268&lt;&gt;"",C3268,IF(P3268&lt;=IFERROR(INDEX(tblChannels[Watched Through],MATCH(N3268,tblChannels[Channel ID],0)),0),"Watched","Unwatched"))</f>
        <v/>
      </c>
      <c r="C3268" s="37" t="n"/>
      <c r="D3268" s="38" t="n"/>
      <c r="E3268" s="39" t="n">
        <v>41087.88541666666</v>
      </c>
      <c r="F3268" s="47" t="inlineStr">
        <is>
          <t>Super Carlin Brothers</t>
        </is>
      </c>
      <c r="G3268" t="inlineStr">
        <is>
          <t>I met an Elephant.. and other people</t>
        </is>
      </c>
      <c r="H3268" s="41" t="n">
        <v>0.001944444444444444</v>
      </c>
      <c r="I3268" s="42" t="n">
        <v>57728</v>
      </c>
      <c r="J3268" s="42" t="n">
        <v>1444</v>
      </c>
      <c r="K3268" s="42" t="n">
        <v>231</v>
      </c>
      <c r="L3268" s="43" t="n"/>
      <c r="M3268" s="44" t="n"/>
      <c r="N3268" s="44" t="inlineStr">
        <is>
          <t>UCKZo4N0lVPccBkSiuyVh4yg</t>
        </is>
      </c>
      <c r="O3268" s="45" t="n">
        <v>41088.05208333334</v>
      </c>
      <c r="P3268" s="46" t="n">
        <v>41087</v>
      </c>
      <c r="Q3268" s="44" t="n">
        <v>4</v>
      </c>
      <c r="R3268" s="44" t="inlineStr">
        <is>
          <t>No Video ID yet</t>
        </is>
      </c>
      <c r="S3268" s="46" t="n"/>
      <c r="T3268" s="46" t="n"/>
      <c r="U3268" s="44" t="n"/>
      <c r="V3268" s="44">
        <f>IF(AND(P3268&gt;=Calendar!$K$2,P3268&lt;EDATE(Calendar!$K$2,1),OR(Calendar!$K$4="*",N3268=Calendar!$K$4)),P3268*100+COUNTIFS($P$6:$P$3271,P3268,$Q$6:$Q$3271,"&lt;="&amp;Q3268,$N$6:$N$3271,Calendar!$K$4),"")</f>
        <v/>
      </c>
      <c r="W3268" s="44">
        <f>IF(AND(B3268=Queue!$C$4,OR(Queue!$K$4="*",N3268=Queue!$K$4)),Q3268,"")</f>
        <v/>
      </c>
    </row>
    <row r="3269">
      <c r="A3269" s="35">
        <f>IF(M3269="","",HYPERLINK("https://www.youtube.com/watch?v="&amp;M3269,"▶"))</f>
        <v/>
      </c>
      <c r="B3269" s="36">
        <f>IF(C3269&lt;&gt;"",C3269,IF(P3269&lt;=IFERROR(INDEX(tblChannels[Watched Through],MATCH(N3269,tblChannels[Channel ID],0)),0),"Watched","Unwatched"))</f>
        <v/>
      </c>
      <c r="C3269" s="37" t="n"/>
      <c r="D3269" s="38" t="n"/>
      <c r="E3269" s="39" t="n">
        <v>41086.72430555556</v>
      </c>
      <c r="F3269" s="47" t="inlineStr">
        <is>
          <t>Super Carlin Brothers</t>
        </is>
      </c>
      <c r="G3269" t="inlineStr">
        <is>
          <t>Hulu Plus is evil... kinda.</t>
        </is>
      </c>
      <c r="H3269" s="41" t="n">
        <v>0.001643518518518519</v>
      </c>
      <c r="I3269" s="42" t="n">
        <v>91091</v>
      </c>
      <c r="J3269" s="42" t="n">
        <v>2087</v>
      </c>
      <c r="K3269" s="42" t="n">
        <v>619</v>
      </c>
      <c r="L3269" s="43" t="n"/>
      <c r="M3269" s="44" t="n"/>
      <c r="N3269" s="44" t="inlineStr">
        <is>
          <t>UCKZo4N0lVPccBkSiuyVh4yg</t>
        </is>
      </c>
      <c r="O3269" s="45" t="n">
        <v>41086.89097222222</v>
      </c>
      <c r="P3269" s="46" t="n">
        <v>41086</v>
      </c>
      <c r="Q3269" s="44" t="n">
        <v>3</v>
      </c>
      <c r="R3269" s="44" t="inlineStr">
        <is>
          <t>No Video ID yet</t>
        </is>
      </c>
      <c r="S3269" s="46" t="n"/>
      <c r="T3269" s="46" t="n"/>
      <c r="U3269" s="44" t="n"/>
      <c r="V3269" s="44">
        <f>IF(AND(P3269&gt;=Calendar!$K$2,P3269&lt;EDATE(Calendar!$K$2,1),OR(Calendar!$K$4="*",N3269=Calendar!$K$4)),P3269*100+COUNTIFS($P$6:$P$3271,P3269,$Q$6:$Q$3271,"&lt;="&amp;Q3269,$N$6:$N$3271,Calendar!$K$4),"")</f>
        <v/>
      </c>
      <c r="W3269" s="44">
        <f>IF(AND(B3269=Queue!$C$4,OR(Queue!$K$4="*",N3269=Queue!$K$4)),Q3269,"")</f>
        <v/>
      </c>
    </row>
    <row r="3270">
      <c r="A3270" s="35">
        <f>IF(M3270="","",HYPERLINK("https://www.youtube.com/watch?v="&amp;M3270,"▶"))</f>
        <v/>
      </c>
      <c r="B3270" s="36">
        <f>IF(C3270&lt;&gt;"",C3270,IF(P3270&lt;=IFERROR(INDEX(tblChannels[Watched Through],MATCH(N3270,tblChannels[Channel ID],0)),0),"Watched","Unwatched"))</f>
        <v/>
      </c>
      <c r="C3270" s="37" t="n"/>
      <c r="D3270" s="38" t="n"/>
      <c r="E3270" s="39" t="n">
        <v>41085.81944444445</v>
      </c>
      <c r="F3270" s="47" t="inlineStr">
        <is>
          <t>Super Carlin Brothers</t>
        </is>
      </c>
      <c r="G3270" t="inlineStr">
        <is>
          <t>So it Begins</t>
        </is>
      </c>
      <c r="H3270" s="41" t="n">
        <v>0.001631944444444445</v>
      </c>
      <c r="I3270" s="42" t="n">
        <v>146963</v>
      </c>
      <c r="J3270" s="42" t="n">
        <v>4564</v>
      </c>
      <c r="K3270" s="42" t="n">
        <v>1172</v>
      </c>
      <c r="L3270" s="43" t="n"/>
      <c r="M3270" s="44" t="n"/>
      <c r="N3270" s="44" t="inlineStr">
        <is>
          <t>UCKZo4N0lVPccBkSiuyVh4yg</t>
        </is>
      </c>
      <c r="O3270" s="45" t="n">
        <v>41085.98611111111</v>
      </c>
      <c r="P3270" s="46" t="n">
        <v>41085</v>
      </c>
      <c r="Q3270" s="44" t="n">
        <v>2</v>
      </c>
      <c r="R3270" s="44" t="inlineStr">
        <is>
          <t>No Video ID yet</t>
        </is>
      </c>
      <c r="S3270" s="46" t="n"/>
      <c r="T3270" s="46" t="n"/>
      <c r="U3270" s="44" t="n"/>
      <c r="V3270" s="44">
        <f>IF(AND(P3270&gt;=Calendar!$K$2,P3270&lt;EDATE(Calendar!$K$2,1),OR(Calendar!$K$4="*",N3270=Calendar!$K$4)),P3270*100+COUNTIFS($P$6:$P$3271,P3270,$Q$6:$Q$3271,"&lt;="&amp;Q3270,$N$6:$N$3271,Calendar!$K$4),"")</f>
        <v/>
      </c>
      <c r="W3270" s="44">
        <f>IF(AND(B3270=Queue!$C$4,OR(Queue!$K$4="*",N3270=Queue!$K$4)),Q3270,"")</f>
        <v/>
      </c>
    </row>
    <row r="3271">
      <c r="A3271" s="35">
        <f>IF(M3271="","",HYPERLINK("https://www.youtube.com/watch?v="&amp;M3271,"▶"))</f>
        <v/>
      </c>
      <c r="B3271" s="36">
        <f>IF(C3271&lt;&gt;"",C3271,IF(P3271&lt;=IFERROR(INDEX(tblChannels[Watched Through],MATCH(N3271,tblChannels[Channel ID],0)),0),"Watched","Unwatched"))</f>
        <v/>
      </c>
      <c r="C3271" s="37" t="n"/>
      <c r="D3271" s="38" t="n"/>
      <c r="E3271" s="39" t="n">
        <v>41058.98472222222</v>
      </c>
      <c r="F3271" s="47" t="inlineStr">
        <is>
          <t>Super Carlin Brothers</t>
        </is>
      </c>
      <c r="G3271" t="inlineStr">
        <is>
          <t>Super Carlin Brothers Teaser</t>
        </is>
      </c>
      <c r="H3271" s="41" t="n">
        <v>0.0002546296296296296</v>
      </c>
      <c r="I3271" s="42" t="n">
        <v>146050</v>
      </c>
      <c r="J3271" s="42" t="n">
        <v>2475</v>
      </c>
      <c r="K3271" s="42" t="n">
        <v>271</v>
      </c>
      <c r="L3271" s="43" t="n"/>
      <c r="M3271" s="44" t="n"/>
      <c r="N3271" s="44" t="inlineStr">
        <is>
          <t>UCKZo4N0lVPccBkSiuyVh4yg</t>
        </is>
      </c>
      <c r="O3271" s="45" t="n">
        <v>41059.15138888889</v>
      </c>
      <c r="P3271" s="46" t="n">
        <v>41058</v>
      </c>
      <c r="Q3271" s="44" t="n">
        <v>1</v>
      </c>
      <c r="R3271" s="44" t="inlineStr">
        <is>
          <t>No Video ID yet</t>
        </is>
      </c>
      <c r="S3271" s="46" t="n"/>
      <c r="T3271" s="46" t="n"/>
      <c r="U3271" s="44" t="n"/>
      <c r="V3271" s="44">
        <f>IF(AND(P3271&gt;=Calendar!$K$2,P3271&lt;EDATE(Calendar!$K$2,1),OR(Calendar!$K$4="*",N3271=Calendar!$K$4)),P3271*100+COUNTIFS($P$6:$P$3271,P3271,$Q$6:$Q$3271,"&lt;="&amp;Q3271,$N$6:$N$3271,Calendar!$K$4),"")</f>
        <v/>
      </c>
      <c r="W3271" s="44">
        <f>IF(AND(B3271=Queue!$C$4,OR(Queue!$K$4="*",N3271=Queue!$K$4)),Q3271,"")</f>
        <v/>
      </c>
    </row>
  </sheetData>
  <conditionalFormatting sqref="B6:B3271">
    <cfRule type="cellIs" priority="1" operator="equal" dxfId="2">
      <formula>"Watched"</formula>
    </cfRule>
    <cfRule type="cellIs" priority="2" operator="equal" dxfId="3">
      <formula>"Watch Later"</formula>
    </cfRule>
    <cfRule type="cellIs" priority="3" operator="equal" dxfId="4">
      <formula>"Skipped"</formula>
    </cfRule>
  </conditionalFormatting>
  <conditionalFormatting sqref="G6:G3271">
    <cfRule type="expression" priority="4" dxfId="5">
      <formula>$B6="Watched"</formula>
    </cfRule>
  </conditionalFormatting>
  <conditionalFormatting sqref="R6:R3271">
    <cfRule type="cellIs" priority="5" operator="equal" dxfId="6">
      <formula>"Not in last refresh"</formula>
    </cfRule>
  </conditionalFormatting>
  <dataValidations count="2">
    <dataValidation sqref="C6:C3271" showDropDown="0" showInputMessage="0" showErrorMessage="1" allowBlank="1" errorTitle="Pick from the list" error="Use: Watched, Unwatched, Watch Later, Skipped (or clear the cell)." type="list">
      <formula1>"Watched,Unwatched,Watch Later,Skipped"</formula1>
    </dataValidation>
    <dataValidation sqref="D6:D3271" showDropDown="0" showInputMessage="0" showErrorMessage="0" allowBlank="1" errorTitle="Date needed" error="Enter a date, e.g. 2026-10-02 (Ctrl+; inserts today)." type="date" operator="greaterThan">
      <formula1>36526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7B8A"/>
    <outlinePr summaryBelow="1" summaryRight="1"/>
    <pageSetUpPr fitToPage="1"/>
  </sheetPr>
  <dimension ref="B2:K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5" customWidth="1" min="2" max="2"/>
    <col width="20" customWidth="1" min="3" max="3"/>
    <col width="26" customWidth="1" min="4" max="4"/>
    <col width="80" customWidth="1" min="5" max="5"/>
    <col width="11" customWidth="1" min="6" max="6"/>
    <col width="13" customWidth="1" min="7" max="7"/>
    <col width="3" customWidth="1" min="8" max="8"/>
    <col hidden="1" outlineLevel="1" width="3" customWidth="1" min="9" max="11"/>
  </cols>
  <sheetData>
    <row r="2" ht="30" customHeight="1">
      <c r="B2" s="52" t="inlineStr">
        <is>
          <t>Watch Queue</t>
        </is>
      </c>
    </row>
    <row r="3">
      <c r="C3" s="53" t="inlineStr">
        <is>
          <t>Show</t>
        </is>
      </c>
      <c r="D3" s="53" t="inlineStr">
        <is>
          <t>Channel</t>
        </is>
      </c>
      <c r="E3" s="53" t="inlineStr">
        <is>
          <t>Order</t>
        </is>
      </c>
    </row>
    <row r="4">
      <c r="B4" s="32">
        <f>HYPERLINK("#Dashboard!A1","◄ Dashboard")</f>
        <v/>
      </c>
      <c r="C4" s="54" t="inlineStr">
        <is>
          <t>Unwatched</t>
        </is>
      </c>
      <c r="D4" s="54" t="inlineStr">
        <is>
          <t>All channels</t>
        </is>
      </c>
      <c r="E4" s="54" t="inlineStr">
        <is>
          <t>Oldest first</t>
        </is>
      </c>
      <c r="K4">
        <f>IF($D$4="All channels","*",IFERROR(INDEX(tblChannels[Channel ID],MATCH($D$4,tblChannels[Display Name],0)),"none"))</f>
        <v/>
      </c>
    </row>
    <row r="5">
      <c r="B5" s="53">
        <f>COUNT(tblVideos[Queue Key])&amp;" videos match   ·   "&amp;TEXT(SUMIFS(tblVideos[Length],tblVideos[Queue Key],"&gt;0"),"[h]:mm")&amp;" of runtime"</f>
        <v/>
      </c>
    </row>
    <row r="6">
      <c r="B6" s="2" t="inlineStr">
        <is>
          <t>Your next videos. Click a title to open it on YouTube; mark it watched in the Library.</t>
        </is>
      </c>
    </row>
    <row r="7" ht="22" customHeight="1">
      <c r="B7" s="11" t="inlineStr">
        <is>
          <t>#</t>
        </is>
      </c>
      <c r="C7" s="11" t="inlineStr">
        <is>
          <t>Published</t>
        </is>
      </c>
      <c r="D7" s="11" t="inlineStr">
        <is>
          <t>Channel</t>
        </is>
      </c>
      <c r="E7" s="11" t="inlineStr">
        <is>
          <t>Title</t>
        </is>
      </c>
      <c r="F7" s="11" t="inlineStr">
        <is>
          <t>Length</t>
        </is>
      </c>
      <c r="G7" s="11" t="inlineStr">
        <is>
          <t>Status</t>
        </is>
      </c>
    </row>
    <row r="8">
      <c r="B8" s="55">
        <f>IF($I8="","",1)</f>
        <v/>
      </c>
      <c r="C8" s="17">
        <f>IF($I8="","",INDEX(tblVideos[Day],$I8))</f>
        <v/>
      </c>
      <c r="D8" s="29">
        <f>IF($I8="","",INDEX(tblVideos[Channel],$I8))</f>
        <v/>
      </c>
      <c r="E8" s="26">
        <f>IF($I8="","",IF(INDEX(tblVideos[Video ID],$I8)="",INDEX(tblVideos[Title],$I8),HYPERLINK("https://www.youtube.com/watch?v="&amp;INDEX(tblVideos[Video ID],$I8),INDEX(tblVideos[Title],$I8))))</f>
        <v/>
      </c>
      <c r="F8" s="27">
        <f>IF($I8="","",INDEX(tblVideos[Length],$I8))</f>
        <v/>
      </c>
      <c r="G8" s="30">
        <f>IF($I8="","",INDEX(tblVideos[Status],$I8))</f>
        <v/>
      </c>
      <c r="I8">
        <f>IFERROR(MATCH(IF($E$4="Newest first",LARGE(tblVideos[Queue Key],1),SMALL(tblVideos[Queue Key],1)),tblVideos[Seq],0),"")</f>
        <v/>
      </c>
    </row>
    <row r="9">
      <c r="B9" s="55">
        <f>IF($I9="","",2)</f>
        <v/>
      </c>
      <c r="C9" s="17">
        <f>IF($I9="","",INDEX(tblVideos[Day],$I9))</f>
        <v/>
      </c>
      <c r="D9" s="29">
        <f>IF($I9="","",INDEX(tblVideos[Channel],$I9))</f>
        <v/>
      </c>
      <c r="E9" s="26">
        <f>IF($I9="","",IF(INDEX(tblVideos[Video ID],$I9)="",INDEX(tblVideos[Title],$I9),HYPERLINK("https://www.youtube.com/watch?v="&amp;INDEX(tblVideos[Video ID],$I9),INDEX(tblVideos[Title],$I9))))</f>
        <v/>
      </c>
      <c r="F9" s="27">
        <f>IF($I9="","",INDEX(tblVideos[Length],$I9))</f>
        <v/>
      </c>
      <c r="G9" s="30">
        <f>IF($I9="","",INDEX(tblVideos[Status],$I9))</f>
        <v/>
      </c>
      <c r="I9">
        <f>IFERROR(MATCH(IF($E$4="Newest first",LARGE(tblVideos[Queue Key],2),SMALL(tblVideos[Queue Key],2)),tblVideos[Seq],0),"")</f>
        <v/>
      </c>
    </row>
    <row r="10">
      <c r="B10" s="55">
        <f>IF($I10="","",3)</f>
        <v/>
      </c>
      <c r="C10" s="17">
        <f>IF($I10="","",INDEX(tblVideos[Day],$I10))</f>
        <v/>
      </c>
      <c r="D10" s="29">
        <f>IF($I10="","",INDEX(tblVideos[Channel],$I10))</f>
        <v/>
      </c>
      <c r="E10" s="26">
        <f>IF($I10="","",IF(INDEX(tblVideos[Video ID],$I10)="",INDEX(tblVideos[Title],$I10),HYPERLINK("https://www.youtube.com/watch?v="&amp;INDEX(tblVideos[Video ID],$I10),INDEX(tblVideos[Title],$I10))))</f>
        <v/>
      </c>
      <c r="F10" s="27">
        <f>IF($I10="","",INDEX(tblVideos[Length],$I10))</f>
        <v/>
      </c>
      <c r="G10" s="30">
        <f>IF($I10="","",INDEX(tblVideos[Status],$I10))</f>
        <v/>
      </c>
      <c r="I10">
        <f>IFERROR(MATCH(IF($E$4="Newest first",LARGE(tblVideos[Queue Key],3),SMALL(tblVideos[Queue Key],3)),tblVideos[Seq],0),"")</f>
        <v/>
      </c>
    </row>
    <row r="11">
      <c r="B11" s="55">
        <f>IF($I11="","",4)</f>
        <v/>
      </c>
      <c r="C11" s="17">
        <f>IF($I11="","",INDEX(tblVideos[Day],$I11))</f>
        <v/>
      </c>
      <c r="D11" s="29">
        <f>IF($I11="","",INDEX(tblVideos[Channel],$I11))</f>
        <v/>
      </c>
      <c r="E11" s="26">
        <f>IF($I11="","",IF(INDEX(tblVideos[Video ID],$I11)="",INDEX(tblVideos[Title],$I11),HYPERLINK("https://www.youtube.com/watch?v="&amp;INDEX(tblVideos[Video ID],$I11),INDEX(tblVideos[Title],$I11))))</f>
        <v/>
      </c>
      <c r="F11" s="27">
        <f>IF($I11="","",INDEX(tblVideos[Length],$I11))</f>
        <v/>
      </c>
      <c r="G11" s="30">
        <f>IF($I11="","",INDEX(tblVideos[Status],$I11))</f>
        <v/>
      </c>
      <c r="I11">
        <f>IFERROR(MATCH(IF($E$4="Newest first",LARGE(tblVideos[Queue Key],4),SMALL(tblVideos[Queue Key],4)),tblVideos[Seq],0),"")</f>
        <v/>
      </c>
    </row>
    <row r="12">
      <c r="B12" s="55">
        <f>IF($I12="","",5)</f>
        <v/>
      </c>
      <c r="C12" s="17">
        <f>IF($I12="","",INDEX(tblVideos[Day],$I12))</f>
        <v/>
      </c>
      <c r="D12" s="29">
        <f>IF($I12="","",INDEX(tblVideos[Channel],$I12))</f>
        <v/>
      </c>
      <c r="E12" s="26">
        <f>IF($I12="","",IF(INDEX(tblVideos[Video ID],$I12)="",INDEX(tblVideos[Title],$I12),HYPERLINK("https://www.youtube.com/watch?v="&amp;INDEX(tblVideos[Video ID],$I12),INDEX(tblVideos[Title],$I12))))</f>
        <v/>
      </c>
      <c r="F12" s="27">
        <f>IF($I12="","",INDEX(tblVideos[Length],$I12))</f>
        <v/>
      </c>
      <c r="G12" s="30">
        <f>IF($I12="","",INDEX(tblVideos[Status],$I12))</f>
        <v/>
      </c>
      <c r="I12">
        <f>IFERROR(MATCH(IF($E$4="Newest first",LARGE(tblVideos[Queue Key],5),SMALL(tblVideos[Queue Key],5)),tblVideos[Seq],0),"")</f>
        <v/>
      </c>
    </row>
    <row r="13">
      <c r="B13" s="55">
        <f>IF($I13="","",6)</f>
        <v/>
      </c>
      <c r="C13" s="17">
        <f>IF($I13="","",INDEX(tblVideos[Day],$I13))</f>
        <v/>
      </c>
      <c r="D13" s="29">
        <f>IF($I13="","",INDEX(tblVideos[Channel],$I13))</f>
        <v/>
      </c>
      <c r="E13" s="26">
        <f>IF($I13="","",IF(INDEX(tblVideos[Video ID],$I13)="",INDEX(tblVideos[Title],$I13),HYPERLINK("https://www.youtube.com/watch?v="&amp;INDEX(tblVideos[Video ID],$I13),INDEX(tblVideos[Title],$I13))))</f>
        <v/>
      </c>
      <c r="F13" s="27">
        <f>IF($I13="","",INDEX(tblVideos[Length],$I13))</f>
        <v/>
      </c>
      <c r="G13" s="30">
        <f>IF($I13="","",INDEX(tblVideos[Status],$I13))</f>
        <v/>
      </c>
      <c r="I13">
        <f>IFERROR(MATCH(IF($E$4="Newest first",LARGE(tblVideos[Queue Key],6),SMALL(tblVideos[Queue Key],6)),tblVideos[Seq],0),"")</f>
        <v/>
      </c>
    </row>
    <row r="14">
      <c r="B14" s="55">
        <f>IF($I14="","",7)</f>
        <v/>
      </c>
      <c r="C14" s="17">
        <f>IF($I14="","",INDEX(tblVideos[Day],$I14))</f>
        <v/>
      </c>
      <c r="D14" s="29">
        <f>IF($I14="","",INDEX(tblVideos[Channel],$I14))</f>
        <v/>
      </c>
      <c r="E14" s="26">
        <f>IF($I14="","",IF(INDEX(tblVideos[Video ID],$I14)="",INDEX(tblVideos[Title],$I14),HYPERLINK("https://www.youtube.com/watch?v="&amp;INDEX(tblVideos[Video ID],$I14),INDEX(tblVideos[Title],$I14))))</f>
        <v/>
      </c>
      <c r="F14" s="27">
        <f>IF($I14="","",INDEX(tblVideos[Length],$I14))</f>
        <v/>
      </c>
      <c r="G14" s="30">
        <f>IF($I14="","",INDEX(tblVideos[Status],$I14))</f>
        <v/>
      </c>
      <c r="I14">
        <f>IFERROR(MATCH(IF($E$4="Newest first",LARGE(tblVideos[Queue Key],7),SMALL(tblVideos[Queue Key],7)),tblVideos[Seq],0),"")</f>
        <v/>
      </c>
    </row>
    <row r="15">
      <c r="B15" s="55">
        <f>IF($I15="","",8)</f>
        <v/>
      </c>
      <c r="C15" s="17">
        <f>IF($I15="","",INDEX(tblVideos[Day],$I15))</f>
        <v/>
      </c>
      <c r="D15" s="29">
        <f>IF($I15="","",INDEX(tblVideos[Channel],$I15))</f>
        <v/>
      </c>
      <c r="E15" s="26">
        <f>IF($I15="","",IF(INDEX(tblVideos[Video ID],$I15)="",INDEX(tblVideos[Title],$I15),HYPERLINK("https://www.youtube.com/watch?v="&amp;INDEX(tblVideos[Video ID],$I15),INDEX(tblVideos[Title],$I15))))</f>
        <v/>
      </c>
      <c r="F15" s="27">
        <f>IF($I15="","",INDEX(tblVideos[Length],$I15))</f>
        <v/>
      </c>
      <c r="G15" s="30">
        <f>IF($I15="","",INDEX(tblVideos[Status],$I15))</f>
        <v/>
      </c>
      <c r="I15">
        <f>IFERROR(MATCH(IF($E$4="Newest first",LARGE(tblVideos[Queue Key],8),SMALL(tblVideos[Queue Key],8)),tblVideos[Seq],0),"")</f>
        <v/>
      </c>
    </row>
    <row r="16">
      <c r="B16" s="55">
        <f>IF($I16="","",9)</f>
        <v/>
      </c>
      <c r="C16" s="17">
        <f>IF($I16="","",INDEX(tblVideos[Day],$I16))</f>
        <v/>
      </c>
      <c r="D16" s="29">
        <f>IF($I16="","",INDEX(tblVideos[Channel],$I16))</f>
        <v/>
      </c>
      <c r="E16" s="26">
        <f>IF($I16="","",IF(INDEX(tblVideos[Video ID],$I16)="",INDEX(tblVideos[Title],$I16),HYPERLINK("https://www.youtube.com/watch?v="&amp;INDEX(tblVideos[Video ID],$I16),INDEX(tblVideos[Title],$I16))))</f>
        <v/>
      </c>
      <c r="F16" s="27">
        <f>IF($I16="","",INDEX(tblVideos[Length],$I16))</f>
        <v/>
      </c>
      <c r="G16" s="30">
        <f>IF($I16="","",INDEX(tblVideos[Status],$I16))</f>
        <v/>
      </c>
      <c r="I16">
        <f>IFERROR(MATCH(IF($E$4="Newest first",LARGE(tblVideos[Queue Key],9),SMALL(tblVideos[Queue Key],9)),tblVideos[Seq],0),"")</f>
        <v/>
      </c>
    </row>
    <row r="17">
      <c r="B17" s="55">
        <f>IF($I17="","",10)</f>
        <v/>
      </c>
      <c r="C17" s="17">
        <f>IF($I17="","",INDEX(tblVideos[Day],$I17))</f>
        <v/>
      </c>
      <c r="D17" s="29">
        <f>IF($I17="","",INDEX(tblVideos[Channel],$I17))</f>
        <v/>
      </c>
      <c r="E17" s="26">
        <f>IF($I17="","",IF(INDEX(tblVideos[Video ID],$I17)="",INDEX(tblVideos[Title],$I17),HYPERLINK("https://www.youtube.com/watch?v="&amp;INDEX(tblVideos[Video ID],$I17),INDEX(tblVideos[Title],$I17))))</f>
        <v/>
      </c>
      <c r="F17" s="27">
        <f>IF($I17="","",INDEX(tblVideos[Length],$I17))</f>
        <v/>
      </c>
      <c r="G17" s="30">
        <f>IF($I17="","",INDEX(tblVideos[Status],$I17))</f>
        <v/>
      </c>
      <c r="I17">
        <f>IFERROR(MATCH(IF($E$4="Newest first",LARGE(tblVideos[Queue Key],10),SMALL(tblVideos[Queue Key],10)),tblVideos[Seq],0),"")</f>
        <v/>
      </c>
    </row>
    <row r="18">
      <c r="B18" s="55">
        <f>IF($I18="","",11)</f>
        <v/>
      </c>
      <c r="C18" s="17">
        <f>IF($I18="","",INDEX(tblVideos[Day],$I18))</f>
        <v/>
      </c>
      <c r="D18" s="29">
        <f>IF($I18="","",INDEX(tblVideos[Channel],$I18))</f>
        <v/>
      </c>
      <c r="E18" s="26">
        <f>IF($I18="","",IF(INDEX(tblVideos[Video ID],$I18)="",INDEX(tblVideos[Title],$I18),HYPERLINK("https://www.youtube.com/watch?v="&amp;INDEX(tblVideos[Video ID],$I18),INDEX(tblVideos[Title],$I18))))</f>
        <v/>
      </c>
      <c r="F18" s="27">
        <f>IF($I18="","",INDEX(tblVideos[Length],$I18))</f>
        <v/>
      </c>
      <c r="G18" s="30">
        <f>IF($I18="","",INDEX(tblVideos[Status],$I18))</f>
        <v/>
      </c>
      <c r="I18">
        <f>IFERROR(MATCH(IF($E$4="Newest first",LARGE(tblVideos[Queue Key],11),SMALL(tblVideos[Queue Key],11)),tblVideos[Seq],0),"")</f>
        <v/>
      </c>
    </row>
    <row r="19">
      <c r="B19" s="55">
        <f>IF($I19="","",12)</f>
        <v/>
      </c>
      <c r="C19" s="17">
        <f>IF($I19="","",INDEX(tblVideos[Day],$I19))</f>
        <v/>
      </c>
      <c r="D19" s="29">
        <f>IF($I19="","",INDEX(tblVideos[Channel],$I19))</f>
        <v/>
      </c>
      <c r="E19" s="26">
        <f>IF($I19="","",IF(INDEX(tblVideos[Video ID],$I19)="",INDEX(tblVideos[Title],$I19),HYPERLINK("https://www.youtube.com/watch?v="&amp;INDEX(tblVideos[Video ID],$I19),INDEX(tblVideos[Title],$I19))))</f>
        <v/>
      </c>
      <c r="F19" s="27">
        <f>IF($I19="","",INDEX(tblVideos[Length],$I19))</f>
        <v/>
      </c>
      <c r="G19" s="30">
        <f>IF($I19="","",INDEX(tblVideos[Status],$I19))</f>
        <v/>
      </c>
      <c r="I19">
        <f>IFERROR(MATCH(IF($E$4="Newest first",LARGE(tblVideos[Queue Key],12),SMALL(tblVideos[Queue Key],12)),tblVideos[Seq],0),"")</f>
        <v/>
      </c>
    </row>
    <row r="20">
      <c r="B20" s="55">
        <f>IF($I20="","",13)</f>
        <v/>
      </c>
      <c r="C20" s="17">
        <f>IF($I20="","",INDEX(tblVideos[Day],$I20))</f>
        <v/>
      </c>
      <c r="D20" s="29">
        <f>IF($I20="","",INDEX(tblVideos[Channel],$I20))</f>
        <v/>
      </c>
      <c r="E20" s="26">
        <f>IF($I20="","",IF(INDEX(tblVideos[Video ID],$I20)="",INDEX(tblVideos[Title],$I20),HYPERLINK("https://www.youtube.com/watch?v="&amp;INDEX(tblVideos[Video ID],$I20),INDEX(tblVideos[Title],$I20))))</f>
        <v/>
      </c>
      <c r="F20" s="27">
        <f>IF($I20="","",INDEX(tblVideos[Length],$I20))</f>
        <v/>
      </c>
      <c r="G20" s="30">
        <f>IF($I20="","",INDEX(tblVideos[Status],$I20))</f>
        <v/>
      </c>
      <c r="I20">
        <f>IFERROR(MATCH(IF($E$4="Newest first",LARGE(tblVideos[Queue Key],13),SMALL(tblVideos[Queue Key],13)),tblVideos[Seq],0),"")</f>
        <v/>
      </c>
    </row>
    <row r="21">
      <c r="B21" s="55">
        <f>IF($I21="","",14)</f>
        <v/>
      </c>
      <c r="C21" s="17">
        <f>IF($I21="","",INDEX(tblVideos[Day],$I21))</f>
        <v/>
      </c>
      <c r="D21" s="29">
        <f>IF($I21="","",INDEX(tblVideos[Channel],$I21))</f>
        <v/>
      </c>
      <c r="E21" s="26">
        <f>IF($I21="","",IF(INDEX(tblVideos[Video ID],$I21)="",INDEX(tblVideos[Title],$I21),HYPERLINK("https://www.youtube.com/watch?v="&amp;INDEX(tblVideos[Video ID],$I21),INDEX(tblVideos[Title],$I21))))</f>
        <v/>
      </c>
      <c r="F21" s="27">
        <f>IF($I21="","",INDEX(tblVideos[Length],$I21))</f>
        <v/>
      </c>
      <c r="G21" s="30">
        <f>IF($I21="","",INDEX(tblVideos[Status],$I21))</f>
        <v/>
      </c>
      <c r="I21">
        <f>IFERROR(MATCH(IF($E$4="Newest first",LARGE(tblVideos[Queue Key],14),SMALL(tblVideos[Queue Key],14)),tblVideos[Seq],0),"")</f>
        <v/>
      </c>
    </row>
    <row r="22">
      <c r="B22" s="55">
        <f>IF($I22="","",15)</f>
        <v/>
      </c>
      <c r="C22" s="17">
        <f>IF($I22="","",INDEX(tblVideos[Day],$I22))</f>
        <v/>
      </c>
      <c r="D22" s="29">
        <f>IF($I22="","",INDEX(tblVideos[Channel],$I22))</f>
        <v/>
      </c>
      <c r="E22" s="26">
        <f>IF($I22="","",IF(INDEX(tblVideos[Video ID],$I22)="",INDEX(tblVideos[Title],$I22),HYPERLINK("https://www.youtube.com/watch?v="&amp;INDEX(tblVideos[Video ID],$I22),INDEX(tblVideos[Title],$I22))))</f>
        <v/>
      </c>
      <c r="F22" s="27">
        <f>IF($I22="","",INDEX(tblVideos[Length],$I22))</f>
        <v/>
      </c>
      <c r="G22" s="30">
        <f>IF($I22="","",INDEX(tblVideos[Status],$I22))</f>
        <v/>
      </c>
      <c r="I22">
        <f>IFERROR(MATCH(IF($E$4="Newest first",LARGE(tblVideos[Queue Key],15),SMALL(tblVideos[Queue Key],15)),tblVideos[Seq],0),"")</f>
        <v/>
      </c>
    </row>
    <row r="23">
      <c r="B23" s="55">
        <f>IF($I23="","",16)</f>
        <v/>
      </c>
      <c r="C23" s="17">
        <f>IF($I23="","",INDEX(tblVideos[Day],$I23))</f>
        <v/>
      </c>
      <c r="D23" s="29">
        <f>IF($I23="","",INDEX(tblVideos[Channel],$I23))</f>
        <v/>
      </c>
      <c r="E23" s="26">
        <f>IF($I23="","",IF(INDEX(tblVideos[Video ID],$I23)="",INDEX(tblVideos[Title],$I23),HYPERLINK("https://www.youtube.com/watch?v="&amp;INDEX(tblVideos[Video ID],$I23),INDEX(tblVideos[Title],$I23))))</f>
        <v/>
      </c>
      <c r="F23" s="27">
        <f>IF($I23="","",INDEX(tblVideos[Length],$I23))</f>
        <v/>
      </c>
      <c r="G23" s="30">
        <f>IF($I23="","",INDEX(tblVideos[Status],$I23))</f>
        <v/>
      </c>
      <c r="I23">
        <f>IFERROR(MATCH(IF($E$4="Newest first",LARGE(tblVideos[Queue Key],16),SMALL(tblVideos[Queue Key],16)),tblVideos[Seq],0),"")</f>
        <v/>
      </c>
    </row>
    <row r="24">
      <c r="B24" s="55">
        <f>IF($I24="","",17)</f>
        <v/>
      </c>
      <c r="C24" s="17">
        <f>IF($I24="","",INDEX(tblVideos[Day],$I24))</f>
        <v/>
      </c>
      <c r="D24" s="29">
        <f>IF($I24="","",INDEX(tblVideos[Channel],$I24))</f>
        <v/>
      </c>
      <c r="E24" s="26">
        <f>IF($I24="","",IF(INDEX(tblVideos[Video ID],$I24)="",INDEX(tblVideos[Title],$I24),HYPERLINK("https://www.youtube.com/watch?v="&amp;INDEX(tblVideos[Video ID],$I24),INDEX(tblVideos[Title],$I24))))</f>
        <v/>
      </c>
      <c r="F24" s="27">
        <f>IF($I24="","",INDEX(tblVideos[Length],$I24))</f>
        <v/>
      </c>
      <c r="G24" s="30">
        <f>IF($I24="","",INDEX(tblVideos[Status],$I24))</f>
        <v/>
      </c>
      <c r="I24">
        <f>IFERROR(MATCH(IF($E$4="Newest first",LARGE(tblVideos[Queue Key],17),SMALL(tblVideos[Queue Key],17)),tblVideos[Seq],0),"")</f>
        <v/>
      </c>
    </row>
    <row r="25">
      <c r="B25" s="55">
        <f>IF($I25="","",18)</f>
        <v/>
      </c>
      <c r="C25" s="17">
        <f>IF($I25="","",INDEX(tblVideos[Day],$I25))</f>
        <v/>
      </c>
      <c r="D25" s="29">
        <f>IF($I25="","",INDEX(tblVideos[Channel],$I25))</f>
        <v/>
      </c>
      <c r="E25" s="26">
        <f>IF($I25="","",IF(INDEX(tblVideos[Video ID],$I25)="",INDEX(tblVideos[Title],$I25),HYPERLINK("https://www.youtube.com/watch?v="&amp;INDEX(tblVideos[Video ID],$I25),INDEX(tblVideos[Title],$I25))))</f>
        <v/>
      </c>
      <c r="F25" s="27">
        <f>IF($I25="","",INDEX(tblVideos[Length],$I25))</f>
        <v/>
      </c>
      <c r="G25" s="30">
        <f>IF($I25="","",INDEX(tblVideos[Status],$I25))</f>
        <v/>
      </c>
      <c r="I25">
        <f>IFERROR(MATCH(IF($E$4="Newest first",LARGE(tblVideos[Queue Key],18),SMALL(tblVideos[Queue Key],18)),tblVideos[Seq],0),"")</f>
        <v/>
      </c>
    </row>
    <row r="26">
      <c r="B26" s="55">
        <f>IF($I26="","",19)</f>
        <v/>
      </c>
      <c r="C26" s="17">
        <f>IF($I26="","",INDEX(tblVideos[Day],$I26))</f>
        <v/>
      </c>
      <c r="D26" s="29">
        <f>IF($I26="","",INDEX(tblVideos[Channel],$I26))</f>
        <v/>
      </c>
      <c r="E26" s="26">
        <f>IF($I26="","",IF(INDEX(tblVideos[Video ID],$I26)="",INDEX(tblVideos[Title],$I26),HYPERLINK("https://www.youtube.com/watch?v="&amp;INDEX(tblVideos[Video ID],$I26),INDEX(tblVideos[Title],$I26))))</f>
        <v/>
      </c>
      <c r="F26" s="27">
        <f>IF($I26="","",INDEX(tblVideos[Length],$I26))</f>
        <v/>
      </c>
      <c r="G26" s="30">
        <f>IF($I26="","",INDEX(tblVideos[Status],$I26))</f>
        <v/>
      </c>
      <c r="I26">
        <f>IFERROR(MATCH(IF($E$4="Newest first",LARGE(tblVideos[Queue Key],19),SMALL(tblVideos[Queue Key],19)),tblVideos[Seq],0),"")</f>
        <v/>
      </c>
    </row>
    <row r="27">
      <c r="B27" s="55">
        <f>IF($I27="","",20)</f>
        <v/>
      </c>
      <c r="C27" s="17">
        <f>IF($I27="","",INDEX(tblVideos[Day],$I27))</f>
        <v/>
      </c>
      <c r="D27" s="29">
        <f>IF($I27="","",INDEX(tblVideos[Channel],$I27))</f>
        <v/>
      </c>
      <c r="E27" s="26">
        <f>IF($I27="","",IF(INDEX(tblVideos[Video ID],$I27)="",INDEX(tblVideos[Title],$I27),HYPERLINK("https://www.youtube.com/watch?v="&amp;INDEX(tblVideos[Video ID],$I27),INDEX(tblVideos[Title],$I27))))</f>
        <v/>
      </c>
      <c r="F27" s="27">
        <f>IF($I27="","",INDEX(tblVideos[Length],$I27))</f>
        <v/>
      </c>
      <c r="G27" s="30">
        <f>IF($I27="","",INDEX(tblVideos[Status],$I27))</f>
        <v/>
      </c>
      <c r="I27">
        <f>IFERROR(MATCH(IF($E$4="Newest first",LARGE(tblVideos[Queue Key],20),SMALL(tblVideos[Queue Key],20)),tblVideos[Seq],0),"")</f>
        <v/>
      </c>
    </row>
    <row r="28">
      <c r="B28" s="55">
        <f>IF($I28="","",21)</f>
        <v/>
      </c>
      <c r="C28" s="17">
        <f>IF($I28="","",INDEX(tblVideos[Day],$I28))</f>
        <v/>
      </c>
      <c r="D28" s="29">
        <f>IF($I28="","",INDEX(tblVideos[Channel],$I28))</f>
        <v/>
      </c>
      <c r="E28" s="26">
        <f>IF($I28="","",IF(INDEX(tblVideos[Video ID],$I28)="",INDEX(tblVideos[Title],$I28),HYPERLINK("https://www.youtube.com/watch?v="&amp;INDEX(tblVideos[Video ID],$I28),INDEX(tblVideos[Title],$I28))))</f>
        <v/>
      </c>
      <c r="F28" s="27">
        <f>IF($I28="","",INDEX(tblVideos[Length],$I28))</f>
        <v/>
      </c>
      <c r="G28" s="30">
        <f>IF($I28="","",INDEX(tblVideos[Status],$I28))</f>
        <v/>
      </c>
      <c r="I28">
        <f>IFERROR(MATCH(IF($E$4="Newest first",LARGE(tblVideos[Queue Key],21),SMALL(tblVideos[Queue Key],21)),tblVideos[Seq],0),"")</f>
        <v/>
      </c>
    </row>
    <row r="29">
      <c r="B29" s="55">
        <f>IF($I29="","",22)</f>
        <v/>
      </c>
      <c r="C29" s="17">
        <f>IF($I29="","",INDEX(tblVideos[Day],$I29))</f>
        <v/>
      </c>
      <c r="D29" s="29">
        <f>IF($I29="","",INDEX(tblVideos[Channel],$I29))</f>
        <v/>
      </c>
      <c r="E29" s="26">
        <f>IF($I29="","",IF(INDEX(tblVideos[Video ID],$I29)="",INDEX(tblVideos[Title],$I29),HYPERLINK("https://www.youtube.com/watch?v="&amp;INDEX(tblVideos[Video ID],$I29),INDEX(tblVideos[Title],$I29))))</f>
        <v/>
      </c>
      <c r="F29" s="27">
        <f>IF($I29="","",INDEX(tblVideos[Length],$I29))</f>
        <v/>
      </c>
      <c r="G29" s="30">
        <f>IF($I29="","",INDEX(tblVideos[Status],$I29))</f>
        <v/>
      </c>
      <c r="I29">
        <f>IFERROR(MATCH(IF($E$4="Newest first",LARGE(tblVideos[Queue Key],22),SMALL(tblVideos[Queue Key],22)),tblVideos[Seq],0),"")</f>
        <v/>
      </c>
    </row>
    <row r="30">
      <c r="B30" s="55">
        <f>IF($I30="","",23)</f>
        <v/>
      </c>
      <c r="C30" s="17">
        <f>IF($I30="","",INDEX(tblVideos[Day],$I30))</f>
        <v/>
      </c>
      <c r="D30" s="29">
        <f>IF($I30="","",INDEX(tblVideos[Channel],$I30))</f>
        <v/>
      </c>
      <c r="E30" s="26">
        <f>IF($I30="","",IF(INDEX(tblVideos[Video ID],$I30)="",INDEX(tblVideos[Title],$I30),HYPERLINK("https://www.youtube.com/watch?v="&amp;INDEX(tblVideos[Video ID],$I30),INDEX(tblVideos[Title],$I30))))</f>
        <v/>
      </c>
      <c r="F30" s="27">
        <f>IF($I30="","",INDEX(tblVideos[Length],$I30))</f>
        <v/>
      </c>
      <c r="G30" s="30">
        <f>IF($I30="","",INDEX(tblVideos[Status],$I30))</f>
        <v/>
      </c>
      <c r="I30">
        <f>IFERROR(MATCH(IF($E$4="Newest first",LARGE(tblVideos[Queue Key],23),SMALL(tblVideos[Queue Key],23)),tblVideos[Seq],0),"")</f>
        <v/>
      </c>
    </row>
    <row r="31">
      <c r="B31" s="55">
        <f>IF($I31="","",24)</f>
        <v/>
      </c>
      <c r="C31" s="17">
        <f>IF($I31="","",INDEX(tblVideos[Day],$I31))</f>
        <v/>
      </c>
      <c r="D31" s="29">
        <f>IF($I31="","",INDEX(tblVideos[Channel],$I31))</f>
        <v/>
      </c>
      <c r="E31" s="26">
        <f>IF($I31="","",IF(INDEX(tblVideos[Video ID],$I31)="",INDEX(tblVideos[Title],$I31),HYPERLINK("https://www.youtube.com/watch?v="&amp;INDEX(tblVideos[Video ID],$I31),INDEX(tblVideos[Title],$I31))))</f>
        <v/>
      </c>
      <c r="F31" s="27">
        <f>IF($I31="","",INDEX(tblVideos[Length],$I31))</f>
        <v/>
      </c>
      <c r="G31" s="30">
        <f>IF($I31="","",INDEX(tblVideos[Status],$I31))</f>
        <v/>
      </c>
      <c r="I31">
        <f>IFERROR(MATCH(IF($E$4="Newest first",LARGE(tblVideos[Queue Key],24),SMALL(tblVideos[Queue Key],24)),tblVideos[Seq],0),"")</f>
        <v/>
      </c>
    </row>
    <row r="32">
      <c r="B32" s="55">
        <f>IF($I32="","",25)</f>
        <v/>
      </c>
      <c r="C32" s="17">
        <f>IF($I32="","",INDEX(tblVideos[Day],$I32))</f>
        <v/>
      </c>
      <c r="D32" s="29">
        <f>IF($I32="","",INDEX(tblVideos[Channel],$I32))</f>
        <v/>
      </c>
      <c r="E32" s="26">
        <f>IF($I32="","",IF(INDEX(tblVideos[Video ID],$I32)="",INDEX(tblVideos[Title],$I32),HYPERLINK("https://www.youtube.com/watch?v="&amp;INDEX(tblVideos[Video ID],$I32),INDEX(tblVideos[Title],$I32))))</f>
        <v/>
      </c>
      <c r="F32" s="27">
        <f>IF($I32="","",INDEX(tblVideos[Length],$I32))</f>
        <v/>
      </c>
      <c r="G32" s="30">
        <f>IF($I32="","",INDEX(tblVideos[Status],$I32))</f>
        <v/>
      </c>
      <c r="I32">
        <f>IFERROR(MATCH(IF($E$4="Newest first",LARGE(tblVideos[Queue Key],25),SMALL(tblVideos[Queue Key],25)),tblVideos[Seq],0),"")</f>
        <v/>
      </c>
    </row>
    <row r="33">
      <c r="B33" s="55">
        <f>IF($I33="","",26)</f>
        <v/>
      </c>
      <c r="C33" s="17">
        <f>IF($I33="","",INDEX(tblVideos[Day],$I33))</f>
        <v/>
      </c>
      <c r="D33" s="29">
        <f>IF($I33="","",INDEX(tblVideos[Channel],$I33))</f>
        <v/>
      </c>
      <c r="E33" s="26">
        <f>IF($I33="","",IF(INDEX(tblVideos[Video ID],$I33)="",INDEX(tblVideos[Title],$I33),HYPERLINK("https://www.youtube.com/watch?v="&amp;INDEX(tblVideos[Video ID],$I33),INDEX(tblVideos[Title],$I33))))</f>
        <v/>
      </c>
      <c r="F33" s="27">
        <f>IF($I33="","",INDEX(tblVideos[Length],$I33))</f>
        <v/>
      </c>
      <c r="G33" s="30">
        <f>IF($I33="","",INDEX(tblVideos[Status],$I33))</f>
        <v/>
      </c>
      <c r="I33">
        <f>IFERROR(MATCH(IF($E$4="Newest first",LARGE(tblVideos[Queue Key],26),SMALL(tblVideos[Queue Key],26)),tblVideos[Seq],0),"")</f>
        <v/>
      </c>
    </row>
    <row r="34">
      <c r="B34" s="55">
        <f>IF($I34="","",27)</f>
        <v/>
      </c>
      <c r="C34" s="17">
        <f>IF($I34="","",INDEX(tblVideos[Day],$I34))</f>
        <v/>
      </c>
      <c r="D34" s="29">
        <f>IF($I34="","",INDEX(tblVideos[Channel],$I34))</f>
        <v/>
      </c>
      <c r="E34" s="26">
        <f>IF($I34="","",IF(INDEX(tblVideos[Video ID],$I34)="",INDEX(tblVideos[Title],$I34),HYPERLINK("https://www.youtube.com/watch?v="&amp;INDEX(tblVideos[Video ID],$I34),INDEX(tblVideos[Title],$I34))))</f>
        <v/>
      </c>
      <c r="F34" s="27">
        <f>IF($I34="","",INDEX(tblVideos[Length],$I34))</f>
        <v/>
      </c>
      <c r="G34" s="30">
        <f>IF($I34="","",INDEX(tblVideos[Status],$I34))</f>
        <v/>
      </c>
      <c r="I34">
        <f>IFERROR(MATCH(IF($E$4="Newest first",LARGE(tblVideos[Queue Key],27),SMALL(tblVideos[Queue Key],27)),tblVideos[Seq],0),"")</f>
        <v/>
      </c>
    </row>
    <row r="35">
      <c r="B35" s="55">
        <f>IF($I35="","",28)</f>
        <v/>
      </c>
      <c r="C35" s="17">
        <f>IF($I35="","",INDEX(tblVideos[Day],$I35))</f>
        <v/>
      </c>
      <c r="D35" s="29">
        <f>IF($I35="","",INDEX(tblVideos[Channel],$I35))</f>
        <v/>
      </c>
      <c r="E35" s="26">
        <f>IF($I35="","",IF(INDEX(tblVideos[Video ID],$I35)="",INDEX(tblVideos[Title],$I35),HYPERLINK("https://www.youtube.com/watch?v="&amp;INDEX(tblVideos[Video ID],$I35),INDEX(tblVideos[Title],$I35))))</f>
        <v/>
      </c>
      <c r="F35" s="27">
        <f>IF($I35="","",INDEX(tblVideos[Length],$I35))</f>
        <v/>
      </c>
      <c r="G35" s="30">
        <f>IF($I35="","",INDEX(tblVideos[Status],$I35))</f>
        <v/>
      </c>
      <c r="I35">
        <f>IFERROR(MATCH(IF($E$4="Newest first",LARGE(tblVideos[Queue Key],28),SMALL(tblVideos[Queue Key],28)),tblVideos[Seq],0),"")</f>
        <v/>
      </c>
    </row>
    <row r="36">
      <c r="B36" s="55">
        <f>IF($I36="","",29)</f>
        <v/>
      </c>
      <c r="C36" s="17">
        <f>IF($I36="","",INDEX(tblVideos[Day],$I36))</f>
        <v/>
      </c>
      <c r="D36" s="29">
        <f>IF($I36="","",INDEX(tblVideos[Channel],$I36))</f>
        <v/>
      </c>
      <c r="E36" s="26">
        <f>IF($I36="","",IF(INDEX(tblVideos[Video ID],$I36)="",INDEX(tblVideos[Title],$I36),HYPERLINK("https://www.youtube.com/watch?v="&amp;INDEX(tblVideos[Video ID],$I36),INDEX(tblVideos[Title],$I36))))</f>
        <v/>
      </c>
      <c r="F36" s="27">
        <f>IF($I36="","",INDEX(tblVideos[Length],$I36))</f>
        <v/>
      </c>
      <c r="G36" s="30">
        <f>IF($I36="","",INDEX(tblVideos[Status],$I36))</f>
        <v/>
      </c>
      <c r="I36">
        <f>IFERROR(MATCH(IF($E$4="Newest first",LARGE(tblVideos[Queue Key],29),SMALL(tblVideos[Queue Key],29)),tblVideos[Seq],0),"")</f>
        <v/>
      </c>
    </row>
    <row r="37">
      <c r="B37" s="55">
        <f>IF($I37="","",30)</f>
        <v/>
      </c>
      <c r="C37" s="17">
        <f>IF($I37="","",INDEX(tblVideos[Day],$I37))</f>
        <v/>
      </c>
      <c r="D37" s="29">
        <f>IF($I37="","",INDEX(tblVideos[Channel],$I37))</f>
        <v/>
      </c>
      <c r="E37" s="26">
        <f>IF($I37="","",IF(INDEX(tblVideos[Video ID],$I37)="",INDEX(tblVideos[Title],$I37),HYPERLINK("https://www.youtube.com/watch?v="&amp;INDEX(tblVideos[Video ID],$I37),INDEX(tblVideos[Title],$I37))))</f>
        <v/>
      </c>
      <c r="F37" s="27">
        <f>IF($I37="","",INDEX(tblVideos[Length],$I37))</f>
        <v/>
      </c>
      <c r="G37" s="30">
        <f>IF($I37="","",INDEX(tblVideos[Status],$I37))</f>
        <v/>
      </c>
      <c r="I37">
        <f>IFERROR(MATCH(IF($E$4="Newest first",LARGE(tblVideos[Queue Key],30),SMALL(tblVideos[Queue Key],30)),tblVideos[Seq],0),"")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8:D37">
    <cfRule type="expression" priority="1" dxfId="7">
      <formula>$D8=Channels!$C$6</formula>
    </cfRule>
    <cfRule type="expression" priority="2" dxfId="8">
      <formula>$D8=Channels!$C$7</formula>
    </cfRule>
    <cfRule type="expression" priority="3" dxfId="9">
      <formula>$D8=Channels!$C$8</formula>
    </cfRule>
    <cfRule type="expression" priority="4" dxfId="10">
      <formula>$D8=Channels!$C$9</formula>
    </cfRule>
    <cfRule type="expression" priority="5" dxfId="11">
      <formula>$D8=Channels!$C$10</formula>
    </cfRule>
    <cfRule type="expression" priority="6" dxfId="12">
      <formula>$D8=Channels!$C$11</formula>
    </cfRule>
  </conditionalFormatting>
  <dataValidations count="3">
    <dataValidation sqref="C4" showDropDown="0" showInputMessage="0" showErrorMessage="1" allowBlank="0" type="list">
      <formula1>"Unwatched,Watch Later"</formula1>
    </dataValidation>
    <dataValidation sqref="D4" showDropDown="0" showInputMessage="0" showErrorMessage="1" allowBlank="0" type="list">
      <formula1>=ChannelList</formula1>
    </dataValidation>
    <dataValidation sqref="E4" showDropDown="0" showInputMessage="0" showErrorMessage="1" allowBlank="0" type="list">
      <formula1>"Oldest first,Newest first"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9E6B"/>
    <outlinePr summaryBelow="1" summaryRight="1"/>
    <pageSetUpPr fitToPage="1"/>
  </sheetPr>
  <dimension ref="B2:AG4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3" customWidth="1" min="9" max="9"/>
    <col hidden="1" outlineLevel="1" width="13" customWidth="1" min="10" max="33"/>
  </cols>
  <sheetData>
    <row r="2" ht="30" customHeight="1">
      <c r="B2" s="52" t="inlineStr">
        <is>
          <t>Upload Calendar</t>
        </is>
      </c>
      <c r="J2" t="inlineStr">
        <is>
          <t>month start</t>
        </is>
      </c>
      <c r="K2" s="56">
        <f>DATE($C$4,MATCH($E$4,MonthList,0),1)</f>
        <v/>
      </c>
    </row>
    <row r="3">
      <c r="C3" s="53" t="inlineStr">
        <is>
          <t>Year</t>
        </is>
      </c>
      <c r="E3" s="53" t="inlineStr">
        <is>
          <t>Month</t>
        </is>
      </c>
      <c r="G3" s="53" t="inlineStr">
        <is>
          <t>Channel</t>
        </is>
      </c>
      <c r="J3" t="inlineStr">
        <is>
          <t>grid start</t>
        </is>
      </c>
      <c r="K3" s="56">
        <f>K2-(WEEKDAY(K2,2)-1)</f>
        <v/>
      </c>
    </row>
    <row r="4">
      <c r="B4" s="57">
        <f>HYPERLINK("#Dashboard!A1","◄ Dashboard")</f>
        <v/>
      </c>
      <c r="C4" s="54" t="n">
        <v>2026</v>
      </c>
      <c r="E4" s="54" t="inlineStr">
        <is>
          <t>October</t>
        </is>
      </c>
      <c r="G4" s="54" t="inlineStr">
        <is>
          <t>All channels</t>
        </is>
      </c>
      <c r="J4" t="inlineStr">
        <is>
          <t>channel crit</t>
        </is>
      </c>
      <c r="K4">
        <f>IF($G$4="All channels","*",IFERROR(INDEX(tblChannels[Channel ID],MATCH($G$4,tblChannels[Display Name],0)),"none"))</f>
        <v/>
      </c>
    </row>
    <row r="5">
      <c r="B5" s="2" t="inlineStr">
        <is>
          <t>Pick a year, month and (optionally) a channel with the dropdowns. Click a title to open it on YouTube.  ✓ = watched, dimmed.</t>
        </is>
      </c>
    </row>
    <row r="6">
      <c r="B6" s="58">
        <f>"Videos: "&amp;COUNTIFS(tblVideos[Day],"&gt;="&amp;$K$2,tblVideos[Day],"&lt;"&amp;EDATE($K$2,1),tblVideos[Channel ID],$K$4)&amp;"      Runtime: "&amp;TEXT(SUMIFS(tblVideos[Length],tblVideos[Day],"&gt;="&amp;$K$2,tblVideos[Day],"&lt;"&amp;EDATE($K$2,1),tblVideos[Channel ID],$K$4),"[h]:mm")&amp;"      Watched: "&amp;COUNTIFS(tblVideos[Day],"&gt;="&amp;$K$2,tblVideos[Day],"&lt;"&amp;EDATE($K$2,1),tblVideos[Channel ID],$K$4,tblVideos[Status],"Watched")&amp;" of "&amp;COUNTIFS(tblVideos[Day],"&gt;="&amp;$K$2,tblVideos[Day],"&lt;"&amp;EDATE($K$2,1),tblVideos[Channel ID],$K$4)</f>
        <v/>
      </c>
    </row>
    <row r="7">
      <c r="B7" s="59">
        <f>Channels!$C$6&amp;"  ("&amp;COUNTIFS(tblVideos[Day],"&gt;="&amp;$K$2,tblVideos[Day],"&lt;"&amp;EDATE($K$2,1),tblVideos[Channel ID],Channels!$E$6)&amp;")"</f>
        <v/>
      </c>
      <c r="C7" s="60">
        <f>Channels!$C$7&amp;"  ("&amp;COUNTIFS(tblVideos[Day],"&gt;="&amp;$K$2,tblVideos[Day],"&lt;"&amp;EDATE($K$2,1),tblVideos[Channel ID],Channels!$E$7)&amp;")"</f>
        <v/>
      </c>
      <c r="D7" s="61">
        <f>Channels!$C$8&amp;"  ("&amp;COUNTIFS(tblVideos[Day],"&gt;="&amp;$K$2,tblVideos[Day],"&lt;"&amp;EDATE($K$2,1),tblVideos[Channel ID],Channels!$E$8)&amp;")"</f>
        <v/>
      </c>
      <c r="E7" s="62">
        <f>Channels!$C$9&amp;"  ("&amp;COUNTIFS(tblVideos[Day],"&gt;="&amp;$K$2,tblVideos[Day],"&lt;"&amp;EDATE($K$2,1),tblVideos[Channel ID],Channels!$E$9)&amp;")"</f>
        <v/>
      </c>
      <c r="F7" s="63">
        <f>Channels!$C$10&amp;"  ("&amp;COUNTIFS(tblVideos[Day],"&gt;="&amp;$K$2,tblVideos[Day],"&lt;"&amp;EDATE($K$2,1),tblVideos[Channel ID],Channels!$E$10)&amp;")"</f>
        <v/>
      </c>
      <c r="G7" s="64">
        <f>Channels!$C$11&amp;"  ("&amp;COUNTIFS(tblVideos[Day],"&gt;="&amp;$K$2,tblVideos[Day],"&lt;"&amp;EDATE($K$2,1),tblVideos[Channel ID],Channels!$E$11)&amp;")"</f>
        <v/>
      </c>
    </row>
    <row r="9">
      <c r="B9" s="65" t="inlineStr">
        <is>
          <t>Monday</t>
        </is>
      </c>
      <c r="C9" s="65" t="inlineStr">
        <is>
          <t>Tuesday</t>
        </is>
      </c>
      <c r="D9" s="65" t="inlineStr">
        <is>
          <t>Wednesday</t>
        </is>
      </c>
      <c r="E9" s="65" t="inlineStr">
        <is>
          <t>Thursday</t>
        </is>
      </c>
      <c r="F9" s="65" t="inlineStr">
        <is>
          <t>Friday</t>
        </is>
      </c>
      <c r="G9" s="65" t="inlineStr">
        <is>
          <t>Saturday</t>
        </is>
      </c>
      <c r="H9" s="65" t="inlineStr">
        <is>
          <t>Sunday</t>
        </is>
      </c>
    </row>
    <row r="10" ht="18" customHeight="1">
      <c r="B10" s="66">
        <f>IF(MONTH(K10)=MONTH($K$2),DAY(K10)&amp;IF(S10&gt;0,"   ·   "&amp;S10&amp;IF(S10=1," video"," videos")&amp;"   ·   "&amp;TEXT(AA10,"[h]:mm")&amp;IF(S10&gt;5,"   (+"&amp;(S10-5)&amp;" more)",""),""),"")</f>
        <v/>
      </c>
      <c r="C10" s="66">
        <f>IF(MONTH(L10)=MONTH($K$2),DAY(L10)&amp;IF(T10&gt;0,"   ·   "&amp;T10&amp;IF(T10=1," video"," videos")&amp;"   ·   "&amp;TEXT(AB10,"[h]:mm")&amp;IF(T10&gt;5,"   (+"&amp;(T10-5)&amp;" more)",""),""),"")</f>
        <v/>
      </c>
      <c r="D10" s="66">
        <f>IF(MONTH(M10)=MONTH($K$2),DAY(M10)&amp;IF(U10&gt;0,"   ·   "&amp;U10&amp;IF(U10=1," video"," videos")&amp;"   ·   "&amp;TEXT(AC10,"[h]:mm")&amp;IF(U10&gt;5,"   (+"&amp;(U10-5)&amp;" more)",""),""),"")</f>
        <v/>
      </c>
      <c r="E10" s="66">
        <f>IF(MONTH(N10)=MONTH($K$2),DAY(N10)&amp;IF(V10&gt;0,"   ·   "&amp;V10&amp;IF(V10=1," video"," videos")&amp;"   ·   "&amp;TEXT(AD10,"[h]:mm")&amp;IF(V10&gt;5,"   (+"&amp;(V10-5)&amp;" more)",""),""),"")</f>
        <v/>
      </c>
      <c r="F10" s="66">
        <f>IF(MONTH(O10)=MONTH($K$2),DAY(O10)&amp;IF(W10&gt;0,"   ·   "&amp;W10&amp;IF(W10=1," video"," videos")&amp;"   ·   "&amp;TEXT(AE10,"[h]:mm")&amp;IF(W10&gt;5,"   (+"&amp;(W10-5)&amp;" more)",""),""),"")</f>
        <v/>
      </c>
      <c r="G10" s="66">
        <f>IF(MONTH(P10)=MONTH($K$2),DAY(P10)&amp;IF(X10&gt;0,"   ·   "&amp;X10&amp;IF(X10=1," video"," videos")&amp;"   ·   "&amp;TEXT(AF10,"[h]:mm")&amp;IF(X10&gt;5,"   (+"&amp;(X10-5)&amp;" more)",""),""),"")</f>
        <v/>
      </c>
      <c r="H10" s="66">
        <f>IF(MONTH(Q10)=MONTH($K$2),DAY(Q10)&amp;IF(Y10&gt;0,"   ·   "&amp;Y10&amp;IF(Y10=1," video"," videos")&amp;"   ·   "&amp;TEXT(AG10,"[h]:mm")&amp;IF(Y10&gt;5,"   (+"&amp;(Y10-5)&amp;" more)",""),""),"")</f>
        <v/>
      </c>
      <c r="K10" s="56">
        <f>$K$3+0</f>
        <v/>
      </c>
      <c r="L10" s="56">
        <f>$K$3+1</f>
        <v/>
      </c>
      <c r="M10" s="56">
        <f>$K$3+2</f>
        <v/>
      </c>
      <c r="N10" s="56">
        <f>$K$3+3</f>
        <v/>
      </c>
      <c r="O10" s="56">
        <f>$K$3+4</f>
        <v/>
      </c>
      <c r="P10" s="56">
        <f>$K$3+5</f>
        <v/>
      </c>
      <c r="Q10" s="56">
        <f>$K$3+6</f>
        <v/>
      </c>
      <c r="S10">
        <f>IF(MONTH(K10)=MONTH($K$2),COUNTIFS(tblVideos[Day],K10,tblVideos[Channel ID],$K$4),0)</f>
        <v/>
      </c>
      <c r="T10">
        <f>IF(MONTH(L10)=MONTH($K$2),COUNTIFS(tblVideos[Day],L10,tblVideos[Channel ID],$K$4),0)</f>
        <v/>
      </c>
      <c r="U10">
        <f>IF(MONTH(M10)=MONTH($K$2),COUNTIFS(tblVideos[Day],M10,tblVideos[Channel ID],$K$4),0)</f>
        <v/>
      </c>
      <c r="V10">
        <f>IF(MONTH(N10)=MONTH($K$2),COUNTIFS(tblVideos[Day],N10,tblVideos[Channel ID],$K$4),0)</f>
        <v/>
      </c>
      <c r="W10">
        <f>IF(MONTH(O10)=MONTH($K$2),COUNTIFS(tblVideos[Day],O10,tblVideos[Channel ID],$K$4),0)</f>
        <v/>
      </c>
      <c r="X10">
        <f>IF(MONTH(P10)=MONTH($K$2),COUNTIFS(tblVideos[Day],P10,tblVideos[Channel ID],$K$4),0)</f>
        <v/>
      </c>
      <c r="Y10">
        <f>IF(MONTH(Q10)=MONTH($K$2),COUNTIFS(tblVideos[Day],Q10,tblVideos[Channel ID],$K$4),0)</f>
        <v/>
      </c>
      <c r="AA10">
        <f>IF(S10&gt;0,SUMIFS(tblVideos[Length],tblVideos[Day],K10,tblVideos[Channel ID],$K$4),0)</f>
        <v/>
      </c>
      <c r="AB10">
        <f>IF(T10&gt;0,SUMIFS(tblVideos[Length],tblVideos[Day],L10,tblVideos[Channel ID],$K$4),0)</f>
        <v/>
      </c>
      <c r="AC10">
        <f>IF(U10&gt;0,SUMIFS(tblVideos[Length],tblVideos[Day],M10,tblVideos[Channel ID],$K$4),0)</f>
        <v/>
      </c>
      <c r="AD10">
        <f>IF(V10&gt;0,SUMIFS(tblVideos[Length],tblVideos[Day],N10,tblVideos[Channel ID],$K$4),0)</f>
        <v/>
      </c>
      <c r="AE10">
        <f>IF(W10&gt;0,SUMIFS(tblVideos[Length],tblVideos[Day],O10,tblVideos[Channel ID],$K$4),0)</f>
        <v/>
      </c>
      <c r="AF10">
        <f>IF(X10&gt;0,SUMIFS(tblVideos[Length],tblVideos[Day],P10,tblVideos[Channel ID],$K$4),0)</f>
        <v/>
      </c>
      <c r="AG10">
        <f>IF(Y10&gt;0,SUMIFS(tblVideos[Length],tblVideos[Day],Q10,tblVideos[Channel ID],$K$4),0)</f>
        <v/>
      </c>
    </row>
    <row r="11">
      <c r="B11" s="67">
        <f>IF(K11="","",IF(INDEX(tblVideos[Video ID],K11)="",IF(INDEX(tblVideos[Status],K11)="Watched","✓ ","▸ ")&amp;INDEX(tblVideos[Title],K11),HYPERLINK("https://www.youtube.com/watch?v="&amp;INDEX(tblVideos[Video ID],K11),IF(INDEX(tblVideos[Status],K11)="Watched","✓ ","▸ ")&amp;INDEX(tblVideos[Title],K11))))</f>
        <v/>
      </c>
      <c r="C11" s="67">
        <f>IF(L11="","",IF(INDEX(tblVideos[Video ID],L11)="",IF(INDEX(tblVideos[Status],L11)="Watched","✓ ","▸ ")&amp;INDEX(tblVideos[Title],L11),HYPERLINK("https://www.youtube.com/watch?v="&amp;INDEX(tblVideos[Video ID],L11),IF(INDEX(tblVideos[Status],L11)="Watched","✓ ","▸ ")&amp;INDEX(tblVideos[Title],L11))))</f>
        <v/>
      </c>
      <c r="D11" s="67">
        <f>IF(M11="","",IF(INDEX(tblVideos[Video ID],M11)="",IF(INDEX(tblVideos[Status],M11)="Watched","✓ ","▸ ")&amp;INDEX(tblVideos[Title],M11),HYPERLINK("https://www.youtube.com/watch?v="&amp;INDEX(tblVideos[Video ID],M11),IF(INDEX(tblVideos[Status],M11)="Watched","✓ ","▸ ")&amp;INDEX(tblVideos[Title],M11))))</f>
        <v/>
      </c>
      <c r="E11" s="67">
        <f>IF(N11="","",IF(INDEX(tblVideos[Video ID],N11)="",IF(INDEX(tblVideos[Status],N11)="Watched","✓ ","▸ ")&amp;INDEX(tblVideos[Title],N11),HYPERLINK("https://www.youtube.com/watch?v="&amp;INDEX(tblVideos[Video ID],N11),IF(INDEX(tblVideos[Status],N11)="Watched","✓ ","▸ ")&amp;INDEX(tblVideos[Title],N11))))</f>
        <v/>
      </c>
      <c r="F11" s="67">
        <f>IF(O11="","",IF(INDEX(tblVideos[Video ID],O11)="",IF(INDEX(tblVideos[Status],O11)="Watched","✓ ","▸ ")&amp;INDEX(tblVideos[Title],O11),HYPERLINK("https://www.youtube.com/watch?v="&amp;INDEX(tblVideos[Video ID],O11),IF(INDEX(tblVideos[Status],O11)="Watched","✓ ","▸ ")&amp;INDEX(tblVideos[Title],O11))))</f>
        <v/>
      </c>
      <c r="G11" s="67">
        <f>IF(P11="","",IF(INDEX(tblVideos[Video ID],P11)="",IF(INDEX(tblVideos[Status],P11)="Watched","✓ ","▸ ")&amp;INDEX(tblVideos[Title],P11),HYPERLINK("https://www.youtube.com/watch?v="&amp;INDEX(tblVideos[Video ID],P11),IF(INDEX(tblVideos[Status],P11)="Watched","✓ ","▸ ")&amp;INDEX(tblVideos[Title],P11))))</f>
        <v/>
      </c>
      <c r="H11" s="67">
        <f>IF(Q11="","",IF(INDEX(tblVideos[Video ID],Q11)="",IF(INDEX(tblVideos[Status],Q11)="Watched","✓ ","▸ ")&amp;INDEX(tblVideos[Title],Q11),HYPERLINK("https://www.youtube.com/watch?v="&amp;INDEX(tblVideos[Video ID],Q11),IF(INDEX(tblVideos[Status],Q11)="Watched","✓ ","▸ ")&amp;INDEX(tblVideos[Title],Q11))))</f>
        <v/>
      </c>
      <c r="K11">
        <f>IF(S10&gt;=1,MATCH(K10*100+1,tblVideos[Cal Key],0),"")</f>
        <v/>
      </c>
      <c r="L11">
        <f>IF(T10&gt;=1,MATCH(L10*100+1,tblVideos[Cal Key],0),"")</f>
        <v/>
      </c>
      <c r="M11">
        <f>IF(U10&gt;=1,MATCH(M10*100+1,tblVideos[Cal Key],0),"")</f>
        <v/>
      </c>
      <c r="N11">
        <f>IF(V10&gt;=1,MATCH(N10*100+1,tblVideos[Cal Key],0),"")</f>
        <v/>
      </c>
      <c r="O11">
        <f>IF(W10&gt;=1,MATCH(O10*100+1,tblVideos[Cal Key],0),"")</f>
        <v/>
      </c>
      <c r="P11">
        <f>IF(X10&gt;=1,MATCH(P10*100+1,tblVideos[Cal Key],0),"")</f>
        <v/>
      </c>
      <c r="Q11">
        <f>IF(Y10&gt;=1,MATCH(Q10*100+1,tblVideos[Cal Key],0),"")</f>
        <v/>
      </c>
      <c r="S11">
        <f>IF(K11="","",IFERROR(MATCH(INDEX(tblVideos[Channel ID],K11),tblChannels[Channel ID],0),""))</f>
        <v/>
      </c>
      <c r="T11">
        <f>IF(L11="","",IFERROR(MATCH(INDEX(tblVideos[Channel ID],L11),tblChannels[Channel ID],0),""))</f>
        <v/>
      </c>
      <c r="U11">
        <f>IF(M11="","",IFERROR(MATCH(INDEX(tblVideos[Channel ID],M11),tblChannels[Channel ID],0),""))</f>
        <v/>
      </c>
      <c r="V11">
        <f>IF(N11="","",IFERROR(MATCH(INDEX(tblVideos[Channel ID],N11),tblChannels[Channel ID],0),""))</f>
        <v/>
      </c>
      <c r="W11">
        <f>IF(O11="","",IFERROR(MATCH(INDEX(tblVideos[Channel ID],O11),tblChannels[Channel ID],0),""))</f>
        <v/>
      </c>
      <c r="X11">
        <f>IF(P11="","",IFERROR(MATCH(INDEX(tblVideos[Channel ID],P11),tblChannels[Channel ID],0),""))</f>
        <v/>
      </c>
      <c r="Y11">
        <f>IF(Q11="","",IFERROR(MATCH(INDEX(tblVideos[Channel ID],Q11),tblChannels[Channel ID],0),""))</f>
        <v/>
      </c>
    </row>
    <row r="12">
      <c r="B12" s="67">
        <f>IF(K12="","",IF(INDEX(tblVideos[Video ID],K12)="",IF(INDEX(tblVideos[Status],K12)="Watched","✓ ","▸ ")&amp;INDEX(tblVideos[Title],K12),HYPERLINK("https://www.youtube.com/watch?v="&amp;INDEX(tblVideos[Video ID],K12),IF(INDEX(tblVideos[Status],K12)="Watched","✓ ","▸ ")&amp;INDEX(tblVideos[Title],K12))))</f>
        <v/>
      </c>
      <c r="C12" s="67">
        <f>IF(L12="","",IF(INDEX(tblVideos[Video ID],L12)="",IF(INDEX(tblVideos[Status],L12)="Watched","✓ ","▸ ")&amp;INDEX(tblVideos[Title],L12),HYPERLINK("https://www.youtube.com/watch?v="&amp;INDEX(tblVideos[Video ID],L12),IF(INDEX(tblVideos[Status],L12)="Watched","✓ ","▸ ")&amp;INDEX(tblVideos[Title],L12))))</f>
        <v/>
      </c>
      <c r="D12" s="67">
        <f>IF(M12="","",IF(INDEX(tblVideos[Video ID],M12)="",IF(INDEX(tblVideos[Status],M12)="Watched","✓ ","▸ ")&amp;INDEX(tblVideos[Title],M12),HYPERLINK("https://www.youtube.com/watch?v="&amp;INDEX(tblVideos[Video ID],M12),IF(INDEX(tblVideos[Status],M12)="Watched","✓ ","▸ ")&amp;INDEX(tblVideos[Title],M12))))</f>
        <v/>
      </c>
      <c r="E12" s="67">
        <f>IF(N12="","",IF(INDEX(tblVideos[Video ID],N12)="",IF(INDEX(tblVideos[Status],N12)="Watched","✓ ","▸ ")&amp;INDEX(tblVideos[Title],N12),HYPERLINK("https://www.youtube.com/watch?v="&amp;INDEX(tblVideos[Video ID],N12),IF(INDEX(tblVideos[Status],N12)="Watched","✓ ","▸ ")&amp;INDEX(tblVideos[Title],N12))))</f>
        <v/>
      </c>
      <c r="F12" s="67">
        <f>IF(O12="","",IF(INDEX(tblVideos[Video ID],O12)="",IF(INDEX(tblVideos[Status],O12)="Watched","✓ ","▸ ")&amp;INDEX(tblVideos[Title],O12),HYPERLINK("https://www.youtube.com/watch?v="&amp;INDEX(tblVideos[Video ID],O12),IF(INDEX(tblVideos[Status],O12)="Watched","✓ ","▸ ")&amp;INDEX(tblVideos[Title],O12))))</f>
        <v/>
      </c>
      <c r="G12" s="67">
        <f>IF(P12="","",IF(INDEX(tblVideos[Video ID],P12)="",IF(INDEX(tblVideos[Status],P12)="Watched","✓ ","▸ ")&amp;INDEX(tblVideos[Title],P12),HYPERLINK("https://www.youtube.com/watch?v="&amp;INDEX(tblVideos[Video ID],P12),IF(INDEX(tblVideos[Status],P12)="Watched","✓ ","▸ ")&amp;INDEX(tblVideos[Title],P12))))</f>
        <v/>
      </c>
      <c r="H12" s="67">
        <f>IF(Q12="","",IF(INDEX(tblVideos[Video ID],Q12)="",IF(INDEX(tblVideos[Status],Q12)="Watched","✓ ","▸ ")&amp;INDEX(tblVideos[Title],Q12),HYPERLINK("https://www.youtube.com/watch?v="&amp;INDEX(tblVideos[Video ID],Q12),IF(INDEX(tblVideos[Status],Q12)="Watched","✓ ","▸ ")&amp;INDEX(tblVideos[Title],Q12))))</f>
        <v/>
      </c>
      <c r="K12">
        <f>IF(S10&gt;=2,MATCH(K10*100+2,tblVideos[Cal Key],0),"")</f>
        <v/>
      </c>
      <c r="L12">
        <f>IF(T10&gt;=2,MATCH(L10*100+2,tblVideos[Cal Key],0),"")</f>
        <v/>
      </c>
      <c r="M12">
        <f>IF(U10&gt;=2,MATCH(M10*100+2,tblVideos[Cal Key],0),"")</f>
        <v/>
      </c>
      <c r="N12">
        <f>IF(V10&gt;=2,MATCH(N10*100+2,tblVideos[Cal Key],0),"")</f>
        <v/>
      </c>
      <c r="O12">
        <f>IF(W10&gt;=2,MATCH(O10*100+2,tblVideos[Cal Key],0),"")</f>
        <v/>
      </c>
      <c r="P12">
        <f>IF(X10&gt;=2,MATCH(P10*100+2,tblVideos[Cal Key],0),"")</f>
        <v/>
      </c>
      <c r="Q12">
        <f>IF(Y10&gt;=2,MATCH(Q10*100+2,tblVideos[Cal Key],0),"")</f>
        <v/>
      </c>
      <c r="S12">
        <f>IF(K12="","",IFERROR(MATCH(INDEX(tblVideos[Channel ID],K12),tblChannels[Channel ID],0),""))</f>
        <v/>
      </c>
      <c r="T12">
        <f>IF(L12="","",IFERROR(MATCH(INDEX(tblVideos[Channel ID],L12),tblChannels[Channel ID],0),""))</f>
        <v/>
      </c>
      <c r="U12">
        <f>IF(M12="","",IFERROR(MATCH(INDEX(tblVideos[Channel ID],M12),tblChannels[Channel ID],0),""))</f>
        <v/>
      </c>
      <c r="V12">
        <f>IF(N12="","",IFERROR(MATCH(INDEX(tblVideos[Channel ID],N12),tblChannels[Channel ID],0),""))</f>
        <v/>
      </c>
      <c r="W12">
        <f>IF(O12="","",IFERROR(MATCH(INDEX(tblVideos[Channel ID],O12),tblChannels[Channel ID],0),""))</f>
        <v/>
      </c>
      <c r="X12">
        <f>IF(P12="","",IFERROR(MATCH(INDEX(tblVideos[Channel ID],P12),tblChannels[Channel ID],0),""))</f>
        <v/>
      </c>
      <c r="Y12">
        <f>IF(Q12="","",IFERROR(MATCH(INDEX(tblVideos[Channel ID],Q12),tblChannels[Channel ID],0),""))</f>
        <v/>
      </c>
    </row>
    <row r="13">
      <c r="B13" s="67">
        <f>IF(K13="","",IF(INDEX(tblVideos[Video ID],K13)="",IF(INDEX(tblVideos[Status],K13)="Watched","✓ ","▸ ")&amp;INDEX(tblVideos[Title],K13),HYPERLINK("https://www.youtube.com/watch?v="&amp;INDEX(tblVideos[Video ID],K13),IF(INDEX(tblVideos[Status],K13)="Watched","✓ ","▸ ")&amp;INDEX(tblVideos[Title],K13))))</f>
        <v/>
      </c>
      <c r="C13" s="67">
        <f>IF(L13="","",IF(INDEX(tblVideos[Video ID],L13)="",IF(INDEX(tblVideos[Status],L13)="Watched","✓ ","▸ ")&amp;INDEX(tblVideos[Title],L13),HYPERLINK("https://www.youtube.com/watch?v="&amp;INDEX(tblVideos[Video ID],L13),IF(INDEX(tblVideos[Status],L13)="Watched","✓ ","▸ ")&amp;INDEX(tblVideos[Title],L13))))</f>
        <v/>
      </c>
      <c r="D13" s="67">
        <f>IF(M13="","",IF(INDEX(tblVideos[Video ID],M13)="",IF(INDEX(tblVideos[Status],M13)="Watched","✓ ","▸ ")&amp;INDEX(tblVideos[Title],M13),HYPERLINK("https://www.youtube.com/watch?v="&amp;INDEX(tblVideos[Video ID],M13),IF(INDEX(tblVideos[Status],M13)="Watched","✓ ","▸ ")&amp;INDEX(tblVideos[Title],M13))))</f>
        <v/>
      </c>
      <c r="E13" s="67">
        <f>IF(N13="","",IF(INDEX(tblVideos[Video ID],N13)="",IF(INDEX(tblVideos[Status],N13)="Watched","✓ ","▸ ")&amp;INDEX(tblVideos[Title],N13),HYPERLINK("https://www.youtube.com/watch?v="&amp;INDEX(tblVideos[Video ID],N13),IF(INDEX(tblVideos[Status],N13)="Watched","✓ ","▸ ")&amp;INDEX(tblVideos[Title],N13))))</f>
        <v/>
      </c>
      <c r="F13" s="67">
        <f>IF(O13="","",IF(INDEX(tblVideos[Video ID],O13)="",IF(INDEX(tblVideos[Status],O13)="Watched","✓ ","▸ ")&amp;INDEX(tblVideos[Title],O13),HYPERLINK("https://www.youtube.com/watch?v="&amp;INDEX(tblVideos[Video ID],O13),IF(INDEX(tblVideos[Status],O13)="Watched","✓ ","▸ ")&amp;INDEX(tblVideos[Title],O13))))</f>
        <v/>
      </c>
      <c r="G13" s="67">
        <f>IF(P13="","",IF(INDEX(tblVideos[Video ID],P13)="",IF(INDEX(tblVideos[Status],P13)="Watched","✓ ","▸ ")&amp;INDEX(tblVideos[Title],P13),HYPERLINK("https://www.youtube.com/watch?v="&amp;INDEX(tblVideos[Video ID],P13),IF(INDEX(tblVideos[Status],P13)="Watched","✓ ","▸ ")&amp;INDEX(tblVideos[Title],P13))))</f>
        <v/>
      </c>
      <c r="H13" s="67">
        <f>IF(Q13="","",IF(INDEX(tblVideos[Video ID],Q13)="",IF(INDEX(tblVideos[Status],Q13)="Watched","✓ ","▸ ")&amp;INDEX(tblVideos[Title],Q13),HYPERLINK("https://www.youtube.com/watch?v="&amp;INDEX(tblVideos[Video ID],Q13),IF(INDEX(tblVideos[Status],Q13)="Watched","✓ ","▸ ")&amp;INDEX(tblVideos[Title],Q13))))</f>
        <v/>
      </c>
      <c r="K13">
        <f>IF(S10&gt;=3,MATCH(K10*100+3,tblVideos[Cal Key],0),"")</f>
        <v/>
      </c>
      <c r="L13">
        <f>IF(T10&gt;=3,MATCH(L10*100+3,tblVideos[Cal Key],0),"")</f>
        <v/>
      </c>
      <c r="M13">
        <f>IF(U10&gt;=3,MATCH(M10*100+3,tblVideos[Cal Key],0),"")</f>
        <v/>
      </c>
      <c r="N13">
        <f>IF(V10&gt;=3,MATCH(N10*100+3,tblVideos[Cal Key],0),"")</f>
        <v/>
      </c>
      <c r="O13">
        <f>IF(W10&gt;=3,MATCH(O10*100+3,tblVideos[Cal Key],0),"")</f>
        <v/>
      </c>
      <c r="P13">
        <f>IF(X10&gt;=3,MATCH(P10*100+3,tblVideos[Cal Key],0),"")</f>
        <v/>
      </c>
      <c r="Q13">
        <f>IF(Y10&gt;=3,MATCH(Q10*100+3,tblVideos[Cal Key],0),"")</f>
        <v/>
      </c>
      <c r="S13">
        <f>IF(K13="","",IFERROR(MATCH(INDEX(tblVideos[Channel ID],K13),tblChannels[Channel ID],0),""))</f>
        <v/>
      </c>
      <c r="T13">
        <f>IF(L13="","",IFERROR(MATCH(INDEX(tblVideos[Channel ID],L13),tblChannels[Channel ID],0),""))</f>
        <v/>
      </c>
      <c r="U13">
        <f>IF(M13="","",IFERROR(MATCH(INDEX(tblVideos[Channel ID],M13),tblChannels[Channel ID],0),""))</f>
        <v/>
      </c>
      <c r="V13">
        <f>IF(N13="","",IFERROR(MATCH(INDEX(tblVideos[Channel ID],N13),tblChannels[Channel ID],0),""))</f>
        <v/>
      </c>
      <c r="W13">
        <f>IF(O13="","",IFERROR(MATCH(INDEX(tblVideos[Channel ID],O13),tblChannels[Channel ID],0),""))</f>
        <v/>
      </c>
      <c r="X13">
        <f>IF(P13="","",IFERROR(MATCH(INDEX(tblVideos[Channel ID],P13),tblChannels[Channel ID],0),""))</f>
        <v/>
      </c>
      <c r="Y13">
        <f>IF(Q13="","",IFERROR(MATCH(INDEX(tblVideos[Channel ID],Q13),tblChannels[Channel ID],0),""))</f>
        <v/>
      </c>
    </row>
    <row r="14">
      <c r="B14" s="67">
        <f>IF(K14="","",IF(INDEX(tblVideos[Video ID],K14)="",IF(INDEX(tblVideos[Status],K14)="Watched","✓ ","▸ ")&amp;INDEX(tblVideos[Title],K14),HYPERLINK("https://www.youtube.com/watch?v="&amp;INDEX(tblVideos[Video ID],K14),IF(INDEX(tblVideos[Status],K14)="Watched","✓ ","▸ ")&amp;INDEX(tblVideos[Title],K14))))</f>
        <v/>
      </c>
      <c r="C14" s="67">
        <f>IF(L14="","",IF(INDEX(tblVideos[Video ID],L14)="",IF(INDEX(tblVideos[Status],L14)="Watched","✓ ","▸ ")&amp;INDEX(tblVideos[Title],L14),HYPERLINK("https://www.youtube.com/watch?v="&amp;INDEX(tblVideos[Video ID],L14),IF(INDEX(tblVideos[Status],L14)="Watched","✓ ","▸ ")&amp;INDEX(tblVideos[Title],L14))))</f>
        <v/>
      </c>
      <c r="D14" s="67">
        <f>IF(M14="","",IF(INDEX(tblVideos[Video ID],M14)="",IF(INDEX(tblVideos[Status],M14)="Watched","✓ ","▸ ")&amp;INDEX(tblVideos[Title],M14),HYPERLINK("https://www.youtube.com/watch?v="&amp;INDEX(tblVideos[Video ID],M14),IF(INDEX(tblVideos[Status],M14)="Watched","✓ ","▸ ")&amp;INDEX(tblVideos[Title],M14))))</f>
        <v/>
      </c>
      <c r="E14" s="67">
        <f>IF(N14="","",IF(INDEX(tblVideos[Video ID],N14)="",IF(INDEX(tblVideos[Status],N14)="Watched","✓ ","▸ ")&amp;INDEX(tblVideos[Title],N14),HYPERLINK("https://www.youtube.com/watch?v="&amp;INDEX(tblVideos[Video ID],N14),IF(INDEX(tblVideos[Status],N14)="Watched","✓ ","▸ ")&amp;INDEX(tblVideos[Title],N14))))</f>
        <v/>
      </c>
      <c r="F14" s="67">
        <f>IF(O14="","",IF(INDEX(tblVideos[Video ID],O14)="",IF(INDEX(tblVideos[Status],O14)="Watched","✓ ","▸ ")&amp;INDEX(tblVideos[Title],O14),HYPERLINK("https://www.youtube.com/watch?v="&amp;INDEX(tblVideos[Video ID],O14),IF(INDEX(tblVideos[Status],O14)="Watched","✓ ","▸ ")&amp;INDEX(tblVideos[Title],O14))))</f>
        <v/>
      </c>
      <c r="G14" s="67">
        <f>IF(P14="","",IF(INDEX(tblVideos[Video ID],P14)="",IF(INDEX(tblVideos[Status],P14)="Watched","✓ ","▸ ")&amp;INDEX(tblVideos[Title],P14),HYPERLINK("https://www.youtube.com/watch?v="&amp;INDEX(tblVideos[Video ID],P14),IF(INDEX(tblVideos[Status],P14)="Watched","✓ ","▸ ")&amp;INDEX(tblVideos[Title],P14))))</f>
        <v/>
      </c>
      <c r="H14" s="67">
        <f>IF(Q14="","",IF(INDEX(tblVideos[Video ID],Q14)="",IF(INDEX(tblVideos[Status],Q14)="Watched","✓ ","▸ ")&amp;INDEX(tblVideos[Title],Q14),HYPERLINK("https://www.youtube.com/watch?v="&amp;INDEX(tblVideos[Video ID],Q14),IF(INDEX(tblVideos[Status],Q14)="Watched","✓ ","▸ ")&amp;INDEX(tblVideos[Title],Q14))))</f>
        <v/>
      </c>
      <c r="K14">
        <f>IF(S10&gt;=4,MATCH(K10*100+4,tblVideos[Cal Key],0),"")</f>
        <v/>
      </c>
      <c r="L14">
        <f>IF(T10&gt;=4,MATCH(L10*100+4,tblVideos[Cal Key],0),"")</f>
        <v/>
      </c>
      <c r="M14">
        <f>IF(U10&gt;=4,MATCH(M10*100+4,tblVideos[Cal Key],0),"")</f>
        <v/>
      </c>
      <c r="N14">
        <f>IF(V10&gt;=4,MATCH(N10*100+4,tblVideos[Cal Key],0),"")</f>
        <v/>
      </c>
      <c r="O14">
        <f>IF(W10&gt;=4,MATCH(O10*100+4,tblVideos[Cal Key],0),"")</f>
        <v/>
      </c>
      <c r="P14">
        <f>IF(X10&gt;=4,MATCH(P10*100+4,tblVideos[Cal Key],0),"")</f>
        <v/>
      </c>
      <c r="Q14">
        <f>IF(Y10&gt;=4,MATCH(Q10*100+4,tblVideos[Cal Key],0),"")</f>
        <v/>
      </c>
      <c r="S14">
        <f>IF(K14="","",IFERROR(MATCH(INDEX(tblVideos[Channel ID],K14),tblChannels[Channel ID],0),""))</f>
        <v/>
      </c>
      <c r="T14">
        <f>IF(L14="","",IFERROR(MATCH(INDEX(tblVideos[Channel ID],L14),tblChannels[Channel ID],0),""))</f>
        <v/>
      </c>
      <c r="U14">
        <f>IF(M14="","",IFERROR(MATCH(INDEX(tblVideos[Channel ID],M14),tblChannels[Channel ID],0),""))</f>
        <v/>
      </c>
      <c r="V14">
        <f>IF(N14="","",IFERROR(MATCH(INDEX(tblVideos[Channel ID],N14),tblChannels[Channel ID],0),""))</f>
        <v/>
      </c>
      <c r="W14">
        <f>IF(O14="","",IFERROR(MATCH(INDEX(tblVideos[Channel ID],O14),tblChannels[Channel ID],0),""))</f>
        <v/>
      </c>
      <c r="X14">
        <f>IF(P14="","",IFERROR(MATCH(INDEX(tblVideos[Channel ID],P14),tblChannels[Channel ID],0),""))</f>
        <v/>
      </c>
      <c r="Y14">
        <f>IF(Q14="","",IFERROR(MATCH(INDEX(tblVideos[Channel ID],Q14),tblChannels[Channel ID],0),""))</f>
        <v/>
      </c>
    </row>
    <row r="15">
      <c r="B15" s="67">
        <f>IF(K15="","",IF(INDEX(tblVideos[Video ID],K15)="",IF(INDEX(tblVideos[Status],K15)="Watched","✓ ","▸ ")&amp;INDEX(tblVideos[Title],K15),HYPERLINK("https://www.youtube.com/watch?v="&amp;INDEX(tblVideos[Video ID],K15),IF(INDEX(tblVideos[Status],K15)="Watched","✓ ","▸ ")&amp;INDEX(tblVideos[Title],K15))))</f>
        <v/>
      </c>
      <c r="C15" s="67">
        <f>IF(L15="","",IF(INDEX(tblVideos[Video ID],L15)="",IF(INDEX(tblVideos[Status],L15)="Watched","✓ ","▸ ")&amp;INDEX(tblVideos[Title],L15),HYPERLINK("https://www.youtube.com/watch?v="&amp;INDEX(tblVideos[Video ID],L15),IF(INDEX(tblVideos[Status],L15)="Watched","✓ ","▸ ")&amp;INDEX(tblVideos[Title],L15))))</f>
        <v/>
      </c>
      <c r="D15" s="67">
        <f>IF(M15="","",IF(INDEX(tblVideos[Video ID],M15)="",IF(INDEX(tblVideos[Status],M15)="Watched","✓ ","▸ ")&amp;INDEX(tblVideos[Title],M15),HYPERLINK("https://www.youtube.com/watch?v="&amp;INDEX(tblVideos[Video ID],M15),IF(INDEX(tblVideos[Status],M15)="Watched","✓ ","▸ ")&amp;INDEX(tblVideos[Title],M15))))</f>
        <v/>
      </c>
      <c r="E15" s="67">
        <f>IF(N15="","",IF(INDEX(tblVideos[Video ID],N15)="",IF(INDEX(tblVideos[Status],N15)="Watched","✓ ","▸ ")&amp;INDEX(tblVideos[Title],N15),HYPERLINK("https://www.youtube.com/watch?v="&amp;INDEX(tblVideos[Video ID],N15),IF(INDEX(tblVideos[Status],N15)="Watched","✓ ","▸ ")&amp;INDEX(tblVideos[Title],N15))))</f>
        <v/>
      </c>
      <c r="F15" s="67">
        <f>IF(O15="","",IF(INDEX(tblVideos[Video ID],O15)="",IF(INDEX(tblVideos[Status],O15)="Watched","✓ ","▸ ")&amp;INDEX(tblVideos[Title],O15),HYPERLINK("https://www.youtube.com/watch?v="&amp;INDEX(tblVideos[Video ID],O15),IF(INDEX(tblVideos[Status],O15)="Watched","✓ ","▸ ")&amp;INDEX(tblVideos[Title],O15))))</f>
        <v/>
      </c>
      <c r="G15" s="67">
        <f>IF(P15="","",IF(INDEX(tblVideos[Video ID],P15)="",IF(INDEX(tblVideos[Status],P15)="Watched","✓ ","▸ ")&amp;INDEX(tblVideos[Title],P15),HYPERLINK("https://www.youtube.com/watch?v="&amp;INDEX(tblVideos[Video ID],P15),IF(INDEX(tblVideos[Status],P15)="Watched","✓ ","▸ ")&amp;INDEX(tblVideos[Title],P15))))</f>
        <v/>
      </c>
      <c r="H15" s="67">
        <f>IF(Q15="","",IF(INDEX(tblVideos[Video ID],Q15)="",IF(INDEX(tblVideos[Status],Q15)="Watched","✓ ","▸ ")&amp;INDEX(tblVideos[Title],Q15),HYPERLINK("https://www.youtube.com/watch?v="&amp;INDEX(tblVideos[Video ID],Q15),IF(INDEX(tblVideos[Status],Q15)="Watched","✓ ","▸ ")&amp;INDEX(tblVideos[Title],Q15))))</f>
        <v/>
      </c>
      <c r="K15">
        <f>IF(S10&gt;=5,MATCH(K10*100+5,tblVideos[Cal Key],0),"")</f>
        <v/>
      </c>
      <c r="L15">
        <f>IF(T10&gt;=5,MATCH(L10*100+5,tblVideos[Cal Key],0),"")</f>
        <v/>
      </c>
      <c r="M15">
        <f>IF(U10&gt;=5,MATCH(M10*100+5,tblVideos[Cal Key],0),"")</f>
        <v/>
      </c>
      <c r="N15">
        <f>IF(V10&gt;=5,MATCH(N10*100+5,tblVideos[Cal Key],0),"")</f>
        <v/>
      </c>
      <c r="O15">
        <f>IF(W10&gt;=5,MATCH(O10*100+5,tblVideos[Cal Key],0),"")</f>
        <v/>
      </c>
      <c r="P15">
        <f>IF(X10&gt;=5,MATCH(P10*100+5,tblVideos[Cal Key],0),"")</f>
        <v/>
      </c>
      <c r="Q15">
        <f>IF(Y10&gt;=5,MATCH(Q10*100+5,tblVideos[Cal Key],0),"")</f>
        <v/>
      </c>
      <c r="S15">
        <f>IF(K15="","",IFERROR(MATCH(INDEX(tblVideos[Channel ID],K15),tblChannels[Channel ID],0),""))</f>
        <v/>
      </c>
      <c r="T15">
        <f>IF(L15="","",IFERROR(MATCH(INDEX(tblVideos[Channel ID],L15),tblChannels[Channel ID],0),""))</f>
        <v/>
      </c>
      <c r="U15">
        <f>IF(M15="","",IFERROR(MATCH(INDEX(tblVideos[Channel ID],M15),tblChannels[Channel ID],0),""))</f>
        <v/>
      </c>
      <c r="V15">
        <f>IF(N15="","",IFERROR(MATCH(INDEX(tblVideos[Channel ID],N15),tblChannels[Channel ID],0),""))</f>
        <v/>
      </c>
      <c r="W15">
        <f>IF(O15="","",IFERROR(MATCH(INDEX(tblVideos[Channel ID],O15),tblChannels[Channel ID],0),""))</f>
        <v/>
      </c>
      <c r="X15">
        <f>IF(P15="","",IFERROR(MATCH(INDEX(tblVideos[Channel ID],P15),tblChannels[Channel ID],0),""))</f>
        <v/>
      </c>
      <c r="Y15">
        <f>IF(Q15="","",IFERROR(MATCH(INDEX(tblVideos[Channel ID],Q15),tblChannels[Channel ID],0),""))</f>
        <v/>
      </c>
    </row>
    <row r="16" ht="18" customHeight="1">
      <c r="B16" s="66">
        <f>IF(MONTH(K16)=MONTH($K$2),DAY(K16)&amp;IF(S16&gt;0,"   ·   "&amp;S16&amp;IF(S16=1," video"," videos")&amp;"   ·   "&amp;TEXT(AA16,"[h]:mm")&amp;IF(S16&gt;5,"   (+"&amp;(S16-5)&amp;" more)",""),""),"")</f>
        <v/>
      </c>
      <c r="C16" s="66">
        <f>IF(MONTH(L16)=MONTH($K$2),DAY(L16)&amp;IF(T16&gt;0,"   ·   "&amp;T16&amp;IF(T16=1," video"," videos")&amp;"   ·   "&amp;TEXT(AB16,"[h]:mm")&amp;IF(T16&gt;5,"   (+"&amp;(T16-5)&amp;" more)",""),""),"")</f>
        <v/>
      </c>
      <c r="D16" s="66">
        <f>IF(MONTH(M16)=MONTH($K$2),DAY(M16)&amp;IF(U16&gt;0,"   ·   "&amp;U16&amp;IF(U16=1," video"," videos")&amp;"   ·   "&amp;TEXT(AC16,"[h]:mm")&amp;IF(U16&gt;5,"   (+"&amp;(U16-5)&amp;" more)",""),""),"")</f>
        <v/>
      </c>
      <c r="E16" s="66">
        <f>IF(MONTH(N16)=MONTH($K$2),DAY(N16)&amp;IF(V16&gt;0,"   ·   "&amp;V16&amp;IF(V16=1," video"," videos")&amp;"   ·   "&amp;TEXT(AD16,"[h]:mm")&amp;IF(V16&gt;5,"   (+"&amp;(V16-5)&amp;" more)",""),""),"")</f>
        <v/>
      </c>
      <c r="F16" s="66">
        <f>IF(MONTH(O16)=MONTH($K$2),DAY(O16)&amp;IF(W16&gt;0,"   ·   "&amp;W16&amp;IF(W16=1," video"," videos")&amp;"   ·   "&amp;TEXT(AE16,"[h]:mm")&amp;IF(W16&gt;5,"   (+"&amp;(W16-5)&amp;" more)",""),""),"")</f>
        <v/>
      </c>
      <c r="G16" s="66">
        <f>IF(MONTH(P16)=MONTH($K$2),DAY(P16)&amp;IF(X16&gt;0,"   ·   "&amp;X16&amp;IF(X16=1," video"," videos")&amp;"   ·   "&amp;TEXT(AF16,"[h]:mm")&amp;IF(X16&gt;5,"   (+"&amp;(X16-5)&amp;" more)",""),""),"")</f>
        <v/>
      </c>
      <c r="H16" s="66">
        <f>IF(MONTH(Q16)=MONTH($K$2),DAY(Q16)&amp;IF(Y16&gt;0,"   ·   "&amp;Y16&amp;IF(Y16=1," video"," videos")&amp;"   ·   "&amp;TEXT(AG16,"[h]:mm")&amp;IF(Y16&gt;5,"   (+"&amp;(Y16-5)&amp;" more)",""),""),"")</f>
        <v/>
      </c>
      <c r="K16" s="56">
        <f>$K$3+7</f>
        <v/>
      </c>
      <c r="L16" s="56">
        <f>$K$3+8</f>
        <v/>
      </c>
      <c r="M16" s="56">
        <f>$K$3+9</f>
        <v/>
      </c>
      <c r="N16" s="56">
        <f>$K$3+10</f>
        <v/>
      </c>
      <c r="O16" s="56">
        <f>$K$3+11</f>
        <v/>
      </c>
      <c r="P16" s="56">
        <f>$K$3+12</f>
        <v/>
      </c>
      <c r="Q16" s="56">
        <f>$K$3+13</f>
        <v/>
      </c>
      <c r="S16">
        <f>IF(MONTH(K16)=MONTH($K$2),COUNTIFS(tblVideos[Day],K16,tblVideos[Channel ID],$K$4),0)</f>
        <v/>
      </c>
      <c r="T16">
        <f>IF(MONTH(L16)=MONTH($K$2),COUNTIFS(tblVideos[Day],L16,tblVideos[Channel ID],$K$4),0)</f>
        <v/>
      </c>
      <c r="U16">
        <f>IF(MONTH(M16)=MONTH($K$2),COUNTIFS(tblVideos[Day],M16,tblVideos[Channel ID],$K$4),0)</f>
        <v/>
      </c>
      <c r="V16">
        <f>IF(MONTH(N16)=MONTH($K$2),COUNTIFS(tblVideos[Day],N16,tblVideos[Channel ID],$K$4),0)</f>
        <v/>
      </c>
      <c r="W16">
        <f>IF(MONTH(O16)=MONTH($K$2),COUNTIFS(tblVideos[Day],O16,tblVideos[Channel ID],$K$4),0)</f>
        <v/>
      </c>
      <c r="X16">
        <f>IF(MONTH(P16)=MONTH($K$2),COUNTIFS(tblVideos[Day],P16,tblVideos[Channel ID],$K$4),0)</f>
        <v/>
      </c>
      <c r="Y16">
        <f>IF(MONTH(Q16)=MONTH($K$2),COUNTIFS(tblVideos[Day],Q16,tblVideos[Channel ID],$K$4),0)</f>
        <v/>
      </c>
      <c r="AA16">
        <f>IF(S16&gt;0,SUMIFS(tblVideos[Length],tblVideos[Day],K16,tblVideos[Channel ID],$K$4),0)</f>
        <v/>
      </c>
      <c r="AB16">
        <f>IF(T16&gt;0,SUMIFS(tblVideos[Length],tblVideos[Day],L16,tblVideos[Channel ID],$K$4),0)</f>
        <v/>
      </c>
      <c r="AC16">
        <f>IF(U16&gt;0,SUMIFS(tblVideos[Length],tblVideos[Day],M16,tblVideos[Channel ID],$K$4),0)</f>
        <v/>
      </c>
      <c r="AD16">
        <f>IF(V16&gt;0,SUMIFS(tblVideos[Length],tblVideos[Day],N16,tblVideos[Channel ID],$K$4),0)</f>
        <v/>
      </c>
      <c r="AE16">
        <f>IF(W16&gt;0,SUMIFS(tblVideos[Length],tblVideos[Day],O16,tblVideos[Channel ID],$K$4),0)</f>
        <v/>
      </c>
      <c r="AF16">
        <f>IF(X16&gt;0,SUMIFS(tblVideos[Length],tblVideos[Day],P16,tblVideos[Channel ID],$K$4),0)</f>
        <v/>
      </c>
      <c r="AG16">
        <f>IF(Y16&gt;0,SUMIFS(tblVideos[Length],tblVideos[Day],Q16,tblVideos[Channel ID],$K$4),0)</f>
        <v/>
      </c>
    </row>
    <row r="17">
      <c r="B17" s="67">
        <f>IF(K17="","",IF(INDEX(tblVideos[Video ID],K17)="",IF(INDEX(tblVideos[Status],K17)="Watched","✓ ","▸ ")&amp;INDEX(tblVideos[Title],K17),HYPERLINK("https://www.youtube.com/watch?v="&amp;INDEX(tblVideos[Video ID],K17),IF(INDEX(tblVideos[Status],K17)="Watched","✓ ","▸ ")&amp;INDEX(tblVideos[Title],K17))))</f>
        <v/>
      </c>
      <c r="C17" s="67">
        <f>IF(L17="","",IF(INDEX(tblVideos[Video ID],L17)="",IF(INDEX(tblVideos[Status],L17)="Watched","✓ ","▸ ")&amp;INDEX(tblVideos[Title],L17),HYPERLINK("https://www.youtube.com/watch?v="&amp;INDEX(tblVideos[Video ID],L17),IF(INDEX(tblVideos[Status],L17)="Watched","✓ ","▸ ")&amp;INDEX(tblVideos[Title],L17))))</f>
        <v/>
      </c>
      <c r="D17" s="67">
        <f>IF(M17="","",IF(INDEX(tblVideos[Video ID],M17)="",IF(INDEX(tblVideos[Status],M17)="Watched","✓ ","▸ ")&amp;INDEX(tblVideos[Title],M17),HYPERLINK("https://www.youtube.com/watch?v="&amp;INDEX(tblVideos[Video ID],M17),IF(INDEX(tblVideos[Status],M17)="Watched","✓ ","▸ ")&amp;INDEX(tblVideos[Title],M17))))</f>
        <v/>
      </c>
      <c r="E17" s="67">
        <f>IF(N17="","",IF(INDEX(tblVideos[Video ID],N17)="",IF(INDEX(tblVideos[Status],N17)="Watched","✓ ","▸ ")&amp;INDEX(tblVideos[Title],N17),HYPERLINK("https://www.youtube.com/watch?v="&amp;INDEX(tblVideos[Video ID],N17),IF(INDEX(tblVideos[Status],N17)="Watched","✓ ","▸ ")&amp;INDEX(tblVideos[Title],N17))))</f>
        <v/>
      </c>
      <c r="F17" s="67">
        <f>IF(O17="","",IF(INDEX(tblVideos[Video ID],O17)="",IF(INDEX(tblVideos[Status],O17)="Watched","✓ ","▸ ")&amp;INDEX(tblVideos[Title],O17),HYPERLINK("https://www.youtube.com/watch?v="&amp;INDEX(tblVideos[Video ID],O17),IF(INDEX(tblVideos[Status],O17)="Watched","✓ ","▸ ")&amp;INDEX(tblVideos[Title],O17))))</f>
        <v/>
      </c>
      <c r="G17" s="67">
        <f>IF(P17="","",IF(INDEX(tblVideos[Video ID],P17)="",IF(INDEX(tblVideos[Status],P17)="Watched","✓ ","▸ ")&amp;INDEX(tblVideos[Title],P17),HYPERLINK("https://www.youtube.com/watch?v="&amp;INDEX(tblVideos[Video ID],P17),IF(INDEX(tblVideos[Status],P17)="Watched","✓ ","▸ ")&amp;INDEX(tblVideos[Title],P17))))</f>
        <v/>
      </c>
      <c r="H17" s="67">
        <f>IF(Q17="","",IF(INDEX(tblVideos[Video ID],Q17)="",IF(INDEX(tblVideos[Status],Q17)="Watched","✓ ","▸ ")&amp;INDEX(tblVideos[Title],Q17),HYPERLINK("https://www.youtube.com/watch?v="&amp;INDEX(tblVideos[Video ID],Q17),IF(INDEX(tblVideos[Status],Q17)="Watched","✓ ","▸ ")&amp;INDEX(tblVideos[Title],Q17))))</f>
        <v/>
      </c>
      <c r="K17">
        <f>IF(S16&gt;=1,MATCH(K16*100+1,tblVideos[Cal Key],0),"")</f>
        <v/>
      </c>
      <c r="L17">
        <f>IF(T16&gt;=1,MATCH(L16*100+1,tblVideos[Cal Key],0),"")</f>
        <v/>
      </c>
      <c r="M17">
        <f>IF(U16&gt;=1,MATCH(M16*100+1,tblVideos[Cal Key],0),"")</f>
        <v/>
      </c>
      <c r="N17">
        <f>IF(V16&gt;=1,MATCH(N16*100+1,tblVideos[Cal Key],0),"")</f>
        <v/>
      </c>
      <c r="O17">
        <f>IF(W16&gt;=1,MATCH(O16*100+1,tblVideos[Cal Key],0),"")</f>
        <v/>
      </c>
      <c r="P17">
        <f>IF(X16&gt;=1,MATCH(P16*100+1,tblVideos[Cal Key],0),"")</f>
        <v/>
      </c>
      <c r="Q17">
        <f>IF(Y16&gt;=1,MATCH(Q16*100+1,tblVideos[Cal Key],0),"")</f>
        <v/>
      </c>
      <c r="S17">
        <f>IF(K17="","",IFERROR(MATCH(INDEX(tblVideos[Channel ID],K17),tblChannels[Channel ID],0),""))</f>
        <v/>
      </c>
      <c r="T17">
        <f>IF(L17="","",IFERROR(MATCH(INDEX(tblVideos[Channel ID],L17),tblChannels[Channel ID],0),""))</f>
        <v/>
      </c>
      <c r="U17">
        <f>IF(M17="","",IFERROR(MATCH(INDEX(tblVideos[Channel ID],M17),tblChannels[Channel ID],0),""))</f>
        <v/>
      </c>
      <c r="V17">
        <f>IF(N17="","",IFERROR(MATCH(INDEX(tblVideos[Channel ID],N17),tblChannels[Channel ID],0),""))</f>
        <v/>
      </c>
      <c r="W17">
        <f>IF(O17="","",IFERROR(MATCH(INDEX(tblVideos[Channel ID],O17),tblChannels[Channel ID],0),""))</f>
        <v/>
      </c>
      <c r="X17">
        <f>IF(P17="","",IFERROR(MATCH(INDEX(tblVideos[Channel ID],P17),tblChannels[Channel ID],0),""))</f>
        <v/>
      </c>
      <c r="Y17">
        <f>IF(Q17="","",IFERROR(MATCH(INDEX(tblVideos[Channel ID],Q17),tblChannels[Channel ID],0),""))</f>
        <v/>
      </c>
    </row>
    <row r="18">
      <c r="B18" s="67">
        <f>IF(K18="","",IF(INDEX(tblVideos[Video ID],K18)="",IF(INDEX(tblVideos[Status],K18)="Watched","✓ ","▸ ")&amp;INDEX(tblVideos[Title],K18),HYPERLINK("https://www.youtube.com/watch?v="&amp;INDEX(tblVideos[Video ID],K18),IF(INDEX(tblVideos[Status],K18)="Watched","✓ ","▸ ")&amp;INDEX(tblVideos[Title],K18))))</f>
        <v/>
      </c>
      <c r="C18" s="67">
        <f>IF(L18="","",IF(INDEX(tblVideos[Video ID],L18)="",IF(INDEX(tblVideos[Status],L18)="Watched","✓ ","▸ ")&amp;INDEX(tblVideos[Title],L18),HYPERLINK("https://www.youtube.com/watch?v="&amp;INDEX(tblVideos[Video ID],L18),IF(INDEX(tblVideos[Status],L18)="Watched","✓ ","▸ ")&amp;INDEX(tblVideos[Title],L18))))</f>
        <v/>
      </c>
      <c r="D18" s="67">
        <f>IF(M18="","",IF(INDEX(tblVideos[Video ID],M18)="",IF(INDEX(tblVideos[Status],M18)="Watched","✓ ","▸ ")&amp;INDEX(tblVideos[Title],M18),HYPERLINK("https://www.youtube.com/watch?v="&amp;INDEX(tblVideos[Video ID],M18),IF(INDEX(tblVideos[Status],M18)="Watched","✓ ","▸ ")&amp;INDEX(tblVideos[Title],M18))))</f>
        <v/>
      </c>
      <c r="E18" s="67">
        <f>IF(N18="","",IF(INDEX(tblVideos[Video ID],N18)="",IF(INDEX(tblVideos[Status],N18)="Watched","✓ ","▸ ")&amp;INDEX(tblVideos[Title],N18),HYPERLINK("https://www.youtube.com/watch?v="&amp;INDEX(tblVideos[Video ID],N18),IF(INDEX(tblVideos[Status],N18)="Watched","✓ ","▸ ")&amp;INDEX(tblVideos[Title],N18))))</f>
        <v/>
      </c>
      <c r="F18" s="67">
        <f>IF(O18="","",IF(INDEX(tblVideos[Video ID],O18)="",IF(INDEX(tblVideos[Status],O18)="Watched","✓ ","▸ ")&amp;INDEX(tblVideos[Title],O18),HYPERLINK("https://www.youtube.com/watch?v="&amp;INDEX(tblVideos[Video ID],O18),IF(INDEX(tblVideos[Status],O18)="Watched","✓ ","▸ ")&amp;INDEX(tblVideos[Title],O18))))</f>
        <v/>
      </c>
      <c r="G18" s="67">
        <f>IF(P18="","",IF(INDEX(tblVideos[Video ID],P18)="",IF(INDEX(tblVideos[Status],P18)="Watched","✓ ","▸ ")&amp;INDEX(tblVideos[Title],P18),HYPERLINK("https://www.youtube.com/watch?v="&amp;INDEX(tblVideos[Video ID],P18),IF(INDEX(tblVideos[Status],P18)="Watched","✓ ","▸ ")&amp;INDEX(tblVideos[Title],P18))))</f>
        <v/>
      </c>
      <c r="H18" s="67">
        <f>IF(Q18="","",IF(INDEX(tblVideos[Video ID],Q18)="",IF(INDEX(tblVideos[Status],Q18)="Watched","✓ ","▸ ")&amp;INDEX(tblVideos[Title],Q18),HYPERLINK("https://www.youtube.com/watch?v="&amp;INDEX(tblVideos[Video ID],Q18),IF(INDEX(tblVideos[Status],Q18)="Watched","✓ ","▸ ")&amp;INDEX(tblVideos[Title],Q18))))</f>
        <v/>
      </c>
      <c r="K18">
        <f>IF(S16&gt;=2,MATCH(K16*100+2,tblVideos[Cal Key],0),"")</f>
        <v/>
      </c>
      <c r="L18">
        <f>IF(T16&gt;=2,MATCH(L16*100+2,tblVideos[Cal Key],0),"")</f>
        <v/>
      </c>
      <c r="M18">
        <f>IF(U16&gt;=2,MATCH(M16*100+2,tblVideos[Cal Key],0),"")</f>
        <v/>
      </c>
      <c r="N18">
        <f>IF(V16&gt;=2,MATCH(N16*100+2,tblVideos[Cal Key],0),"")</f>
        <v/>
      </c>
      <c r="O18">
        <f>IF(W16&gt;=2,MATCH(O16*100+2,tblVideos[Cal Key],0),"")</f>
        <v/>
      </c>
      <c r="P18">
        <f>IF(X16&gt;=2,MATCH(P16*100+2,tblVideos[Cal Key],0),"")</f>
        <v/>
      </c>
      <c r="Q18">
        <f>IF(Y16&gt;=2,MATCH(Q16*100+2,tblVideos[Cal Key],0),"")</f>
        <v/>
      </c>
      <c r="S18">
        <f>IF(K18="","",IFERROR(MATCH(INDEX(tblVideos[Channel ID],K18),tblChannels[Channel ID],0),""))</f>
        <v/>
      </c>
      <c r="T18">
        <f>IF(L18="","",IFERROR(MATCH(INDEX(tblVideos[Channel ID],L18),tblChannels[Channel ID],0),""))</f>
        <v/>
      </c>
      <c r="U18">
        <f>IF(M18="","",IFERROR(MATCH(INDEX(tblVideos[Channel ID],M18),tblChannels[Channel ID],0),""))</f>
        <v/>
      </c>
      <c r="V18">
        <f>IF(N18="","",IFERROR(MATCH(INDEX(tblVideos[Channel ID],N18),tblChannels[Channel ID],0),""))</f>
        <v/>
      </c>
      <c r="W18">
        <f>IF(O18="","",IFERROR(MATCH(INDEX(tblVideos[Channel ID],O18),tblChannels[Channel ID],0),""))</f>
        <v/>
      </c>
      <c r="X18">
        <f>IF(P18="","",IFERROR(MATCH(INDEX(tblVideos[Channel ID],P18),tblChannels[Channel ID],0),""))</f>
        <v/>
      </c>
      <c r="Y18">
        <f>IF(Q18="","",IFERROR(MATCH(INDEX(tblVideos[Channel ID],Q18),tblChannels[Channel ID],0),""))</f>
        <v/>
      </c>
    </row>
    <row r="19">
      <c r="B19" s="67">
        <f>IF(K19="","",IF(INDEX(tblVideos[Video ID],K19)="",IF(INDEX(tblVideos[Status],K19)="Watched","✓ ","▸ ")&amp;INDEX(tblVideos[Title],K19),HYPERLINK("https://www.youtube.com/watch?v="&amp;INDEX(tblVideos[Video ID],K19),IF(INDEX(tblVideos[Status],K19)="Watched","✓ ","▸ ")&amp;INDEX(tblVideos[Title],K19))))</f>
        <v/>
      </c>
      <c r="C19" s="67">
        <f>IF(L19="","",IF(INDEX(tblVideos[Video ID],L19)="",IF(INDEX(tblVideos[Status],L19)="Watched","✓ ","▸ ")&amp;INDEX(tblVideos[Title],L19),HYPERLINK("https://www.youtube.com/watch?v="&amp;INDEX(tblVideos[Video ID],L19),IF(INDEX(tblVideos[Status],L19)="Watched","✓ ","▸ ")&amp;INDEX(tblVideos[Title],L19))))</f>
        <v/>
      </c>
      <c r="D19" s="67">
        <f>IF(M19="","",IF(INDEX(tblVideos[Video ID],M19)="",IF(INDEX(tblVideos[Status],M19)="Watched","✓ ","▸ ")&amp;INDEX(tblVideos[Title],M19),HYPERLINK("https://www.youtube.com/watch?v="&amp;INDEX(tblVideos[Video ID],M19),IF(INDEX(tblVideos[Status],M19)="Watched","✓ ","▸ ")&amp;INDEX(tblVideos[Title],M19))))</f>
        <v/>
      </c>
      <c r="E19" s="67">
        <f>IF(N19="","",IF(INDEX(tblVideos[Video ID],N19)="",IF(INDEX(tblVideos[Status],N19)="Watched","✓ ","▸ ")&amp;INDEX(tblVideos[Title],N19),HYPERLINK("https://www.youtube.com/watch?v="&amp;INDEX(tblVideos[Video ID],N19),IF(INDEX(tblVideos[Status],N19)="Watched","✓ ","▸ ")&amp;INDEX(tblVideos[Title],N19))))</f>
        <v/>
      </c>
      <c r="F19" s="67">
        <f>IF(O19="","",IF(INDEX(tblVideos[Video ID],O19)="",IF(INDEX(tblVideos[Status],O19)="Watched","✓ ","▸ ")&amp;INDEX(tblVideos[Title],O19),HYPERLINK("https://www.youtube.com/watch?v="&amp;INDEX(tblVideos[Video ID],O19),IF(INDEX(tblVideos[Status],O19)="Watched","✓ ","▸ ")&amp;INDEX(tblVideos[Title],O19))))</f>
        <v/>
      </c>
      <c r="G19" s="67">
        <f>IF(P19="","",IF(INDEX(tblVideos[Video ID],P19)="",IF(INDEX(tblVideos[Status],P19)="Watched","✓ ","▸ ")&amp;INDEX(tblVideos[Title],P19),HYPERLINK("https://www.youtube.com/watch?v="&amp;INDEX(tblVideos[Video ID],P19),IF(INDEX(tblVideos[Status],P19)="Watched","✓ ","▸ ")&amp;INDEX(tblVideos[Title],P19))))</f>
        <v/>
      </c>
      <c r="H19" s="67">
        <f>IF(Q19="","",IF(INDEX(tblVideos[Video ID],Q19)="",IF(INDEX(tblVideos[Status],Q19)="Watched","✓ ","▸ ")&amp;INDEX(tblVideos[Title],Q19),HYPERLINK("https://www.youtube.com/watch?v="&amp;INDEX(tblVideos[Video ID],Q19),IF(INDEX(tblVideos[Status],Q19)="Watched","✓ ","▸ ")&amp;INDEX(tblVideos[Title],Q19))))</f>
        <v/>
      </c>
      <c r="K19">
        <f>IF(S16&gt;=3,MATCH(K16*100+3,tblVideos[Cal Key],0),"")</f>
        <v/>
      </c>
      <c r="L19">
        <f>IF(T16&gt;=3,MATCH(L16*100+3,tblVideos[Cal Key],0),"")</f>
        <v/>
      </c>
      <c r="M19">
        <f>IF(U16&gt;=3,MATCH(M16*100+3,tblVideos[Cal Key],0),"")</f>
        <v/>
      </c>
      <c r="N19">
        <f>IF(V16&gt;=3,MATCH(N16*100+3,tblVideos[Cal Key],0),"")</f>
        <v/>
      </c>
      <c r="O19">
        <f>IF(W16&gt;=3,MATCH(O16*100+3,tblVideos[Cal Key],0),"")</f>
        <v/>
      </c>
      <c r="P19">
        <f>IF(X16&gt;=3,MATCH(P16*100+3,tblVideos[Cal Key],0),"")</f>
        <v/>
      </c>
      <c r="Q19">
        <f>IF(Y16&gt;=3,MATCH(Q16*100+3,tblVideos[Cal Key],0),"")</f>
        <v/>
      </c>
      <c r="S19">
        <f>IF(K19="","",IFERROR(MATCH(INDEX(tblVideos[Channel ID],K19),tblChannels[Channel ID],0),""))</f>
        <v/>
      </c>
      <c r="T19">
        <f>IF(L19="","",IFERROR(MATCH(INDEX(tblVideos[Channel ID],L19),tblChannels[Channel ID],0),""))</f>
        <v/>
      </c>
      <c r="U19">
        <f>IF(M19="","",IFERROR(MATCH(INDEX(tblVideos[Channel ID],M19),tblChannels[Channel ID],0),""))</f>
        <v/>
      </c>
      <c r="V19">
        <f>IF(N19="","",IFERROR(MATCH(INDEX(tblVideos[Channel ID],N19),tblChannels[Channel ID],0),""))</f>
        <v/>
      </c>
      <c r="W19">
        <f>IF(O19="","",IFERROR(MATCH(INDEX(tblVideos[Channel ID],O19),tblChannels[Channel ID],0),""))</f>
        <v/>
      </c>
      <c r="X19">
        <f>IF(P19="","",IFERROR(MATCH(INDEX(tblVideos[Channel ID],P19),tblChannels[Channel ID],0),""))</f>
        <v/>
      </c>
      <c r="Y19">
        <f>IF(Q19="","",IFERROR(MATCH(INDEX(tblVideos[Channel ID],Q19),tblChannels[Channel ID],0),""))</f>
        <v/>
      </c>
    </row>
    <row r="20">
      <c r="B20" s="67">
        <f>IF(K20="","",IF(INDEX(tblVideos[Video ID],K20)="",IF(INDEX(tblVideos[Status],K20)="Watched","✓ ","▸ ")&amp;INDEX(tblVideos[Title],K20),HYPERLINK("https://www.youtube.com/watch?v="&amp;INDEX(tblVideos[Video ID],K20),IF(INDEX(tblVideos[Status],K20)="Watched","✓ ","▸ ")&amp;INDEX(tblVideos[Title],K20))))</f>
        <v/>
      </c>
      <c r="C20" s="67">
        <f>IF(L20="","",IF(INDEX(tblVideos[Video ID],L20)="",IF(INDEX(tblVideos[Status],L20)="Watched","✓ ","▸ ")&amp;INDEX(tblVideos[Title],L20),HYPERLINK("https://www.youtube.com/watch?v="&amp;INDEX(tblVideos[Video ID],L20),IF(INDEX(tblVideos[Status],L20)="Watched","✓ ","▸ ")&amp;INDEX(tblVideos[Title],L20))))</f>
        <v/>
      </c>
      <c r="D20" s="67">
        <f>IF(M20="","",IF(INDEX(tblVideos[Video ID],M20)="",IF(INDEX(tblVideos[Status],M20)="Watched","✓ ","▸ ")&amp;INDEX(tblVideos[Title],M20),HYPERLINK("https://www.youtube.com/watch?v="&amp;INDEX(tblVideos[Video ID],M20),IF(INDEX(tblVideos[Status],M20)="Watched","✓ ","▸ ")&amp;INDEX(tblVideos[Title],M20))))</f>
        <v/>
      </c>
      <c r="E20" s="67">
        <f>IF(N20="","",IF(INDEX(tblVideos[Video ID],N20)="",IF(INDEX(tblVideos[Status],N20)="Watched","✓ ","▸ ")&amp;INDEX(tblVideos[Title],N20),HYPERLINK("https://www.youtube.com/watch?v="&amp;INDEX(tblVideos[Video ID],N20),IF(INDEX(tblVideos[Status],N20)="Watched","✓ ","▸ ")&amp;INDEX(tblVideos[Title],N20))))</f>
        <v/>
      </c>
      <c r="F20" s="67">
        <f>IF(O20="","",IF(INDEX(tblVideos[Video ID],O20)="",IF(INDEX(tblVideos[Status],O20)="Watched","✓ ","▸ ")&amp;INDEX(tblVideos[Title],O20),HYPERLINK("https://www.youtube.com/watch?v="&amp;INDEX(tblVideos[Video ID],O20),IF(INDEX(tblVideos[Status],O20)="Watched","✓ ","▸ ")&amp;INDEX(tblVideos[Title],O20))))</f>
        <v/>
      </c>
      <c r="G20" s="67">
        <f>IF(P20="","",IF(INDEX(tblVideos[Video ID],P20)="",IF(INDEX(tblVideos[Status],P20)="Watched","✓ ","▸ ")&amp;INDEX(tblVideos[Title],P20),HYPERLINK("https://www.youtube.com/watch?v="&amp;INDEX(tblVideos[Video ID],P20),IF(INDEX(tblVideos[Status],P20)="Watched","✓ ","▸ ")&amp;INDEX(tblVideos[Title],P20))))</f>
        <v/>
      </c>
      <c r="H20" s="67">
        <f>IF(Q20="","",IF(INDEX(tblVideos[Video ID],Q20)="",IF(INDEX(tblVideos[Status],Q20)="Watched","✓ ","▸ ")&amp;INDEX(tblVideos[Title],Q20),HYPERLINK("https://www.youtube.com/watch?v="&amp;INDEX(tblVideos[Video ID],Q20),IF(INDEX(tblVideos[Status],Q20)="Watched","✓ ","▸ ")&amp;INDEX(tblVideos[Title],Q20))))</f>
        <v/>
      </c>
      <c r="K20">
        <f>IF(S16&gt;=4,MATCH(K16*100+4,tblVideos[Cal Key],0),"")</f>
        <v/>
      </c>
      <c r="L20">
        <f>IF(T16&gt;=4,MATCH(L16*100+4,tblVideos[Cal Key],0),"")</f>
        <v/>
      </c>
      <c r="M20">
        <f>IF(U16&gt;=4,MATCH(M16*100+4,tblVideos[Cal Key],0),"")</f>
        <v/>
      </c>
      <c r="N20">
        <f>IF(V16&gt;=4,MATCH(N16*100+4,tblVideos[Cal Key],0),"")</f>
        <v/>
      </c>
      <c r="O20">
        <f>IF(W16&gt;=4,MATCH(O16*100+4,tblVideos[Cal Key],0),"")</f>
        <v/>
      </c>
      <c r="P20">
        <f>IF(X16&gt;=4,MATCH(P16*100+4,tblVideos[Cal Key],0),"")</f>
        <v/>
      </c>
      <c r="Q20">
        <f>IF(Y16&gt;=4,MATCH(Q16*100+4,tblVideos[Cal Key],0),"")</f>
        <v/>
      </c>
      <c r="S20">
        <f>IF(K20="","",IFERROR(MATCH(INDEX(tblVideos[Channel ID],K20),tblChannels[Channel ID],0),""))</f>
        <v/>
      </c>
      <c r="T20">
        <f>IF(L20="","",IFERROR(MATCH(INDEX(tblVideos[Channel ID],L20),tblChannels[Channel ID],0),""))</f>
        <v/>
      </c>
      <c r="U20">
        <f>IF(M20="","",IFERROR(MATCH(INDEX(tblVideos[Channel ID],M20),tblChannels[Channel ID],0),""))</f>
        <v/>
      </c>
      <c r="V20">
        <f>IF(N20="","",IFERROR(MATCH(INDEX(tblVideos[Channel ID],N20),tblChannels[Channel ID],0),""))</f>
        <v/>
      </c>
      <c r="W20">
        <f>IF(O20="","",IFERROR(MATCH(INDEX(tblVideos[Channel ID],O20),tblChannels[Channel ID],0),""))</f>
        <v/>
      </c>
      <c r="X20">
        <f>IF(P20="","",IFERROR(MATCH(INDEX(tblVideos[Channel ID],P20),tblChannels[Channel ID],0),""))</f>
        <v/>
      </c>
      <c r="Y20">
        <f>IF(Q20="","",IFERROR(MATCH(INDEX(tblVideos[Channel ID],Q20),tblChannels[Channel ID],0),""))</f>
        <v/>
      </c>
    </row>
    <row r="21">
      <c r="B21" s="67">
        <f>IF(K21="","",IF(INDEX(tblVideos[Video ID],K21)="",IF(INDEX(tblVideos[Status],K21)="Watched","✓ ","▸ ")&amp;INDEX(tblVideos[Title],K21),HYPERLINK("https://www.youtube.com/watch?v="&amp;INDEX(tblVideos[Video ID],K21),IF(INDEX(tblVideos[Status],K21)="Watched","✓ ","▸ ")&amp;INDEX(tblVideos[Title],K21))))</f>
        <v/>
      </c>
      <c r="C21" s="67">
        <f>IF(L21="","",IF(INDEX(tblVideos[Video ID],L21)="",IF(INDEX(tblVideos[Status],L21)="Watched","✓ ","▸ ")&amp;INDEX(tblVideos[Title],L21),HYPERLINK("https://www.youtube.com/watch?v="&amp;INDEX(tblVideos[Video ID],L21),IF(INDEX(tblVideos[Status],L21)="Watched","✓ ","▸ ")&amp;INDEX(tblVideos[Title],L21))))</f>
        <v/>
      </c>
      <c r="D21" s="67">
        <f>IF(M21="","",IF(INDEX(tblVideos[Video ID],M21)="",IF(INDEX(tblVideos[Status],M21)="Watched","✓ ","▸ ")&amp;INDEX(tblVideos[Title],M21),HYPERLINK("https://www.youtube.com/watch?v="&amp;INDEX(tblVideos[Video ID],M21),IF(INDEX(tblVideos[Status],M21)="Watched","✓ ","▸ ")&amp;INDEX(tblVideos[Title],M21))))</f>
        <v/>
      </c>
      <c r="E21" s="67">
        <f>IF(N21="","",IF(INDEX(tblVideos[Video ID],N21)="",IF(INDEX(tblVideos[Status],N21)="Watched","✓ ","▸ ")&amp;INDEX(tblVideos[Title],N21),HYPERLINK("https://www.youtube.com/watch?v="&amp;INDEX(tblVideos[Video ID],N21),IF(INDEX(tblVideos[Status],N21)="Watched","✓ ","▸ ")&amp;INDEX(tblVideos[Title],N21))))</f>
        <v/>
      </c>
      <c r="F21" s="67">
        <f>IF(O21="","",IF(INDEX(tblVideos[Video ID],O21)="",IF(INDEX(tblVideos[Status],O21)="Watched","✓ ","▸ ")&amp;INDEX(tblVideos[Title],O21),HYPERLINK("https://www.youtube.com/watch?v="&amp;INDEX(tblVideos[Video ID],O21),IF(INDEX(tblVideos[Status],O21)="Watched","✓ ","▸ ")&amp;INDEX(tblVideos[Title],O21))))</f>
        <v/>
      </c>
      <c r="G21" s="67">
        <f>IF(P21="","",IF(INDEX(tblVideos[Video ID],P21)="",IF(INDEX(tblVideos[Status],P21)="Watched","✓ ","▸ ")&amp;INDEX(tblVideos[Title],P21),HYPERLINK("https://www.youtube.com/watch?v="&amp;INDEX(tblVideos[Video ID],P21),IF(INDEX(tblVideos[Status],P21)="Watched","✓ ","▸ ")&amp;INDEX(tblVideos[Title],P21))))</f>
        <v/>
      </c>
      <c r="H21" s="67">
        <f>IF(Q21="","",IF(INDEX(tblVideos[Video ID],Q21)="",IF(INDEX(tblVideos[Status],Q21)="Watched","✓ ","▸ ")&amp;INDEX(tblVideos[Title],Q21),HYPERLINK("https://www.youtube.com/watch?v="&amp;INDEX(tblVideos[Video ID],Q21),IF(INDEX(tblVideos[Status],Q21)="Watched","✓ ","▸ ")&amp;INDEX(tblVideos[Title],Q21))))</f>
        <v/>
      </c>
      <c r="K21">
        <f>IF(S16&gt;=5,MATCH(K16*100+5,tblVideos[Cal Key],0),"")</f>
        <v/>
      </c>
      <c r="L21">
        <f>IF(T16&gt;=5,MATCH(L16*100+5,tblVideos[Cal Key],0),"")</f>
        <v/>
      </c>
      <c r="M21">
        <f>IF(U16&gt;=5,MATCH(M16*100+5,tblVideos[Cal Key],0),"")</f>
        <v/>
      </c>
      <c r="N21">
        <f>IF(V16&gt;=5,MATCH(N16*100+5,tblVideos[Cal Key],0),"")</f>
        <v/>
      </c>
      <c r="O21">
        <f>IF(W16&gt;=5,MATCH(O16*100+5,tblVideos[Cal Key],0),"")</f>
        <v/>
      </c>
      <c r="P21">
        <f>IF(X16&gt;=5,MATCH(P16*100+5,tblVideos[Cal Key],0),"")</f>
        <v/>
      </c>
      <c r="Q21">
        <f>IF(Y16&gt;=5,MATCH(Q16*100+5,tblVideos[Cal Key],0),"")</f>
        <v/>
      </c>
      <c r="S21">
        <f>IF(K21="","",IFERROR(MATCH(INDEX(tblVideos[Channel ID],K21),tblChannels[Channel ID],0),""))</f>
        <v/>
      </c>
      <c r="T21">
        <f>IF(L21="","",IFERROR(MATCH(INDEX(tblVideos[Channel ID],L21),tblChannels[Channel ID],0),""))</f>
        <v/>
      </c>
      <c r="U21">
        <f>IF(M21="","",IFERROR(MATCH(INDEX(tblVideos[Channel ID],M21),tblChannels[Channel ID],0),""))</f>
        <v/>
      </c>
      <c r="V21">
        <f>IF(N21="","",IFERROR(MATCH(INDEX(tblVideos[Channel ID],N21),tblChannels[Channel ID],0),""))</f>
        <v/>
      </c>
      <c r="W21">
        <f>IF(O21="","",IFERROR(MATCH(INDEX(tblVideos[Channel ID],O21),tblChannels[Channel ID],0),""))</f>
        <v/>
      </c>
      <c r="X21">
        <f>IF(P21="","",IFERROR(MATCH(INDEX(tblVideos[Channel ID],P21),tblChannels[Channel ID],0),""))</f>
        <v/>
      </c>
      <c r="Y21">
        <f>IF(Q21="","",IFERROR(MATCH(INDEX(tblVideos[Channel ID],Q21),tblChannels[Channel ID],0),""))</f>
        <v/>
      </c>
    </row>
    <row r="22" ht="18" customHeight="1">
      <c r="B22" s="66">
        <f>IF(MONTH(K22)=MONTH($K$2),DAY(K22)&amp;IF(S22&gt;0,"   ·   "&amp;S22&amp;IF(S22=1," video"," videos")&amp;"   ·   "&amp;TEXT(AA22,"[h]:mm")&amp;IF(S22&gt;5,"   (+"&amp;(S22-5)&amp;" more)",""),""),"")</f>
        <v/>
      </c>
      <c r="C22" s="66">
        <f>IF(MONTH(L22)=MONTH($K$2),DAY(L22)&amp;IF(T22&gt;0,"   ·   "&amp;T22&amp;IF(T22=1," video"," videos")&amp;"   ·   "&amp;TEXT(AB22,"[h]:mm")&amp;IF(T22&gt;5,"   (+"&amp;(T22-5)&amp;" more)",""),""),"")</f>
        <v/>
      </c>
      <c r="D22" s="66">
        <f>IF(MONTH(M22)=MONTH($K$2),DAY(M22)&amp;IF(U22&gt;0,"   ·   "&amp;U22&amp;IF(U22=1," video"," videos")&amp;"   ·   "&amp;TEXT(AC22,"[h]:mm")&amp;IF(U22&gt;5,"   (+"&amp;(U22-5)&amp;" more)",""),""),"")</f>
        <v/>
      </c>
      <c r="E22" s="66">
        <f>IF(MONTH(N22)=MONTH($K$2),DAY(N22)&amp;IF(V22&gt;0,"   ·   "&amp;V22&amp;IF(V22=1," video"," videos")&amp;"   ·   "&amp;TEXT(AD22,"[h]:mm")&amp;IF(V22&gt;5,"   (+"&amp;(V22-5)&amp;" more)",""),""),"")</f>
        <v/>
      </c>
      <c r="F22" s="66">
        <f>IF(MONTH(O22)=MONTH($K$2),DAY(O22)&amp;IF(W22&gt;0,"   ·   "&amp;W22&amp;IF(W22=1," video"," videos")&amp;"   ·   "&amp;TEXT(AE22,"[h]:mm")&amp;IF(W22&gt;5,"   (+"&amp;(W22-5)&amp;" more)",""),""),"")</f>
        <v/>
      </c>
      <c r="G22" s="66">
        <f>IF(MONTH(P22)=MONTH($K$2),DAY(P22)&amp;IF(X22&gt;0,"   ·   "&amp;X22&amp;IF(X22=1," video"," videos")&amp;"   ·   "&amp;TEXT(AF22,"[h]:mm")&amp;IF(X22&gt;5,"   (+"&amp;(X22-5)&amp;" more)",""),""),"")</f>
        <v/>
      </c>
      <c r="H22" s="66">
        <f>IF(MONTH(Q22)=MONTH($K$2),DAY(Q22)&amp;IF(Y22&gt;0,"   ·   "&amp;Y22&amp;IF(Y22=1," video"," videos")&amp;"   ·   "&amp;TEXT(AG22,"[h]:mm")&amp;IF(Y22&gt;5,"   (+"&amp;(Y22-5)&amp;" more)",""),""),"")</f>
        <v/>
      </c>
      <c r="K22" s="56">
        <f>$K$3+14</f>
        <v/>
      </c>
      <c r="L22" s="56">
        <f>$K$3+15</f>
        <v/>
      </c>
      <c r="M22" s="56">
        <f>$K$3+16</f>
        <v/>
      </c>
      <c r="N22" s="56">
        <f>$K$3+17</f>
        <v/>
      </c>
      <c r="O22" s="56">
        <f>$K$3+18</f>
        <v/>
      </c>
      <c r="P22" s="56">
        <f>$K$3+19</f>
        <v/>
      </c>
      <c r="Q22" s="56">
        <f>$K$3+20</f>
        <v/>
      </c>
      <c r="S22">
        <f>IF(MONTH(K22)=MONTH($K$2),COUNTIFS(tblVideos[Day],K22,tblVideos[Channel ID],$K$4),0)</f>
        <v/>
      </c>
      <c r="T22">
        <f>IF(MONTH(L22)=MONTH($K$2),COUNTIFS(tblVideos[Day],L22,tblVideos[Channel ID],$K$4),0)</f>
        <v/>
      </c>
      <c r="U22">
        <f>IF(MONTH(M22)=MONTH($K$2),COUNTIFS(tblVideos[Day],M22,tblVideos[Channel ID],$K$4),0)</f>
        <v/>
      </c>
      <c r="V22">
        <f>IF(MONTH(N22)=MONTH($K$2),COUNTIFS(tblVideos[Day],N22,tblVideos[Channel ID],$K$4),0)</f>
        <v/>
      </c>
      <c r="W22">
        <f>IF(MONTH(O22)=MONTH($K$2),COUNTIFS(tblVideos[Day],O22,tblVideos[Channel ID],$K$4),0)</f>
        <v/>
      </c>
      <c r="X22">
        <f>IF(MONTH(P22)=MONTH($K$2),COUNTIFS(tblVideos[Day],P22,tblVideos[Channel ID],$K$4),0)</f>
        <v/>
      </c>
      <c r="Y22">
        <f>IF(MONTH(Q22)=MONTH($K$2),COUNTIFS(tblVideos[Day],Q22,tblVideos[Channel ID],$K$4),0)</f>
        <v/>
      </c>
      <c r="AA22">
        <f>IF(S22&gt;0,SUMIFS(tblVideos[Length],tblVideos[Day],K22,tblVideos[Channel ID],$K$4),0)</f>
        <v/>
      </c>
      <c r="AB22">
        <f>IF(T22&gt;0,SUMIFS(tblVideos[Length],tblVideos[Day],L22,tblVideos[Channel ID],$K$4),0)</f>
        <v/>
      </c>
      <c r="AC22">
        <f>IF(U22&gt;0,SUMIFS(tblVideos[Length],tblVideos[Day],M22,tblVideos[Channel ID],$K$4),0)</f>
        <v/>
      </c>
      <c r="AD22">
        <f>IF(V22&gt;0,SUMIFS(tblVideos[Length],tblVideos[Day],N22,tblVideos[Channel ID],$K$4),0)</f>
        <v/>
      </c>
      <c r="AE22">
        <f>IF(W22&gt;0,SUMIFS(tblVideos[Length],tblVideos[Day],O22,tblVideos[Channel ID],$K$4),0)</f>
        <v/>
      </c>
      <c r="AF22">
        <f>IF(X22&gt;0,SUMIFS(tblVideos[Length],tblVideos[Day],P22,tblVideos[Channel ID],$K$4),0)</f>
        <v/>
      </c>
      <c r="AG22">
        <f>IF(Y22&gt;0,SUMIFS(tblVideos[Length],tblVideos[Day],Q22,tblVideos[Channel ID],$K$4),0)</f>
        <v/>
      </c>
    </row>
    <row r="23">
      <c r="B23" s="67">
        <f>IF(K23="","",IF(INDEX(tblVideos[Video ID],K23)="",IF(INDEX(tblVideos[Status],K23)="Watched","✓ ","▸ ")&amp;INDEX(tblVideos[Title],K23),HYPERLINK("https://www.youtube.com/watch?v="&amp;INDEX(tblVideos[Video ID],K23),IF(INDEX(tblVideos[Status],K23)="Watched","✓ ","▸ ")&amp;INDEX(tblVideos[Title],K23))))</f>
        <v/>
      </c>
      <c r="C23" s="67">
        <f>IF(L23="","",IF(INDEX(tblVideos[Video ID],L23)="",IF(INDEX(tblVideos[Status],L23)="Watched","✓ ","▸ ")&amp;INDEX(tblVideos[Title],L23),HYPERLINK("https://www.youtube.com/watch?v="&amp;INDEX(tblVideos[Video ID],L23),IF(INDEX(tblVideos[Status],L23)="Watched","✓ ","▸ ")&amp;INDEX(tblVideos[Title],L23))))</f>
        <v/>
      </c>
      <c r="D23" s="67">
        <f>IF(M23="","",IF(INDEX(tblVideos[Video ID],M23)="",IF(INDEX(tblVideos[Status],M23)="Watched","✓ ","▸ ")&amp;INDEX(tblVideos[Title],M23),HYPERLINK("https://www.youtube.com/watch?v="&amp;INDEX(tblVideos[Video ID],M23),IF(INDEX(tblVideos[Status],M23)="Watched","✓ ","▸ ")&amp;INDEX(tblVideos[Title],M23))))</f>
        <v/>
      </c>
      <c r="E23" s="67">
        <f>IF(N23="","",IF(INDEX(tblVideos[Video ID],N23)="",IF(INDEX(tblVideos[Status],N23)="Watched","✓ ","▸ ")&amp;INDEX(tblVideos[Title],N23),HYPERLINK("https://www.youtube.com/watch?v="&amp;INDEX(tblVideos[Video ID],N23),IF(INDEX(tblVideos[Status],N23)="Watched","✓ ","▸ ")&amp;INDEX(tblVideos[Title],N23))))</f>
        <v/>
      </c>
      <c r="F23" s="67">
        <f>IF(O23="","",IF(INDEX(tblVideos[Video ID],O23)="",IF(INDEX(tblVideos[Status],O23)="Watched","✓ ","▸ ")&amp;INDEX(tblVideos[Title],O23),HYPERLINK("https://www.youtube.com/watch?v="&amp;INDEX(tblVideos[Video ID],O23),IF(INDEX(tblVideos[Status],O23)="Watched","✓ ","▸ ")&amp;INDEX(tblVideos[Title],O23))))</f>
        <v/>
      </c>
      <c r="G23" s="67">
        <f>IF(P23="","",IF(INDEX(tblVideos[Video ID],P23)="",IF(INDEX(tblVideos[Status],P23)="Watched","✓ ","▸ ")&amp;INDEX(tblVideos[Title],P23),HYPERLINK("https://www.youtube.com/watch?v="&amp;INDEX(tblVideos[Video ID],P23),IF(INDEX(tblVideos[Status],P23)="Watched","✓ ","▸ ")&amp;INDEX(tblVideos[Title],P23))))</f>
        <v/>
      </c>
      <c r="H23" s="67">
        <f>IF(Q23="","",IF(INDEX(tblVideos[Video ID],Q23)="",IF(INDEX(tblVideos[Status],Q23)="Watched","✓ ","▸ ")&amp;INDEX(tblVideos[Title],Q23),HYPERLINK("https://www.youtube.com/watch?v="&amp;INDEX(tblVideos[Video ID],Q23),IF(INDEX(tblVideos[Status],Q23)="Watched","✓ ","▸ ")&amp;INDEX(tblVideos[Title],Q23))))</f>
        <v/>
      </c>
      <c r="K23">
        <f>IF(S22&gt;=1,MATCH(K22*100+1,tblVideos[Cal Key],0),"")</f>
        <v/>
      </c>
      <c r="L23">
        <f>IF(T22&gt;=1,MATCH(L22*100+1,tblVideos[Cal Key],0),"")</f>
        <v/>
      </c>
      <c r="M23">
        <f>IF(U22&gt;=1,MATCH(M22*100+1,tblVideos[Cal Key],0),"")</f>
        <v/>
      </c>
      <c r="N23">
        <f>IF(V22&gt;=1,MATCH(N22*100+1,tblVideos[Cal Key],0),"")</f>
        <v/>
      </c>
      <c r="O23">
        <f>IF(W22&gt;=1,MATCH(O22*100+1,tblVideos[Cal Key],0),"")</f>
        <v/>
      </c>
      <c r="P23">
        <f>IF(X22&gt;=1,MATCH(P22*100+1,tblVideos[Cal Key],0),"")</f>
        <v/>
      </c>
      <c r="Q23">
        <f>IF(Y22&gt;=1,MATCH(Q22*100+1,tblVideos[Cal Key],0),"")</f>
        <v/>
      </c>
      <c r="S23">
        <f>IF(K23="","",IFERROR(MATCH(INDEX(tblVideos[Channel ID],K23),tblChannels[Channel ID],0),""))</f>
        <v/>
      </c>
      <c r="T23">
        <f>IF(L23="","",IFERROR(MATCH(INDEX(tblVideos[Channel ID],L23),tblChannels[Channel ID],0),""))</f>
        <v/>
      </c>
      <c r="U23">
        <f>IF(M23="","",IFERROR(MATCH(INDEX(tblVideos[Channel ID],M23),tblChannels[Channel ID],0),""))</f>
        <v/>
      </c>
      <c r="V23">
        <f>IF(N23="","",IFERROR(MATCH(INDEX(tblVideos[Channel ID],N23),tblChannels[Channel ID],0),""))</f>
        <v/>
      </c>
      <c r="W23">
        <f>IF(O23="","",IFERROR(MATCH(INDEX(tblVideos[Channel ID],O23),tblChannels[Channel ID],0),""))</f>
        <v/>
      </c>
      <c r="X23">
        <f>IF(P23="","",IFERROR(MATCH(INDEX(tblVideos[Channel ID],P23),tblChannels[Channel ID],0),""))</f>
        <v/>
      </c>
      <c r="Y23">
        <f>IF(Q23="","",IFERROR(MATCH(INDEX(tblVideos[Channel ID],Q23),tblChannels[Channel ID],0),""))</f>
        <v/>
      </c>
    </row>
    <row r="24">
      <c r="B24" s="67">
        <f>IF(K24="","",IF(INDEX(tblVideos[Video ID],K24)="",IF(INDEX(tblVideos[Status],K24)="Watched","✓ ","▸ ")&amp;INDEX(tblVideos[Title],K24),HYPERLINK("https://www.youtube.com/watch?v="&amp;INDEX(tblVideos[Video ID],K24),IF(INDEX(tblVideos[Status],K24)="Watched","✓ ","▸ ")&amp;INDEX(tblVideos[Title],K24))))</f>
        <v/>
      </c>
      <c r="C24" s="67">
        <f>IF(L24="","",IF(INDEX(tblVideos[Video ID],L24)="",IF(INDEX(tblVideos[Status],L24)="Watched","✓ ","▸ ")&amp;INDEX(tblVideos[Title],L24),HYPERLINK("https://www.youtube.com/watch?v="&amp;INDEX(tblVideos[Video ID],L24),IF(INDEX(tblVideos[Status],L24)="Watched","✓ ","▸ ")&amp;INDEX(tblVideos[Title],L24))))</f>
        <v/>
      </c>
      <c r="D24" s="67">
        <f>IF(M24="","",IF(INDEX(tblVideos[Video ID],M24)="",IF(INDEX(tblVideos[Status],M24)="Watched","✓ ","▸ ")&amp;INDEX(tblVideos[Title],M24),HYPERLINK("https://www.youtube.com/watch?v="&amp;INDEX(tblVideos[Video ID],M24),IF(INDEX(tblVideos[Status],M24)="Watched","✓ ","▸ ")&amp;INDEX(tblVideos[Title],M24))))</f>
        <v/>
      </c>
      <c r="E24" s="67">
        <f>IF(N24="","",IF(INDEX(tblVideos[Video ID],N24)="",IF(INDEX(tblVideos[Status],N24)="Watched","✓ ","▸ ")&amp;INDEX(tblVideos[Title],N24),HYPERLINK("https://www.youtube.com/watch?v="&amp;INDEX(tblVideos[Video ID],N24),IF(INDEX(tblVideos[Status],N24)="Watched","✓ ","▸ ")&amp;INDEX(tblVideos[Title],N24))))</f>
        <v/>
      </c>
      <c r="F24" s="67">
        <f>IF(O24="","",IF(INDEX(tblVideos[Video ID],O24)="",IF(INDEX(tblVideos[Status],O24)="Watched","✓ ","▸ ")&amp;INDEX(tblVideos[Title],O24),HYPERLINK("https://www.youtube.com/watch?v="&amp;INDEX(tblVideos[Video ID],O24),IF(INDEX(tblVideos[Status],O24)="Watched","✓ ","▸ ")&amp;INDEX(tblVideos[Title],O24))))</f>
        <v/>
      </c>
      <c r="G24" s="67">
        <f>IF(P24="","",IF(INDEX(tblVideos[Video ID],P24)="",IF(INDEX(tblVideos[Status],P24)="Watched","✓ ","▸ ")&amp;INDEX(tblVideos[Title],P24),HYPERLINK("https://www.youtube.com/watch?v="&amp;INDEX(tblVideos[Video ID],P24),IF(INDEX(tblVideos[Status],P24)="Watched","✓ ","▸ ")&amp;INDEX(tblVideos[Title],P24))))</f>
        <v/>
      </c>
      <c r="H24" s="67">
        <f>IF(Q24="","",IF(INDEX(tblVideos[Video ID],Q24)="",IF(INDEX(tblVideos[Status],Q24)="Watched","✓ ","▸ ")&amp;INDEX(tblVideos[Title],Q24),HYPERLINK("https://www.youtube.com/watch?v="&amp;INDEX(tblVideos[Video ID],Q24),IF(INDEX(tblVideos[Status],Q24)="Watched","✓ ","▸ ")&amp;INDEX(tblVideos[Title],Q24))))</f>
        <v/>
      </c>
      <c r="K24">
        <f>IF(S22&gt;=2,MATCH(K22*100+2,tblVideos[Cal Key],0),"")</f>
        <v/>
      </c>
      <c r="L24">
        <f>IF(T22&gt;=2,MATCH(L22*100+2,tblVideos[Cal Key],0),"")</f>
        <v/>
      </c>
      <c r="M24">
        <f>IF(U22&gt;=2,MATCH(M22*100+2,tblVideos[Cal Key],0),"")</f>
        <v/>
      </c>
      <c r="N24">
        <f>IF(V22&gt;=2,MATCH(N22*100+2,tblVideos[Cal Key],0),"")</f>
        <v/>
      </c>
      <c r="O24">
        <f>IF(W22&gt;=2,MATCH(O22*100+2,tblVideos[Cal Key],0),"")</f>
        <v/>
      </c>
      <c r="P24">
        <f>IF(X22&gt;=2,MATCH(P22*100+2,tblVideos[Cal Key],0),"")</f>
        <v/>
      </c>
      <c r="Q24">
        <f>IF(Y22&gt;=2,MATCH(Q22*100+2,tblVideos[Cal Key],0),"")</f>
        <v/>
      </c>
      <c r="S24">
        <f>IF(K24="","",IFERROR(MATCH(INDEX(tblVideos[Channel ID],K24),tblChannels[Channel ID],0),""))</f>
        <v/>
      </c>
      <c r="T24">
        <f>IF(L24="","",IFERROR(MATCH(INDEX(tblVideos[Channel ID],L24),tblChannels[Channel ID],0),""))</f>
        <v/>
      </c>
      <c r="U24">
        <f>IF(M24="","",IFERROR(MATCH(INDEX(tblVideos[Channel ID],M24),tblChannels[Channel ID],0),""))</f>
        <v/>
      </c>
      <c r="V24">
        <f>IF(N24="","",IFERROR(MATCH(INDEX(tblVideos[Channel ID],N24),tblChannels[Channel ID],0),""))</f>
        <v/>
      </c>
      <c r="W24">
        <f>IF(O24="","",IFERROR(MATCH(INDEX(tblVideos[Channel ID],O24),tblChannels[Channel ID],0),""))</f>
        <v/>
      </c>
      <c r="X24">
        <f>IF(P24="","",IFERROR(MATCH(INDEX(tblVideos[Channel ID],P24),tblChannels[Channel ID],0),""))</f>
        <v/>
      </c>
      <c r="Y24">
        <f>IF(Q24="","",IFERROR(MATCH(INDEX(tblVideos[Channel ID],Q24),tblChannels[Channel ID],0),""))</f>
        <v/>
      </c>
    </row>
    <row r="25">
      <c r="B25" s="67">
        <f>IF(K25="","",IF(INDEX(tblVideos[Video ID],K25)="",IF(INDEX(tblVideos[Status],K25)="Watched","✓ ","▸ ")&amp;INDEX(tblVideos[Title],K25),HYPERLINK("https://www.youtube.com/watch?v="&amp;INDEX(tblVideos[Video ID],K25),IF(INDEX(tblVideos[Status],K25)="Watched","✓ ","▸ ")&amp;INDEX(tblVideos[Title],K25))))</f>
        <v/>
      </c>
      <c r="C25" s="67">
        <f>IF(L25="","",IF(INDEX(tblVideos[Video ID],L25)="",IF(INDEX(tblVideos[Status],L25)="Watched","✓ ","▸ ")&amp;INDEX(tblVideos[Title],L25),HYPERLINK("https://www.youtube.com/watch?v="&amp;INDEX(tblVideos[Video ID],L25),IF(INDEX(tblVideos[Status],L25)="Watched","✓ ","▸ ")&amp;INDEX(tblVideos[Title],L25))))</f>
        <v/>
      </c>
      <c r="D25" s="67">
        <f>IF(M25="","",IF(INDEX(tblVideos[Video ID],M25)="",IF(INDEX(tblVideos[Status],M25)="Watched","✓ ","▸ ")&amp;INDEX(tblVideos[Title],M25),HYPERLINK("https://www.youtube.com/watch?v="&amp;INDEX(tblVideos[Video ID],M25),IF(INDEX(tblVideos[Status],M25)="Watched","✓ ","▸ ")&amp;INDEX(tblVideos[Title],M25))))</f>
        <v/>
      </c>
      <c r="E25" s="67">
        <f>IF(N25="","",IF(INDEX(tblVideos[Video ID],N25)="",IF(INDEX(tblVideos[Status],N25)="Watched","✓ ","▸ ")&amp;INDEX(tblVideos[Title],N25),HYPERLINK("https://www.youtube.com/watch?v="&amp;INDEX(tblVideos[Video ID],N25),IF(INDEX(tblVideos[Status],N25)="Watched","✓ ","▸ ")&amp;INDEX(tblVideos[Title],N25))))</f>
        <v/>
      </c>
      <c r="F25" s="67">
        <f>IF(O25="","",IF(INDEX(tblVideos[Video ID],O25)="",IF(INDEX(tblVideos[Status],O25)="Watched","✓ ","▸ ")&amp;INDEX(tblVideos[Title],O25),HYPERLINK("https://www.youtube.com/watch?v="&amp;INDEX(tblVideos[Video ID],O25),IF(INDEX(tblVideos[Status],O25)="Watched","✓ ","▸ ")&amp;INDEX(tblVideos[Title],O25))))</f>
        <v/>
      </c>
      <c r="G25" s="67">
        <f>IF(P25="","",IF(INDEX(tblVideos[Video ID],P25)="",IF(INDEX(tblVideos[Status],P25)="Watched","✓ ","▸ ")&amp;INDEX(tblVideos[Title],P25),HYPERLINK("https://www.youtube.com/watch?v="&amp;INDEX(tblVideos[Video ID],P25),IF(INDEX(tblVideos[Status],P25)="Watched","✓ ","▸ ")&amp;INDEX(tblVideos[Title],P25))))</f>
        <v/>
      </c>
      <c r="H25" s="67">
        <f>IF(Q25="","",IF(INDEX(tblVideos[Video ID],Q25)="",IF(INDEX(tblVideos[Status],Q25)="Watched","✓ ","▸ ")&amp;INDEX(tblVideos[Title],Q25),HYPERLINK("https://www.youtube.com/watch?v="&amp;INDEX(tblVideos[Video ID],Q25),IF(INDEX(tblVideos[Status],Q25)="Watched","✓ ","▸ ")&amp;INDEX(tblVideos[Title],Q25))))</f>
        <v/>
      </c>
      <c r="K25">
        <f>IF(S22&gt;=3,MATCH(K22*100+3,tblVideos[Cal Key],0),"")</f>
        <v/>
      </c>
      <c r="L25">
        <f>IF(T22&gt;=3,MATCH(L22*100+3,tblVideos[Cal Key],0),"")</f>
        <v/>
      </c>
      <c r="M25">
        <f>IF(U22&gt;=3,MATCH(M22*100+3,tblVideos[Cal Key],0),"")</f>
        <v/>
      </c>
      <c r="N25">
        <f>IF(V22&gt;=3,MATCH(N22*100+3,tblVideos[Cal Key],0),"")</f>
        <v/>
      </c>
      <c r="O25">
        <f>IF(W22&gt;=3,MATCH(O22*100+3,tblVideos[Cal Key],0),"")</f>
        <v/>
      </c>
      <c r="P25">
        <f>IF(X22&gt;=3,MATCH(P22*100+3,tblVideos[Cal Key],0),"")</f>
        <v/>
      </c>
      <c r="Q25">
        <f>IF(Y22&gt;=3,MATCH(Q22*100+3,tblVideos[Cal Key],0),"")</f>
        <v/>
      </c>
      <c r="S25">
        <f>IF(K25="","",IFERROR(MATCH(INDEX(tblVideos[Channel ID],K25),tblChannels[Channel ID],0),""))</f>
        <v/>
      </c>
      <c r="T25">
        <f>IF(L25="","",IFERROR(MATCH(INDEX(tblVideos[Channel ID],L25),tblChannels[Channel ID],0),""))</f>
        <v/>
      </c>
      <c r="U25">
        <f>IF(M25="","",IFERROR(MATCH(INDEX(tblVideos[Channel ID],M25),tblChannels[Channel ID],0),""))</f>
        <v/>
      </c>
      <c r="V25">
        <f>IF(N25="","",IFERROR(MATCH(INDEX(tblVideos[Channel ID],N25),tblChannels[Channel ID],0),""))</f>
        <v/>
      </c>
      <c r="W25">
        <f>IF(O25="","",IFERROR(MATCH(INDEX(tblVideos[Channel ID],O25),tblChannels[Channel ID],0),""))</f>
        <v/>
      </c>
      <c r="X25">
        <f>IF(P25="","",IFERROR(MATCH(INDEX(tblVideos[Channel ID],P25),tblChannels[Channel ID],0),""))</f>
        <v/>
      </c>
      <c r="Y25">
        <f>IF(Q25="","",IFERROR(MATCH(INDEX(tblVideos[Channel ID],Q25),tblChannels[Channel ID],0),""))</f>
        <v/>
      </c>
    </row>
    <row r="26">
      <c r="B26" s="67">
        <f>IF(K26="","",IF(INDEX(tblVideos[Video ID],K26)="",IF(INDEX(tblVideos[Status],K26)="Watched","✓ ","▸ ")&amp;INDEX(tblVideos[Title],K26),HYPERLINK("https://www.youtube.com/watch?v="&amp;INDEX(tblVideos[Video ID],K26),IF(INDEX(tblVideos[Status],K26)="Watched","✓ ","▸ ")&amp;INDEX(tblVideos[Title],K26))))</f>
        <v/>
      </c>
      <c r="C26" s="67">
        <f>IF(L26="","",IF(INDEX(tblVideos[Video ID],L26)="",IF(INDEX(tblVideos[Status],L26)="Watched","✓ ","▸ ")&amp;INDEX(tblVideos[Title],L26),HYPERLINK("https://www.youtube.com/watch?v="&amp;INDEX(tblVideos[Video ID],L26),IF(INDEX(tblVideos[Status],L26)="Watched","✓ ","▸ ")&amp;INDEX(tblVideos[Title],L26))))</f>
        <v/>
      </c>
      <c r="D26" s="67">
        <f>IF(M26="","",IF(INDEX(tblVideos[Video ID],M26)="",IF(INDEX(tblVideos[Status],M26)="Watched","✓ ","▸ ")&amp;INDEX(tblVideos[Title],M26),HYPERLINK("https://www.youtube.com/watch?v="&amp;INDEX(tblVideos[Video ID],M26),IF(INDEX(tblVideos[Status],M26)="Watched","✓ ","▸ ")&amp;INDEX(tblVideos[Title],M26))))</f>
        <v/>
      </c>
      <c r="E26" s="67">
        <f>IF(N26="","",IF(INDEX(tblVideos[Video ID],N26)="",IF(INDEX(tblVideos[Status],N26)="Watched","✓ ","▸ ")&amp;INDEX(tblVideos[Title],N26),HYPERLINK("https://www.youtube.com/watch?v="&amp;INDEX(tblVideos[Video ID],N26),IF(INDEX(tblVideos[Status],N26)="Watched","✓ ","▸ ")&amp;INDEX(tblVideos[Title],N26))))</f>
        <v/>
      </c>
      <c r="F26" s="67">
        <f>IF(O26="","",IF(INDEX(tblVideos[Video ID],O26)="",IF(INDEX(tblVideos[Status],O26)="Watched","✓ ","▸ ")&amp;INDEX(tblVideos[Title],O26),HYPERLINK("https://www.youtube.com/watch?v="&amp;INDEX(tblVideos[Video ID],O26),IF(INDEX(tblVideos[Status],O26)="Watched","✓ ","▸ ")&amp;INDEX(tblVideos[Title],O26))))</f>
        <v/>
      </c>
      <c r="G26" s="67">
        <f>IF(P26="","",IF(INDEX(tblVideos[Video ID],P26)="",IF(INDEX(tblVideos[Status],P26)="Watched","✓ ","▸ ")&amp;INDEX(tblVideos[Title],P26),HYPERLINK("https://www.youtube.com/watch?v="&amp;INDEX(tblVideos[Video ID],P26),IF(INDEX(tblVideos[Status],P26)="Watched","✓ ","▸ ")&amp;INDEX(tblVideos[Title],P26))))</f>
        <v/>
      </c>
      <c r="H26" s="67">
        <f>IF(Q26="","",IF(INDEX(tblVideos[Video ID],Q26)="",IF(INDEX(tblVideos[Status],Q26)="Watched","✓ ","▸ ")&amp;INDEX(tblVideos[Title],Q26),HYPERLINK("https://www.youtube.com/watch?v="&amp;INDEX(tblVideos[Video ID],Q26),IF(INDEX(tblVideos[Status],Q26)="Watched","✓ ","▸ ")&amp;INDEX(tblVideos[Title],Q26))))</f>
        <v/>
      </c>
      <c r="K26">
        <f>IF(S22&gt;=4,MATCH(K22*100+4,tblVideos[Cal Key],0),"")</f>
        <v/>
      </c>
      <c r="L26">
        <f>IF(T22&gt;=4,MATCH(L22*100+4,tblVideos[Cal Key],0),"")</f>
        <v/>
      </c>
      <c r="M26">
        <f>IF(U22&gt;=4,MATCH(M22*100+4,tblVideos[Cal Key],0),"")</f>
        <v/>
      </c>
      <c r="N26">
        <f>IF(V22&gt;=4,MATCH(N22*100+4,tblVideos[Cal Key],0),"")</f>
        <v/>
      </c>
      <c r="O26">
        <f>IF(W22&gt;=4,MATCH(O22*100+4,tblVideos[Cal Key],0),"")</f>
        <v/>
      </c>
      <c r="P26">
        <f>IF(X22&gt;=4,MATCH(P22*100+4,tblVideos[Cal Key],0),"")</f>
        <v/>
      </c>
      <c r="Q26">
        <f>IF(Y22&gt;=4,MATCH(Q22*100+4,tblVideos[Cal Key],0),"")</f>
        <v/>
      </c>
      <c r="S26">
        <f>IF(K26="","",IFERROR(MATCH(INDEX(tblVideos[Channel ID],K26),tblChannels[Channel ID],0),""))</f>
        <v/>
      </c>
      <c r="T26">
        <f>IF(L26="","",IFERROR(MATCH(INDEX(tblVideos[Channel ID],L26),tblChannels[Channel ID],0),""))</f>
        <v/>
      </c>
      <c r="U26">
        <f>IF(M26="","",IFERROR(MATCH(INDEX(tblVideos[Channel ID],M26),tblChannels[Channel ID],0),""))</f>
        <v/>
      </c>
      <c r="V26">
        <f>IF(N26="","",IFERROR(MATCH(INDEX(tblVideos[Channel ID],N26),tblChannels[Channel ID],0),""))</f>
        <v/>
      </c>
      <c r="W26">
        <f>IF(O26="","",IFERROR(MATCH(INDEX(tblVideos[Channel ID],O26),tblChannels[Channel ID],0),""))</f>
        <v/>
      </c>
      <c r="X26">
        <f>IF(P26="","",IFERROR(MATCH(INDEX(tblVideos[Channel ID],P26),tblChannels[Channel ID],0),""))</f>
        <v/>
      </c>
      <c r="Y26">
        <f>IF(Q26="","",IFERROR(MATCH(INDEX(tblVideos[Channel ID],Q26),tblChannels[Channel ID],0),""))</f>
        <v/>
      </c>
    </row>
    <row r="27">
      <c r="B27" s="67">
        <f>IF(K27="","",IF(INDEX(tblVideos[Video ID],K27)="",IF(INDEX(tblVideos[Status],K27)="Watched","✓ ","▸ ")&amp;INDEX(tblVideos[Title],K27),HYPERLINK("https://www.youtube.com/watch?v="&amp;INDEX(tblVideos[Video ID],K27),IF(INDEX(tblVideos[Status],K27)="Watched","✓ ","▸ ")&amp;INDEX(tblVideos[Title],K27))))</f>
        <v/>
      </c>
      <c r="C27" s="67">
        <f>IF(L27="","",IF(INDEX(tblVideos[Video ID],L27)="",IF(INDEX(tblVideos[Status],L27)="Watched","✓ ","▸ ")&amp;INDEX(tblVideos[Title],L27),HYPERLINK("https://www.youtube.com/watch?v="&amp;INDEX(tblVideos[Video ID],L27),IF(INDEX(tblVideos[Status],L27)="Watched","✓ ","▸ ")&amp;INDEX(tblVideos[Title],L27))))</f>
        <v/>
      </c>
      <c r="D27" s="67">
        <f>IF(M27="","",IF(INDEX(tblVideos[Video ID],M27)="",IF(INDEX(tblVideos[Status],M27)="Watched","✓ ","▸ ")&amp;INDEX(tblVideos[Title],M27),HYPERLINK("https://www.youtube.com/watch?v="&amp;INDEX(tblVideos[Video ID],M27),IF(INDEX(tblVideos[Status],M27)="Watched","✓ ","▸ ")&amp;INDEX(tblVideos[Title],M27))))</f>
        <v/>
      </c>
      <c r="E27" s="67">
        <f>IF(N27="","",IF(INDEX(tblVideos[Video ID],N27)="",IF(INDEX(tblVideos[Status],N27)="Watched","✓ ","▸ ")&amp;INDEX(tblVideos[Title],N27),HYPERLINK("https://www.youtube.com/watch?v="&amp;INDEX(tblVideos[Video ID],N27),IF(INDEX(tblVideos[Status],N27)="Watched","✓ ","▸ ")&amp;INDEX(tblVideos[Title],N27))))</f>
        <v/>
      </c>
      <c r="F27" s="67">
        <f>IF(O27="","",IF(INDEX(tblVideos[Video ID],O27)="",IF(INDEX(tblVideos[Status],O27)="Watched","✓ ","▸ ")&amp;INDEX(tblVideos[Title],O27),HYPERLINK("https://www.youtube.com/watch?v="&amp;INDEX(tblVideos[Video ID],O27),IF(INDEX(tblVideos[Status],O27)="Watched","✓ ","▸ ")&amp;INDEX(tblVideos[Title],O27))))</f>
        <v/>
      </c>
      <c r="G27" s="67">
        <f>IF(P27="","",IF(INDEX(tblVideos[Video ID],P27)="",IF(INDEX(tblVideos[Status],P27)="Watched","✓ ","▸ ")&amp;INDEX(tblVideos[Title],P27),HYPERLINK("https://www.youtube.com/watch?v="&amp;INDEX(tblVideos[Video ID],P27),IF(INDEX(tblVideos[Status],P27)="Watched","✓ ","▸ ")&amp;INDEX(tblVideos[Title],P27))))</f>
        <v/>
      </c>
      <c r="H27" s="67">
        <f>IF(Q27="","",IF(INDEX(tblVideos[Video ID],Q27)="",IF(INDEX(tblVideos[Status],Q27)="Watched","✓ ","▸ ")&amp;INDEX(tblVideos[Title],Q27),HYPERLINK("https://www.youtube.com/watch?v="&amp;INDEX(tblVideos[Video ID],Q27),IF(INDEX(tblVideos[Status],Q27)="Watched","✓ ","▸ ")&amp;INDEX(tblVideos[Title],Q27))))</f>
        <v/>
      </c>
      <c r="K27">
        <f>IF(S22&gt;=5,MATCH(K22*100+5,tblVideos[Cal Key],0),"")</f>
        <v/>
      </c>
      <c r="L27">
        <f>IF(T22&gt;=5,MATCH(L22*100+5,tblVideos[Cal Key],0),"")</f>
        <v/>
      </c>
      <c r="M27">
        <f>IF(U22&gt;=5,MATCH(M22*100+5,tblVideos[Cal Key],0),"")</f>
        <v/>
      </c>
      <c r="N27">
        <f>IF(V22&gt;=5,MATCH(N22*100+5,tblVideos[Cal Key],0),"")</f>
        <v/>
      </c>
      <c r="O27">
        <f>IF(W22&gt;=5,MATCH(O22*100+5,tblVideos[Cal Key],0),"")</f>
        <v/>
      </c>
      <c r="P27">
        <f>IF(X22&gt;=5,MATCH(P22*100+5,tblVideos[Cal Key],0),"")</f>
        <v/>
      </c>
      <c r="Q27">
        <f>IF(Y22&gt;=5,MATCH(Q22*100+5,tblVideos[Cal Key],0),"")</f>
        <v/>
      </c>
      <c r="S27">
        <f>IF(K27="","",IFERROR(MATCH(INDEX(tblVideos[Channel ID],K27),tblChannels[Channel ID],0),""))</f>
        <v/>
      </c>
      <c r="T27">
        <f>IF(L27="","",IFERROR(MATCH(INDEX(tblVideos[Channel ID],L27),tblChannels[Channel ID],0),""))</f>
        <v/>
      </c>
      <c r="U27">
        <f>IF(M27="","",IFERROR(MATCH(INDEX(tblVideos[Channel ID],M27),tblChannels[Channel ID],0),""))</f>
        <v/>
      </c>
      <c r="V27">
        <f>IF(N27="","",IFERROR(MATCH(INDEX(tblVideos[Channel ID],N27),tblChannels[Channel ID],0),""))</f>
        <v/>
      </c>
      <c r="W27">
        <f>IF(O27="","",IFERROR(MATCH(INDEX(tblVideos[Channel ID],O27),tblChannels[Channel ID],0),""))</f>
        <v/>
      </c>
      <c r="X27">
        <f>IF(P27="","",IFERROR(MATCH(INDEX(tblVideos[Channel ID],P27),tblChannels[Channel ID],0),""))</f>
        <v/>
      </c>
      <c r="Y27">
        <f>IF(Q27="","",IFERROR(MATCH(INDEX(tblVideos[Channel ID],Q27),tblChannels[Channel ID],0),""))</f>
        <v/>
      </c>
    </row>
    <row r="28" ht="18" customHeight="1">
      <c r="B28" s="66">
        <f>IF(MONTH(K28)=MONTH($K$2),DAY(K28)&amp;IF(S28&gt;0,"   ·   "&amp;S28&amp;IF(S28=1," video"," videos")&amp;"   ·   "&amp;TEXT(AA28,"[h]:mm")&amp;IF(S28&gt;5,"   (+"&amp;(S28-5)&amp;" more)",""),""),"")</f>
        <v/>
      </c>
      <c r="C28" s="66">
        <f>IF(MONTH(L28)=MONTH($K$2),DAY(L28)&amp;IF(T28&gt;0,"   ·   "&amp;T28&amp;IF(T28=1," video"," videos")&amp;"   ·   "&amp;TEXT(AB28,"[h]:mm")&amp;IF(T28&gt;5,"   (+"&amp;(T28-5)&amp;" more)",""),""),"")</f>
        <v/>
      </c>
      <c r="D28" s="66">
        <f>IF(MONTH(M28)=MONTH($K$2),DAY(M28)&amp;IF(U28&gt;0,"   ·   "&amp;U28&amp;IF(U28=1," video"," videos")&amp;"   ·   "&amp;TEXT(AC28,"[h]:mm")&amp;IF(U28&gt;5,"   (+"&amp;(U28-5)&amp;" more)",""),""),"")</f>
        <v/>
      </c>
      <c r="E28" s="66">
        <f>IF(MONTH(N28)=MONTH($K$2),DAY(N28)&amp;IF(V28&gt;0,"   ·   "&amp;V28&amp;IF(V28=1," video"," videos")&amp;"   ·   "&amp;TEXT(AD28,"[h]:mm")&amp;IF(V28&gt;5,"   (+"&amp;(V28-5)&amp;" more)",""),""),"")</f>
        <v/>
      </c>
      <c r="F28" s="66">
        <f>IF(MONTH(O28)=MONTH($K$2),DAY(O28)&amp;IF(W28&gt;0,"   ·   "&amp;W28&amp;IF(W28=1," video"," videos")&amp;"   ·   "&amp;TEXT(AE28,"[h]:mm")&amp;IF(W28&gt;5,"   (+"&amp;(W28-5)&amp;" more)",""),""),"")</f>
        <v/>
      </c>
      <c r="G28" s="66">
        <f>IF(MONTH(P28)=MONTH($K$2),DAY(P28)&amp;IF(X28&gt;0,"   ·   "&amp;X28&amp;IF(X28=1," video"," videos")&amp;"   ·   "&amp;TEXT(AF28,"[h]:mm")&amp;IF(X28&gt;5,"   (+"&amp;(X28-5)&amp;" more)",""),""),"")</f>
        <v/>
      </c>
      <c r="H28" s="66">
        <f>IF(MONTH(Q28)=MONTH($K$2),DAY(Q28)&amp;IF(Y28&gt;0,"   ·   "&amp;Y28&amp;IF(Y28=1," video"," videos")&amp;"   ·   "&amp;TEXT(AG28,"[h]:mm")&amp;IF(Y28&gt;5,"   (+"&amp;(Y28-5)&amp;" more)",""),""),"")</f>
        <v/>
      </c>
      <c r="K28" s="56">
        <f>$K$3+21</f>
        <v/>
      </c>
      <c r="L28" s="56">
        <f>$K$3+22</f>
        <v/>
      </c>
      <c r="M28" s="56">
        <f>$K$3+23</f>
        <v/>
      </c>
      <c r="N28" s="56">
        <f>$K$3+24</f>
        <v/>
      </c>
      <c r="O28" s="56">
        <f>$K$3+25</f>
        <v/>
      </c>
      <c r="P28" s="56">
        <f>$K$3+26</f>
        <v/>
      </c>
      <c r="Q28" s="56">
        <f>$K$3+27</f>
        <v/>
      </c>
      <c r="S28">
        <f>IF(MONTH(K28)=MONTH($K$2),COUNTIFS(tblVideos[Day],K28,tblVideos[Channel ID],$K$4),0)</f>
        <v/>
      </c>
      <c r="T28">
        <f>IF(MONTH(L28)=MONTH($K$2),COUNTIFS(tblVideos[Day],L28,tblVideos[Channel ID],$K$4),0)</f>
        <v/>
      </c>
      <c r="U28">
        <f>IF(MONTH(M28)=MONTH($K$2),COUNTIFS(tblVideos[Day],M28,tblVideos[Channel ID],$K$4),0)</f>
        <v/>
      </c>
      <c r="V28">
        <f>IF(MONTH(N28)=MONTH($K$2),COUNTIFS(tblVideos[Day],N28,tblVideos[Channel ID],$K$4),0)</f>
        <v/>
      </c>
      <c r="W28">
        <f>IF(MONTH(O28)=MONTH($K$2),COUNTIFS(tblVideos[Day],O28,tblVideos[Channel ID],$K$4),0)</f>
        <v/>
      </c>
      <c r="X28">
        <f>IF(MONTH(P28)=MONTH($K$2),COUNTIFS(tblVideos[Day],P28,tblVideos[Channel ID],$K$4),0)</f>
        <v/>
      </c>
      <c r="Y28">
        <f>IF(MONTH(Q28)=MONTH($K$2),COUNTIFS(tblVideos[Day],Q28,tblVideos[Channel ID],$K$4),0)</f>
        <v/>
      </c>
      <c r="AA28">
        <f>IF(S28&gt;0,SUMIFS(tblVideos[Length],tblVideos[Day],K28,tblVideos[Channel ID],$K$4),0)</f>
        <v/>
      </c>
      <c r="AB28">
        <f>IF(T28&gt;0,SUMIFS(tblVideos[Length],tblVideos[Day],L28,tblVideos[Channel ID],$K$4),0)</f>
        <v/>
      </c>
      <c r="AC28">
        <f>IF(U28&gt;0,SUMIFS(tblVideos[Length],tblVideos[Day],M28,tblVideos[Channel ID],$K$4),0)</f>
        <v/>
      </c>
      <c r="AD28">
        <f>IF(V28&gt;0,SUMIFS(tblVideos[Length],tblVideos[Day],N28,tblVideos[Channel ID],$K$4),0)</f>
        <v/>
      </c>
      <c r="AE28">
        <f>IF(W28&gt;0,SUMIFS(tblVideos[Length],tblVideos[Day],O28,tblVideos[Channel ID],$K$4),0)</f>
        <v/>
      </c>
      <c r="AF28">
        <f>IF(X28&gt;0,SUMIFS(tblVideos[Length],tblVideos[Day],P28,tblVideos[Channel ID],$K$4),0)</f>
        <v/>
      </c>
      <c r="AG28">
        <f>IF(Y28&gt;0,SUMIFS(tblVideos[Length],tblVideos[Day],Q28,tblVideos[Channel ID],$K$4),0)</f>
        <v/>
      </c>
    </row>
    <row r="29">
      <c r="B29" s="67">
        <f>IF(K29="","",IF(INDEX(tblVideos[Video ID],K29)="",IF(INDEX(tblVideos[Status],K29)="Watched","✓ ","▸ ")&amp;INDEX(tblVideos[Title],K29),HYPERLINK("https://www.youtube.com/watch?v="&amp;INDEX(tblVideos[Video ID],K29),IF(INDEX(tblVideos[Status],K29)="Watched","✓ ","▸ ")&amp;INDEX(tblVideos[Title],K29))))</f>
        <v/>
      </c>
      <c r="C29" s="67">
        <f>IF(L29="","",IF(INDEX(tblVideos[Video ID],L29)="",IF(INDEX(tblVideos[Status],L29)="Watched","✓ ","▸ ")&amp;INDEX(tblVideos[Title],L29),HYPERLINK("https://www.youtube.com/watch?v="&amp;INDEX(tblVideos[Video ID],L29),IF(INDEX(tblVideos[Status],L29)="Watched","✓ ","▸ ")&amp;INDEX(tblVideos[Title],L29))))</f>
        <v/>
      </c>
      <c r="D29" s="67">
        <f>IF(M29="","",IF(INDEX(tblVideos[Video ID],M29)="",IF(INDEX(tblVideos[Status],M29)="Watched","✓ ","▸ ")&amp;INDEX(tblVideos[Title],M29),HYPERLINK("https://www.youtube.com/watch?v="&amp;INDEX(tblVideos[Video ID],M29),IF(INDEX(tblVideos[Status],M29)="Watched","✓ ","▸ ")&amp;INDEX(tblVideos[Title],M29))))</f>
        <v/>
      </c>
      <c r="E29" s="67">
        <f>IF(N29="","",IF(INDEX(tblVideos[Video ID],N29)="",IF(INDEX(tblVideos[Status],N29)="Watched","✓ ","▸ ")&amp;INDEX(tblVideos[Title],N29),HYPERLINK("https://www.youtube.com/watch?v="&amp;INDEX(tblVideos[Video ID],N29),IF(INDEX(tblVideos[Status],N29)="Watched","✓ ","▸ ")&amp;INDEX(tblVideos[Title],N29))))</f>
        <v/>
      </c>
      <c r="F29" s="67">
        <f>IF(O29="","",IF(INDEX(tblVideos[Video ID],O29)="",IF(INDEX(tblVideos[Status],O29)="Watched","✓ ","▸ ")&amp;INDEX(tblVideos[Title],O29),HYPERLINK("https://www.youtube.com/watch?v="&amp;INDEX(tblVideos[Video ID],O29),IF(INDEX(tblVideos[Status],O29)="Watched","✓ ","▸ ")&amp;INDEX(tblVideos[Title],O29))))</f>
        <v/>
      </c>
      <c r="G29" s="67">
        <f>IF(P29="","",IF(INDEX(tblVideos[Video ID],P29)="",IF(INDEX(tblVideos[Status],P29)="Watched","✓ ","▸ ")&amp;INDEX(tblVideos[Title],P29),HYPERLINK("https://www.youtube.com/watch?v="&amp;INDEX(tblVideos[Video ID],P29),IF(INDEX(tblVideos[Status],P29)="Watched","✓ ","▸ ")&amp;INDEX(tblVideos[Title],P29))))</f>
        <v/>
      </c>
      <c r="H29" s="67">
        <f>IF(Q29="","",IF(INDEX(tblVideos[Video ID],Q29)="",IF(INDEX(tblVideos[Status],Q29)="Watched","✓ ","▸ ")&amp;INDEX(tblVideos[Title],Q29),HYPERLINK("https://www.youtube.com/watch?v="&amp;INDEX(tblVideos[Video ID],Q29),IF(INDEX(tblVideos[Status],Q29)="Watched","✓ ","▸ ")&amp;INDEX(tblVideos[Title],Q29))))</f>
        <v/>
      </c>
      <c r="K29">
        <f>IF(S28&gt;=1,MATCH(K28*100+1,tblVideos[Cal Key],0),"")</f>
        <v/>
      </c>
      <c r="L29">
        <f>IF(T28&gt;=1,MATCH(L28*100+1,tblVideos[Cal Key],0),"")</f>
        <v/>
      </c>
      <c r="M29">
        <f>IF(U28&gt;=1,MATCH(M28*100+1,tblVideos[Cal Key],0),"")</f>
        <v/>
      </c>
      <c r="N29">
        <f>IF(V28&gt;=1,MATCH(N28*100+1,tblVideos[Cal Key],0),"")</f>
        <v/>
      </c>
      <c r="O29">
        <f>IF(W28&gt;=1,MATCH(O28*100+1,tblVideos[Cal Key],0),"")</f>
        <v/>
      </c>
      <c r="P29">
        <f>IF(X28&gt;=1,MATCH(P28*100+1,tblVideos[Cal Key],0),"")</f>
        <v/>
      </c>
      <c r="Q29">
        <f>IF(Y28&gt;=1,MATCH(Q28*100+1,tblVideos[Cal Key],0),"")</f>
        <v/>
      </c>
      <c r="S29">
        <f>IF(K29="","",IFERROR(MATCH(INDEX(tblVideos[Channel ID],K29),tblChannels[Channel ID],0),""))</f>
        <v/>
      </c>
      <c r="T29">
        <f>IF(L29="","",IFERROR(MATCH(INDEX(tblVideos[Channel ID],L29),tblChannels[Channel ID],0),""))</f>
        <v/>
      </c>
      <c r="U29">
        <f>IF(M29="","",IFERROR(MATCH(INDEX(tblVideos[Channel ID],M29),tblChannels[Channel ID],0),""))</f>
        <v/>
      </c>
      <c r="V29">
        <f>IF(N29="","",IFERROR(MATCH(INDEX(tblVideos[Channel ID],N29),tblChannels[Channel ID],0),""))</f>
        <v/>
      </c>
      <c r="W29">
        <f>IF(O29="","",IFERROR(MATCH(INDEX(tblVideos[Channel ID],O29),tblChannels[Channel ID],0),""))</f>
        <v/>
      </c>
      <c r="X29">
        <f>IF(P29="","",IFERROR(MATCH(INDEX(tblVideos[Channel ID],P29),tblChannels[Channel ID],0),""))</f>
        <v/>
      </c>
      <c r="Y29">
        <f>IF(Q29="","",IFERROR(MATCH(INDEX(tblVideos[Channel ID],Q29),tblChannels[Channel ID],0),""))</f>
        <v/>
      </c>
    </row>
    <row r="30">
      <c r="B30" s="67">
        <f>IF(K30="","",IF(INDEX(tblVideos[Video ID],K30)="",IF(INDEX(tblVideos[Status],K30)="Watched","✓ ","▸ ")&amp;INDEX(tblVideos[Title],K30),HYPERLINK("https://www.youtube.com/watch?v="&amp;INDEX(tblVideos[Video ID],K30),IF(INDEX(tblVideos[Status],K30)="Watched","✓ ","▸ ")&amp;INDEX(tblVideos[Title],K30))))</f>
        <v/>
      </c>
      <c r="C30" s="67">
        <f>IF(L30="","",IF(INDEX(tblVideos[Video ID],L30)="",IF(INDEX(tblVideos[Status],L30)="Watched","✓ ","▸ ")&amp;INDEX(tblVideos[Title],L30),HYPERLINK("https://www.youtube.com/watch?v="&amp;INDEX(tblVideos[Video ID],L30),IF(INDEX(tblVideos[Status],L30)="Watched","✓ ","▸ ")&amp;INDEX(tblVideos[Title],L30))))</f>
        <v/>
      </c>
      <c r="D30" s="67">
        <f>IF(M30="","",IF(INDEX(tblVideos[Video ID],M30)="",IF(INDEX(tblVideos[Status],M30)="Watched","✓ ","▸ ")&amp;INDEX(tblVideos[Title],M30),HYPERLINK("https://www.youtube.com/watch?v="&amp;INDEX(tblVideos[Video ID],M30),IF(INDEX(tblVideos[Status],M30)="Watched","✓ ","▸ ")&amp;INDEX(tblVideos[Title],M30))))</f>
        <v/>
      </c>
      <c r="E30" s="67">
        <f>IF(N30="","",IF(INDEX(tblVideos[Video ID],N30)="",IF(INDEX(tblVideos[Status],N30)="Watched","✓ ","▸ ")&amp;INDEX(tblVideos[Title],N30),HYPERLINK("https://www.youtube.com/watch?v="&amp;INDEX(tblVideos[Video ID],N30),IF(INDEX(tblVideos[Status],N30)="Watched","✓ ","▸ ")&amp;INDEX(tblVideos[Title],N30))))</f>
        <v/>
      </c>
      <c r="F30" s="67">
        <f>IF(O30="","",IF(INDEX(tblVideos[Video ID],O30)="",IF(INDEX(tblVideos[Status],O30)="Watched","✓ ","▸ ")&amp;INDEX(tblVideos[Title],O30),HYPERLINK("https://www.youtube.com/watch?v="&amp;INDEX(tblVideos[Video ID],O30),IF(INDEX(tblVideos[Status],O30)="Watched","✓ ","▸ ")&amp;INDEX(tblVideos[Title],O30))))</f>
        <v/>
      </c>
      <c r="G30" s="67">
        <f>IF(P30="","",IF(INDEX(tblVideos[Video ID],P30)="",IF(INDEX(tblVideos[Status],P30)="Watched","✓ ","▸ ")&amp;INDEX(tblVideos[Title],P30),HYPERLINK("https://www.youtube.com/watch?v="&amp;INDEX(tblVideos[Video ID],P30),IF(INDEX(tblVideos[Status],P30)="Watched","✓ ","▸ ")&amp;INDEX(tblVideos[Title],P30))))</f>
        <v/>
      </c>
      <c r="H30" s="67">
        <f>IF(Q30="","",IF(INDEX(tblVideos[Video ID],Q30)="",IF(INDEX(tblVideos[Status],Q30)="Watched","✓ ","▸ ")&amp;INDEX(tblVideos[Title],Q30),HYPERLINK("https://www.youtube.com/watch?v="&amp;INDEX(tblVideos[Video ID],Q30),IF(INDEX(tblVideos[Status],Q30)="Watched","✓ ","▸ ")&amp;INDEX(tblVideos[Title],Q30))))</f>
        <v/>
      </c>
      <c r="K30">
        <f>IF(S28&gt;=2,MATCH(K28*100+2,tblVideos[Cal Key],0),"")</f>
        <v/>
      </c>
      <c r="L30">
        <f>IF(T28&gt;=2,MATCH(L28*100+2,tblVideos[Cal Key],0),"")</f>
        <v/>
      </c>
      <c r="M30">
        <f>IF(U28&gt;=2,MATCH(M28*100+2,tblVideos[Cal Key],0),"")</f>
        <v/>
      </c>
      <c r="N30">
        <f>IF(V28&gt;=2,MATCH(N28*100+2,tblVideos[Cal Key],0),"")</f>
        <v/>
      </c>
      <c r="O30">
        <f>IF(W28&gt;=2,MATCH(O28*100+2,tblVideos[Cal Key],0),"")</f>
        <v/>
      </c>
      <c r="P30">
        <f>IF(X28&gt;=2,MATCH(P28*100+2,tblVideos[Cal Key],0),"")</f>
        <v/>
      </c>
      <c r="Q30">
        <f>IF(Y28&gt;=2,MATCH(Q28*100+2,tblVideos[Cal Key],0),"")</f>
        <v/>
      </c>
      <c r="S30">
        <f>IF(K30="","",IFERROR(MATCH(INDEX(tblVideos[Channel ID],K30),tblChannels[Channel ID],0),""))</f>
        <v/>
      </c>
      <c r="T30">
        <f>IF(L30="","",IFERROR(MATCH(INDEX(tblVideos[Channel ID],L30),tblChannels[Channel ID],0),""))</f>
        <v/>
      </c>
      <c r="U30">
        <f>IF(M30="","",IFERROR(MATCH(INDEX(tblVideos[Channel ID],M30),tblChannels[Channel ID],0),""))</f>
        <v/>
      </c>
      <c r="V30">
        <f>IF(N30="","",IFERROR(MATCH(INDEX(tblVideos[Channel ID],N30),tblChannels[Channel ID],0),""))</f>
        <v/>
      </c>
      <c r="W30">
        <f>IF(O30="","",IFERROR(MATCH(INDEX(tblVideos[Channel ID],O30),tblChannels[Channel ID],0),""))</f>
        <v/>
      </c>
      <c r="X30">
        <f>IF(P30="","",IFERROR(MATCH(INDEX(tblVideos[Channel ID],P30),tblChannels[Channel ID],0),""))</f>
        <v/>
      </c>
      <c r="Y30">
        <f>IF(Q30="","",IFERROR(MATCH(INDEX(tblVideos[Channel ID],Q30),tblChannels[Channel ID],0),""))</f>
        <v/>
      </c>
    </row>
    <row r="31">
      <c r="B31" s="67">
        <f>IF(K31="","",IF(INDEX(tblVideos[Video ID],K31)="",IF(INDEX(tblVideos[Status],K31)="Watched","✓ ","▸ ")&amp;INDEX(tblVideos[Title],K31),HYPERLINK("https://www.youtube.com/watch?v="&amp;INDEX(tblVideos[Video ID],K31),IF(INDEX(tblVideos[Status],K31)="Watched","✓ ","▸ ")&amp;INDEX(tblVideos[Title],K31))))</f>
        <v/>
      </c>
      <c r="C31" s="67">
        <f>IF(L31="","",IF(INDEX(tblVideos[Video ID],L31)="",IF(INDEX(tblVideos[Status],L31)="Watched","✓ ","▸ ")&amp;INDEX(tblVideos[Title],L31),HYPERLINK("https://www.youtube.com/watch?v="&amp;INDEX(tblVideos[Video ID],L31),IF(INDEX(tblVideos[Status],L31)="Watched","✓ ","▸ ")&amp;INDEX(tblVideos[Title],L31))))</f>
        <v/>
      </c>
      <c r="D31" s="67">
        <f>IF(M31="","",IF(INDEX(tblVideos[Video ID],M31)="",IF(INDEX(tblVideos[Status],M31)="Watched","✓ ","▸ ")&amp;INDEX(tblVideos[Title],M31),HYPERLINK("https://www.youtube.com/watch?v="&amp;INDEX(tblVideos[Video ID],M31),IF(INDEX(tblVideos[Status],M31)="Watched","✓ ","▸ ")&amp;INDEX(tblVideos[Title],M31))))</f>
        <v/>
      </c>
      <c r="E31" s="67">
        <f>IF(N31="","",IF(INDEX(tblVideos[Video ID],N31)="",IF(INDEX(tblVideos[Status],N31)="Watched","✓ ","▸ ")&amp;INDEX(tblVideos[Title],N31),HYPERLINK("https://www.youtube.com/watch?v="&amp;INDEX(tblVideos[Video ID],N31),IF(INDEX(tblVideos[Status],N31)="Watched","✓ ","▸ ")&amp;INDEX(tblVideos[Title],N31))))</f>
        <v/>
      </c>
      <c r="F31" s="67">
        <f>IF(O31="","",IF(INDEX(tblVideos[Video ID],O31)="",IF(INDEX(tblVideos[Status],O31)="Watched","✓ ","▸ ")&amp;INDEX(tblVideos[Title],O31),HYPERLINK("https://www.youtube.com/watch?v="&amp;INDEX(tblVideos[Video ID],O31),IF(INDEX(tblVideos[Status],O31)="Watched","✓ ","▸ ")&amp;INDEX(tblVideos[Title],O31))))</f>
        <v/>
      </c>
      <c r="G31" s="67">
        <f>IF(P31="","",IF(INDEX(tblVideos[Video ID],P31)="",IF(INDEX(tblVideos[Status],P31)="Watched","✓ ","▸ ")&amp;INDEX(tblVideos[Title],P31),HYPERLINK("https://www.youtube.com/watch?v="&amp;INDEX(tblVideos[Video ID],P31),IF(INDEX(tblVideos[Status],P31)="Watched","✓ ","▸ ")&amp;INDEX(tblVideos[Title],P31))))</f>
        <v/>
      </c>
      <c r="H31" s="67">
        <f>IF(Q31="","",IF(INDEX(tblVideos[Video ID],Q31)="",IF(INDEX(tblVideos[Status],Q31)="Watched","✓ ","▸ ")&amp;INDEX(tblVideos[Title],Q31),HYPERLINK("https://www.youtube.com/watch?v="&amp;INDEX(tblVideos[Video ID],Q31),IF(INDEX(tblVideos[Status],Q31)="Watched","✓ ","▸ ")&amp;INDEX(tblVideos[Title],Q31))))</f>
        <v/>
      </c>
      <c r="K31">
        <f>IF(S28&gt;=3,MATCH(K28*100+3,tblVideos[Cal Key],0),"")</f>
        <v/>
      </c>
      <c r="L31">
        <f>IF(T28&gt;=3,MATCH(L28*100+3,tblVideos[Cal Key],0),"")</f>
        <v/>
      </c>
      <c r="M31">
        <f>IF(U28&gt;=3,MATCH(M28*100+3,tblVideos[Cal Key],0),"")</f>
        <v/>
      </c>
      <c r="N31">
        <f>IF(V28&gt;=3,MATCH(N28*100+3,tblVideos[Cal Key],0),"")</f>
        <v/>
      </c>
      <c r="O31">
        <f>IF(W28&gt;=3,MATCH(O28*100+3,tblVideos[Cal Key],0),"")</f>
        <v/>
      </c>
      <c r="P31">
        <f>IF(X28&gt;=3,MATCH(P28*100+3,tblVideos[Cal Key],0),"")</f>
        <v/>
      </c>
      <c r="Q31">
        <f>IF(Y28&gt;=3,MATCH(Q28*100+3,tblVideos[Cal Key],0),"")</f>
        <v/>
      </c>
      <c r="S31">
        <f>IF(K31="","",IFERROR(MATCH(INDEX(tblVideos[Channel ID],K31),tblChannels[Channel ID],0),""))</f>
        <v/>
      </c>
      <c r="T31">
        <f>IF(L31="","",IFERROR(MATCH(INDEX(tblVideos[Channel ID],L31),tblChannels[Channel ID],0),""))</f>
        <v/>
      </c>
      <c r="U31">
        <f>IF(M31="","",IFERROR(MATCH(INDEX(tblVideos[Channel ID],M31),tblChannels[Channel ID],0),""))</f>
        <v/>
      </c>
      <c r="V31">
        <f>IF(N31="","",IFERROR(MATCH(INDEX(tblVideos[Channel ID],N31),tblChannels[Channel ID],0),""))</f>
        <v/>
      </c>
      <c r="W31">
        <f>IF(O31="","",IFERROR(MATCH(INDEX(tblVideos[Channel ID],O31),tblChannels[Channel ID],0),""))</f>
        <v/>
      </c>
      <c r="X31">
        <f>IF(P31="","",IFERROR(MATCH(INDEX(tblVideos[Channel ID],P31),tblChannels[Channel ID],0),""))</f>
        <v/>
      </c>
      <c r="Y31">
        <f>IF(Q31="","",IFERROR(MATCH(INDEX(tblVideos[Channel ID],Q31),tblChannels[Channel ID],0),""))</f>
        <v/>
      </c>
    </row>
    <row r="32">
      <c r="B32" s="67">
        <f>IF(K32="","",IF(INDEX(tblVideos[Video ID],K32)="",IF(INDEX(tblVideos[Status],K32)="Watched","✓ ","▸ ")&amp;INDEX(tblVideos[Title],K32),HYPERLINK("https://www.youtube.com/watch?v="&amp;INDEX(tblVideos[Video ID],K32),IF(INDEX(tblVideos[Status],K32)="Watched","✓ ","▸ ")&amp;INDEX(tblVideos[Title],K32))))</f>
        <v/>
      </c>
      <c r="C32" s="67">
        <f>IF(L32="","",IF(INDEX(tblVideos[Video ID],L32)="",IF(INDEX(tblVideos[Status],L32)="Watched","✓ ","▸ ")&amp;INDEX(tblVideos[Title],L32),HYPERLINK("https://www.youtube.com/watch?v="&amp;INDEX(tblVideos[Video ID],L32),IF(INDEX(tblVideos[Status],L32)="Watched","✓ ","▸ ")&amp;INDEX(tblVideos[Title],L32))))</f>
        <v/>
      </c>
      <c r="D32" s="67">
        <f>IF(M32="","",IF(INDEX(tblVideos[Video ID],M32)="",IF(INDEX(tblVideos[Status],M32)="Watched","✓ ","▸ ")&amp;INDEX(tblVideos[Title],M32),HYPERLINK("https://www.youtube.com/watch?v="&amp;INDEX(tblVideos[Video ID],M32),IF(INDEX(tblVideos[Status],M32)="Watched","✓ ","▸ ")&amp;INDEX(tblVideos[Title],M32))))</f>
        <v/>
      </c>
      <c r="E32" s="67">
        <f>IF(N32="","",IF(INDEX(tblVideos[Video ID],N32)="",IF(INDEX(tblVideos[Status],N32)="Watched","✓ ","▸ ")&amp;INDEX(tblVideos[Title],N32),HYPERLINK("https://www.youtube.com/watch?v="&amp;INDEX(tblVideos[Video ID],N32),IF(INDEX(tblVideos[Status],N32)="Watched","✓ ","▸ ")&amp;INDEX(tblVideos[Title],N32))))</f>
        <v/>
      </c>
      <c r="F32" s="67">
        <f>IF(O32="","",IF(INDEX(tblVideos[Video ID],O32)="",IF(INDEX(tblVideos[Status],O32)="Watched","✓ ","▸ ")&amp;INDEX(tblVideos[Title],O32),HYPERLINK("https://www.youtube.com/watch?v="&amp;INDEX(tblVideos[Video ID],O32),IF(INDEX(tblVideos[Status],O32)="Watched","✓ ","▸ ")&amp;INDEX(tblVideos[Title],O32))))</f>
        <v/>
      </c>
      <c r="G32" s="67">
        <f>IF(P32="","",IF(INDEX(tblVideos[Video ID],P32)="",IF(INDEX(tblVideos[Status],P32)="Watched","✓ ","▸ ")&amp;INDEX(tblVideos[Title],P32),HYPERLINK("https://www.youtube.com/watch?v="&amp;INDEX(tblVideos[Video ID],P32),IF(INDEX(tblVideos[Status],P32)="Watched","✓ ","▸ ")&amp;INDEX(tblVideos[Title],P32))))</f>
        <v/>
      </c>
      <c r="H32" s="67">
        <f>IF(Q32="","",IF(INDEX(tblVideos[Video ID],Q32)="",IF(INDEX(tblVideos[Status],Q32)="Watched","✓ ","▸ ")&amp;INDEX(tblVideos[Title],Q32),HYPERLINK("https://www.youtube.com/watch?v="&amp;INDEX(tblVideos[Video ID],Q32),IF(INDEX(tblVideos[Status],Q32)="Watched","✓ ","▸ ")&amp;INDEX(tblVideos[Title],Q32))))</f>
        <v/>
      </c>
      <c r="K32">
        <f>IF(S28&gt;=4,MATCH(K28*100+4,tblVideos[Cal Key],0),"")</f>
        <v/>
      </c>
      <c r="L32">
        <f>IF(T28&gt;=4,MATCH(L28*100+4,tblVideos[Cal Key],0),"")</f>
        <v/>
      </c>
      <c r="M32">
        <f>IF(U28&gt;=4,MATCH(M28*100+4,tblVideos[Cal Key],0),"")</f>
        <v/>
      </c>
      <c r="N32">
        <f>IF(V28&gt;=4,MATCH(N28*100+4,tblVideos[Cal Key],0),"")</f>
        <v/>
      </c>
      <c r="O32">
        <f>IF(W28&gt;=4,MATCH(O28*100+4,tblVideos[Cal Key],0),"")</f>
        <v/>
      </c>
      <c r="P32">
        <f>IF(X28&gt;=4,MATCH(P28*100+4,tblVideos[Cal Key],0),"")</f>
        <v/>
      </c>
      <c r="Q32">
        <f>IF(Y28&gt;=4,MATCH(Q28*100+4,tblVideos[Cal Key],0),"")</f>
        <v/>
      </c>
      <c r="S32">
        <f>IF(K32="","",IFERROR(MATCH(INDEX(tblVideos[Channel ID],K32),tblChannels[Channel ID],0),""))</f>
        <v/>
      </c>
      <c r="T32">
        <f>IF(L32="","",IFERROR(MATCH(INDEX(tblVideos[Channel ID],L32),tblChannels[Channel ID],0),""))</f>
        <v/>
      </c>
      <c r="U32">
        <f>IF(M32="","",IFERROR(MATCH(INDEX(tblVideos[Channel ID],M32),tblChannels[Channel ID],0),""))</f>
        <v/>
      </c>
      <c r="V32">
        <f>IF(N32="","",IFERROR(MATCH(INDEX(tblVideos[Channel ID],N32),tblChannels[Channel ID],0),""))</f>
        <v/>
      </c>
      <c r="W32">
        <f>IF(O32="","",IFERROR(MATCH(INDEX(tblVideos[Channel ID],O32),tblChannels[Channel ID],0),""))</f>
        <v/>
      </c>
      <c r="X32">
        <f>IF(P32="","",IFERROR(MATCH(INDEX(tblVideos[Channel ID],P32),tblChannels[Channel ID],0),""))</f>
        <v/>
      </c>
      <c r="Y32">
        <f>IF(Q32="","",IFERROR(MATCH(INDEX(tblVideos[Channel ID],Q32),tblChannels[Channel ID],0),""))</f>
        <v/>
      </c>
    </row>
    <row r="33">
      <c r="B33" s="67">
        <f>IF(K33="","",IF(INDEX(tblVideos[Video ID],K33)="",IF(INDEX(tblVideos[Status],K33)="Watched","✓ ","▸ ")&amp;INDEX(tblVideos[Title],K33),HYPERLINK("https://www.youtube.com/watch?v="&amp;INDEX(tblVideos[Video ID],K33),IF(INDEX(tblVideos[Status],K33)="Watched","✓ ","▸ ")&amp;INDEX(tblVideos[Title],K33))))</f>
        <v/>
      </c>
      <c r="C33" s="67">
        <f>IF(L33="","",IF(INDEX(tblVideos[Video ID],L33)="",IF(INDEX(tblVideos[Status],L33)="Watched","✓ ","▸ ")&amp;INDEX(tblVideos[Title],L33),HYPERLINK("https://www.youtube.com/watch?v="&amp;INDEX(tblVideos[Video ID],L33),IF(INDEX(tblVideos[Status],L33)="Watched","✓ ","▸ ")&amp;INDEX(tblVideos[Title],L33))))</f>
        <v/>
      </c>
      <c r="D33" s="67">
        <f>IF(M33="","",IF(INDEX(tblVideos[Video ID],M33)="",IF(INDEX(tblVideos[Status],M33)="Watched","✓ ","▸ ")&amp;INDEX(tblVideos[Title],M33),HYPERLINK("https://www.youtube.com/watch?v="&amp;INDEX(tblVideos[Video ID],M33),IF(INDEX(tblVideos[Status],M33)="Watched","✓ ","▸ ")&amp;INDEX(tblVideos[Title],M33))))</f>
        <v/>
      </c>
      <c r="E33" s="67">
        <f>IF(N33="","",IF(INDEX(tblVideos[Video ID],N33)="",IF(INDEX(tblVideos[Status],N33)="Watched","✓ ","▸ ")&amp;INDEX(tblVideos[Title],N33),HYPERLINK("https://www.youtube.com/watch?v="&amp;INDEX(tblVideos[Video ID],N33),IF(INDEX(tblVideos[Status],N33)="Watched","✓ ","▸ ")&amp;INDEX(tblVideos[Title],N33))))</f>
        <v/>
      </c>
      <c r="F33" s="67">
        <f>IF(O33="","",IF(INDEX(tblVideos[Video ID],O33)="",IF(INDEX(tblVideos[Status],O33)="Watched","✓ ","▸ ")&amp;INDEX(tblVideos[Title],O33),HYPERLINK("https://www.youtube.com/watch?v="&amp;INDEX(tblVideos[Video ID],O33),IF(INDEX(tblVideos[Status],O33)="Watched","✓ ","▸ ")&amp;INDEX(tblVideos[Title],O33))))</f>
        <v/>
      </c>
      <c r="G33" s="67">
        <f>IF(P33="","",IF(INDEX(tblVideos[Video ID],P33)="",IF(INDEX(tblVideos[Status],P33)="Watched","✓ ","▸ ")&amp;INDEX(tblVideos[Title],P33),HYPERLINK("https://www.youtube.com/watch?v="&amp;INDEX(tblVideos[Video ID],P33),IF(INDEX(tblVideos[Status],P33)="Watched","✓ ","▸ ")&amp;INDEX(tblVideos[Title],P33))))</f>
        <v/>
      </c>
      <c r="H33" s="67">
        <f>IF(Q33="","",IF(INDEX(tblVideos[Video ID],Q33)="",IF(INDEX(tblVideos[Status],Q33)="Watched","✓ ","▸ ")&amp;INDEX(tblVideos[Title],Q33),HYPERLINK("https://www.youtube.com/watch?v="&amp;INDEX(tblVideos[Video ID],Q33),IF(INDEX(tblVideos[Status],Q33)="Watched","✓ ","▸ ")&amp;INDEX(tblVideos[Title],Q33))))</f>
        <v/>
      </c>
      <c r="K33">
        <f>IF(S28&gt;=5,MATCH(K28*100+5,tblVideos[Cal Key],0),"")</f>
        <v/>
      </c>
      <c r="L33">
        <f>IF(T28&gt;=5,MATCH(L28*100+5,tblVideos[Cal Key],0),"")</f>
        <v/>
      </c>
      <c r="M33">
        <f>IF(U28&gt;=5,MATCH(M28*100+5,tblVideos[Cal Key],0),"")</f>
        <v/>
      </c>
      <c r="N33">
        <f>IF(V28&gt;=5,MATCH(N28*100+5,tblVideos[Cal Key],0),"")</f>
        <v/>
      </c>
      <c r="O33">
        <f>IF(W28&gt;=5,MATCH(O28*100+5,tblVideos[Cal Key],0),"")</f>
        <v/>
      </c>
      <c r="P33">
        <f>IF(X28&gt;=5,MATCH(P28*100+5,tblVideos[Cal Key],0),"")</f>
        <v/>
      </c>
      <c r="Q33">
        <f>IF(Y28&gt;=5,MATCH(Q28*100+5,tblVideos[Cal Key],0),"")</f>
        <v/>
      </c>
      <c r="S33">
        <f>IF(K33="","",IFERROR(MATCH(INDEX(tblVideos[Channel ID],K33),tblChannels[Channel ID],0),""))</f>
        <v/>
      </c>
      <c r="T33">
        <f>IF(L33="","",IFERROR(MATCH(INDEX(tblVideos[Channel ID],L33),tblChannels[Channel ID],0),""))</f>
        <v/>
      </c>
      <c r="U33">
        <f>IF(M33="","",IFERROR(MATCH(INDEX(tblVideos[Channel ID],M33),tblChannels[Channel ID],0),""))</f>
        <v/>
      </c>
      <c r="V33">
        <f>IF(N33="","",IFERROR(MATCH(INDEX(tblVideos[Channel ID],N33),tblChannels[Channel ID],0),""))</f>
        <v/>
      </c>
      <c r="W33">
        <f>IF(O33="","",IFERROR(MATCH(INDEX(tblVideos[Channel ID],O33),tblChannels[Channel ID],0),""))</f>
        <v/>
      </c>
      <c r="X33">
        <f>IF(P33="","",IFERROR(MATCH(INDEX(tblVideos[Channel ID],P33),tblChannels[Channel ID],0),""))</f>
        <v/>
      </c>
      <c r="Y33">
        <f>IF(Q33="","",IFERROR(MATCH(INDEX(tblVideos[Channel ID],Q33),tblChannels[Channel ID],0),""))</f>
        <v/>
      </c>
    </row>
    <row r="34" ht="18" customHeight="1">
      <c r="B34" s="66">
        <f>IF(MONTH(K34)=MONTH($K$2),DAY(K34)&amp;IF(S34&gt;0,"   ·   "&amp;S34&amp;IF(S34=1," video"," videos")&amp;"   ·   "&amp;TEXT(AA34,"[h]:mm")&amp;IF(S34&gt;5,"   (+"&amp;(S34-5)&amp;" more)",""),""),"")</f>
        <v/>
      </c>
      <c r="C34" s="66">
        <f>IF(MONTH(L34)=MONTH($K$2),DAY(L34)&amp;IF(T34&gt;0,"   ·   "&amp;T34&amp;IF(T34=1," video"," videos")&amp;"   ·   "&amp;TEXT(AB34,"[h]:mm")&amp;IF(T34&gt;5,"   (+"&amp;(T34-5)&amp;" more)",""),""),"")</f>
        <v/>
      </c>
      <c r="D34" s="66">
        <f>IF(MONTH(M34)=MONTH($K$2),DAY(M34)&amp;IF(U34&gt;0,"   ·   "&amp;U34&amp;IF(U34=1," video"," videos")&amp;"   ·   "&amp;TEXT(AC34,"[h]:mm")&amp;IF(U34&gt;5,"   (+"&amp;(U34-5)&amp;" more)",""),""),"")</f>
        <v/>
      </c>
      <c r="E34" s="66">
        <f>IF(MONTH(N34)=MONTH($K$2),DAY(N34)&amp;IF(V34&gt;0,"   ·   "&amp;V34&amp;IF(V34=1," video"," videos")&amp;"   ·   "&amp;TEXT(AD34,"[h]:mm")&amp;IF(V34&gt;5,"   (+"&amp;(V34-5)&amp;" more)",""),""),"")</f>
        <v/>
      </c>
      <c r="F34" s="66">
        <f>IF(MONTH(O34)=MONTH($K$2),DAY(O34)&amp;IF(W34&gt;0,"   ·   "&amp;W34&amp;IF(W34=1," video"," videos")&amp;"   ·   "&amp;TEXT(AE34,"[h]:mm")&amp;IF(W34&gt;5,"   (+"&amp;(W34-5)&amp;" more)",""),""),"")</f>
        <v/>
      </c>
      <c r="G34" s="66">
        <f>IF(MONTH(P34)=MONTH($K$2),DAY(P34)&amp;IF(X34&gt;0,"   ·   "&amp;X34&amp;IF(X34=1," video"," videos")&amp;"   ·   "&amp;TEXT(AF34,"[h]:mm")&amp;IF(X34&gt;5,"   (+"&amp;(X34-5)&amp;" more)",""),""),"")</f>
        <v/>
      </c>
      <c r="H34" s="66">
        <f>IF(MONTH(Q34)=MONTH($K$2),DAY(Q34)&amp;IF(Y34&gt;0,"   ·   "&amp;Y34&amp;IF(Y34=1," video"," videos")&amp;"   ·   "&amp;TEXT(AG34,"[h]:mm")&amp;IF(Y34&gt;5,"   (+"&amp;(Y34-5)&amp;" more)",""),""),"")</f>
        <v/>
      </c>
      <c r="K34" s="56">
        <f>$K$3+28</f>
        <v/>
      </c>
      <c r="L34" s="56">
        <f>$K$3+29</f>
        <v/>
      </c>
      <c r="M34" s="56">
        <f>$K$3+30</f>
        <v/>
      </c>
      <c r="N34" s="56">
        <f>$K$3+31</f>
        <v/>
      </c>
      <c r="O34" s="56">
        <f>$K$3+32</f>
        <v/>
      </c>
      <c r="P34" s="56">
        <f>$K$3+33</f>
        <v/>
      </c>
      <c r="Q34" s="56">
        <f>$K$3+34</f>
        <v/>
      </c>
      <c r="S34">
        <f>IF(MONTH(K34)=MONTH($K$2),COUNTIFS(tblVideos[Day],K34,tblVideos[Channel ID],$K$4),0)</f>
        <v/>
      </c>
      <c r="T34">
        <f>IF(MONTH(L34)=MONTH($K$2),COUNTIFS(tblVideos[Day],L34,tblVideos[Channel ID],$K$4),0)</f>
        <v/>
      </c>
      <c r="U34">
        <f>IF(MONTH(M34)=MONTH($K$2),COUNTIFS(tblVideos[Day],M34,tblVideos[Channel ID],$K$4),0)</f>
        <v/>
      </c>
      <c r="V34">
        <f>IF(MONTH(N34)=MONTH($K$2),COUNTIFS(tblVideos[Day],N34,tblVideos[Channel ID],$K$4),0)</f>
        <v/>
      </c>
      <c r="W34">
        <f>IF(MONTH(O34)=MONTH($K$2),COUNTIFS(tblVideos[Day],O34,tblVideos[Channel ID],$K$4),0)</f>
        <v/>
      </c>
      <c r="X34">
        <f>IF(MONTH(P34)=MONTH($K$2),COUNTIFS(tblVideos[Day],P34,tblVideos[Channel ID],$K$4),0)</f>
        <v/>
      </c>
      <c r="Y34">
        <f>IF(MONTH(Q34)=MONTH($K$2),COUNTIFS(tblVideos[Day],Q34,tblVideos[Channel ID],$K$4),0)</f>
        <v/>
      </c>
      <c r="AA34">
        <f>IF(S34&gt;0,SUMIFS(tblVideos[Length],tblVideos[Day],K34,tblVideos[Channel ID],$K$4),0)</f>
        <v/>
      </c>
      <c r="AB34">
        <f>IF(T34&gt;0,SUMIFS(tblVideos[Length],tblVideos[Day],L34,tblVideos[Channel ID],$K$4),0)</f>
        <v/>
      </c>
      <c r="AC34">
        <f>IF(U34&gt;0,SUMIFS(tblVideos[Length],tblVideos[Day],M34,tblVideos[Channel ID],$K$4),0)</f>
        <v/>
      </c>
      <c r="AD34">
        <f>IF(V34&gt;0,SUMIFS(tblVideos[Length],tblVideos[Day],N34,tblVideos[Channel ID],$K$4),0)</f>
        <v/>
      </c>
      <c r="AE34">
        <f>IF(W34&gt;0,SUMIFS(tblVideos[Length],tblVideos[Day],O34,tblVideos[Channel ID],$K$4),0)</f>
        <v/>
      </c>
      <c r="AF34">
        <f>IF(X34&gt;0,SUMIFS(tblVideos[Length],tblVideos[Day],P34,tblVideos[Channel ID],$K$4),0)</f>
        <v/>
      </c>
      <c r="AG34">
        <f>IF(Y34&gt;0,SUMIFS(tblVideos[Length],tblVideos[Day],Q34,tblVideos[Channel ID],$K$4),0)</f>
        <v/>
      </c>
    </row>
    <row r="35">
      <c r="B35" s="67">
        <f>IF(K35="","",IF(INDEX(tblVideos[Video ID],K35)="",IF(INDEX(tblVideos[Status],K35)="Watched","✓ ","▸ ")&amp;INDEX(tblVideos[Title],K35),HYPERLINK("https://www.youtube.com/watch?v="&amp;INDEX(tblVideos[Video ID],K35),IF(INDEX(tblVideos[Status],K35)="Watched","✓ ","▸ ")&amp;INDEX(tblVideos[Title],K35))))</f>
        <v/>
      </c>
      <c r="C35" s="67">
        <f>IF(L35="","",IF(INDEX(tblVideos[Video ID],L35)="",IF(INDEX(tblVideos[Status],L35)="Watched","✓ ","▸ ")&amp;INDEX(tblVideos[Title],L35),HYPERLINK("https://www.youtube.com/watch?v="&amp;INDEX(tblVideos[Video ID],L35),IF(INDEX(tblVideos[Status],L35)="Watched","✓ ","▸ ")&amp;INDEX(tblVideos[Title],L35))))</f>
        <v/>
      </c>
      <c r="D35" s="67">
        <f>IF(M35="","",IF(INDEX(tblVideos[Video ID],M35)="",IF(INDEX(tblVideos[Status],M35)="Watched","✓ ","▸ ")&amp;INDEX(tblVideos[Title],M35),HYPERLINK("https://www.youtube.com/watch?v="&amp;INDEX(tblVideos[Video ID],M35),IF(INDEX(tblVideos[Status],M35)="Watched","✓ ","▸ ")&amp;INDEX(tblVideos[Title],M35))))</f>
        <v/>
      </c>
      <c r="E35" s="67">
        <f>IF(N35="","",IF(INDEX(tblVideos[Video ID],N35)="",IF(INDEX(tblVideos[Status],N35)="Watched","✓ ","▸ ")&amp;INDEX(tblVideos[Title],N35),HYPERLINK("https://www.youtube.com/watch?v="&amp;INDEX(tblVideos[Video ID],N35),IF(INDEX(tblVideos[Status],N35)="Watched","✓ ","▸ ")&amp;INDEX(tblVideos[Title],N35))))</f>
        <v/>
      </c>
      <c r="F35" s="67">
        <f>IF(O35="","",IF(INDEX(tblVideos[Video ID],O35)="",IF(INDEX(tblVideos[Status],O35)="Watched","✓ ","▸ ")&amp;INDEX(tblVideos[Title],O35),HYPERLINK("https://www.youtube.com/watch?v="&amp;INDEX(tblVideos[Video ID],O35),IF(INDEX(tblVideos[Status],O35)="Watched","✓ ","▸ ")&amp;INDEX(tblVideos[Title],O35))))</f>
        <v/>
      </c>
      <c r="G35" s="67">
        <f>IF(P35="","",IF(INDEX(tblVideos[Video ID],P35)="",IF(INDEX(tblVideos[Status],P35)="Watched","✓ ","▸ ")&amp;INDEX(tblVideos[Title],P35),HYPERLINK("https://www.youtube.com/watch?v="&amp;INDEX(tblVideos[Video ID],P35),IF(INDEX(tblVideos[Status],P35)="Watched","✓ ","▸ ")&amp;INDEX(tblVideos[Title],P35))))</f>
        <v/>
      </c>
      <c r="H35" s="67">
        <f>IF(Q35="","",IF(INDEX(tblVideos[Video ID],Q35)="",IF(INDEX(tblVideos[Status],Q35)="Watched","✓ ","▸ ")&amp;INDEX(tblVideos[Title],Q35),HYPERLINK("https://www.youtube.com/watch?v="&amp;INDEX(tblVideos[Video ID],Q35),IF(INDEX(tblVideos[Status],Q35)="Watched","✓ ","▸ ")&amp;INDEX(tblVideos[Title],Q35))))</f>
        <v/>
      </c>
      <c r="K35">
        <f>IF(S34&gt;=1,MATCH(K34*100+1,tblVideos[Cal Key],0),"")</f>
        <v/>
      </c>
      <c r="L35">
        <f>IF(T34&gt;=1,MATCH(L34*100+1,tblVideos[Cal Key],0),"")</f>
        <v/>
      </c>
      <c r="M35">
        <f>IF(U34&gt;=1,MATCH(M34*100+1,tblVideos[Cal Key],0),"")</f>
        <v/>
      </c>
      <c r="N35">
        <f>IF(V34&gt;=1,MATCH(N34*100+1,tblVideos[Cal Key],0),"")</f>
        <v/>
      </c>
      <c r="O35">
        <f>IF(W34&gt;=1,MATCH(O34*100+1,tblVideos[Cal Key],0),"")</f>
        <v/>
      </c>
      <c r="P35">
        <f>IF(X34&gt;=1,MATCH(P34*100+1,tblVideos[Cal Key],0),"")</f>
        <v/>
      </c>
      <c r="Q35">
        <f>IF(Y34&gt;=1,MATCH(Q34*100+1,tblVideos[Cal Key],0),"")</f>
        <v/>
      </c>
      <c r="S35">
        <f>IF(K35="","",IFERROR(MATCH(INDEX(tblVideos[Channel ID],K35),tblChannels[Channel ID],0),""))</f>
        <v/>
      </c>
      <c r="T35">
        <f>IF(L35="","",IFERROR(MATCH(INDEX(tblVideos[Channel ID],L35),tblChannels[Channel ID],0),""))</f>
        <v/>
      </c>
      <c r="U35">
        <f>IF(M35="","",IFERROR(MATCH(INDEX(tblVideos[Channel ID],M35),tblChannels[Channel ID],0),""))</f>
        <v/>
      </c>
      <c r="V35">
        <f>IF(N35="","",IFERROR(MATCH(INDEX(tblVideos[Channel ID],N35),tblChannels[Channel ID],0),""))</f>
        <v/>
      </c>
      <c r="W35">
        <f>IF(O35="","",IFERROR(MATCH(INDEX(tblVideos[Channel ID],O35),tblChannels[Channel ID],0),""))</f>
        <v/>
      </c>
      <c r="X35">
        <f>IF(P35="","",IFERROR(MATCH(INDEX(tblVideos[Channel ID],P35),tblChannels[Channel ID],0),""))</f>
        <v/>
      </c>
      <c r="Y35">
        <f>IF(Q35="","",IFERROR(MATCH(INDEX(tblVideos[Channel ID],Q35),tblChannels[Channel ID],0),""))</f>
        <v/>
      </c>
    </row>
    <row r="36">
      <c r="B36" s="67">
        <f>IF(K36="","",IF(INDEX(tblVideos[Video ID],K36)="",IF(INDEX(tblVideos[Status],K36)="Watched","✓ ","▸ ")&amp;INDEX(tblVideos[Title],K36),HYPERLINK("https://www.youtube.com/watch?v="&amp;INDEX(tblVideos[Video ID],K36),IF(INDEX(tblVideos[Status],K36)="Watched","✓ ","▸ ")&amp;INDEX(tblVideos[Title],K36))))</f>
        <v/>
      </c>
      <c r="C36" s="67">
        <f>IF(L36="","",IF(INDEX(tblVideos[Video ID],L36)="",IF(INDEX(tblVideos[Status],L36)="Watched","✓ ","▸ ")&amp;INDEX(tblVideos[Title],L36),HYPERLINK("https://www.youtube.com/watch?v="&amp;INDEX(tblVideos[Video ID],L36),IF(INDEX(tblVideos[Status],L36)="Watched","✓ ","▸ ")&amp;INDEX(tblVideos[Title],L36))))</f>
        <v/>
      </c>
      <c r="D36" s="67">
        <f>IF(M36="","",IF(INDEX(tblVideos[Video ID],M36)="",IF(INDEX(tblVideos[Status],M36)="Watched","✓ ","▸ ")&amp;INDEX(tblVideos[Title],M36),HYPERLINK("https://www.youtube.com/watch?v="&amp;INDEX(tblVideos[Video ID],M36),IF(INDEX(tblVideos[Status],M36)="Watched","✓ ","▸ ")&amp;INDEX(tblVideos[Title],M36))))</f>
        <v/>
      </c>
      <c r="E36" s="67">
        <f>IF(N36="","",IF(INDEX(tblVideos[Video ID],N36)="",IF(INDEX(tblVideos[Status],N36)="Watched","✓ ","▸ ")&amp;INDEX(tblVideos[Title],N36),HYPERLINK("https://www.youtube.com/watch?v="&amp;INDEX(tblVideos[Video ID],N36),IF(INDEX(tblVideos[Status],N36)="Watched","✓ ","▸ ")&amp;INDEX(tblVideos[Title],N36))))</f>
        <v/>
      </c>
      <c r="F36" s="67">
        <f>IF(O36="","",IF(INDEX(tblVideos[Video ID],O36)="",IF(INDEX(tblVideos[Status],O36)="Watched","✓ ","▸ ")&amp;INDEX(tblVideos[Title],O36),HYPERLINK("https://www.youtube.com/watch?v="&amp;INDEX(tblVideos[Video ID],O36),IF(INDEX(tblVideos[Status],O36)="Watched","✓ ","▸ ")&amp;INDEX(tblVideos[Title],O36))))</f>
        <v/>
      </c>
      <c r="G36" s="67">
        <f>IF(P36="","",IF(INDEX(tblVideos[Video ID],P36)="",IF(INDEX(tblVideos[Status],P36)="Watched","✓ ","▸ ")&amp;INDEX(tblVideos[Title],P36),HYPERLINK("https://www.youtube.com/watch?v="&amp;INDEX(tblVideos[Video ID],P36),IF(INDEX(tblVideos[Status],P36)="Watched","✓ ","▸ ")&amp;INDEX(tblVideos[Title],P36))))</f>
        <v/>
      </c>
      <c r="H36" s="67">
        <f>IF(Q36="","",IF(INDEX(tblVideos[Video ID],Q36)="",IF(INDEX(tblVideos[Status],Q36)="Watched","✓ ","▸ ")&amp;INDEX(tblVideos[Title],Q36),HYPERLINK("https://www.youtube.com/watch?v="&amp;INDEX(tblVideos[Video ID],Q36),IF(INDEX(tblVideos[Status],Q36)="Watched","✓ ","▸ ")&amp;INDEX(tblVideos[Title],Q36))))</f>
        <v/>
      </c>
      <c r="K36">
        <f>IF(S34&gt;=2,MATCH(K34*100+2,tblVideos[Cal Key],0),"")</f>
        <v/>
      </c>
      <c r="L36">
        <f>IF(T34&gt;=2,MATCH(L34*100+2,tblVideos[Cal Key],0),"")</f>
        <v/>
      </c>
      <c r="M36">
        <f>IF(U34&gt;=2,MATCH(M34*100+2,tblVideos[Cal Key],0),"")</f>
        <v/>
      </c>
      <c r="N36">
        <f>IF(V34&gt;=2,MATCH(N34*100+2,tblVideos[Cal Key],0),"")</f>
        <v/>
      </c>
      <c r="O36">
        <f>IF(W34&gt;=2,MATCH(O34*100+2,tblVideos[Cal Key],0),"")</f>
        <v/>
      </c>
      <c r="P36">
        <f>IF(X34&gt;=2,MATCH(P34*100+2,tblVideos[Cal Key],0),"")</f>
        <v/>
      </c>
      <c r="Q36">
        <f>IF(Y34&gt;=2,MATCH(Q34*100+2,tblVideos[Cal Key],0),"")</f>
        <v/>
      </c>
      <c r="S36">
        <f>IF(K36="","",IFERROR(MATCH(INDEX(tblVideos[Channel ID],K36),tblChannels[Channel ID],0),""))</f>
        <v/>
      </c>
      <c r="T36">
        <f>IF(L36="","",IFERROR(MATCH(INDEX(tblVideos[Channel ID],L36),tblChannels[Channel ID],0),""))</f>
        <v/>
      </c>
      <c r="U36">
        <f>IF(M36="","",IFERROR(MATCH(INDEX(tblVideos[Channel ID],M36),tblChannels[Channel ID],0),""))</f>
        <v/>
      </c>
      <c r="V36">
        <f>IF(N36="","",IFERROR(MATCH(INDEX(tblVideos[Channel ID],N36),tblChannels[Channel ID],0),""))</f>
        <v/>
      </c>
      <c r="W36">
        <f>IF(O36="","",IFERROR(MATCH(INDEX(tblVideos[Channel ID],O36),tblChannels[Channel ID],0),""))</f>
        <v/>
      </c>
      <c r="X36">
        <f>IF(P36="","",IFERROR(MATCH(INDEX(tblVideos[Channel ID],P36),tblChannels[Channel ID],0),""))</f>
        <v/>
      </c>
      <c r="Y36">
        <f>IF(Q36="","",IFERROR(MATCH(INDEX(tblVideos[Channel ID],Q36),tblChannels[Channel ID],0),""))</f>
        <v/>
      </c>
    </row>
    <row r="37">
      <c r="B37" s="67">
        <f>IF(K37="","",IF(INDEX(tblVideos[Video ID],K37)="",IF(INDEX(tblVideos[Status],K37)="Watched","✓ ","▸ ")&amp;INDEX(tblVideos[Title],K37),HYPERLINK("https://www.youtube.com/watch?v="&amp;INDEX(tblVideos[Video ID],K37),IF(INDEX(tblVideos[Status],K37)="Watched","✓ ","▸ ")&amp;INDEX(tblVideos[Title],K37))))</f>
        <v/>
      </c>
      <c r="C37" s="67">
        <f>IF(L37="","",IF(INDEX(tblVideos[Video ID],L37)="",IF(INDEX(tblVideos[Status],L37)="Watched","✓ ","▸ ")&amp;INDEX(tblVideos[Title],L37),HYPERLINK("https://www.youtube.com/watch?v="&amp;INDEX(tblVideos[Video ID],L37),IF(INDEX(tblVideos[Status],L37)="Watched","✓ ","▸ ")&amp;INDEX(tblVideos[Title],L37))))</f>
        <v/>
      </c>
      <c r="D37" s="67">
        <f>IF(M37="","",IF(INDEX(tblVideos[Video ID],M37)="",IF(INDEX(tblVideos[Status],M37)="Watched","✓ ","▸ ")&amp;INDEX(tblVideos[Title],M37),HYPERLINK("https://www.youtube.com/watch?v="&amp;INDEX(tblVideos[Video ID],M37),IF(INDEX(tblVideos[Status],M37)="Watched","✓ ","▸ ")&amp;INDEX(tblVideos[Title],M37))))</f>
        <v/>
      </c>
      <c r="E37" s="67">
        <f>IF(N37="","",IF(INDEX(tblVideos[Video ID],N37)="",IF(INDEX(tblVideos[Status],N37)="Watched","✓ ","▸ ")&amp;INDEX(tblVideos[Title],N37),HYPERLINK("https://www.youtube.com/watch?v="&amp;INDEX(tblVideos[Video ID],N37),IF(INDEX(tblVideos[Status],N37)="Watched","✓ ","▸ ")&amp;INDEX(tblVideos[Title],N37))))</f>
        <v/>
      </c>
      <c r="F37" s="67">
        <f>IF(O37="","",IF(INDEX(tblVideos[Video ID],O37)="",IF(INDEX(tblVideos[Status],O37)="Watched","✓ ","▸ ")&amp;INDEX(tblVideos[Title],O37),HYPERLINK("https://www.youtube.com/watch?v="&amp;INDEX(tblVideos[Video ID],O37),IF(INDEX(tblVideos[Status],O37)="Watched","✓ ","▸ ")&amp;INDEX(tblVideos[Title],O37))))</f>
        <v/>
      </c>
      <c r="G37" s="67">
        <f>IF(P37="","",IF(INDEX(tblVideos[Video ID],P37)="",IF(INDEX(tblVideos[Status],P37)="Watched","✓ ","▸ ")&amp;INDEX(tblVideos[Title],P37),HYPERLINK("https://www.youtube.com/watch?v="&amp;INDEX(tblVideos[Video ID],P37),IF(INDEX(tblVideos[Status],P37)="Watched","✓ ","▸ ")&amp;INDEX(tblVideos[Title],P37))))</f>
        <v/>
      </c>
      <c r="H37" s="67">
        <f>IF(Q37="","",IF(INDEX(tblVideos[Video ID],Q37)="",IF(INDEX(tblVideos[Status],Q37)="Watched","✓ ","▸ ")&amp;INDEX(tblVideos[Title],Q37),HYPERLINK("https://www.youtube.com/watch?v="&amp;INDEX(tblVideos[Video ID],Q37),IF(INDEX(tblVideos[Status],Q37)="Watched","✓ ","▸ ")&amp;INDEX(tblVideos[Title],Q37))))</f>
        <v/>
      </c>
      <c r="K37">
        <f>IF(S34&gt;=3,MATCH(K34*100+3,tblVideos[Cal Key],0),"")</f>
        <v/>
      </c>
      <c r="L37">
        <f>IF(T34&gt;=3,MATCH(L34*100+3,tblVideos[Cal Key],0),"")</f>
        <v/>
      </c>
      <c r="M37">
        <f>IF(U34&gt;=3,MATCH(M34*100+3,tblVideos[Cal Key],0),"")</f>
        <v/>
      </c>
      <c r="N37">
        <f>IF(V34&gt;=3,MATCH(N34*100+3,tblVideos[Cal Key],0),"")</f>
        <v/>
      </c>
      <c r="O37">
        <f>IF(W34&gt;=3,MATCH(O34*100+3,tblVideos[Cal Key],0),"")</f>
        <v/>
      </c>
      <c r="P37">
        <f>IF(X34&gt;=3,MATCH(P34*100+3,tblVideos[Cal Key],0),"")</f>
        <v/>
      </c>
      <c r="Q37">
        <f>IF(Y34&gt;=3,MATCH(Q34*100+3,tblVideos[Cal Key],0),"")</f>
        <v/>
      </c>
      <c r="S37">
        <f>IF(K37="","",IFERROR(MATCH(INDEX(tblVideos[Channel ID],K37),tblChannels[Channel ID],0),""))</f>
        <v/>
      </c>
      <c r="T37">
        <f>IF(L37="","",IFERROR(MATCH(INDEX(tblVideos[Channel ID],L37),tblChannels[Channel ID],0),""))</f>
        <v/>
      </c>
      <c r="U37">
        <f>IF(M37="","",IFERROR(MATCH(INDEX(tblVideos[Channel ID],M37),tblChannels[Channel ID],0),""))</f>
        <v/>
      </c>
      <c r="V37">
        <f>IF(N37="","",IFERROR(MATCH(INDEX(tblVideos[Channel ID],N37),tblChannels[Channel ID],0),""))</f>
        <v/>
      </c>
      <c r="W37">
        <f>IF(O37="","",IFERROR(MATCH(INDEX(tblVideos[Channel ID],O37),tblChannels[Channel ID],0),""))</f>
        <v/>
      </c>
      <c r="X37">
        <f>IF(P37="","",IFERROR(MATCH(INDEX(tblVideos[Channel ID],P37),tblChannels[Channel ID],0),""))</f>
        <v/>
      </c>
      <c r="Y37">
        <f>IF(Q37="","",IFERROR(MATCH(INDEX(tblVideos[Channel ID],Q37),tblChannels[Channel ID],0),""))</f>
        <v/>
      </c>
    </row>
    <row r="38">
      <c r="B38" s="67">
        <f>IF(K38="","",IF(INDEX(tblVideos[Video ID],K38)="",IF(INDEX(tblVideos[Status],K38)="Watched","✓ ","▸ ")&amp;INDEX(tblVideos[Title],K38),HYPERLINK("https://www.youtube.com/watch?v="&amp;INDEX(tblVideos[Video ID],K38),IF(INDEX(tblVideos[Status],K38)="Watched","✓ ","▸ ")&amp;INDEX(tblVideos[Title],K38))))</f>
        <v/>
      </c>
      <c r="C38" s="67">
        <f>IF(L38="","",IF(INDEX(tblVideos[Video ID],L38)="",IF(INDEX(tblVideos[Status],L38)="Watched","✓ ","▸ ")&amp;INDEX(tblVideos[Title],L38),HYPERLINK("https://www.youtube.com/watch?v="&amp;INDEX(tblVideos[Video ID],L38),IF(INDEX(tblVideos[Status],L38)="Watched","✓ ","▸ ")&amp;INDEX(tblVideos[Title],L38))))</f>
        <v/>
      </c>
      <c r="D38" s="67">
        <f>IF(M38="","",IF(INDEX(tblVideos[Video ID],M38)="",IF(INDEX(tblVideos[Status],M38)="Watched","✓ ","▸ ")&amp;INDEX(tblVideos[Title],M38),HYPERLINK("https://www.youtube.com/watch?v="&amp;INDEX(tblVideos[Video ID],M38),IF(INDEX(tblVideos[Status],M38)="Watched","✓ ","▸ ")&amp;INDEX(tblVideos[Title],M38))))</f>
        <v/>
      </c>
      <c r="E38" s="67">
        <f>IF(N38="","",IF(INDEX(tblVideos[Video ID],N38)="",IF(INDEX(tblVideos[Status],N38)="Watched","✓ ","▸ ")&amp;INDEX(tblVideos[Title],N38),HYPERLINK("https://www.youtube.com/watch?v="&amp;INDEX(tblVideos[Video ID],N38),IF(INDEX(tblVideos[Status],N38)="Watched","✓ ","▸ ")&amp;INDEX(tblVideos[Title],N38))))</f>
        <v/>
      </c>
      <c r="F38" s="67">
        <f>IF(O38="","",IF(INDEX(tblVideos[Video ID],O38)="",IF(INDEX(tblVideos[Status],O38)="Watched","✓ ","▸ ")&amp;INDEX(tblVideos[Title],O38),HYPERLINK("https://www.youtube.com/watch?v="&amp;INDEX(tblVideos[Video ID],O38),IF(INDEX(tblVideos[Status],O38)="Watched","✓ ","▸ ")&amp;INDEX(tblVideos[Title],O38))))</f>
        <v/>
      </c>
      <c r="G38" s="67">
        <f>IF(P38="","",IF(INDEX(tblVideos[Video ID],P38)="",IF(INDEX(tblVideos[Status],P38)="Watched","✓ ","▸ ")&amp;INDEX(tblVideos[Title],P38),HYPERLINK("https://www.youtube.com/watch?v="&amp;INDEX(tblVideos[Video ID],P38),IF(INDEX(tblVideos[Status],P38)="Watched","✓ ","▸ ")&amp;INDEX(tblVideos[Title],P38))))</f>
        <v/>
      </c>
      <c r="H38" s="67">
        <f>IF(Q38="","",IF(INDEX(tblVideos[Video ID],Q38)="",IF(INDEX(tblVideos[Status],Q38)="Watched","✓ ","▸ ")&amp;INDEX(tblVideos[Title],Q38),HYPERLINK("https://www.youtube.com/watch?v="&amp;INDEX(tblVideos[Video ID],Q38),IF(INDEX(tblVideos[Status],Q38)="Watched","✓ ","▸ ")&amp;INDEX(tblVideos[Title],Q38))))</f>
        <v/>
      </c>
      <c r="K38">
        <f>IF(S34&gt;=4,MATCH(K34*100+4,tblVideos[Cal Key],0),"")</f>
        <v/>
      </c>
      <c r="L38">
        <f>IF(T34&gt;=4,MATCH(L34*100+4,tblVideos[Cal Key],0),"")</f>
        <v/>
      </c>
      <c r="M38">
        <f>IF(U34&gt;=4,MATCH(M34*100+4,tblVideos[Cal Key],0),"")</f>
        <v/>
      </c>
      <c r="N38">
        <f>IF(V34&gt;=4,MATCH(N34*100+4,tblVideos[Cal Key],0),"")</f>
        <v/>
      </c>
      <c r="O38">
        <f>IF(W34&gt;=4,MATCH(O34*100+4,tblVideos[Cal Key],0),"")</f>
        <v/>
      </c>
      <c r="P38">
        <f>IF(X34&gt;=4,MATCH(P34*100+4,tblVideos[Cal Key],0),"")</f>
        <v/>
      </c>
      <c r="Q38">
        <f>IF(Y34&gt;=4,MATCH(Q34*100+4,tblVideos[Cal Key],0),"")</f>
        <v/>
      </c>
      <c r="S38">
        <f>IF(K38="","",IFERROR(MATCH(INDEX(tblVideos[Channel ID],K38),tblChannels[Channel ID],0),""))</f>
        <v/>
      </c>
      <c r="T38">
        <f>IF(L38="","",IFERROR(MATCH(INDEX(tblVideos[Channel ID],L38),tblChannels[Channel ID],0),""))</f>
        <v/>
      </c>
      <c r="U38">
        <f>IF(M38="","",IFERROR(MATCH(INDEX(tblVideos[Channel ID],M38),tblChannels[Channel ID],0),""))</f>
        <v/>
      </c>
      <c r="V38">
        <f>IF(N38="","",IFERROR(MATCH(INDEX(tblVideos[Channel ID],N38),tblChannels[Channel ID],0),""))</f>
        <v/>
      </c>
      <c r="W38">
        <f>IF(O38="","",IFERROR(MATCH(INDEX(tblVideos[Channel ID],O38),tblChannels[Channel ID],0),""))</f>
        <v/>
      </c>
      <c r="X38">
        <f>IF(P38="","",IFERROR(MATCH(INDEX(tblVideos[Channel ID],P38),tblChannels[Channel ID],0),""))</f>
        <v/>
      </c>
      <c r="Y38">
        <f>IF(Q38="","",IFERROR(MATCH(INDEX(tblVideos[Channel ID],Q38),tblChannels[Channel ID],0),""))</f>
        <v/>
      </c>
    </row>
    <row r="39">
      <c r="B39" s="67">
        <f>IF(K39="","",IF(INDEX(tblVideos[Video ID],K39)="",IF(INDEX(tblVideos[Status],K39)="Watched","✓ ","▸ ")&amp;INDEX(tblVideos[Title],K39),HYPERLINK("https://www.youtube.com/watch?v="&amp;INDEX(tblVideos[Video ID],K39),IF(INDEX(tblVideos[Status],K39)="Watched","✓ ","▸ ")&amp;INDEX(tblVideos[Title],K39))))</f>
        <v/>
      </c>
      <c r="C39" s="67">
        <f>IF(L39="","",IF(INDEX(tblVideos[Video ID],L39)="",IF(INDEX(tblVideos[Status],L39)="Watched","✓ ","▸ ")&amp;INDEX(tblVideos[Title],L39),HYPERLINK("https://www.youtube.com/watch?v="&amp;INDEX(tblVideos[Video ID],L39),IF(INDEX(tblVideos[Status],L39)="Watched","✓ ","▸ ")&amp;INDEX(tblVideos[Title],L39))))</f>
        <v/>
      </c>
      <c r="D39" s="67">
        <f>IF(M39="","",IF(INDEX(tblVideos[Video ID],M39)="",IF(INDEX(tblVideos[Status],M39)="Watched","✓ ","▸ ")&amp;INDEX(tblVideos[Title],M39),HYPERLINK("https://www.youtube.com/watch?v="&amp;INDEX(tblVideos[Video ID],M39),IF(INDEX(tblVideos[Status],M39)="Watched","✓ ","▸ ")&amp;INDEX(tblVideos[Title],M39))))</f>
        <v/>
      </c>
      <c r="E39" s="67">
        <f>IF(N39="","",IF(INDEX(tblVideos[Video ID],N39)="",IF(INDEX(tblVideos[Status],N39)="Watched","✓ ","▸ ")&amp;INDEX(tblVideos[Title],N39),HYPERLINK("https://www.youtube.com/watch?v="&amp;INDEX(tblVideos[Video ID],N39),IF(INDEX(tblVideos[Status],N39)="Watched","✓ ","▸ ")&amp;INDEX(tblVideos[Title],N39))))</f>
        <v/>
      </c>
      <c r="F39" s="67">
        <f>IF(O39="","",IF(INDEX(tblVideos[Video ID],O39)="",IF(INDEX(tblVideos[Status],O39)="Watched","✓ ","▸ ")&amp;INDEX(tblVideos[Title],O39),HYPERLINK("https://www.youtube.com/watch?v="&amp;INDEX(tblVideos[Video ID],O39),IF(INDEX(tblVideos[Status],O39)="Watched","✓ ","▸ ")&amp;INDEX(tblVideos[Title],O39))))</f>
        <v/>
      </c>
      <c r="G39" s="67">
        <f>IF(P39="","",IF(INDEX(tblVideos[Video ID],P39)="",IF(INDEX(tblVideos[Status],P39)="Watched","✓ ","▸ ")&amp;INDEX(tblVideos[Title],P39),HYPERLINK("https://www.youtube.com/watch?v="&amp;INDEX(tblVideos[Video ID],P39),IF(INDEX(tblVideos[Status],P39)="Watched","✓ ","▸ ")&amp;INDEX(tblVideos[Title],P39))))</f>
        <v/>
      </c>
      <c r="H39" s="67">
        <f>IF(Q39="","",IF(INDEX(tblVideos[Video ID],Q39)="",IF(INDEX(tblVideos[Status],Q39)="Watched","✓ ","▸ ")&amp;INDEX(tblVideos[Title],Q39),HYPERLINK("https://www.youtube.com/watch?v="&amp;INDEX(tblVideos[Video ID],Q39),IF(INDEX(tblVideos[Status],Q39)="Watched","✓ ","▸ ")&amp;INDEX(tblVideos[Title],Q39))))</f>
        <v/>
      </c>
      <c r="K39">
        <f>IF(S34&gt;=5,MATCH(K34*100+5,tblVideos[Cal Key],0),"")</f>
        <v/>
      </c>
      <c r="L39">
        <f>IF(T34&gt;=5,MATCH(L34*100+5,tblVideos[Cal Key],0),"")</f>
        <v/>
      </c>
      <c r="M39">
        <f>IF(U34&gt;=5,MATCH(M34*100+5,tblVideos[Cal Key],0),"")</f>
        <v/>
      </c>
      <c r="N39">
        <f>IF(V34&gt;=5,MATCH(N34*100+5,tblVideos[Cal Key],0),"")</f>
        <v/>
      </c>
      <c r="O39">
        <f>IF(W34&gt;=5,MATCH(O34*100+5,tblVideos[Cal Key],0),"")</f>
        <v/>
      </c>
      <c r="P39">
        <f>IF(X34&gt;=5,MATCH(P34*100+5,tblVideos[Cal Key],0),"")</f>
        <v/>
      </c>
      <c r="Q39">
        <f>IF(Y34&gt;=5,MATCH(Q34*100+5,tblVideos[Cal Key],0),"")</f>
        <v/>
      </c>
      <c r="S39">
        <f>IF(K39="","",IFERROR(MATCH(INDEX(tblVideos[Channel ID],K39),tblChannels[Channel ID],0),""))</f>
        <v/>
      </c>
      <c r="T39">
        <f>IF(L39="","",IFERROR(MATCH(INDEX(tblVideos[Channel ID],L39),tblChannels[Channel ID],0),""))</f>
        <v/>
      </c>
      <c r="U39">
        <f>IF(M39="","",IFERROR(MATCH(INDEX(tblVideos[Channel ID],M39),tblChannels[Channel ID],0),""))</f>
        <v/>
      </c>
      <c r="V39">
        <f>IF(N39="","",IFERROR(MATCH(INDEX(tblVideos[Channel ID],N39),tblChannels[Channel ID],0),""))</f>
        <v/>
      </c>
      <c r="W39">
        <f>IF(O39="","",IFERROR(MATCH(INDEX(tblVideos[Channel ID],O39),tblChannels[Channel ID],0),""))</f>
        <v/>
      </c>
      <c r="X39">
        <f>IF(P39="","",IFERROR(MATCH(INDEX(tblVideos[Channel ID],P39),tblChannels[Channel ID],0),""))</f>
        <v/>
      </c>
      <c r="Y39">
        <f>IF(Q39="","",IFERROR(MATCH(INDEX(tblVideos[Channel ID],Q39),tblChannels[Channel ID],0),""))</f>
        <v/>
      </c>
    </row>
    <row r="40" ht="18" customHeight="1">
      <c r="B40" s="66">
        <f>IF(MONTH(K40)=MONTH($K$2),DAY(K40)&amp;IF(S40&gt;0,"   ·   "&amp;S40&amp;IF(S40=1," video"," videos")&amp;"   ·   "&amp;TEXT(AA40,"[h]:mm")&amp;IF(S40&gt;5,"   (+"&amp;(S40-5)&amp;" more)",""),""),"")</f>
        <v/>
      </c>
      <c r="C40" s="66">
        <f>IF(MONTH(L40)=MONTH($K$2),DAY(L40)&amp;IF(T40&gt;0,"   ·   "&amp;T40&amp;IF(T40=1," video"," videos")&amp;"   ·   "&amp;TEXT(AB40,"[h]:mm")&amp;IF(T40&gt;5,"   (+"&amp;(T40-5)&amp;" more)",""),""),"")</f>
        <v/>
      </c>
      <c r="D40" s="66">
        <f>IF(MONTH(M40)=MONTH($K$2),DAY(M40)&amp;IF(U40&gt;0,"   ·   "&amp;U40&amp;IF(U40=1," video"," videos")&amp;"   ·   "&amp;TEXT(AC40,"[h]:mm")&amp;IF(U40&gt;5,"   (+"&amp;(U40-5)&amp;" more)",""),""),"")</f>
        <v/>
      </c>
      <c r="E40" s="66">
        <f>IF(MONTH(N40)=MONTH($K$2),DAY(N40)&amp;IF(V40&gt;0,"   ·   "&amp;V40&amp;IF(V40=1," video"," videos")&amp;"   ·   "&amp;TEXT(AD40,"[h]:mm")&amp;IF(V40&gt;5,"   (+"&amp;(V40-5)&amp;" more)",""),""),"")</f>
        <v/>
      </c>
      <c r="F40" s="66">
        <f>IF(MONTH(O40)=MONTH($K$2),DAY(O40)&amp;IF(W40&gt;0,"   ·   "&amp;W40&amp;IF(W40=1," video"," videos")&amp;"   ·   "&amp;TEXT(AE40,"[h]:mm")&amp;IF(W40&gt;5,"   (+"&amp;(W40-5)&amp;" more)",""),""),"")</f>
        <v/>
      </c>
      <c r="G40" s="66">
        <f>IF(MONTH(P40)=MONTH($K$2),DAY(P40)&amp;IF(X40&gt;0,"   ·   "&amp;X40&amp;IF(X40=1," video"," videos")&amp;"   ·   "&amp;TEXT(AF40,"[h]:mm")&amp;IF(X40&gt;5,"   (+"&amp;(X40-5)&amp;" more)",""),""),"")</f>
        <v/>
      </c>
      <c r="H40" s="66">
        <f>IF(MONTH(Q40)=MONTH($K$2),DAY(Q40)&amp;IF(Y40&gt;0,"   ·   "&amp;Y40&amp;IF(Y40=1," video"," videos")&amp;"   ·   "&amp;TEXT(AG40,"[h]:mm")&amp;IF(Y40&gt;5,"   (+"&amp;(Y40-5)&amp;" more)",""),""),"")</f>
        <v/>
      </c>
      <c r="K40" s="56">
        <f>$K$3+35</f>
        <v/>
      </c>
      <c r="L40" s="56">
        <f>$K$3+36</f>
        <v/>
      </c>
      <c r="M40" s="56">
        <f>$K$3+37</f>
        <v/>
      </c>
      <c r="N40" s="56">
        <f>$K$3+38</f>
        <v/>
      </c>
      <c r="O40" s="56">
        <f>$K$3+39</f>
        <v/>
      </c>
      <c r="P40" s="56">
        <f>$K$3+40</f>
        <v/>
      </c>
      <c r="Q40" s="56">
        <f>$K$3+41</f>
        <v/>
      </c>
      <c r="S40">
        <f>IF(MONTH(K40)=MONTH($K$2),COUNTIFS(tblVideos[Day],K40,tblVideos[Channel ID],$K$4),0)</f>
        <v/>
      </c>
      <c r="T40">
        <f>IF(MONTH(L40)=MONTH($K$2),COUNTIFS(tblVideos[Day],L40,tblVideos[Channel ID],$K$4),0)</f>
        <v/>
      </c>
      <c r="U40">
        <f>IF(MONTH(M40)=MONTH($K$2),COUNTIFS(tblVideos[Day],M40,tblVideos[Channel ID],$K$4),0)</f>
        <v/>
      </c>
      <c r="V40">
        <f>IF(MONTH(N40)=MONTH($K$2),COUNTIFS(tblVideos[Day],N40,tblVideos[Channel ID],$K$4),0)</f>
        <v/>
      </c>
      <c r="W40">
        <f>IF(MONTH(O40)=MONTH($K$2),COUNTIFS(tblVideos[Day],O40,tblVideos[Channel ID],$K$4),0)</f>
        <v/>
      </c>
      <c r="X40">
        <f>IF(MONTH(P40)=MONTH($K$2),COUNTIFS(tblVideos[Day],P40,tblVideos[Channel ID],$K$4),0)</f>
        <v/>
      </c>
      <c r="Y40">
        <f>IF(MONTH(Q40)=MONTH($K$2),COUNTIFS(tblVideos[Day],Q40,tblVideos[Channel ID],$K$4),0)</f>
        <v/>
      </c>
      <c r="AA40">
        <f>IF(S40&gt;0,SUMIFS(tblVideos[Length],tblVideos[Day],K40,tblVideos[Channel ID],$K$4),0)</f>
        <v/>
      </c>
      <c r="AB40">
        <f>IF(T40&gt;0,SUMIFS(tblVideos[Length],tblVideos[Day],L40,tblVideos[Channel ID],$K$4),0)</f>
        <v/>
      </c>
      <c r="AC40">
        <f>IF(U40&gt;0,SUMIFS(tblVideos[Length],tblVideos[Day],M40,tblVideos[Channel ID],$K$4),0)</f>
        <v/>
      </c>
      <c r="AD40">
        <f>IF(V40&gt;0,SUMIFS(tblVideos[Length],tblVideos[Day],N40,tblVideos[Channel ID],$K$4),0)</f>
        <v/>
      </c>
      <c r="AE40">
        <f>IF(W40&gt;0,SUMIFS(tblVideos[Length],tblVideos[Day],O40,tblVideos[Channel ID],$K$4),0)</f>
        <v/>
      </c>
      <c r="AF40">
        <f>IF(X40&gt;0,SUMIFS(tblVideos[Length],tblVideos[Day],P40,tblVideos[Channel ID],$K$4),0)</f>
        <v/>
      </c>
      <c r="AG40">
        <f>IF(Y40&gt;0,SUMIFS(tblVideos[Length],tblVideos[Day],Q40,tblVideos[Channel ID],$K$4),0)</f>
        <v/>
      </c>
    </row>
    <row r="41">
      <c r="B41" s="67">
        <f>IF(K41="","",IF(INDEX(tblVideos[Video ID],K41)="",IF(INDEX(tblVideos[Status],K41)="Watched","✓ ","▸ ")&amp;INDEX(tblVideos[Title],K41),HYPERLINK("https://www.youtube.com/watch?v="&amp;INDEX(tblVideos[Video ID],K41),IF(INDEX(tblVideos[Status],K41)="Watched","✓ ","▸ ")&amp;INDEX(tblVideos[Title],K41))))</f>
        <v/>
      </c>
      <c r="C41" s="67">
        <f>IF(L41="","",IF(INDEX(tblVideos[Video ID],L41)="",IF(INDEX(tblVideos[Status],L41)="Watched","✓ ","▸ ")&amp;INDEX(tblVideos[Title],L41),HYPERLINK("https://www.youtube.com/watch?v="&amp;INDEX(tblVideos[Video ID],L41),IF(INDEX(tblVideos[Status],L41)="Watched","✓ ","▸ ")&amp;INDEX(tblVideos[Title],L41))))</f>
        <v/>
      </c>
      <c r="D41" s="67">
        <f>IF(M41="","",IF(INDEX(tblVideos[Video ID],M41)="",IF(INDEX(tblVideos[Status],M41)="Watched","✓ ","▸ ")&amp;INDEX(tblVideos[Title],M41),HYPERLINK("https://www.youtube.com/watch?v="&amp;INDEX(tblVideos[Video ID],M41),IF(INDEX(tblVideos[Status],M41)="Watched","✓ ","▸ ")&amp;INDEX(tblVideos[Title],M41))))</f>
        <v/>
      </c>
      <c r="E41" s="67">
        <f>IF(N41="","",IF(INDEX(tblVideos[Video ID],N41)="",IF(INDEX(tblVideos[Status],N41)="Watched","✓ ","▸ ")&amp;INDEX(tblVideos[Title],N41),HYPERLINK("https://www.youtube.com/watch?v="&amp;INDEX(tblVideos[Video ID],N41),IF(INDEX(tblVideos[Status],N41)="Watched","✓ ","▸ ")&amp;INDEX(tblVideos[Title],N41))))</f>
        <v/>
      </c>
      <c r="F41" s="67">
        <f>IF(O41="","",IF(INDEX(tblVideos[Video ID],O41)="",IF(INDEX(tblVideos[Status],O41)="Watched","✓ ","▸ ")&amp;INDEX(tblVideos[Title],O41),HYPERLINK("https://www.youtube.com/watch?v="&amp;INDEX(tblVideos[Video ID],O41),IF(INDEX(tblVideos[Status],O41)="Watched","✓ ","▸ ")&amp;INDEX(tblVideos[Title],O41))))</f>
        <v/>
      </c>
      <c r="G41" s="67">
        <f>IF(P41="","",IF(INDEX(tblVideos[Video ID],P41)="",IF(INDEX(tblVideos[Status],P41)="Watched","✓ ","▸ ")&amp;INDEX(tblVideos[Title],P41),HYPERLINK("https://www.youtube.com/watch?v="&amp;INDEX(tblVideos[Video ID],P41),IF(INDEX(tblVideos[Status],P41)="Watched","✓ ","▸ ")&amp;INDEX(tblVideos[Title],P41))))</f>
        <v/>
      </c>
      <c r="H41" s="67">
        <f>IF(Q41="","",IF(INDEX(tblVideos[Video ID],Q41)="",IF(INDEX(tblVideos[Status],Q41)="Watched","✓ ","▸ ")&amp;INDEX(tblVideos[Title],Q41),HYPERLINK("https://www.youtube.com/watch?v="&amp;INDEX(tblVideos[Video ID],Q41),IF(INDEX(tblVideos[Status],Q41)="Watched","✓ ","▸ ")&amp;INDEX(tblVideos[Title],Q41))))</f>
        <v/>
      </c>
      <c r="K41">
        <f>IF(S40&gt;=1,MATCH(K40*100+1,tblVideos[Cal Key],0),"")</f>
        <v/>
      </c>
      <c r="L41">
        <f>IF(T40&gt;=1,MATCH(L40*100+1,tblVideos[Cal Key],0),"")</f>
        <v/>
      </c>
      <c r="M41">
        <f>IF(U40&gt;=1,MATCH(M40*100+1,tblVideos[Cal Key],0),"")</f>
        <v/>
      </c>
      <c r="N41">
        <f>IF(V40&gt;=1,MATCH(N40*100+1,tblVideos[Cal Key],0),"")</f>
        <v/>
      </c>
      <c r="O41">
        <f>IF(W40&gt;=1,MATCH(O40*100+1,tblVideos[Cal Key],0),"")</f>
        <v/>
      </c>
      <c r="P41">
        <f>IF(X40&gt;=1,MATCH(P40*100+1,tblVideos[Cal Key],0),"")</f>
        <v/>
      </c>
      <c r="Q41">
        <f>IF(Y40&gt;=1,MATCH(Q40*100+1,tblVideos[Cal Key],0),"")</f>
        <v/>
      </c>
      <c r="S41">
        <f>IF(K41="","",IFERROR(MATCH(INDEX(tblVideos[Channel ID],K41),tblChannels[Channel ID],0),""))</f>
        <v/>
      </c>
      <c r="T41">
        <f>IF(L41="","",IFERROR(MATCH(INDEX(tblVideos[Channel ID],L41),tblChannels[Channel ID],0),""))</f>
        <v/>
      </c>
      <c r="U41">
        <f>IF(M41="","",IFERROR(MATCH(INDEX(tblVideos[Channel ID],M41),tblChannels[Channel ID],0),""))</f>
        <v/>
      </c>
      <c r="V41">
        <f>IF(N41="","",IFERROR(MATCH(INDEX(tblVideos[Channel ID],N41),tblChannels[Channel ID],0),""))</f>
        <v/>
      </c>
      <c r="W41">
        <f>IF(O41="","",IFERROR(MATCH(INDEX(tblVideos[Channel ID],O41),tblChannels[Channel ID],0),""))</f>
        <v/>
      </c>
      <c r="X41">
        <f>IF(P41="","",IFERROR(MATCH(INDEX(tblVideos[Channel ID],P41),tblChannels[Channel ID],0),""))</f>
        <v/>
      </c>
      <c r="Y41">
        <f>IF(Q41="","",IFERROR(MATCH(INDEX(tblVideos[Channel ID],Q41),tblChannels[Channel ID],0),""))</f>
        <v/>
      </c>
    </row>
    <row r="42">
      <c r="B42" s="67">
        <f>IF(K42="","",IF(INDEX(tblVideos[Video ID],K42)="",IF(INDEX(tblVideos[Status],K42)="Watched","✓ ","▸ ")&amp;INDEX(tblVideos[Title],K42),HYPERLINK("https://www.youtube.com/watch?v="&amp;INDEX(tblVideos[Video ID],K42),IF(INDEX(tblVideos[Status],K42)="Watched","✓ ","▸ ")&amp;INDEX(tblVideos[Title],K42))))</f>
        <v/>
      </c>
      <c r="C42" s="67">
        <f>IF(L42="","",IF(INDEX(tblVideos[Video ID],L42)="",IF(INDEX(tblVideos[Status],L42)="Watched","✓ ","▸ ")&amp;INDEX(tblVideos[Title],L42),HYPERLINK("https://www.youtube.com/watch?v="&amp;INDEX(tblVideos[Video ID],L42),IF(INDEX(tblVideos[Status],L42)="Watched","✓ ","▸ ")&amp;INDEX(tblVideos[Title],L42))))</f>
        <v/>
      </c>
      <c r="D42" s="67">
        <f>IF(M42="","",IF(INDEX(tblVideos[Video ID],M42)="",IF(INDEX(tblVideos[Status],M42)="Watched","✓ ","▸ ")&amp;INDEX(tblVideos[Title],M42),HYPERLINK("https://www.youtube.com/watch?v="&amp;INDEX(tblVideos[Video ID],M42),IF(INDEX(tblVideos[Status],M42)="Watched","✓ ","▸ ")&amp;INDEX(tblVideos[Title],M42))))</f>
        <v/>
      </c>
      <c r="E42" s="67">
        <f>IF(N42="","",IF(INDEX(tblVideos[Video ID],N42)="",IF(INDEX(tblVideos[Status],N42)="Watched","✓ ","▸ ")&amp;INDEX(tblVideos[Title],N42),HYPERLINK("https://www.youtube.com/watch?v="&amp;INDEX(tblVideos[Video ID],N42),IF(INDEX(tblVideos[Status],N42)="Watched","✓ ","▸ ")&amp;INDEX(tblVideos[Title],N42))))</f>
        <v/>
      </c>
      <c r="F42" s="67">
        <f>IF(O42="","",IF(INDEX(tblVideos[Video ID],O42)="",IF(INDEX(tblVideos[Status],O42)="Watched","✓ ","▸ ")&amp;INDEX(tblVideos[Title],O42),HYPERLINK("https://www.youtube.com/watch?v="&amp;INDEX(tblVideos[Video ID],O42),IF(INDEX(tblVideos[Status],O42)="Watched","✓ ","▸ ")&amp;INDEX(tblVideos[Title],O42))))</f>
        <v/>
      </c>
      <c r="G42" s="67">
        <f>IF(P42="","",IF(INDEX(tblVideos[Video ID],P42)="",IF(INDEX(tblVideos[Status],P42)="Watched","✓ ","▸ ")&amp;INDEX(tblVideos[Title],P42),HYPERLINK("https://www.youtube.com/watch?v="&amp;INDEX(tblVideos[Video ID],P42),IF(INDEX(tblVideos[Status],P42)="Watched","✓ ","▸ ")&amp;INDEX(tblVideos[Title],P42))))</f>
        <v/>
      </c>
      <c r="H42" s="67">
        <f>IF(Q42="","",IF(INDEX(tblVideos[Video ID],Q42)="",IF(INDEX(tblVideos[Status],Q42)="Watched","✓ ","▸ ")&amp;INDEX(tblVideos[Title],Q42),HYPERLINK("https://www.youtube.com/watch?v="&amp;INDEX(tblVideos[Video ID],Q42),IF(INDEX(tblVideos[Status],Q42)="Watched","✓ ","▸ ")&amp;INDEX(tblVideos[Title],Q42))))</f>
        <v/>
      </c>
      <c r="K42">
        <f>IF(S40&gt;=2,MATCH(K40*100+2,tblVideos[Cal Key],0),"")</f>
        <v/>
      </c>
      <c r="L42">
        <f>IF(T40&gt;=2,MATCH(L40*100+2,tblVideos[Cal Key],0),"")</f>
        <v/>
      </c>
      <c r="M42">
        <f>IF(U40&gt;=2,MATCH(M40*100+2,tblVideos[Cal Key],0),"")</f>
        <v/>
      </c>
      <c r="N42">
        <f>IF(V40&gt;=2,MATCH(N40*100+2,tblVideos[Cal Key],0),"")</f>
        <v/>
      </c>
      <c r="O42">
        <f>IF(W40&gt;=2,MATCH(O40*100+2,tblVideos[Cal Key],0),"")</f>
        <v/>
      </c>
      <c r="P42">
        <f>IF(X40&gt;=2,MATCH(P40*100+2,tblVideos[Cal Key],0),"")</f>
        <v/>
      </c>
      <c r="Q42">
        <f>IF(Y40&gt;=2,MATCH(Q40*100+2,tblVideos[Cal Key],0),"")</f>
        <v/>
      </c>
      <c r="S42">
        <f>IF(K42="","",IFERROR(MATCH(INDEX(tblVideos[Channel ID],K42),tblChannels[Channel ID],0),""))</f>
        <v/>
      </c>
      <c r="T42">
        <f>IF(L42="","",IFERROR(MATCH(INDEX(tblVideos[Channel ID],L42),tblChannels[Channel ID],0),""))</f>
        <v/>
      </c>
      <c r="U42">
        <f>IF(M42="","",IFERROR(MATCH(INDEX(tblVideos[Channel ID],M42),tblChannels[Channel ID],0),""))</f>
        <v/>
      </c>
      <c r="V42">
        <f>IF(N42="","",IFERROR(MATCH(INDEX(tblVideos[Channel ID],N42),tblChannels[Channel ID],0),""))</f>
        <v/>
      </c>
      <c r="W42">
        <f>IF(O42="","",IFERROR(MATCH(INDEX(tblVideos[Channel ID],O42),tblChannels[Channel ID],0),""))</f>
        <v/>
      </c>
      <c r="X42">
        <f>IF(P42="","",IFERROR(MATCH(INDEX(tblVideos[Channel ID],P42),tblChannels[Channel ID],0),""))</f>
        <v/>
      </c>
      <c r="Y42">
        <f>IF(Q42="","",IFERROR(MATCH(INDEX(tblVideos[Channel ID],Q42),tblChannels[Channel ID],0),""))</f>
        <v/>
      </c>
    </row>
    <row r="43">
      <c r="B43" s="67">
        <f>IF(K43="","",IF(INDEX(tblVideos[Video ID],K43)="",IF(INDEX(tblVideos[Status],K43)="Watched","✓ ","▸ ")&amp;INDEX(tblVideos[Title],K43),HYPERLINK("https://www.youtube.com/watch?v="&amp;INDEX(tblVideos[Video ID],K43),IF(INDEX(tblVideos[Status],K43)="Watched","✓ ","▸ ")&amp;INDEX(tblVideos[Title],K43))))</f>
        <v/>
      </c>
      <c r="C43" s="67">
        <f>IF(L43="","",IF(INDEX(tblVideos[Video ID],L43)="",IF(INDEX(tblVideos[Status],L43)="Watched","✓ ","▸ ")&amp;INDEX(tblVideos[Title],L43),HYPERLINK("https://www.youtube.com/watch?v="&amp;INDEX(tblVideos[Video ID],L43),IF(INDEX(tblVideos[Status],L43)="Watched","✓ ","▸ ")&amp;INDEX(tblVideos[Title],L43))))</f>
        <v/>
      </c>
      <c r="D43" s="67">
        <f>IF(M43="","",IF(INDEX(tblVideos[Video ID],M43)="",IF(INDEX(tblVideos[Status],M43)="Watched","✓ ","▸ ")&amp;INDEX(tblVideos[Title],M43),HYPERLINK("https://www.youtube.com/watch?v="&amp;INDEX(tblVideos[Video ID],M43),IF(INDEX(tblVideos[Status],M43)="Watched","✓ ","▸ ")&amp;INDEX(tblVideos[Title],M43))))</f>
        <v/>
      </c>
      <c r="E43" s="67">
        <f>IF(N43="","",IF(INDEX(tblVideos[Video ID],N43)="",IF(INDEX(tblVideos[Status],N43)="Watched","✓ ","▸ ")&amp;INDEX(tblVideos[Title],N43),HYPERLINK("https://www.youtube.com/watch?v="&amp;INDEX(tblVideos[Video ID],N43),IF(INDEX(tblVideos[Status],N43)="Watched","✓ ","▸ ")&amp;INDEX(tblVideos[Title],N43))))</f>
        <v/>
      </c>
      <c r="F43" s="67">
        <f>IF(O43="","",IF(INDEX(tblVideos[Video ID],O43)="",IF(INDEX(tblVideos[Status],O43)="Watched","✓ ","▸ ")&amp;INDEX(tblVideos[Title],O43),HYPERLINK("https://www.youtube.com/watch?v="&amp;INDEX(tblVideos[Video ID],O43),IF(INDEX(tblVideos[Status],O43)="Watched","✓ ","▸ ")&amp;INDEX(tblVideos[Title],O43))))</f>
        <v/>
      </c>
      <c r="G43" s="67">
        <f>IF(P43="","",IF(INDEX(tblVideos[Video ID],P43)="",IF(INDEX(tblVideos[Status],P43)="Watched","✓ ","▸ ")&amp;INDEX(tblVideos[Title],P43),HYPERLINK("https://www.youtube.com/watch?v="&amp;INDEX(tblVideos[Video ID],P43),IF(INDEX(tblVideos[Status],P43)="Watched","✓ ","▸ ")&amp;INDEX(tblVideos[Title],P43))))</f>
        <v/>
      </c>
      <c r="H43" s="67">
        <f>IF(Q43="","",IF(INDEX(tblVideos[Video ID],Q43)="",IF(INDEX(tblVideos[Status],Q43)="Watched","✓ ","▸ ")&amp;INDEX(tblVideos[Title],Q43),HYPERLINK("https://www.youtube.com/watch?v="&amp;INDEX(tblVideos[Video ID],Q43),IF(INDEX(tblVideos[Status],Q43)="Watched","✓ ","▸ ")&amp;INDEX(tblVideos[Title],Q43))))</f>
        <v/>
      </c>
      <c r="K43">
        <f>IF(S40&gt;=3,MATCH(K40*100+3,tblVideos[Cal Key],0),"")</f>
        <v/>
      </c>
      <c r="L43">
        <f>IF(T40&gt;=3,MATCH(L40*100+3,tblVideos[Cal Key],0),"")</f>
        <v/>
      </c>
      <c r="M43">
        <f>IF(U40&gt;=3,MATCH(M40*100+3,tblVideos[Cal Key],0),"")</f>
        <v/>
      </c>
      <c r="N43">
        <f>IF(V40&gt;=3,MATCH(N40*100+3,tblVideos[Cal Key],0),"")</f>
        <v/>
      </c>
      <c r="O43">
        <f>IF(W40&gt;=3,MATCH(O40*100+3,tblVideos[Cal Key],0),"")</f>
        <v/>
      </c>
      <c r="P43">
        <f>IF(X40&gt;=3,MATCH(P40*100+3,tblVideos[Cal Key],0),"")</f>
        <v/>
      </c>
      <c r="Q43">
        <f>IF(Y40&gt;=3,MATCH(Q40*100+3,tblVideos[Cal Key],0),"")</f>
        <v/>
      </c>
      <c r="S43">
        <f>IF(K43="","",IFERROR(MATCH(INDEX(tblVideos[Channel ID],K43),tblChannels[Channel ID],0),""))</f>
        <v/>
      </c>
      <c r="T43">
        <f>IF(L43="","",IFERROR(MATCH(INDEX(tblVideos[Channel ID],L43),tblChannels[Channel ID],0),""))</f>
        <v/>
      </c>
      <c r="U43">
        <f>IF(M43="","",IFERROR(MATCH(INDEX(tblVideos[Channel ID],M43),tblChannels[Channel ID],0),""))</f>
        <v/>
      </c>
      <c r="V43">
        <f>IF(N43="","",IFERROR(MATCH(INDEX(tblVideos[Channel ID],N43),tblChannels[Channel ID],0),""))</f>
        <v/>
      </c>
      <c r="W43">
        <f>IF(O43="","",IFERROR(MATCH(INDEX(tblVideos[Channel ID],O43),tblChannels[Channel ID],0),""))</f>
        <v/>
      </c>
      <c r="X43">
        <f>IF(P43="","",IFERROR(MATCH(INDEX(tblVideos[Channel ID],P43),tblChannels[Channel ID],0),""))</f>
        <v/>
      </c>
      <c r="Y43">
        <f>IF(Q43="","",IFERROR(MATCH(INDEX(tblVideos[Channel ID],Q43),tblChannels[Channel ID],0),""))</f>
        <v/>
      </c>
    </row>
    <row r="44">
      <c r="B44" s="67">
        <f>IF(K44="","",IF(INDEX(tblVideos[Video ID],K44)="",IF(INDEX(tblVideos[Status],K44)="Watched","✓ ","▸ ")&amp;INDEX(tblVideos[Title],K44),HYPERLINK("https://www.youtube.com/watch?v="&amp;INDEX(tblVideos[Video ID],K44),IF(INDEX(tblVideos[Status],K44)="Watched","✓ ","▸ ")&amp;INDEX(tblVideos[Title],K44))))</f>
        <v/>
      </c>
      <c r="C44" s="67">
        <f>IF(L44="","",IF(INDEX(tblVideos[Video ID],L44)="",IF(INDEX(tblVideos[Status],L44)="Watched","✓ ","▸ ")&amp;INDEX(tblVideos[Title],L44),HYPERLINK("https://www.youtube.com/watch?v="&amp;INDEX(tblVideos[Video ID],L44),IF(INDEX(tblVideos[Status],L44)="Watched","✓ ","▸ ")&amp;INDEX(tblVideos[Title],L44))))</f>
        <v/>
      </c>
      <c r="D44" s="67">
        <f>IF(M44="","",IF(INDEX(tblVideos[Video ID],M44)="",IF(INDEX(tblVideos[Status],M44)="Watched","✓ ","▸ ")&amp;INDEX(tblVideos[Title],M44),HYPERLINK("https://www.youtube.com/watch?v="&amp;INDEX(tblVideos[Video ID],M44),IF(INDEX(tblVideos[Status],M44)="Watched","✓ ","▸ ")&amp;INDEX(tblVideos[Title],M44))))</f>
        <v/>
      </c>
      <c r="E44" s="67">
        <f>IF(N44="","",IF(INDEX(tblVideos[Video ID],N44)="",IF(INDEX(tblVideos[Status],N44)="Watched","✓ ","▸ ")&amp;INDEX(tblVideos[Title],N44),HYPERLINK("https://www.youtube.com/watch?v="&amp;INDEX(tblVideos[Video ID],N44),IF(INDEX(tblVideos[Status],N44)="Watched","✓ ","▸ ")&amp;INDEX(tblVideos[Title],N44))))</f>
        <v/>
      </c>
      <c r="F44" s="67">
        <f>IF(O44="","",IF(INDEX(tblVideos[Video ID],O44)="",IF(INDEX(tblVideos[Status],O44)="Watched","✓ ","▸ ")&amp;INDEX(tblVideos[Title],O44),HYPERLINK("https://www.youtube.com/watch?v="&amp;INDEX(tblVideos[Video ID],O44),IF(INDEX(tblVideos[Status],O44)="Watched","✓ ","▸ ")&amp;INDEX(tblVideos[Title],O44))))</f>
        <v/>
      </c>
      <c r="G44" s="67">
        <f>IF(P44="","",IF(INDEX(tblVideos[Video ID],P44)="",IF(INDEX(tblVideos[Status],P44)="Watched","✓ ","▸ ")&amp;INDEX(tblVideos[Title],P44),HYPERLINK("https://www.youtube.com/watch?v="&amp;INDEX(tblVideos[Video ID],P44),IF(INDEX(tblVideos[Status],P44)="Watched","✓ ","▸ ")&amp;INDEX(tblVideos[Title],P44))))</f>
        <v/>
      </c>
      <c r="H44" s="67">
        <f>IF(Q44="","",IF(INDEX(tblVideos[Video ID],Q44)="",IF(INDEX(tblVideos[Status],Q44)="Watched","✓ ","▸ ")&amp;INDEX(tblVideos[Title],Q44),HYPERLINK("https://www.youtube.com/watch?v="&amp;INDEX(tblVideos[Video ID],Q44),IF(INDEX(tblVideos[Status],Q44)="Watched","✓ ","▸ ")&amp;INDEX(tblVideos[Title],Q44))))</f>
        <v/>
      </c>
      <c r="K44">
        <f>IF(S40&gt;=4,MATCH(K40*100+4,tblVideos[Cal Key],0),"")</f>
        <v/>
      </c>
      <c r="L44">
        <f>IF(T40&gt;=4,MATCH(L40*100+4,tblVideos[Cal Key],0),"")</f>
        <v/>
      </c>
      <c r="M44">
        <f>IF(U40&gt;=4,MATCH(M40*100+4,tblVideos[Cal Key],0),"")</f>
        <v/>
      </c>
      <c r="N44">
        <f>IF(V40&gt;=4,MATCH(N40*100+4,tblVideos[Cal Key],0),"")</f>
        <v/>
      </c>
      <c r="O44">
        <f>IF(W40&gt;=4,MATCH(O40*100+4,tblVideos[Cal Key],0),"")</f>
        <v/>
      </c>
      <c r="P44">
        <f>IF(X40&gt;=4,MATCH(P40*100+4,tblVideos[Cal Key],0),"")</f>
        <v/>
      </c>
      <c r="Q44">
        <f>IF(Y40&gt;=4,MATCH(Q40*100+4,tblVideos[Cal Key],0),"")</f>
        <v/>
      </c>
      <c r="S44">
        <f>IF(K44="","",IFERROR(MATCH(INDEX(tblVideos[Channel ID],K44),tblChannels[Channel ID],0),""))</f>
        <v/>
      </c>
      <c r="T44">
        <f>IF(L44="","",IFERROR(MATCH(INDEX(tblVideos[Channel ID],L44),tblChannels[Channel ID],0),""))</f>
        <v/>
      </c>
      <c r="U44">
        <f>IF(M44="","",IFERROR(MATCH(INDEX(tblVideos[Channel ID],M44),tblChannels[Channel ID],0),""))</f>
        <v/>
      </c>
      <c r="V44">
        <f>IF(N44="","",IFERROR(MATCH(INDEX(tblVideos[Channel ID],N44),tblChannels[Channel ID],0),""))</f>
        <v/>
      </c>
      <c r="W44">
        <f>IF(O44="","",IFERROR(MATCH(INDEX(tblVideos[Channel ID],O44),tblChannels[Channel ID],0),""))</f>
        <v/>
      </c>
      <c r="X44">
        <f>IF(P44="","",IFERROR(MATCH(INDEX(tblVideos[Channel ID],P44),tblChannels[Channel ID],0),""))</f>
        <v/>
      </c>
      <c r="Y44">
        <f>IF(Q44="","",IFERROR(MATCH(INDEX(tblVideos[Channel ID],Q44),tblChannels[Channel ID],0),""))</f>
        <v/>
      </c>
    </row>
    <row r="45">
      <c r="B45" s="67">
        <f>IF(K45="","",IF(INDEX(tblVideos[Video ID],K45)="",IF(INDEX(tblVideos[Status],K45)="Watched","✓ ","▸ ")&amp;INDEX(tblVideos[Title],K45),HYPERLINK("https://www.youtube.com/watch?v="&amp;INDEX(tblVideos[Video ID],K45),IF(INDEX(tblVideos[Status],K45)="Watched","✓ ","▸ ")&amp;INDEX(tblVideos[Title],K45))))</f>
        <v/>
      </c>
      <c r="C45" s="67">
        <f>IF(L45="","",IF(INDEX(tblVideos[Video ID],L45)="",IF(INDEX(tblVideos[Status],L45)="Watched","✓ ","▸ ")&amp;INDEX(tblVideos[Title],L45),HYPERLINK("https://www.youtube.com/watch?v="&amp;INDEX(tblVideos[Video ID],L45),IF(INDEX(tblVideos[Status],L45)="Watched","✓ ","▸ ")&amp;INDEX(tblVideos[Title],L45))))</f>
        <v/>
      </c>
      <c r="D45" s="67">
        <f>IF(M45="","",IF(INDEX(tblVideos[Video ID],M45)="",IF(INDEX(tblVideos[Status],M45)="Watched","✓ ","▸ ")&amp;INDEX(tblVideos[Title],M45),HYPERLINK("https://www.youtube.com/watch?v="&amp;INDEX(tblVideos[Video ID],M45),IF(INDEX(tblVideos[Status],M45)="Watched","✓ ","▸ ")&amp;INDEX(tblVideos[Title],M45))))</f>
        <v/>
      </c>
      <c r="E45" s="67">
        <f>IF(N45="","",IF(INDEX(tblVideos[Video ID],N45)="",IF(INDEX(tblVideos[Status],N45)="Watched","✓ ","▸ ")&amp;INDEX(tblVideos[Title],N45),HYPERLINK("https://www.youtube.com/watch?v="&amp;INDEX(tblVideos[Video ID],N45),IF(INDEX(tblVideos[Status],N45)="Watched","✓ ","▸ ")&amp;INDEX(tblVideos[Title],N45))))</f>
        <v/>
      </c>
      <c r="F45" s="67">
        <f>IF(O45="","",IF(INDEX(tblVideos[Video ID],O45)="",IF(INDEX(tblVideos[Status],O45)="Watched","✓ ","▸ ")&amp;INDEX(tblVideos[Title],O45),HYPERLINK("https://www.youtube.com/watch?v="&amp;INDEX(tblVideos[Video ID],O45),IF(INDEX(tblVideos[Status],O45)="Watched","✓ ","▸ ")&amp;INDEX(tblVideos[Title],O45))))</f>
        <v/>
      </c>
      <c r="G45" s="67">
        <f>IF(P45="","",IF(INDEX(tblVideos[Video ID],P45)="",IF(INDEX(tblVideos[Status],P45)="Watched","✓ ","▸ ")&amp;INDEX(tblVideos[Title],P45),HYPERLINK("https://www.youtube.com/watch?v="&amp;INDEX(tblVideos[Video ID],P45),IF(INDEX(tblVideos[Status],P45)="Watched","✓ ","▸ ")&amp;INDEX(tblVideos[Title],P45))))</f>
        <v/>
      </c>
      <c r="H45" s="67">
        <f>IF(Q45="","",IF(INDEX(tblVideos[Video ID],Q45)="",IF(INDEX(tblVideos[Status],Q45)="Watched","✓ ","▸ ")&amp;INDEX(tblVideos[Title],Q45),HYPERLINK("https://www.youtube.com/watch?v="&amp;INDEX(tblVideos[Video ID],Q45),IF(INDEX(tblVideos[Status],Q45)="Watched","✓ ","▸ ")&amp;INDEX(tblVideos[Title],Q45))))</f>
        <v/>
      </c>
      <c r="K45">
        <f>IF(S40&gt;=5,MATCH(K40*100+5,tblVideos[Cal Key],0),"")</f>
        <v/>
      </c>
      <c r="L45">
        <f>IF(T40&gt;=5,MATCH(L40*100+5,tblVideos[Cal Key],0),"")</f>
        <v/>
      </c>
      <c r="M45">
        <f>IF(U40&gt;=5,MATCH(M40*100+5,tblVideos[Cal Key],0),"")</f>
        <v/>
      </c>
      <c r="N45">
        <f>IF(V40&gt;=5,MATCH(N40*100+5,tblVideos[Cal Key],0),"")</f>
        <v/>
      </c>
      <c r="O45">
        <f>IF(W40&gt;=5,MATCH(O40*100+5,tblVideos[Cal Key],0),"")</f>
        <v/>
      </c>
      <c r="P45">
        <f>IF(X40&gt;=5,MATCH(P40*100+5,tblVideos[Cal Key],0),"")</f>
        <v/>
      </c>
      <c r="Q45">
        <f>IF(Y40&gt;=5,MATCH(Q40*100+5,tblVideos[Cal Key],0),"")</f>
        <v/>
      </c>
      <c r="S45">
        <f>IF(K45="","",IFERROR(MATCH(INDEX(tblVideos[Channel ID],K45),tblChannels[Channel ID],0),""))</f>
        <v/>
      </c>
      <c r="T45">
        <f>IF(L45="","",IFERROR(MATCH(INDEX(tblVideos[Channel ID],L45),tblChannels[Channel ID],0),""))</f>
        <v/>
      </c>
      <c r="U45">
        <f>IF(M45="","",IFERROR(MATCH(INDEX(tblVideos[Channel ID],M45),tblChannels[Channel ID],0),""))</f>
        <v/>
      </c>
      <c r="V45">
        <f>IF(N45="","",IFERROR(MATCH(INDEX(tblVideos[Channel ID],N45),tblChannels[Channel ID],0),""))</f>
        <v/>
      </c>
      <c r="W45">
        <f>IF(O45="","",IFERROR(MATCH(INDEX(tblVideos[Channel ID],O45),tblChannels[Channel ID],0),""))</f>
        <v/>
      </c>
      <c r="X45">
        <f>IF(P45="","",IFERROR(MATCH(INDEX(tblVideos[Channel ID],P45),tblChannels[Channel ID],0),""))</f>
        <v/>
      </c>
      <c r="Y45">
        <f>IF(Q45="","",IFERROR(MATCH(INDEX(tblVideos[Channel ID],Q45),tblChannels[Channel ID],0),""))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0:H15">
    <cfRule type="expression" priority="1" dxfId="13" stopIfTrue="1">
      <formula>MONTH(K$10)&lt;&gt;MONTH($K$2)</formula>
    </cfRule>
  </conditionalFormatting>
  <conditionalFormatting sqref="B10:H10">
    <cfRule type="expression" priority="2" dxfId="6">
      <formula>K10=TODAY()</formula>
    </cfRule>
  </conditionalFormatting>
  <conditionalFormatting sqref="B16:H21">
    <cfRule type="expression" priority="3" dxfId="13" stopIfTrue="1">
      <formula>MONTH(K$16)&lt;&gt;MONTH($K$2)</formula>
    </cfRule>
  </conditionalFormatting>
  <conditionalFormatting sqref="B16:H16">
    <cfRule type="expression" priority="4" dxfId="6">
      <formula>K16=TODAY()</formula>
    </cfRule>
  </conditionalFormatting>
  <conditionalFormatting sqref="B22:H27">
    <cfRule type="expression" priority="5" dxfId="13" stopIfTrue="1">
      <formula>MONTH(K$22)&lt;&gt;MONTH($K$2)</formula>
    </cfRule>
  </conditionalFormatting>
  <conditionalFormatting sqref="B22:H22">
    <cfRule type="expression" priority="6" dxfId="6">
      <formula>K22=TODAY()</formula>
    </cfRule>
  </conditionalFormatting>
  <conditionalFormatting sqref="B28:H33">
    <cfRule type="expression" priority="7" dxfId="13" stopIfTrue="1">
      <formula>MONTH(K$28)&lt;&gt;MONTH($K$2)</formula>
    </cfRule>
  </conditionalFormatting>
  <conditionalFormatting sqref="B28:H28">
    <cfRule type="expression" priority="8" dxfId="6">
      <formula>K28=TODAY()</formula>
    </cfRule>
  </conditionalFormatting>
  <conditionalFormatting sqref="B34:H39">
    <cfRule type="expression" priority="9" dxfId="13" stopIfTrue="1">
      <formula>MONTH(K$34)&lt;&gt;MONTH($K$2)</formula>
    </cfRule>
  </conditionalFormatting>
  <conditionalFormatting sqref="B34:H34">
    <cfRule type="expression" priority="10" dxfId="6">
      <formula>K34=TODAY()</formula>
    </cfRule>
  </conditionalFormatting>
  <conditionalFormatting sqref="B40:H45">
    <cfRule type="expression" priority="11" dxfId="13" stopIfTrue="1">
      <formula>MONTH(K$40)&lt;&gt;MONTH($K$2)</formula>
    </cfRule>
  </conditionalFormatting>
  <conditionalFormatting sqref="B40:H40">
    <cfRule type="expression" priority="12" dxfId="6">
      <formula>K40=TODAY()</formula>
    </cfRule>
  </conditionalFormatting>
  <conditionalFormatting sqref="B11:H15 B17:H21 B23:H27 B29:H33 B35:H39 B41:H45">
    <cfRule type="expression" priority="13" dxfId="14">
      <formula>S11=1</formula>
    </cfRule>
    <cfRule type="expression" priority="14" dxfId="15">
      <formula>S11=2</formula>
    </cfRule>
    <cfRule type="expression" priority="15" dxfId="16">
      <formula>S11=3</formula>
    </cfRule>
    <cfRule type="expression" priority="16" dxfId="17">
      <formula>S11=4</formula>
    </cfRule>
    <cfRule type="expression" priority="17" dxfId="18">
      <formula>S11=5</formula>
    </cfRule>
    <cfRule type="expression" priority="18" dxfId="19">
      <formula>S11=6</formula>
    </cfRule>
    <cfRule type="expression" priority="19" dxfId="20">
      <formula>LEFT(B11,1)="✓"</formula>
    </cfRule>
  </conditionalFormatting>
  <dataValidations count="3">
    <dataValidation sqref="C4" showDropDown="0" showInputMessage="0" showErrorMessage="1" allowBlank="0" type="list">
      <formula1>=YearList</formula1>
    </dataValidation>
    <dataValidation sqref="E4" showDropDown="0" showInputMessage="0" showErrorMessage="1" allowBlank="0" type="list">
      <formula1>=MonthList</formula1>
    </dataValidation>
    <dataValidation sqref="G4" showDropDown="0" showInputMessage="0" showErrorMessage="1" allowBlank="0" type="list">
      <formula1>=ChannelList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9E6B"/>
    <outlinePr summaryBelow="1" summaryRight="1"/>
    <pageSetUpPr fitToPage="1"/>
  </sheetPr>
  <dimension ref="B1:T3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hidden="1" outlineLevel="1" width="13" customWidth="1" min="20" max="21"/>
  </cols>
  <sheetData>
    <row r="1"/>
    <row r="2" ht="30" customHeight="1">
      <c r="B2" s="52" t="inlineStr">
        <is>
          <t>History</t>
        </is>
      </c>
    </row>
    <row r="3">
      <c r="C3" s="53" t="inlineStr">
        <is>
          <t>Channel</t>
        </is>
      </c>
      <c r="G3" s="53" t="inlineStr">
        <is>
          <t>Heatmap shows</t>
        </is>
      </c>
      <c r="K3" s="53" t="inlineStr">
        <is>
          <t>Year view</t>
        </is>
      </c>
    </row>
    <row r="4">
      <c r="B4" s="57">
        <f>HYPERLINK("#Dashboard!A1","◄ Dashboard")</f>
        <v/>
      </c>
      <c r="C4" s="54" t="inlineStr">
        <is>
          <t>All channels</t>
        </is>
      </c>
      <c r="G4" s="54" t="inlineStr">
        <is>
          <t>Videos</t>
        </is>
      </c>
      <c r="K4" s="54" t="n">
        <v>2026</v>
      </c>
      <c r="T4">
        <f>IF($C$4="All channels","*",IFERROR(INDEX(tblChannels[Channel ID],MATCH($C$4,tblChannels[Display Name],0)),"none"))</f>
        <v/>
      </c>
    </row>
    <row r="5">
      <c r="B5" s="2" t="inlineStr">
        <is>
          <t>How the channels uploaded over the years - and how much of it you've watched.</t>
        </is>
      </c>
    </row>
    <row r="6" ht="20" customHeight="1">
      <c r="B6" s="9" t="inlineStr">
        <is>
          <t>Upload heatmap  -  darker = more (hours are rounded)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 ht="20" customHeight="1">
      <c r="B7" s="11" t="inlineStr">
        <is>
          <t>Year</t>
        </is>
      </c>
      <c r="C7" s="11" t="inlineStr">
        <is>
          <t>Jan</t>
        </is>
      </c>
      <c r="D7" s="11" t="inlineStr">
        <is>
          <t>Feb</t>
        </is>
      </c>
      <c r="E7" s="11" t="inlineStr">
        <is>
          <t>Mar</t>
        </is>
      </c>
      <c r="F7" s="11" t="inlineStr">
        <is>
          <t>Apr</t>
        </is>
      </c>
      <c r="G7" s="11" t="inlineStr">
        <is>
          <t>May</t>
        </is>
      </c>
      <c r="H7" s="11" t="inlineStr">
        <is>
          <t>Jun</t>
        </is>
      </c>
      <c r="I7" s="11" t="inlineStr">
        <is>
          <t>Jul</t>
        </is>
      </c>
      <c r="J7" s="11" t="inlineStr">
        <is>
          <t>Aug</t>
        </is>
      </c>
      <c r="K7" s="11" t="inlineStr">
        <is>
          <t>Sep</t>
        </is>
      </c>
      <c r="L7" s="11" t="inlineStr">
        <is>
          <t>Oct</t>
        </is>
      </c>
      <c r="M7" s="11" t="inlineStr">
        <is>
          <t>Nov</t>
        </is>
      </c>
      <c r="N7" s="11" t="inlineStr">
        <is>
          <t>Dec</t>
        </is>
      </c>
      <c r="O7" s="11" t="inlineStr">
        <is>
          <t>Total</t>
        </is>
      </c>
    </row>
    <row r="8">
      <c r="B8" s="68" t="n">
        <v>2012</v>
      </c>
      <c r="C8" s="69">
        <f>IF($G$4="Hours",ROUND(SUMIFS(tblVideos[Length],tblVideos[Day],"&gt;="&amp;DATE($B8,1,1),tblVideos[Day],"&lt;"&amp;DATE($B8,2,1),tblVideos[Channel ID],$T$4)*24,0),COUNTIFS(tblVideos[Day],"&gt;="&amp;DATE($B8,1,1),tblVideos[Day],"&lt;"&amp;DATE($B8,2,1),tblVideos[Channel ID],$T$4))</f>
        <v/>
      </c>
      <c r="D8" s="69">
        <f>IF($G$4="Hours",ROUND(SUMIFS(tblVideos[Length],tblVideos[Day],"&gt;="&amp;DATE($B8,2,1),tblVideos[Day],"&lt;"&amp;DATE($B8,3,1),tblVideos[Channel ID],$T$4)*24,0),COUNTIFS(tblVideos[Day],"&gt;="&amp;DATE($B8,2,1),tblVideos[Day],"&lt;"&amp;DATE($B8,3,1),tblVideos[Channel ID],$T$4))</f>
        <v/>
      </c>
      <c r="E8" s="69">
        <f>IF($G$4="Hours",ROUND(SUMIFS(tblVideos[Length],tblVideos[Day],"&gt;="&amp;DATE($B8,3,1),tblVideos[Day],"&lt;"&amp;DATE($B8,4,1),tblVideos[Channel ID],$T$4)*24,0),COUNTIFS(tblVideos[Day],"&gt;="&amp;DATE($B8,3,1),tblVideos[Day],"&lt;"&amp;DATE($B8,4,1),tblVideos[Channel ID],$T$4))</f>
        <v/>
      </c>
      <c r="F8" s="69">
        <f>IF($G$4="Hours",ROUND(SUMIFS(tblVideos[Length],tblVideos[Day],"&gt;="&amp;DATE($B8,4,1),tblVideos[Day],"&lt;"&amp;DATE($B8,5,1),tblVideos[Channel ID],$T$4)*24,0),COUNTIFS(tblVideos[Day],"&gt;="&amp;DATE($B8,4,1),tblVideos[Day],"&lt;"&amp;DATE($B8,5,1),tblVideos[Channel ID],$T$4))</f>
        <v/>
      </c>
      <c r="G8" s="69">
        <f>IF($G$4="Hours",ROUND(SUMIFS(tblVideos[Length],tblVideos[Day],"&gt;="&amp;DATE($B8,5,1),tblVideos[Day],"&lt;"&amp;DATE($B8,6,1),tblVideos[Channel ID],$T$4)*24,0),COUNTIFS(tblVideos[Day],"&gt;="&amp;DATE($B8,5,1),tblVideos[Day],"&lt;"&amp;DATE($B8,6,1),tblVideos[Channel ID],$T$4))</f>
        <v/>
      </c>
      <c r="H8" s="69">
        <f>IF($G$4="Hours",ROUND(SUMIFS(tblVideos[Length],tblVideos[Day],"&gt;="&amp;DATE($B8,6,1),tblVideos[Day],"&lt;"&amp;DATE($B8,7,1),tblVideos[Channel ID],$T$4)*24,0),COUNTIFS(tblVideos[Day],"&gt;="&amp;DATE($B8,6,1),tblVideos[Day],"&lt;"&amp;DATE($B8,7,1),tblVideos[Channel ID],$T$4))</f>
        <v/>
      </c>
      <c r="I8" s="69">
        <f>IF($G$4="Hours",ROUND(SUMIFS(tblVideos[Length],tblVideos[Day],"&gt;="&amp;DATE($B8,7,1),tblVideos[Day],"&lt;"&amp;DATE($B8,8,1),tblVideos[Channel ID],$T$4)*24,0),COUNTIFS(tblVideos[Day],"&gt;="&amp;DATE($B8,7,1),tblVideos[Day],"&lt;"&amp;DATE($B8,8,1),tblVideos[Channel ID],$T$4))</f>
        <v/>
      </c>
      <c r="J8" s="69">
        <f>IF($G$4="Hours",ROUND(SUMIFS(tblVideos[Length],tblVideos[Day],"&gt;="&amp;DATE($B8,8,1),tblVideos[Day],"&lt;"&amp;DATE($B8,9,1),tblVideos[Channel ID],$T$4)*24,0),COUNTIFS(tblVideos[Day],"&gt;="&amp;DATE($B8,8,1),tblVideos[Day],"&lt;"&amp;DATE($B8,9,1),tblVideos[Channel ID],$T$4))</f>
        <v/>
      </c>
      <c r="K8" s="69">
        <f>IF($G$4="Hours",ROUND(SUMIFS(tblVideos[Length],tblVideos[Day],"&gt;="&amp;DATE($B8,9,1),tblVideos[Day],"&lt;"&amp;DATE($B8,10,1),tblVideos[Channel ID],$T$4)*24,0),COUNTIFS(tblVideos[Day],"&gt;="&amp;DATE($B8,9,1),tblVideos[Day],"&lt;"&amp;DATE($B8,10,1),tblVideos[Channel ID],$T$4))</f>
        <v/>
      </c>
      <c r="L8" s="69">
        <f>IF($G$4="Hours",ROUND(SUMIFS(tblVideos[Length],tblVideos[Day],"&gt;="&amp;DATE($B8,10,1),tblVideos[Day],"&lt;"&amp;DATE($B8,11,1),tblVideos[Channel ID],$T$4)*24,0),COUNTIFS(tblVideos[Day],"&gt;="&amp;DATE($B8,10,1),tblVideos[Day],"&lt;"&amp;DATE($B8,11,1),tblVideos[Channel ID],$T$4))</f>
        <v/>
      </c>
      <c r="M8" s="69">
        <f>IF($G$4="Hours",ROUND(SUMIFS(tblVideos[Length],tblVideos[Day],"&gt;="&amp;DATE($B8,11,1),tblVideos[Day],"&lt;"&amp;DATE($B8,12,1),tblVideos[Channel ID],$T$4)*24,0),COUNTIFS(tblVideos[Day],"&gt;="&amp;DATE($B8,11,1),tblVideos[Day],"&lt;"&amp;DATE($B8,12,1),tblVideos[Channel ID],$T$4))</f>
        <v/>
      </c>
      <c r="N8" s="69">
        <f>IF($G$4="Hours",ROUND(SUMIFS(tblVideos[Length],tblVideos[Day],"&gt;="&amp;DATE($B8,12,1),tblVideos[Day],"&lt;"&amp;DATE($B8,13,1),tblVideos[Channel ID],$T$4)*24,0),COUNTIFS(tblVideos[Day],"&gt;="&amp;DATE($B8,12,1),tblVideos[Day],"&lt;"&amp;DATE($B8,13,1),tblVideos[Channel ID],$T$4))</f>
        <v/>
      </c>
      <c r="O8" s="24">
        <f>SUM(C8:N8)</f>
        <v/>
      </c>
    </row>
    <row r="9">
      <c r="B9" s="68" t="n">
        <v>2013</v>
      </c>
      <c r="C9" s="69">
        <f>IF($G$4="Hours",ROUND(SUMIFS(tblVideos[Length],tblVideos[Day],"&gt;="&amp;DATE($B9,1,1),tblVideos[Day],"&lt;"&amp;DATE($B9,2,1),tblVideos[Channel ID],$T$4)*24,0),COUNTIFS(tblVideos[Day],"&gt;="&amp;DATE($B9,1,1),tblVideos[Day],"&lt;"&amp;DATE($B9,2,1),tblVideos[Channel ID],$T$4))</f>
        <v/>
      </c>
      <c r="D9" s="69">
        <f>IF($G$4="Hours",ROUND(SUMIFS(tblVideos[Length],tblVideos[Day],"&gt;="&amp;DATE($B9,2,1),tblVideos[Day],"&lt;"&amp;DATE($B9,3,1),tblVideos[Channel ID],$T$4)*24,0),COUNTIFS(tblVideos[Day],"&gt;="&amp;DATE($B9,2,1),tblVideos[Day],"&lt;"&amp;DATE($B9,3,1),tblVideos[Channel ID],$T$4))</f>
        <v/>
      </c>
      <c r="E9" s="69">
        <f>IF($G$4="Hours",ROUND(SUMIFS(tblVideos[Length],tblVideos[Day],"&gt;="&amp;DATE($B9,3,1),tblVideos[Day],"&lt;"&amp;DATE($B9,4,1),tblVideos[Channel ID],$T$4)*24,0),COUNTIFS(tblVideos[Day],"&gt;="&amp;DATE($B9,3,1),tblVideos[Day],"&lt;"&amp;DATE($B9,4,1),tblVideos[Channel ID],$T$4))</f>
        <v/>
      </c>
      <c r="F9" s="69">
        <f>IF($G$4="Hours",ROUND(SUMIFS(tblVideos[Length],tblVideos[Day],"&gt;="&amp;DATE($B9,4,1),tblVideos[Day],"&lt;"&amp;DATE($B9,5,1),tblVideos[Channel ID],$T$4)*24,0),COUNTIFS(tblVideos[Day],"&gt;="&amp;DATE($B9,4,1),tblVideos[Day],"&lt;"&amp;DATE($B9,5,1),tblVideos[Channel ID],$T$4))</f>
        <v/>
      </c>
      <c r="G9" s="69">
        <f>IF($G$4="Hours",ROUND(SUMIFS(tblVideos[Length],tblVideos[Day],"&gt;="&amp;DATE($B9,5,1),tblVideos[Day],"&lt;"&amp;DATE($B9,6,1),tblVideos[Channel ID],$T$4)*24,0),COUNTIFS(tblVideos[Day],"&gt;="&amp;DATE($B9,5,1),tblVideos[Day],"&lt;"&amp;DATE($B9,6,1),tblVideos[Channel ID],$T$4))</f>
        <v/>
      </c>
      <c r="H9" s="69">
        <f>IF($G$4="Hours",ROUND(SUMIFS(tblVideos[Length],tblVideos[Day],"&gt;="&amp;DATE($B9,6,1),tblVideos[Day],"&lt;"&amp;DATE($B9,7,1),tblVideos[Channel ID],$T$4)*24,0),COUNTIFS(tblVideos[Day],"&gt;="&amp;DATE($B9,6,1),tblVideos[Day],"&lt;"&amp;DATE($B9,7,1),tblVideos[Channel ID],$T$4))</f>
        <v/>
      </c>
      <c r="I9" s="69">
        <f>IF($G$4="Hours",ROUND(SUMIFS(tblVideos[Length],tblVideos[Day],"&gt;="&amp;DATE($B9,7,1),tblVideos[Day],"&lt;"&amp;DATE($B9,8,1),tblVideos[Channel ID],$T$4)*24,0),COUNTIFS(tblVideos[Day],"&gt;="&amp;DATE($B9,7,1),tblVideos[Day],"&lt;"&amp;DATE($B9,8,1),tblVideos[Channel ID],$T$4))</f>
        <v/>
      </c>
      <c r="J9" s="69">
        <f>IF($G$4="Hours",ROUND(SUMIFS(tblVideos[Length],tblVideos[Day],"&gt;="&amp;DATE($B9,8,1),tblVideos[Day],"&lt;"&amp;DATE($B9,9,1),tblVideos[Channel ID],$T$4)*24,0),COUNTIFS(tblVideos[Day],"&gt;="&amp;DATE($B9,8,1),tblVideos[Day],"&lt;"&amp;DATE($B9,9,1),tblVideos[Channel ID],$T$4))</f>
        <v/>
      </c>
      <c r="K9" s="69">
        <f>IF($G$4="Hours",ROUND(SUMIFS(tblVideos[Length],tblVideos[Day],"&gt;="&amp;DATE($B9,9,1),tblVideos[Day],"&lt;"&amp;DATE($B9,10,1),tblVideos[Channel ID],$T$4)*24,0),COUNTIFS(tblVideos[Day],"&gt;="&amp;DATE($B9,9,1),tblVideos[Day],"&lt;"&amp;DATE($B9,10,1),tblVideos[Channel ID],$T$4))</f>
        <v/>
      </c>
      <c r="L9" s="69">
        <f>IF($G$4="Hours",ROUND(SUMIFS(tblVideos[Length],tblVideos[Day],"&gt;="&amp;DATE($B9,10,1),tblVideos[Day],"&lt;"&amp;DATE($B9,11,1),tblVideos[Channel ID],$T$4)*24,0),COUNTIFS(tblVideos[Day],"&gt;="&amp;DATE($B9,10,1),tblVideos[Day],"&lt;"&amp;DATE($B9,11,1),tblVideos[Channel ID],$T$4))</f>
        <v/>
      </c>
      <c r="M9" s="69">
        <f>IF($G$4="Hours",ROUND(SUMIFS(tblVideos[Length],tblVideos[Day],"&gt;="&amp;DATE($B9,11,1),tblVideos[Day],"&lt;"&amp;DATE($B9,12,1),tblVideos[Channel ID],$T$4)*24,0),COUNTIFS(tblVideos[Day],"&gt;="&amp;DATE($B9,11,1),tblVideos[Day],"&lt;"&amp;DATE($B9,12,1),tblVideos[Channel ID],$T$4))</f>
        <v/>
      </c>
      <c r="N9" s="69">
        <f>IF($G$4="Hours",ROUND(SUMIFS(tblVideos[Length],tblVideos[Day],"&gt;="&amp;DATE($B9,12,1),tblVideos[Day],"&lt;"&amp;DATE($B9,13,1),tblVideos[Channel ID],$T$4)*24,0),COUNTIFS(tblVideos[Day],"&gt;="&amp;DATE($B9,12,1),tblVideos[Day],"&lt;"&amp;DATE($B9,13,1),tblVideos[Channel ID],$T$4))</f>
        <v/>
      </c>
      <c r="O9" s="24">
        <f>SUM(C9:N9)</f>
        <v/>
      </c>
    </row>
    <row r="10">
      <c r="B10" s="68" t="n">
        <v>2014</v>
      </c>
      <c r="C10" s="69">
        <f>IF($G$4="Hours",ROUND(SUMIFS(tblVideos[Length],tblVideos[Day],"&gt;="&amp;DATE($B10,1,1),tblVideos[Day],"&lt;"&amp;DATE($B10,2,1),tblVideos[Channel ID],$T$4)*24,0),COUNTIFS(tblVideos[Day],"&gt;="&amp;DATE($B10,1,1),tblVideos[Day],"&lt;"&amp;DATE($B10,2,1),tblVideos[Channel ID],$T$4))</f>
        <v/>
      </c>
      <c r="D10" s="69">
        <f>IF($G$4="Hours",ROUND(SUMIFS(tblVideos[Length],tblVideos[Day],"&gt;="&amp;DATE($B10,2,1),tblVideos[Day],"&lt;"&amp;DATE($B10,3,1),tblVideos[Channel ID],$T$4)*24,0),COUNTIFS(tblVideos[Day],"&gt;="&amp;DATE($B10,2,1),tblVideos[Day],"&lt;"&amp;DATE($B10,3,1),tblVideos[Channel ID],$T$4))</f>
        <v/>
      </c>
      <c r="E10" s="69">
        <f>IF($G$4="Hours",ROUND(SUMIFS(tblVideos[Length],tblVideos[Day],"&gt;="&amp;DATE($B10,3,1),tblVideos[Day],"&lt;"&amp;DATE($B10,4,1),tblVideos[Channel ID],$T$4)*24,0),COUNTIFS(tblVideos[Day],"&gt;="&amp;DATE($B10,3,1),tblVideos[Day],"&lt;"&amp;DATE($B10,4,1),tblVideos[Channel ID],$T$4))</f>
        <v/>
      </c>
      <c r="F10" s="69">
        <f>IF($G$4="Hours",ROUND(SUMIFS(tblVideos[Length],tblVideos[Day],"&gt;="&amp;DATE($B10,4,1),tblVideos[Day],"&lt;"&amp;DATE($B10,5,1),tblVideos[Channel ID],$T$4)*24,0),COUNTIFS(tblVideos[Day],"&gt;="&amp;DATE($B10,4,1),tblVideos[Day],"&lt;"&amp;DATE($B10,5,1),tblVideos[Channel ID],$T$4))</f>
        <v/>
      </c>
      <c r="G10" s="69">
        <f>IF($G$4="Hours",ROUND(SUMIFS(tblVideos[Length],tblVideos[Day],"&gt;="&amp;DATE($B10,5,1),tblVideos[Day],"&lt;"&amp;DATE($B10,6,1),tblVideos[Channel ID],$T$4)*24,0),COUNTIFS(tblVideos[Day],"&gt;="&amp;DATE($B10,5,1),tblVideos[Day],"&lt;"&amp;DATE($B10,6,1),tblVideos[Channel ID],$T$4))</f>
        <v/>
      </c>
      <c r="H10" s="69">
        <f>IF($G$4="Hours",ROUND(SUMIFS(tblVideos[Length],tblVideos[Day],"&gt;="&amp;DATE($B10,6,1),tblVideos[Day],"&lt;"&amp;DATE($B10,7,1),tblVideos[Channel ID],$T$4)*24,0),COUNTIFS(tblVideos[Day],"&gt;="&amp;DATE($B10,6,1),tblVideos[Day],"&lt;"&amp;DATE($B10,7,1),tblVideos[Channel ID],$T$4))</f>
        <v/>
      </c>
      <c r="I10" s="69">
        <f>IF($G$4="Hours",ROUND(SUMIFS(tblVideos[Length],tblVideos[Day],"&gt;="&amp;DATE($B10,7,1),tblVideos[Day],"&lt;"&amp;DATE($B10,8,1),tblVideos[Channel ID],$T$4)*24,0),COUNTIFS(tblVideos[Day],"&gt;="&amp;DATE($B10,7,1),tblVideos[Day],"&lt;"&amp;DATE($B10,8,1),tblVideos[Channel ID],$T$4))</f>
        <v/>
      </c>
      <c r="J10" s="69">
        <f>IF($G$4="Hours",ROUND(SUMIFS(tblVideos[Length],tblVideos[Day],"&gt;="&amp;DATE($B10,8,1),tblVideos[Day],"&lt;"&amp;DATE($B10,9,1),tblVideos[Channel ID],$T$4)*24,0),COUNTIFS(tblVideos[Day],"&gt;="&amp;DATE($B10,8,1),tblVideos[Day],"&lt;"&amp;DATE($B10,9,1),tblVideos[Channel ID],$T$4))</f>
        <v/>
      </c>
      <c r="K10" s="69">
        <f>IF($G$4="Hours",ROUND(SUMIFS(tblVideos[Length],tblVideos[Day],"&gt;="&amp;DATE($B10,9,1),tblVideos[Day],"&lt;"&amp;DATE($B10,10,1),tblVideos[Channel ID],$T$4)*24,0),COUNTIFS(tblVideos[Day],"&gt;="&amp;DATE($B10,9,1),tblVideos[Day],"&lt;"&amp;DATE($B10,10,1),tblVideos[Channel ID],$T$4))</f>
        <v/>
      </c>
      <c r="L10" s="69">
        <f>IF($G$4="Hours",ROUND(SUMIFS(tblVideos[Length],tblVideos[Day],"&gt;="&amp;DATE($B10,10,1),tblVideos[Day],"&lt;"&amp;DATE($B10,11,1),tblVideos[Channel ID],$T$4)*24,0),COUNTIFS(tblVideos[Day],"&gt;="&amp;DATE($B10,10,1),tblVideos[Day],"&lt;"&amp;DATE($B10,11,1),tblVideos[Channel ID],$T$4))</f>
        <v/>
      </c>
      <c r="M10" s="69">
        <f>IF($G$4="Hours",ROUND(SUMIFS(tblVideos[Length],tblVideos[Day],"&gt;="&amp;DATE($B10,11,1),tblVideos[Day],"&lt;"&amp;DATE($B10,12,1),tblVideos[Channel ID],$T$4)*24,0),COUNTIFS(tblVideos[Day],"&gt;="&amp;DATE($B10,11,1),tblVideos[Day],"&lt;"&amp;DATE($B10,12,1),tblVideos[Channel ID],$T$4))</f>
        <v/>
      </c>
      <c r="N10" s="69">
        <f>IF($G$4="Hours",ROUND(SUMIFS(tblVideos[Length],tblVideos[Day],"&gt;="&amp;DATE($B10,12,1),tblVideos[Day],"&lt;"&amp;DATE($B10,13,1),tblVideos[Channel ID],$T$4)*24,0),COUNTIFS(tblVideos[Day],"&gt;="&amp;DATE($B10,12,1),tblVideos[Day],"&lt;"&amp;DATE($B10,13,1),tblVideos[Channel ID],$T$4))</f>
        <v/>
      </c>
      <c r="O10" s="24">
        <f>SUM(C10:N10)</f>
        <v/>
      </c>
    </row>
    <row r="11">
      <c r="B11" s="68" t="n">
        <v>2015</v>
      </c>
      <c r="C11" s="69">
        <f>IF($G$4="Hours",ROUND(SUMIFS(tblVideos[Length],tblVideos[Day],"&gt;="&amp;DATE($B11,1,1),tblVideos[Day],"&lt;"&amp;DATE($B11,2,1),tblVideos[Channel ID],$T$4)*24,0),COUNTIFS(tblVideos[Day],"&gt;="&amp;DATE($B11,1,1),tblVideos[Day],"&lt;"&amp;DATE($B11,2,1),tblVideos[Channel ID],$T$4))</f>
        <v/>
      </c>
      <c r="D11" s="69">
        <f>IF($G$4="Hours",ROUND(SUMIFS(tblVideos[Length],tblVideos[Day],"&gt;="&amp;DATE($B11,2,1),tblVideos[Day],"&lt;"&amp;DATE($B11,3,1),tblVideos[Channel ID],$T$4)*24,0),COUNTIFS(tblVideos[Day],"&gt;="&amp;DATE($B11,2,1),tblVideos[Day],"&lt;"&amp;DATE($B11,3,1),tblVideos[Channel ID],$T$4))</f>
        <v/>
      </c>
      <c r="E11" s="69">
        <f>IF($G$4="Hours",ROUND(SUMIFS(tblVideos[Length],tblVideos[Day],"&gt;="&amp;DATE($B11,3,1),tblVideos[Day],"&lt;"&amp;DATE($B11,4,1),tblVideos[Channel ID],$T$4)*24,0),COUNTIFS(tblVideos[Day],"&gt;="&amp;DATE($B11,3,1),tblVideos[Day],"&lt;"&amp;DATE($B11,4,1),tblVideos[Channel ID],$T$4))</f>
        <v/>
      </c>
      <c r="F11" s="69">
        <f>IF($G$4="Hours",ROUND(SUMIFS(tblVideos[Length],tblVideos[Day],"&gt;="&amp;DATE($B11,4,1),tblVideos[Day],"&lt;"&amp;DATE($B11,5,1),tblVideos[Channel ID],$T$4)*24,0),COUNTIFS(tblVideos[Day],"&gt;="&amp;DATE($B11,4,1),tblVideos[Day],"&lt;"&amp;DATE($B11,5,1),tblVideos[Channel ID],$T$4))</f>
        <v/>
      </c>
      <c r="G11" s="69">
        <f>IF($G$4="Hours",ROUND(SUMIFS(tblVideos[Length],tblVideos[Day],"&gt;="&amp;DATE($B11,5,1),tblVideos[Day],"&lt;"&amp;DATE($B11,6,1),tblVideos[Channel ID],$T$4)*24,0),COUNTIFS(tblVideos[Day],"&gt;="&amp;DATE($B11,5,1),tblVideos[Day],"&lt;"&amp;DATE($B11,6,1),tblVideos[Channel ID],$T$4))</f>
        <v/>
      </c>
      <c r="H11" s="69">
        <f>IF($G$4="Hours",ROUND(SUMIFS(tblVideos[Length],tblVideos[Day],"&gt;="&amp;DATE($B11,6,1),tblVideos[Day],"&lt;"&amp;DATE($B11,7,1),tblVideos[Channel ID],$T$4)*24,0),COUNTIFS(tblVideos[Day],"&gt;="&amp;DATE($B11,6,1),tblVideos[Day],"&lt;"&amp;DATE($B11,7,1),tblVideos[Channel ID],$T$4))</f>
        <v/>
      </c>
      <c r="I11" s="69">
        <f>IF($G$4="Hours",ROUND(SUMIFS(tblVideos[Length],tblVideos[Day],"&gt;="&amp;DATE($B11,7,1),tblVideos[Day],"&lt;"&amp;DATE($B11,8,1),tblVideos[Channel ID],$T$4)*24,0),COUNTIFS(tblVideos[Day],"&gt;="&amp;DATE($B11,7,1),tblVideos[Day],"&lt;"&amp;DATE($B11,8,1),tblVideos[Channel ID],$T$4))</f>
        <v/>
      </c>
      <c r="J11" s="69">
        <f>IF($G$4="Hours",ROUND(SUMIFS(tblVideos[Length],tblVideos[Day],"&gt;="&amp;DATE($B11,8,1),tblVideos[Day],"&lt;"&amp;DATE($B11,9,1),tblVideos[Channel ID],$T$4)*24,0),COUNTIFS(tblVideos[Day],"&gt;="&amp;DATE($B11,8,1),tblVideos[Day],"&lt;"&amp;DATE($B11,9,1),tblVideos[Channel ID],$T$4))</f>
        <v/>
      </c>
      <c r="K11" s="69">
        <f>IF($G$4="Hours",ROUND(SUMIFS(tblVideos[Length],tblVideos[Day],"&gt;="&amp;DATE($B11,9,1),tblVideos[Day],"&lt;"&amp;DATE($B11,10,1),tblVideos[Channel ID],$T$4)*24,0),COUNTIFS(tblVideos[Day],"&gt;="&amp;DATE($B11,9,1),tblVideos[Day],"&lt;"&amp;DATE($B11,10,1),tblVideos[Channel ID],$T$4))</f>
        <v/>
      </c>
      <c r="L11" s="69">
        <f>IF($G$4="Hours",ROUND(SUMIFS(tblVideos[Length],tblVideos[Day],"&gt;="&amp;DATE($B11,10,1),tblVideos[Day],"&lt;"&amp;DATE($B11,11,1),tblVideos[Channel ID],$T$4)*24,0),COUNTIFS(tblVideos[Day],"&gt;="&amp;DATE($B11,10,1),tblVideos[Day],"&lt;"&amp;DATE($B11,11,1),tblVideos[Channel ID],$T$4))</f>
        <v/>
      </c>
      <c r="M11" s="69">
        <f>IF($G$4="Hours",ROUND(SUMIFS(tblVideos[Length],tblVideos[Day],"&gt;="&amp;DATE($B11,11,1),tblVideos[Day],"&lt;"&amp;DATE($B11,12,1),tblVideos[Channel ID],$T$4)*24,0),COUNTIFS(tblVideos[Day],"&gt;="&amp;DATE($B11,11,1),tblVideos[Day],"&lt;"&amp;DATE($B11,12,1),tblVideos[Channel ID],$T$4))</f>
        <v/>
      </c>
      <c r="N11" s="69">
        <f>IF($G$4="Hours",ROUND(SUMIFS(tblVideos[Length],tblVideos[Day],"&gt;="&amp;DATE($B11,12,1),tblVideos[Day],"&lt;"&amp;DATE($B11,13,1),tblVideos[Channel ID],$T$4)*24,0),COUNTIFS(tblVideos[Day],"&gt;="&amp;DATE($B11,12,1),tblVideos[Day],"&lt;"&amp;DATE($B11,13,1),tblVideos[Channel ID],$T$4))</f>
        <v/>
      </c>
      <c r="O11" s="24">
        <f>SUM(C11:N11)</f>
        <v/>
      </c>
    </row>
    <row r="12">
      <c r="B12" s="68" t="n">
        <v>2016</v>
      </c>
      <c r="C12" s="69">
        <f>IF($G$4="Hours",ROUND(SUMIFS(tblVideos[Length],tblVideos[Day],"&gt;="&amp;DATE($B12,1,1),tblVideos[Day],"&lt;"&amp;DATE($B12,2,1),tblVideos[Channel ID],$T$4)*24,0),COUNTIFS(tblVideos[Day],"&gt;="&amp;DATE($B12,1,1),tblVideos[Day],"&lt;"&amp;DATE($B12,2,1),tblVideos[Channel ID],$T$4))</f>
        <v/>
      </c>
      <c r="D12" s="69">
        <f>IF($G$4="Hours",ROUND(SUMIFS(tblVideos[Length],tblVideos[Day],"&gt;="&amp;DATE($B12,2,1),tblVideos[Day],"&lt;"&amp;DATE($B12,3,1),tblVideos[Channel ID],$T$4)*24,0),COUNTIFS(tblVideos[Day],"&gt;="&amp;DATE($B12,2,1),tblVideos[Day],"&lt;"&amp;DATE($B12,3,1),tblVideos[Channel ID],$T$4))</f>
        <v/>
      </c>
      <c r="E12" s="69">
        <f>IF($G$4="Hours",ROUND(SUMIFS(tblVideos[Length],tblVideos[Day],"&gt;="&amp;DATE($B12,3,1),tblVideos[Day],"&lt;"&amp;DATE($B12,4,1),tblVideos[Channel ID],$T$4)*24,0),COUNTIFS(tblVideos[Day],"&gt;="&amp;DATE($B12,3,1),tblVideos[Day],"&lt;"&amp;DATE($B12,4,1),tblVideos[Channel ID],$T$4))</f>
        <v/>
      </c>
      <c r="F12" s="69">
        <f>IF($G$4="Hours",ROUND(SUMIFS(tblVideos[Length],tblVideos[Day],"&gt;="&amp;DATE($B12,4,1),tblVideos[Day],"&lt;"&amp;DATE($B12,5,1),tblVideos[Channel ID],$T$4)*24,0),COUNTIFS(tblVideos[Day],"&gt;="&amp;DATE($B12,4,1),tblVideos[Day],"&lt;"&amp;DATE($B12,5,1),tblVideos[Channel ID],$T$4))</f>
        <v/>
      </c>
      <c r="G12" s="69">
        <f>IF($G$4="Hours",ROUND(SUMIFS(tblVideos[Length],tblVideos[Day],"&gt;="&amp;DATE($B12,5,1),tblVideos[Day],"&lt;"&amp;DATE($B12,6,1),tblVideos[Channel ID],$T$4)*24,0),COUNTIFS(tblVideos[Day],"&gt;="&amp;DATE($B12,5,1),tblVideos[Day],"&lt;"&amp;DATE($B12,6,1),tblVideos[Channel ID],$T$4))</f>
        <v/>
      </c>
      <c r="H12" s="69">
        <f>IF($G$4="Hours",ROUND(SUMIFS(tblVideos[Length],tblVideos[Day],"&gt;="&amp;DATE($B12,6,1),tblVideos[Day],"&lt;"&amp;DATE($B12,7,1),tblVideos[Channel ID],$T$4)*24,0),COUNTIFS(tblVideos[Day],"&gt;="&amp;DATE($B12,6,1),tblVideos[Day],"&lt;"&amp;DATE($B12,7,1),tblVideos[Channel ID],$T$4))</f>
        <v/>
      </c>
      <c r="I12" s="69">
        <f>IF($G$4="Hours",ROUND(SUMIFS(tblVideos[Length],tblVideos[Day],"&gt;="&amp;DATE($B12,7,1),tblVideos[Day],"&lt;"&amp;DATE($B12,8,1),tblVideos[Channel ID],$T$4)*24,0),COUNTIFS(tblVideos[Day],"&gt;="&amp;DATE($B12,7,1),tblVideos[Day],"&lt;"&amp;DATE($B12,8,1),tblVideos[Channel ID],$T$4))</f>
        <v/>
      </c>
      <c r="J12" s="69">
        <f>IF($G$4="Hours",ROUND(SUMIFS(tblVideos[Length],tblVideos[Day],"&gt;="&amp;DATE($B12,8,1),tblVideos[Day],"&lt;"&amp;DATE($B12,9,1),tblVideos[Channel ID],$T$4)*24,0),COUNTIFS(tblVideos[Day],"&gt;="&amp;DATE($B12,8,1),tblVideos[Day],"&lt;"&amp;DATE($B12,9,1),tblVideos[Channel ID],$T$4))</f>
        <v/>
      </c>
      <c r="K12" s="69">
        <f>IF($G$4="Hours",ROUND(SUMIFS(tblVideos[Length],tblVideos[Day],"&gt;="&amp;DATE($B12,9,1),tblVideos[Day],"&lt;"&amp;DATE($B12,10,1),tblVideos[Channel ID],$T$4)*24,0),COUNTIFS(tblVideos[Day],"&gt;="&amp;DATE($B12,9,1),tblVideos[Day],"&lt;"&amp;DATE($B12,10,1),tblVideos[Channel ID],$T$4))</f>
        <v/>
      </c>
      <c r="L12" s="69">
        <f>IF($G$4="Hours",ROUND(SUMIFS(tblVideos[Length],tblVideos[Day],"&gt;="&amp;DATE($B12,10,1),tblVideos[Day],"&lt;"&amp;DATE($B12,11,1),tblVideos[Channel ID],$T$4)*24,0),COUNTIFS(tblVideos[Day],"&gt;="&amp;DATE($B12,10,1),tblVideos[Day],"&lt;"&amp;DATE($B12,11,1),tblVideos[Channel ID],$T$4))</f>
        <v/>
      </c>
      <c r="M12" s="69">
        <f>IF($G$4="Hours",ROUND(SUMIFS(tblVideos[Length],tblVideos[Day],"&gt;="&amp;DATE($B12,11,1),tblVideos[Day],"&lt;"&amp;DATE($B12,12,1),tblVideos[Channel ID],$T$4)*24,0),COUNTIFS(tblVideos[Day],"&gt;="&amp;DATE($B12,11,1),tblVideos[Day],"&lt;"&amp;DATE($B12,12,1),tblVideos[Channel ID],$T$4))</f>
        <v/>
      </c>
      <c r="N12" s="69">
        <f>IF($G$4="Hours",ROUND(SUMIFS(tblVideos[Length],tblVideos[Day],"&gt;="&amp;DATE($B12,12,1),tblVideos[Day],"&lt;"&amp;DATE($B12,13,1),tblVideos[Channel ID],$T$4)*24,0),COUNTIFS(tblVideos[Day],"&gt;="&amp;DATE($B12,12,1),tblVideos[Day],"&lt;"&amp;DATE($B12,13,1),tblVideos[Channel ID],$T$4))</f>
        <v/>
      </c>
      <c r="O12" s="24">
        <f>SUM(C12:N12)</f>
        <v/>
      </c>
    </row>
    <row r="13">
      <c r="B13" s="68" t="n">
        <v>2017</v>
      </c>
      <c r="C13" s="69">
        <f>IF($G$4="Hours",ROUND(SUMIFS(tblVideos[Length],tblVideos[Day],"&gt;="&amp;DATE($B13,1,1),tblVideos[Day],"&lt;"&amp;DATE($B13,2,1),tblVideos[Channel ID],$T$4)*24,0),COUNTIFS(tblVideos[Day],"&gt;="&amp;DATE($B13,1,1),tblVideos[Day],"&lt;"&amp;DATE($B13,2,1),tblVideos[Channel ID],$T$4))</f>
        <v/>
      </c>
      <c r="D13" s="69">
        <f>IF($G$4="Hours",ROUND(SUMIFS(tblVideos[Length],tblVideos[Day],"&gt;="&amp;DATE($B13,2,1),tblVideos[Day],"&lt;"&amp;DATE($B13,3,1),tblVideos[Channel ID],$T$4)*24,0),COUNTIFS(tblVideos[Day],"&gt;="&amp;DATE($B13,2,1),tblVideos[Day],"&lt;"&amp;DATE($B13,3,1),tblVideos[Channel ID],$T$4))</f>
        <v/>
      </c>
      <c r="E13" s="69">
        <f>IF($G$4="Hours",ROUND(SUMIFS(tblVideos[Length],tblVideos[Day],"&gt;="&amp;DATE($B13,3,1),tblVideos[Day],"&lt;"&amp;DATE($B13,4,1),tblVideos[Channel ID],$T$4)*24,0),COUNTIFS(tblVideos[Day],"&gt;="&amp;DATE($B13,3,1),tblVideos[Day],"&lt;"&amp;DATE($B13,4,1),tblVideos[Channel ID],$T$4))</f>
        <v/>
      </c>
      <c r="F13" s="69">
        <f>IF($G$4="Hours",ROUND(SUMIFS(tblVideos[Length],tblVideos[Day],"&gt;="&amp;DATE($B13,4,1),tblVideos[Day],"&lt;"&amp;DATE($B13,5,1),tblVideos[Channel ID],$T$4)*24,0),COUNTIFS(tblVideos[Day],"&gt;="&amp;DATE($B13,4,1),tblVideos[Day],"&lt;"&amp;DATE($B13,5,1),tblVideos[Channel ID],$T$4))</f>
        <v/>
      </c>
      <c r="G13" s="69">
        <f>IF($G$4="Hours",ROUND(SUMIFS(tblVideos[Length],tblVideos[Day],"&gt;="&amp;DATE($B13,5,1),tblVideos[Day],"&lt;"&amp;DATE($B13,6,1),tblVideos[Channel ID],$T$4)*24,0),COUNTIFS(tblVideos[Day],"&gt;="&amp;DATE($B13,5,1),tblVideos[Day],"&lt;"&amp;DATE($B13,6,1),tblVideos[Channel ID],$T$4))</f>
        <v/>
      </c>
      <c r="H13" s="69">
        <f>IF($G$4="Hours",ROUND(SUMIFS(tblVideos[Length],tblVideos[Day],"&gt;="&amp;DATE($B13,6,1),tblVideos[Day],"&lt;"&amp;DATE($B13,7,1),tblVideos[Channel ID],$T$4)*24,0),COUNTIFS(tblVideos[Day],"&gt;="&amp;DATE($B13,6,1),tblVideos[Day],"&lt;"&amp;DATE($B13,7,1),tblVideos[Channel ID],$T$4))</f>
        <v/>
      </c>
      <c r="I13" s="69">
        <f>IF($G$4="Hours",ROUND(SUMIFS(tblVideos[Length],tblVideos[Day],"&gt;="&amp;DATE($B13,7,1),tblVideos[Day],"&lt;"&amp;DATE($B13,8,1),tblVideos[Channel ID],$T$4)*24,0),COUNTIFS(tblVideos[Day],"&gt;="&amp;DATE($B13,7,1),tblVideos[Day],"&lt;"&amp;DATE($B13,8,1),tblVideos[Channel ID],$T$4))</f>
        <v/>
      </c>
      <c r="J13" s="69">
        <f>IF($G$4="Hours",ROUND(SUMIFS(tblVideos[Length],tblVideos[Day],"&gt;="&amp;DATE($B13,8,1),tblVideos[Day],"&lt;"&amp;DATE($B13,9,1),tblVideos[Channel ID],$T$4)*24,0),COUNTIFS(tblVideos[Day],"&gt;="&amp;DATE($B13,8,1),tblVideos[Day],"&lt;"&amp;DATE($B13,9,1),tblVideos[Channel ID],$T$4))</f>
        <v/>
      </c>
      <c r="K13" s="69">
        <f>IF($G$4="Hours",ROUND(SUMIFS(tblVideos[Length],tblVideos[Day],"&gt;="&amp;DATE($B13,9,1),tblVideos[Day],"&lt;"&amp;DATE($B13,10,1),tblVideos[Channel ID],$T$4)*24,0),COUNTIFS(tblVideos[Day],"&gt;="&amp;DATE($B13,9,1),tblVideos[Day],"&lt;"&amp;DATE($B13,10,1),tblVideos[Channel ID],$T$4))</f>
        <v/>
      </c>
      <c r="L13" s="69">
        <f>IF($G$4="Hours",ROUND(SUMIFS(tblVideos[Length],tblVideos[Day],"&gt;="&amp;DATE($B13,10,1),tblVideos[Day],"&lt;"&amp;DATE($B13,11,1),tblVideos[Channel ID],$T$4)*24,0),COUNTIFS(tblVideos[Day],"&gt;="&amp;DATE($B13,10,1),tblVideos[Day],"&lt;"&amp;DATE($B13,11,1),tblVideos[Channel ID],$T$4))</f>
        <v/>
      </c>
      <c r="M13" s="69">
        <f>IF($G$4="Hours",ROUND(SUMIFS(tblVideos[Length],tblVideos[Day],"&gt;="&amp;DATE($B13,11,1),tblVideos[Day],"&lt;"&amp;DATE($B13,12,1),tblVideos[Channel ID],$T$4)*24,0),COUNTIFS(tblVideos[Day],"&gt;="&amp;DATE($B13,11,1),tblVideos[Day],"&lt;"&amp;DATE($B13,12,1),tblVideos[Channel ID],$T$4))</f>
        <v/>
      </c>
      <c r="N13" s="69">
        <f>IF($G$4="Hours",ROUND(SUMIFS(tblVideos[Length],tblVideos[Day],"&gt;="&amp;DATE($B13,12,1),tblVideos[Day],"&lt;"&amp;DATE($B13,13,1),tblVideos[Channel ID],$T$4)*24,0),COUNTIFS(tblVideos[Day],"&gt;="&amp;DATE($B13,12,1),tblVideos[Day],"&lt;"&amp;DATE($B13,13,1),tblVideos[Channel ID],$T$4))</f>
        <v/>
      </c>
      <c r="O13" s="24">
        <f>SUM(C13:N13)</f>
        <v/>
      </c>
    </row>
    <row r="14">
      <c r="B14" s="68" t="n">
        <v>2018</v>
      </c>
      <c r="C14" s="69">
        <f>IF($G$4="Hours",ROUND(SUMIFS(tblVideos[Length],tblVideos[Day],"&gt;="&amp;DATE($B14,1,1),tblVideos[Day],"&lt;"&amp;DATE($B14,2,1),tblVideos[Channel ID],$T$4)*24,0),COUNTIFS(tblVideos[Day],"&gt;="&amp;DATE($B14,1,1),tblVideos[Day],"&lt;"&amp;DATE($B14,2,1),tblVideos[Channel ID],$T$4))</f>
        <v/>
      </c>
      <c r="D14" s="69">
        <f>IF($G$4="Hours",ROUND(SUMIFS(tblVideos[Length],tblVideos[Day],"&gt;="&amp;DATE($B14,2,1),tblVideos[Day],"&lt;"&amp;DATE($B14,3,1),tblVideos[Channel ID],$T$4)*24,0),COUNTIFS(tblVideos[Day],"&gt;="&amp;DATE($B14,2,1),tblVideos[Day],"&lt;"&amp;DATE($B14,3,1),tblVideos[Channel ID],$T$4))</f>
        <v/>
      </c>
      <c r="E14" s="69">
        <f>IF($G$4="Hours",ROUND(SUMIFS(tblVideos[Length],tblVideos[Day],"&gt;="&amp;DATE($B14,3,1),tblVideos[Day],"&lt;"&amp;DATE($B14,4,1),tblVideos[Channel ID],$T$4)*24,0),COUNTIFS(tblVideos[Day],"&gt;="&amp;DATE($B14,3,1),tblVideos[Day],"&lt;"&amp;DATE($B14,4,1),tblVideos[Channel ID],$T$4))</f>
        <v/>
      </c>
      <c r="F14" s="69">
        <f>IF($G$4="Hours",ROUND(SUMIFS(tblVideos[Length],tblVideos[Day],"&gt;="&amp;DATE($B14,4,1),tblVideos[Day],"&lt;"&amp;DATE($B14,5,1),tblVideos[Channel ID],$T$4)*24,0),COUNTIFS(tblVideos[Day],"&gt;="&amp;DATE($B14,4,1),tblVideos[Day],"&lt;"&amp;DATE($B14,5,1),tblVideos[Channel ID],$T$4))</f>
        <v/>
      </c>
      <c r="G14" s="69">
        <f>IF($G$4="Hours",ROUND(SUMIFS(tblVideos[Length],tblVideos[Day],"&gt;="&amp;DATE($B14,5,1),tblVideos[Day],"&lt;"&amp;DATE($B14,6,1),tblVideos[Channel ID],$T$4)*24,0),COUNTIFS(tblVideos[Day],"&gt;="&amp;DATE($B14,5,1),tblVideos[Day],"&lt;"&amp;DATE($B14,6,1),tblVideos[Channel ID],$T$4))</f>
        <v/>
      </c>
      <c r="H14" s="69">
        <f>IF($G$4="Hours",ROUND(SUMIFS(tblVideos[Length],tblVideos[Day],"&gt;="&amp;DATE($B14,6,1),tblVideos[Day],"&lt;"&amp;DATE($B14,7,1),tblVideos[Channel ID],$T$4)*24,0),COUNTIFS(tblVideos[Day],"&gt;="&amp;DATE($B14,6,1),tblVideos[Day],"&lt;"&amp;DATE($B14,7,1),tblVideos[Channel ID],$T$4))</f>
        <v/>
      </c>
      <c r="I14" s="69">
        <f>IF($G$4="Hours",ROUND(SUMIFS(tblVideos[Length],tblVideos[Day],"&gt;="&amp;DATE($B14,7,1),tblVideos[Day],"&lt;"&amp;DATE($B14,8,1),tblVideos[Channel ID],$T$4)*24,0),COUNTIFS(tblVideos[Day],"&gt;="&amp;DATE($B14,7,1),tblVideos[Day],"&lt;"&amp;DATE($B14,8,1),tblVideos[Channel ID],$T$4))</f>
        <v/>
      </c>
      <c r="J14" s="69">
        <f>IF($G$4="Hours",ROUND(SUMIFS(tblVideos[Length],tblVideos[Day],"&gt;="&amp;DATE($B14,8,1),tblVideos[Day],"&lt;"&amp;DATE($B14,9,1),tblVideos[Channel ID],$T$4)*24,0),COUNTIFS(tblVideos[Day],"&gt;="&amp;DATE($B14,8,1),tblVideos[Day],"&lt;"&amp;DATE($B14,9,1),tblVideos[Channel ID],$T$4))</f>
        <v/>
      </c>
      <c r="K14" s="69">
        <f>IF($G$4="Hours",ROUND(SUMIFS(tblVideos[Length],tblVideos[Day],"&gt;="&amp;DATE($B14,9,1),tblVideos[Day],"&lt;"&amp;DATE($B14,10,1),tblVideos[Channel ID],$T$4)*24,0),COUNTIFS(tblVideos[Day],"&gt;="&amp;DATE($B14,9,1),tblVideos[Day],"&lt;"&amp;DATE($B14,10,1),tblVideos[Channel ID],$T$4))</f>
        <v/>
      </c>
      <c r="L14" s="69">
        <f>IF($G$4="Hours",ROUND(SUMIFS(tblVideos[Length],tblVideos[Day],"&gt;="&amp;DATE($B14,10,1),tblVideos[Day],"&lt;"&amp;DATE($B14,11,1),tblVideos[Channel ID],$T$4)*24,0),COUNTIFS(tblVideos[Day],"&gt;="&amp;DATE($B14,10,1),tblVideos[Day],"&lt;"&amp;DATE($B14,11,1),tblVideos[Channel ID],$T$4))</f>
        <v/>
      </c>
      <c r="M14" s="69">
        <f>IF($G$4="Hours",ROUND(SUMIFS(tblVideos[Length],tblVideos[Day],"&gt;="&amp;DATE($B14,11,1),tblVideos[Day],"&lt;"&amp;DATE($B14,12,1),tblVideos[Channel ID],$T$4)*24,0),COUNTIFS(tblVideos[Day],"&gt;="&amp;DATE($B14,11,1),tblVideos[Day],"&lt;"&amp;DATE($B14,12,1),tblVideos[Channel ID],$T$4))</f>
        <v/>
      </c>
      <c r="N14" s="69">
        <f>IF($G$4="Hours",ROUND(SUMIFS(tblVideos[Length],tblVideos[Day],"&gt;="&amp;DATE($B14,12,1),tblVideos[Day],"&lt;"&amp;DATE($B14,13,1),tblVideos[Channel ID],$T$4)*24,0),COUNTIFS(tblVideos[Day],"&gt;="&amp;DATE($B14,12,1),tblVideos[Day],"&lt;"&amp;DATE($B14,13,1),tblVideos[Channel ID],$T$4))</f>
        <v/>
      </c>
      <c r="O14" s="24">
        <f>SUM(C14:N14)</f>
        <v/>
      </c>
    </row>
    <row r="15">
      <c r="B15" s="68" t="n">
        <v>2019</v>
      </c>
      <c r="C15" s="69">
        <f>IF($G$4="Hours",ROUND(SUMIFS(tblVideos[Length],tblVideos[Day],"&gt;="&amp;DATE($B15,1,1),tblVideos[Day],"&lt;"&amp;DATE($B15,2,1),tblVideos[Channel ID],$T$4)*24,0),COUNTIFS(tblVideos[Day],"&gt;="&amp;DATE($B15,1,1),tblVideos[Day],"&lt;"&amp;DATE($B15,2,1),tblVideos[Channel ID],$T$4))</f>
        <v/>
      </c>
      <c r="D15" s="69">
        <f>IF($G$4="Hours",ROUND(SUMIFS(tblVideos[Length],tblVideos[Day],"&gt;="&amp;DATE($B15,2,1),tblVideos[Day],"&lt;"&amp;DATE($B15,3,1),tblVideos[Channel ID],$T$4)*24,0),COUNTIFS(tblVideos[Day],"&gt;="&amp;DATE($B15,2,1),tblVideos[Day],"&lt;"&amp;DATE($B15,3,1),tblVideos[Channel ID],$T$4))</f>
        <v/>
      </c>
      <c r="E15" s="69">
        <f>IF($G$4="Hours",ROUND(SUMIFS(tblVideos[Length],tblVideos[Day],"&gt;="&amp;DATE($B15,3,1),tblVideos[Day],"&lt;"&amp;DATE($B15,4,1),tblVideos[Channel ID],$T$4)*24,0),COUNTIFS(tblVideos[Day],"&gt;="&amp;DATE($B15,3,1),tblVideos[Day],"&lt;"&amp;DATE($B15,4,1),tblVideos[Channel ID],$T$4))</f>
        <v/>
      </c>
      <c r="F15" s="69">
        <f>IF($G$4="Hours",ROUND(SUMIFS(tblVideos[Length],tblVideos[Day],"&gt;="&amp;DATE($B15,4,1),tblVideos[Day],"&lt;"&amp;DATE($B15,5,1),tblVideos[Channel ID],$T$4)*24,0),COUNTIFS(tblVideos[Day],"&gt;="&amp;DATE($B15,4,1),tblVideos[Day],"&lt;"&amp;DATE($B15,5,1),tblVideos[Channel ID],$T$4))</f>
        <v/>
      </c>
      <c r="G15" s="69">
        <f>IF($G$4="Hours",ROUND(SUMIFS(tblVideos[Length],tblVideos[Day],"&gt;="&amp;DATE($B15,5,1),tblVideos[Day],"&lt;"&amp;DATE($B15,6,1),tblVideos[Channel ID],$T$4)*24,0),COUNTIFS(tblVideos[Day],"&gt;="&amp;DATE($B15,5,1),tblVideos[Day],"&lt;"&amp;DATE($B15,6,1),tblVideos[Channel ID],$T$4))</f>
        <v/>
      </c>
      <c r="H15" s="69">
        <f>IF($G$4="Hours",ROUND(SUMIFS(tblVideos[Length],tblVideos[Day],"&gt;="&amp;DATE($B15,6,1),tblVideos[Day],"&lt;"&amp;DATE($B15,7,1),tblVideos[Channel ID],$T$4)*24,0),COUNTIFS(tblVideos[Day],"&gt;="&amp;DATE($B15,6,1),tblVideos[Day],"&lt;"&amp;DATE($B15,7,1),tblVideos[Channel ID],$T$4))</f>
        <v/>
      </c>
      <c r="I15" s="69">
        <f>IF($G$4="Hours",ROUND(SUMIFS(tblVideos[Length],tblVideos[Day],"&gt;="&amp;DATE($B15,7,1),tblVideos[Day],"&lt;"&amp;DATE($B15,8,1),tblVideos[Channel ID],$T$4)*24,0),COUNTIFS(tblVideos[Day],"&gt;="&amp;DATE($B15,7,1),tblVideos[Day],"&lt;"&amp;DATE($B15,8,1),tblVideos[Channel ID],$T$4))</f>
        <v/>
      </c>
      <c r="J15" s="69">
        <f>IF($G$4="Hours",ROUND(SUMIFS(tblVideos[Length],tblVideos[Day],"&gt;="&amp;DATE($B15,8,1),tblVideos[Day],"&lt;"&amp;DATE($B15,9,1),tblVideos[Channel ID],$T$4)*24,0),COUNTIFS(tblVideos[Day],"&gt;="&amp;DATE($B15,8,1),tblVideos[Day],"&lt;"&amp;DATE($B15,9,1),tblVideos[Channel ID],$T$4))</f>
        <v/>
      </c>
      <c r="K15" s="69">
        <f>IF($G$4="Hours",ROUND(SUMIFS(tblVideos[Length],tblVideos[Day],"&gt;="&amp;DATE($B15,9,1),tblVideos[Day],"&lt;"&amp;DATE($B15,10,1),tblVideos[Channel ID],$T$4)*24,0),COUNTIFS(tblVideos[Day],"&gt;="&amp;DATE($B15,9,1),tblVideos[Day],"&lt;"&amp;DATE($B15,10,1),tblVideos[Channel ID],$T$4))</f>
        <v/>
      </c>
      <c r="L15" s="69">
        <f>IF($G$4="Hours",ROUND(SUMIFS(tblVideos[Length],tblVideos[Day],"&gt;="&amp;DATE($B15,10,1),tblVideos[Day],"&lt;"&amp;DATE($B15,11,1),tblVideos[Channel ID],$T$4)*24,0),COUNTIFS(tblVideos[Day],"&gt;="&amp;DATE($B15,10,1),tblVideos[Day],"&lt;"&amp;DATE($B15,11,1),tblVideos[Channel ID],$T$4))</f>
        <v/>
      </c>
      <c r="M15" s="69">
        <f>IF($G$4="Hours",ROUND(SUMIFS(tblVideos[Length],tblVideos[Day],"&gt;="&amp;DATE($B15,11,1),tblVideos[Day],"&lt;"&amp;DATE($B15,12,1),tblVideos[Channel ID],$T$4)*24,0),COUNTIFS(tblVideos[Day],"&gt;="&amp;DATE($B15,11,1),tblVideos[Day],"&lt;"&amp;DATE($B15,12,1),tblVideos[Channel ID],$T$4))</f>
        <v/>
      </c>
      <c r="N15" s="69">
        <f>IF($G$4="Hours",ROUND(SUMIFS(tblVideos[Length],tblVideos[Day],"&gt;="&amp;DATE($B15,12,1),tblVideos[Day],"&lt;"&amp;DATE($B15,13,1),tblVideos[Channel ID],$T$4)*24,0),COUNTIFS(tblVideos[Day],"&gt;="&amp;DATE($B15,12,1),tblVideos[Day],"&lt;"&amp;DATE($B15,13,1),tblVideos[Channel ID],$T$4))</f>
        <v/>
      </c>
      <c r="O15" s="24">
        <f>SUM(C15:N15)</f>
        <v/>
      </c>
    </row>
    <row r="16">
      <c r="B16" s="68" t="n">
        <v>2020</v>
      </c>
      <c r="C16" s="69">
        <f>IF($G$4="Hours",ROUND(SUMIFS(tblVideos[Length],tblVideos[Day],"&gt;="&amp;DATE($B16,1,1),tblVideos[Day],"&lt;"&amp;DATE($B16,2,1),tblVideos[Channel ID],$T$4)*24,0),COUNTIFS(tblVideos[Day],"&gt;="&amp;DATE($B16,1,1),tblVideos[Day],"&lt;"&amp;DATE($B16,2,1),tblVideos[Channel ID],$T$4))</f>
        <v/>
      </c>
      <c r="D16" s="69">
        <f>IF($G$4="Hours",ROUND(SUMIFS(tblVideos[Length],tblVideos[Day],"&gt;="&amp;DATE($B16,2,1),tblVideos[Day],"&lt;"&amp;DATE($B16,3,1),tblVideos[Channel ID],$T$4)*24,0),COUNTIFS(tblVideos[Day],"&gt;="&amp;DATE($B16,2,1),tblVideos[Day],"&lt;"&amp;DATE($B16,3,1),tblVideos[Channel ID],$T$4))</f>
        <v/>
      </c>
      <c r="E16" s="69">
        <f>IF($G$4="Hours",ROUND(SUMIFS(tblVideos[Length],tblVideos[Day],"&gt;="&amp;DATE($B16,3,1),tblVideos[Day],"&lt;"&amp;DATE($B16,4,1),tblVideos[Channel ID],$T$4)*24,0),COUNTIFS(tblVideos[Day],"&gt;="&amp;DATE($B16,3,1),tblVideos[Day],"&lt;"&amp;DATE($B16,4,1),tblVideos[Channel ID],$T$4))</f>
        <v/>
      </c>
      <c r="F16" s="69">
        <f>IF($G$4="Hours",ROUND(SUMIFS(tblVideos[Length],tblVideos[Day],"&gt;="&amp;DATE($B16,4,1),tblVideos[Day],"&lt;"&amp;DATE($B16,5,1),tblVideos[Channel ID],$T$4)*24,0),COUNTIFS(tblVideos[Day],"&gt;="&amp;DATE($B16,4,1),tblVideos[Day],"&lt;"&amp;DATE($B16,5,1),tblVideos[Channel ID],$T$4))</f>
        <v/>
      </c>
      <c r="G16" s="69">
        <f>IF($G$4="Hours",ROUND(SUMIFS(tblVideos[Length],tblVideos[Day],"&gt;="&amp;DATE($B16,5,1),tblVideos[Day],"&lt;"&amp;DATE($B16,6,1),tblVideos[Channel ID],$T$4)*24,0),COUNTIFS(tblVideos[Day],"&gt;="&amp;DATE($B16,5,1),tblVideos[Day],"&lt;"&amp;DATE($B16,6,1),tblVideos[Channel ID],$T$4))</f>
        <v/>
      </c>
      <c r="H16" s="69">
        <f>IF($G$4="Hours",ROUND(SUMIFS(tblVideos[Length],tblVideos[Day],"&gt;="&amp;DATE($B16,6,1),tblVideos[Day],"&lt;"&amp;DATE($B16,7,1),tblVideos[Channel ID],$T$4)*24,0),COUNTIFS(tblVideos[Day],"&gt;="&amp;DATE($B16,6,1),tblVideos[Day],"&lt;"&amp;DATE($B16,7,1),tblVideos[Channel ID],$T$4))</f>
        <v/>
      </c>
      <c r="I16" s="69">
        <f>IF($G$4="Hours",ROUND(SUMIFS(tblVideos[Length],tblVideos[Day],"&gt;="&amp;DATE($B16,7,1),tblVideos[Day],"&lt;"&amp;DATE($B16,8,1),tblVideos[Channel ID],$T$4)*24,0),COUNTIFS(tblVideos[Day],"&gt;="&amp;DATE($B16,7,1),tblVideos[Day],"&lt;"&amp;DATE($B16,8,1),tblVideos[Channel ID],$T$4))</f>
        <v/>
      </c>
      <c r="J16" s="69">
        <f>IF($G$4="Hours",ROUND(SUMIFS(tblVideos[Length],tblVideos[Day],"&gt;="&amp;DATE($B16,8,1),tblVideos[Day],"&lt;"&amp;DATE($B16,9,1),tblVideos[Channel ID],$T$4)*24,0),COUNTIFS(tblVideos[Day],"&gt;="&amp;DATE($B16,8,1),tblVideos[Day],"&lt;"&amp;DATE($B16,9,1),tblVideos[Channel ID],$T$4))</f>
        <v/>
      </c>
      <c r="K16" s="69">
        <f>IF($G$4="Hours",ROUND(SUMIFS(tblVideos[Length],tblVideos[Day],"&gt;="&amp;DATE($B16,9,1),tblVideos[Day],"&lt;"&amp;DATE($B16,10,1),tblVideos[Channel ID],$T$4)*24,0),COUNTIFS(tblVideos[Day],"&gt;="&amp;DATE($B16,9,1),tblVideos[Day],"&lt;"&amp;DATE($B16,10,1),tblVideos[Channel ID],$T$4))</f>
        <v/>
      </c>
      <c r="L16" s="69">
        <f>IF($G$4="Hours",ROUND(SUMIFS(tblVideos[Length],tblVideos[Day],"&gt;="&amp;DATE($B16,10,1),tblVideos[Day],"&lt;"&amp;DATE($B16,11,1),tblVideos[Channel ID],$T$4)*24,0),COUNTIFS(tblVideos[Day],"&gt;="&amp;DATE($B16,10,1),tblVideos[Day],"&lt;"&amp;DATE($B16,11,1),tblVideos[Channel ID],$T$4))</f>
        <v/>
      </c>
      <c r="M16" s="69">
        <f>IF($G$4="Hours",ROUND(SUMIFS(tblVideos[Length],tblVideos[Day],"&gt;="&amp;DATE($B16,11,1),tblVideos[Day],"&lt;"&amp;DATE($B16,12,1),tblVideos[Channel ID],$T$4)*24,0),COUNTIFS(tblVideos[Day],"&gt;="&amp;DATE($B16,11,1),tblVideos[Day],"&lt;"&amp;DATE($B16,12,1),tblVideos[Channel ID],$T$4))</f>
        <v/>
      </c>
      <c r="N16" s="69">
        <f>IF($G$4="Hours",ROUND(SUMIFS(tblVideos[Length],tblVideos[Day],"&gt;="&amp;DATE($B16,12,1),tblVideos[Day],"&lt;"&amp;DATE($B16,13,1),tblVideos[Channel ID],$T$4)*24,0),COUNTIFS(tblVideos[Day],"&gt;="&amp;DATE($B16,12,1),tblVideos[Day],"&lt;"&amp;DATE($B16,13,1),tblVideos[Channel ID],$T$4))</f>
        <v/>
      </c>
      <c r="O16" s="24">
        <f>SUM(C16:N16)</f>
        <v/>
      </c>
    </row>
    <row r="17">
      <c r="B17" s="68" t="n">
        <v>2021</v>
      </c>
      <c r="C17" s="69">
        <f>IF($G$4="Hours",ROUND(SUMIFS(tblVideos[Length],tblVideos[Day],"&gt;="&amp;DATE($B17,1,1),tblVideos[Day],"&lt;"&amp;DATE($B17,2,1),tblVideos[Channel ID],$T$4)*24,0),COUNTIFS(tblVideos[Day],"&gt;="&amp;DATE($B17,1,1),tblVideos[Day],"&lt;"&amp;DATE($B17,2,1),tblVideos[Channel ID],$T$4))</f>
        <v/>
      </c>
      <c r="D17" s="69">
        <f>IF($G$4="Hours",ROUND(SUMIFS(tblVideos[Length],tblVideos[Day],"&gt;="&amp;DATE($B17,2,1),tblVideos[Day],"&lt;"&amp;DATE($B17,3,1),tblVideos[Channel ID],$T$4)*24,0),COUNTIFS(tblVideos[Day],"&gt;="&amp;DATE($B17,2,1),tblVideos[Day],"&lt;"&amp;DATE($B17,3,1),tblVideos[Channel ID],$T$4))</f>
        <v/>
      </c>
      <c r="E17" s="69">
        <f>IF($G$4="Hours",ROUND(SUMIFS(tblVideos[Length],tblVideos[Day],"&gt;="&amp;DATE($B17,3,1),tblVideos[Day],"&lt;"&amp;DATE($B17,4,1),tblVideos[Channel ID],$T$4)*24,0),COUNTIFS(tblVideos[Day],"&gt;="&amp;DATE($B17,3,1),tblVideos[Day],"&lt;"&amp;DATE($B17,4,1),tblVideos[Channel ID],$T$4))</f>
        <v/>
      </c>
      <c r="F17" s="69">
        <f>IF($G$4="Hours",ROUND(SUMIFS(tblVideos[Length],tblVideos[Day],"&gt;="&amp;DATE($B17,4,1),tblVideos[Day],"&lt;"&amp;DATE($B17,5,1),tblVideos[Channel ID],$T$4)*24,0),COUNTIFS(tblVideos[Day],"&gt;="&amp;DATE($B17,4,1),tblVideos[Day],"&lt;"&amp;DATE($B17,5,1),tblVideos[Channel ID],$T$4))</f>
        <v/>
      </c>
      <c r="G17" s="69">
        <f>IF($G$4="Hours",ROUND(SUMIFS(tblVideos[Length],tblVideos[Day],"&gt;="&amp;DATE($B17,5,1),tblVideos[Day],"&lt;"&amp;DATE($B17,6,1),tblVideos[Channel ID],$T$4)*24,0),COUNTIFS(tblVideos[Day],"&gt;="&amp;DATE($B17,5,1),tblVideos[Day],"&lt;"&amp;DATE($B17,6,1),tblVideos[Channel ID],$T$4))</f>
        <v/>
      </c>
      <c r="H17" s="69">
        <f>IF($G$4="Hours",ROUND(SUMIFS(tblVideos[Length],tblVideos[Day],"&gt;="&amp;DATE($B17,6,1),tblVideos[Day],"&lt;"&amp;DATE($B17,7,1),tblVideos[Channel ID],$T$4)*24,0),COUNTIFS(tblVideos[Day],"&gt;="&amp;DATE($B17,6,1),tblVideos[Day],"&lt;"&amp;DATE($B17,7,1),tblVideos[Channel ID],$T$4))</f>
        <v/>
      </c>
      <c r="I17" s="69">
        <f>IF($G$4="Hours",ROUND(SUMIFS(tblVideos[Length],tblVideos[Day],"&gt;="&amp;DATE($B17,7,1),tblVideos[Day],"&lt;"&amp;DATE($B17,8,1),tblVideos[Channel ID],$T$4)*24,0),COUNTIFS(tblVideos[Day],"&gt;="&amp;DATE($B17,7,1),tblVideos[Day],"&lt;"&amp;DATE($B17,8,1),tblVideos[Channel ID],$T$4))</f>
        <v/>
      </c>
      <c r="J17" s="69">
        <f>IF($G$4="Hours",ROUND(SUMIFS(tblVideos[Length],tblVideos[Day],"&gt;="&amp;DATE($B17,8,1),tblVideos[Day],"&lt;"&amp;DATE($B17,9,1),tblVideos[Channel ID],$T$4)*24,0),COUNTIFS(tblVideos[Day],"&gt;="&amp;DATE($B17,8,1),tblVideos[Day],"&lt;"&amp;DATE($B17,9,1),tblVideos[Channel ID],$T$4))</f>
        <v/>
      </c>
      <c r="K17" s="69">
        <f>IF($G$4="Hours",ROUND(SUMIFS(tblVideos[Length],tblVideos[Day],"&gt;="&amp;DATE($B17,9,1),tblVideos[Day],"&lt;"&amp;DATE($B17,10,1),tblVideos[Channel ID],$T$4)*24,0),COUNTIFS(tblVideos[Day],"&gt;="&amp;DATE($B17,9,1),tblVideos[Day],"&lt;"&amp;DATE($B17,10,1),tblVideos[Channel ID],$T$4))</f>
        <v/>
      </c>
      <c r="L17" s="69">
        <f>IF($G$4="Hours",ROUND(SUMIFS(tblVideos[Length],tblVideos[Day],"&gt;="&amp;DATE($B17,10,1),tblVideos[Day],"&lt;"&amp;DATE($B17,11,1),tblVideos[Channel ID],$T$4)*24,0),COUNTIFS(tblVideos[Day],"&gt;="&amp;DATE($B17,10,1),tblVideos[Day],"&lt;"&amp;DATE($B17,11,1),tblVideos[Channel ID],$T$4))</f>
        <v/>
      </c>
      <c r="M17" s="69">
        <f>IF($G$4="Hours",ROUND(SUMIFS(tblVideos[Length],tblVideos[Day],"&gt;="&amp;DATE($B17,11,1),tblVideos[Day],"&lt;"&amp;DATE($B17,12,1),tblVideos[Channel ID],$T$4)*24,0),COUNTIFS(tblVideos[Day],"&gt;="&amp;DATE($B17,11,1),tblVideos[Day],"&lt;"&amp;DATE($B17,12,1),tblVideos[Channel ID],$T$4))</f>
        <v/>
      </c>
      <c r="N17" s="69">
        <f>IF($G$4="Hours",ROUND(SUMIFS(tblVideos[Length],tblVideos[Day],"&gt;="&amp;DATE($B17,12,1),tblVideos[Day],"&lt;"&amp;DATE($B17,13,1),tblVideos[Channel ID],$T$4)*24,0),COUNTIFS(tblVideos[Day],"&gt;="&amp;DATE($B17,12,1),tblVideos[Day],"&lt;"&amp;DATE($B17,13,1),tblVideos[Channel ID],$T$4))</f>
        <v/>
      </c>
      <c r="O17" s="24">
        <f>SUM(C17:N17)</f>
        <v/>
      </c>
    </row>
    <row r="18">
      <c r="B18" s="68" t="n">
        <v>2022</v>
      </c>
      <c r="C18" s="69">
        <f>IF($G$4="Hours",ROUND(SUMIFS(tblVideos[Length],tblVideos[Day],"&gt;="&amp;DATE($B18,1,1),tblVideos[Day],"&lt;"&amp;DATE($B18,2,1),tblVideos[Channel ID],$T$4)*24,0),COUNTIFS(tblVideos[Day],"&gt;="&amp;DATE($B18,1,1),tblVideos[Day],"&lt;"&amp;DATE($B18,2,1),tblVideos[Channel ID],$T$4))</f>
        <v/>
      </c>
      <c r="D18" s="69">
        <f>IF($G$4="Hours",ROUND(SUMIFS(tblVideos[Length],tblVideos[Day],"&gt;="&amp;DATE($B18,2,1),tblVideos[Day],"&lt;"&amp;DATE($B18,3,1),tblVideos[Channel ID],$T$4)*24,0),COUNTIFS(tblVideos[Day],"&gt;="&amp;DATE($B18,2,1),tblVideos[Day],"&lt;"&amp;DATE($B18,3,1),tblVideos[Channel ID],$T$4))</f>
        <v/>
      </c>
      <c r="E18" s="69">
        <f>IF($G$4="Hours",ROUND(SUMIFS(tblVideos[Length],tblVideos[Day],"&gt;="&amp;DATE($B18,3,1),tblVideos[Day],"&lt;"&amp;DATE($B18,4,1),tblVideos[Channel ID],$T$4)*24,0),COUNTIFS(tblVideos[Day],"&gt;="&amp;DATE($B18,3,1),tblVideos[Day],"&lt;"&amp;DATE($B18,4,1),tblVideos[Channel ID],$T$4))</f>
        <v/>
      </c>
      <c r="F18" s="69">
        <f>IF($G$4="Hours",ROUND(SUMIFS(tblVideos[Length],tblVideos[Day],"&gt;="&amp;DATE($B18,4,1),tblVideos[Day],"&lt;"&amp;DATE($B18,5,1),tblVideos[Channel ID],$T$4)*24,0),COUNTIFS(tblVideos[Day],"&gt;="&amp;DATE($B18,4,1),tblVideos[Day],"&lt;"&amp;DATE($B18,5,1),tblVideos[Channel ID],$T$4))</f>
        <v/>
      </c>
      <c r="G18" s="69">
        <f>IF($G$4="Hours",ROUND(SUMIFS(tblVideos[Length],tblVideos[Day],"&gt;="&amp;DATE($B18,5,1),tblVideos[Day],"&lt;"&amp;DATE($B18,6,1),tblVideos[Channel ID],$T$4)*24,0),COUNTIFS(tblVideos[Day],"&gt;="&amp;DATE($B18,5,1),tblVideos[Day],"&lt;"&amp;DATE($B18,6,1),tblVideos[Channel ID],$T$4))</f>
        <v/>
      </c>
      <c r="H18" s="69">
        <f>IF($G$4="Hours",ROUND(SUMIFS(tblVideos[Length],tblVideos[Day],"&gt;="&amp;DATE($B18,6,1),tblVideos[Day],"&lt;"&amp;DATE($B18,7,1),tblVideos[Channel ID],$T$4)*24,0),COUNTIFS(tblVideos[Day],"&gt;="&amp;DATE($B18,6,1),tblVideos[Day],"&lt;"&amp;DATE($B18,7,1),tblVideos[Channel ID],$T$4))</f>
        <v/>
      </c>
      <c r="I18" s="69">
        <f>IF($G$4="Hours",ROUND(SUMIFS(tblVideos[Length],tblVideos[Day],"&gt;="&amp;DATE($B18,7,1),tblVideos[Day],"&lt;"&amp;DATE($B18,8,1),tblVideos[Channel ID],$T$4)*24,0),COUNTIFS(tblVideos[Day],"&gt;="&amp;DATE($B18,7,1),tblVideos[Day],"&lt;"&amp;DATE($B18,8,1),tblVideos[Channel ID],$T$4))</f>
        <v/>
      </c>
      <c r="J18" s="69">
        <f>IF($G$4="Hours",ROUND(SUMIFS(tblVideos[Length],tblVideos[Day],"&gt;="&amp;DATE($B18,8,1),tblVideos[Day],"&lt;"&amp;DATE($B18,9,1),tblVideos[Channel ID],$T$4)*24,0),COUNTIFS(tblVideos[Day],"&gt;="&amp;DATE($B18,8,1),tblVideos[Day],"&lt;"&amp;DATE($B18,9,1),tblVideos[Channel ID],$T$4))</f>
        <v/>
      </c>
      <c r="K18" s="69">
        <f>IF($G$4="Hours",ROUND(SUMIFS(tblVideos[Length],tblVideos[Day],"&gt;="&amp;DATE($B18,9,1),tblVideos[Day],"&lt;"&amp;DATE($B18,10,1),tblVideos[Channel ID],$T$4)*24,0),COUNTIFS(tblVideos[Day],"&gt;="&amp;DATE($B18,9,1),tblVideos[Day],"&lt;"&amp;DATE($B18,10,1),tblVideos[Channel ID],$T$4))</f>
        <v/>
      </c>
      <c r="L18" s="69">
        <f>IF($G$4="Hours",ROUND(SUMIFS(tblVideos[Length],tblVideos[Day],"&gt;="&amp;DATE($B18,10,1),tblVideos[Day],"&lt;"&amp;DATE($B18,11,1),tblVideos[Channel ID],$T$4)*24,0),COUNTIFS(tblVideos[Day],"&gt;="&amp;DATE($B18,10,1),tblVideos[Day],"&lt;"&amp;DATE($B18,11,1),tblVideos[Channel ID],$T$4))</f>
        <v/>
      </c>
      <c r="M18" s="69">
        <f>IF($G$4="Hours",ROUND(SUMIFS(tblVideos[Length],tblVideos[Day],"&gt;="&amp;DATE($B18,11,1),tblVideos[Day],"&lt;"&amp;DATE($B18,12,1),tblVideos[Channel ID],$T$4)*24,0),COUNTIFS(tblVideos[Day],"&gt;="&amp;DATE($B18,11,1),tblVideos[Day],"&lt;"&amp;DATE($B18,12,1),tblVideos[Channel ID],$T$4))</f>
        <v/>
      </c>
      <c r="N18" s="69">
        <f>IF($G$4="Hours",ROUND(SUMIFS(tblVideos[Length],tblVideos[Day],"&gt;="&amp;DATE($B18,12,1),tblVideos[Day],"&lt;"&amp;DATE($B18,13,1),tblVideos[Channel ID],$T$4)*24,0),COUNTIFS(tblVideos[Day],"&gt;="&amp;DATE($B18,12,1),tblVideos[Day],"&lt;"&amp;DATE($B18,13,1),tblVideos[Channel ID],$T$4))</f>
        <v/>
      </c>
      <c r="O18" s="24">
        <f>SUM(C18:N18)</f>
        <v/>
      </c>
    </row>
    <row r="19">
      <c r="B19" s="68" t="n">
        <v>2023</v>
      </c>
      <c r="C19" s="69">
        <f>IF($G$4="Hours",ROUND(SUMIFS(tblVideos[Length],tblVideos[Day],"&gt;="&amp;DATE($B19,1,1),tblVideos[Day],"&lt;"&amp;DATE($B19,2,1),tblVideos[Channel ID],$T$4)*24,0),COUNTIFS(tblVideos[Day],"&gt;="&amp;DATE($B19,1,1),tblVideos[Day],"&lt;"&amp;DATE($B19,2,1),tblVideos[Channel ID],$T$4))</f>
        <v/>
      </c>
      <c r="D19" s="69">
        <f>IF($G$4="Hours",ROUND(SUMIFS(tblVideos[Length],tblVideos[Day],"&gt;="&amp;DATE($B19,2,1),tblVideos[Day],"&lt;"&amp;DATE($B19,3,1),tblVideos[Channel ID],$T$4)*24,0),COUNTIFS(tblVideos[Day],"&gt;="&amp;DATE($B19,2,1),tblVideos[Day],"&lt;"&amp;DATE($B19,3,1),tblVideos[Channel ID],$T$4))</f>
        <v/>
      </c>
      <c r="E19" s="69">
        <f>IF($G$4="Hours",ROUND(SUMIFS(tblVideos[Length],tblVideos[Day],"&gt;="&amp;DATE($B19,3,1),tblVideos[Day],"&lt;"&amp;DATE($B19,4,1),tblVideos[Channel ID],$T$4)*24,0),COUNTIFS(tblVideos[Day],"&gt;="&amp;DATE($B19,3,1),tblVideos[Day],"&lt;"&amp;DATE($B19,4,1),tblVideos[Channel ID],$T$4))</f>
        <v/>
      </c>
      <c r="F19" s="69">
        <f>IF($G$4="Hours",ROUND(SUMIFS(tblVideos[Length],tblVideos[Day],"&gt;="&amp;DATE($B19,4,1),tblVideos[Day],"&lt;"&amp;DATE($B19,5,1),tblVideos[Channel ID],$T$4)*24,0),COUNTIFS(tblVideos[Day],"&gt;="&amp;DATE($B19,4,1),tblVideos[Day],"&lt;"&amp;DATE($B19,5,1),tblVideos[Channel ID],$T$4))</f>
        <v/>
      </c>
      <c r="G19" s="69">
        <f>IF($G$4="Hours",ROUND(SUMIFS(tblVideos[Length],tblVideos[Day],"&gt;="&amp;DATE($B19,5,1),tblVideos[Day],"&lt;"&amp;DATE($B19,6,1),tblVideos[Channel ID],$T$4)*24,0),COUNTIFS(tblVideos[Day],"&gt;="&amp;DATE($B19,5,1),tblVideos[Day],"&lt;"&amp;DATE($B19,6,1),tblVideos[Channel ID],$T$4))</f>
        <v/>
      </c>
      <c r="H19" s="69">
        <f>IF($G$4="Hours",ROUND(SUMIFS(tblVideos[Length],tblVideos[Day],"&gt;="&amp;DATE($B19,6,1),tblVideos[Day],"&lt;"&amp;DATE($B19,7,1),tblVideos[Channel ID],$T$4)*24,0),COUNTIFS(tblVideos[Day],"&gt;="&amp;DATE($B19,6,1),tblVideos[Day],"&lt;"&amp;DATE($B19,7,1),tblVideos[Channel ID],$T$4))</f>
        <v/>
      </c>
      <c r="I19" s="69">
        <f>IF($G$4="Hours",ROUND(SUMIFS(tblVideos[Length],tblVideos[Day],"&gt;="&amp;DATE($B19,7,1),tblVideos[Day],"&lt;"&amp;DATE($B19,8,1),tblVideos[Channel ID],$T$4)*24,0),COUNTIFS(tblVideos[Day],"&gt;="&amp;DATE($B19,7,1),tblVideos[Day],"&lt;"&amp;DATE($B19,8,1),tblVideos[Channel ID],$T$4))</f>
        <v/>
      </c>
      <c r="J19" s="69">
        <f>IF($G$4="Hours",ROUND(SUMIFS(tblVideos[Length],tblVideos[Day],"&gt;="&amp;DATE($B19,8,1),tblVideos[Day],"&lt;"&amp;DATE($B19,9,1),tblVideos[Channel ID],$T$4)*24,0),COUNTIFS(tblVideos[Day],"&gt;="&amp;DATE($B19,8,1),tblVideos[Day],"&lt;"&amp;DATE($B19,9,1),tblVideos[Channel ID],$T$4))</f>
        <v/>
      </c>
      <c r="K19" s="69">
        <f>IF($G$4="Hours",ROUND(SUMIFS(tblVideos[Length],tblVideos[Day],"&gt;="&amp;DATE($B19,9,1),tblVideos[Day],"&lt;"&amp;DATE($B19,10,1),tblVideos[Channel ID],$T$4)*24,0),COUNTIFS(tblVideos[Day],"&gt;="&amp;DATE($B19,9,1),tblVideos[Day],"&lt;"&amp;DATE($B19,10,1),tblVideos[Channel ID],$T$4))</f>
        <v/>
      </c>
      <c r="L19" s="69">
        <f>IF($G$4="Hours",ROUND(SUMIFS(tblVideos[Length],tblVideos[Day],"&gt;="&amp;DATE($B19,10,1),tblVideos[Day],"&lt;"&amp;DATE($B19,11,1),tblVideos[Channel ID],$T$4)*24,0),COUNTIFS(tblVideos[Day],"&gt;="&amp;DATE($B19,10,1),tblVideos[Day],"&lt;"&amp;DATE($B19,11,1),tblVideos[Channel ID],$T$4))</f>
        <v/>
      </c>
      <c r="M19" s="69">
        <f>IF($G$4="Hours",ROUND(SUMIFS(tblVideos[Length],tblVideos[Day],"&gt;="&amp;DATE($B19,11,1),tblVideos[Day],"&lt;"&amp;DATE($B19,12,1),tblVideos[Channel ID],$T$4)*24,0),COUNTIFS(tblVideos[Day],"&gt;="&amp;DATE($B19,11,1),tblVideos[Day],"&lt;"&amp;DATE($B19,12,1),tblVideos[Channel ID],$T$4))</f>
        <v/>
      </c>
      <c r="N19" s="69">
        <f>IF($G$4="Hours",ROUND(SUMIFS(tblVideos[Length],tblVideos[Day],"&gt;="&amp;DATE($B19,12,1),tblVideos[Day],"&lt;"&amp;DATE($B19,13,1),tblVideos[Channel ID],$T$4)*24,0),COUNTIFS(tblVideos[Day],"&gt;="&amp;DATE($B19,12,1),tblVideos[Day],"&lt;"&amp;DATE($B19,13,1),tblVideos[Channel ID],$T$4))</f>
        <v/>
      </c>
      <c r="O19" s="24">
        <f>SUM(C19:N19)</f>
        <v/>
      </c>
    </row>
    <row r="20">
      <c r="B20" s="68" t="n">
        <v>2024</v>
      </c>
      <c r="C20" s="69">
        <f>IF($G$4="Hours",ROUND(SUMIFS(tblVideos[Length],tblVideos[Day],"&gt;="&amp;DATE($B20,1,1),tblVideos[Day],"&lt;"&amp;DATE($B20,2,1),tblVideos[Channel ID],$T$4)*24,0),COUNTIFS(tblVideos[Day],"&gt;="&amp;DATE($B20,1,1),tblVideos[Day],"&lt;"&amp;DATE($B20,2,1),tblVideos[Channel ID],$T$4))</f>
        <v/>
      </c>
      <c r="D20" s="69">
        <f>IF($G$4="Hours",ROUND(SUMIFS(tblVideos[Length],tblVideos[Day],"&gt;="&amp;DATE($B20,2,1),tblVideos[Day],"&lt;"&amp;DATE($B20,3,1),tblVideos[Channel ID],$T$4)*24,0),COUNTIFS(tblVideos[Day],"&gt;="&amp;DATE($B20,2,1),tblVideos[Day],"&lt;"&amp;DATE($B20,3,1),tblVideos[Channel ID],$T$4))</f>
        <v/>
      </c>
      <c r="E20" s="69">
        <f>IF($G$4="Hours",ROUND(SUMIFS(tblVideos[Length],tblVideos[Day],"&gt;="&amp;DATE($B20,3,1),tblVideos[Day],"&lt;"&amp;DATE($B20,4,1),tblVideos[Channel ID],$T$4)*24,0),COUNTIFS(tblVideos[Day],"&gt;="&amp;DATE($B20,3,1),tblVideos[Day],"&lt;"&amp;DATE($B20,4,1),tblVideos[Channel ID],$T$4))</f>
        <v/>
      </c>
      <c r="F20" s="69">
        <f>IF($G$4="Hours",ROUND(SUMIFS(tblVideos[Length],tblVideos[Day],"&gt;="&amp;DATE($B20,4,1),tblVideos[Day],"&lt;"&amp;DATE($B20,5,1),tblVideos[Channel ID],$T$4)*24,0),COUNTIFS(tblVideos[Day],"&gt;="&amp;DATE($B20,4,1),tblVideos[Day],"&lt;"&amp;DATE($B20,5,1),tblVideos[Channel ID],$T$4))</f>
        <v/>
      </c>
      <c r="G20" s="69">
        <f>IF($G$4="Hours",ROUND(SUMIFS(tblVideos[Length],tblVideos[Day],"&gt;="&amp;DATE($B20,5,1),tblVideos[Day],"&lt;"&amp;DATE($B20,6,1),tblVideos[Channel ID],$T$4)*24,0),COUNTIFS(tblVideos[Day],"&gt;="&amp;DATE($B20,5,1),tblVideos[Day],"&lt;"&amp;DATE($B20,6,1),tblVideos[Channel ID],$T$4))</f>
        <v/>
      </c>
      <c r="H20" s="69">
        <f>IF($G$4="Hours",ROUND(SUMIFS(tblVideos[Length],tblVideos[Day],"&gt;="&amp;DATE($B20,6,1),tblVideos[Day],"&lt;"&amp;DATE($B20,7,1),tblVideos[Channel ID],$T$4)*24,0),COUNTIFS(tblVideos[Day],"&gt;="&amp;DATE($B20,6,1),tblVideos[Day],"&lt;"&amp;DATE($B20,7,1),tblVideos[Channel ID],$T$4))</f>
        <v/>
      </c>
      <c r="I20" s="69">
        <f>IF($G$4="Hours",ROUND(SUMIFS(tblVideos[Length],tblVideos[Day],"&gt;="&amp;DATE($B20,7,1),tblVideos[Day],"&lt;"&amp;DATE($B20,8,1),tblVideos[Channel ID],$T$4)*24,0),COUNTIFS(tblVideos[Day],"&gt;="&amp;DATE($B20,7,1),tblVideos[Day],"&lt;"&amp;DATE($B20,8,1),tblVideos[Channel ID],$T$4))</f>
        <v/>
      </c>
      <c r="J20" s="69">
        <f>IF($G$4="Hours",ROUND(SUMIFS(tblVideos[Length],tblVideos[Day],"&gt;="&amp;DATE($B20,8,1),tblVideos[Day],"&lt;"&amp;DATE($B20,9,1),tblVideos[Channel ID],$T$4)*24,0),COUNTIFS(tblVideos[Day],"&gt;="&amp;DATE($B20,8,1),tblVideos[Day],"&lt;"&amp;DATE($B20,9,1),tblVideos[Channel ID],$T$4))</f>
        <v/>
      </c>
      <c r="K20" s="69">
        <f>IF($G$4="Hours",ROUND(SUMIFS(tblVideos[Length],tblVideos[Day],"&gt;="&amp;DATE($B20,9,1),tblVideos[Day],"&lt;"&amp;DATE($B20,10,1),tblVideos[Channel ID],$T$4)*24,0),COUNTIFS(tblVideos[Day],"&gt;="&amp;DATE($B20,9,1),tblVideos[Day],"&lt;"&amp;DATE($B20,10,1),tblVideos[Channel ID],$T$4))</f>
        <v/>
      </c>
      <c r="L20" s="69">
        <f>IF($G$4="Hours",ROUND(SUMIFS(tblVideos[Length],tblVideos[Day],"&gt;="&amp;DATE($B20,10,1),tblVideos[Day],"&lt;"&amp;DATE($B20,11,1),tblVideos[Channel ID],$T$4)*24,0),COUNTIFS(tblVideos[Day],"&gt;="&amp;DATE($B20,10,1),tblVideos[Day],"&lt;"&amp;DATE($B20,11,1),tblVideos[Channel ID],$T$4))</f>
        <v/>
      </c>
      <c r="M20" s="69">
        <f>IF($G$4="Hours",ROUND(SUMIFS(tblVideos[Length],tblVideos[Day],"&gt;="&amp;DATE($B20,11,1),tblVideos[Day],"&lt;"&amp;DATE($B20,12,1),tblVideos[Channel ID],$T$4)*24,0),COUNTIFS(tblVideos[Day],"&gt;="&amp;DATE($B20,11,1),tblVideos[Day],"&lt;"&amp;DATE($B20,12,1),tblVideos[Channel ID],$T$4))</f>
        <v/>
      </c>
      <c r="N20" s="69">
        <f>IF($G$4="Hours",ROUND(SUMIFS(tblVideos[Length],tblVideos[Day],"&gt;="&amp;DATE($B20,12,1),tblVideos[Day],"&lt;"&amp;DATE($B20,13,1),tblVideos[Channel ID],$T$4)*24,0),COUNTIFS(tblVideos[Day],"&gt;="&amp;DATE($B20,12,1),tblVideos[Day],"&lt;"&amp;DATE($B20,13,1),tblVideos[Channel ID],$T$4))</f>
        <v/>
      </c>
      <c r="O20" s="24">
        <f>SUM(C20:N20)</f>
        <v/>
      </c>
    </row>
    <row r="21">
      <c r="B21" s="68" t="n">
        <v>2025</v>
      </c>
      <c r="C21" s="69">
        <f>IF($G$4="Hours",ROUND(SUMIFS(tblVideos[Length],tblVideos[Day],"&gt;="&amp;DATE($B21,1,1),tblVideos[Day],"&lt;"&amp;DATE($B21,2,1),tblVideos[Channel ID],$T$4)*24,0),COUNTIFS(tblVideos[Day],"&gt;="&amp;DATE($B21,1,1),tblVideos[Day],"&lt;"&amp;DATE($B21,2,1),tblVideos[Channel ID],$T$4))</f>
        <v/>
      </c>
      <c r="D21" s="69">
        <f>IF($G$4="Hours",ROUND(SUMIFS(tblVideos[Length],tblVideos[Day],"&gt;="&amp;DATE($B21,2,1),tblVideos[Day],"&lt;"&amp;DATE($B21,3,1),tblVideos[Channel ID],$T$4)*24,0),COUNTIFS(tblVideos[Day],"&gt;="&amp;DATE($B21,2,1),tblVideos[Day],"&lt;"&amp;DATE($B21,3,1),tblVideos[Channel ID],$T$4))</f>
        <v/>
      </c>
      <c r="E21" s="69">
        <f>IF($G$4="Hours",ROUND(SUMIFS(tblVideos[Length],tblVideos[Day],"&gt;="&amp;DATE($B21,3,1),tblVideos[Day],"&lt;"&amp;DATE($B21,4,1),tblVideos[Channel ID],$T$4)*24,0),COUNTIFS(tblVideos[Day],"&gt;="&amp;DATE($B21,3,1),tblVideos[Day],"&lt;"&amp;DATE($B21,4,1),tblVideos[Channel ID],$T$4))</f>
        <v/>
      </c>
      <c r="F21" s="69">
        <f>IF($G$4="Hours",ROUND(SUMIFS(tblVideos[Length],tblVideos[Day],"&gt;="&amp;DATE($B21,4,1),tblVideos[Day],"&lt;"&amp;DATE($B21,5,1),tblVideos[Channel ID],$T$4)*24,0),COUNTIFS(tblVideos[Day],"&gt;="&amp;DATE($B21,4,1),tblVideos[Day],"&lt;"&amp;DATE($B21,5,1),tblVideos[Channel ID],$T$4))</f>
        <v/>
      </c>
      <c r="G21" s="69">
        <f>IF($G$4="Hours",ROUND(SUMIFS(tblVideos[Length],tblVideos[Day],"&gt;="&amp;DATE($B21,5,1),tblVideos[Day],"&lt;"&amp;DATE($B21,6,1),tblVideos[Channel ID],$T$4)*24,0),COUNTIFS(tblVideos[Day],"&gt;="&amp;DATE($B21,5,1),tblVideos[Day],"&lt;"&amp;DATE($B21,6,1),tblVideos[Channel ID],$T$4))</f>
        <v/>
      </c>
      <c r="H21" s="69">
        <f>IF($G$4="Hours",ROUND(SUMIFS(tblVideos[Length],tblVideos[Day],"&gt;="&amp;DATE($B21,6,1),tblVideos[Day],"&lt;"&amp;DATE($B21,7,1),tblVideos[Channel ID],$T$4)*24,0),COUNTIFS(tblVideos[Day],"&gt;="&amp;DATE($B21,6,1),tblVideos[Day],"&lt;"&amp;DATE($B21,7,1),tblVideos[Channel ID],$T$4))</f>
        <v/>
      </c>
      <c r="I21" s="69">
        <f>IF($G$4="Hours",ROUND(SUMIFS(tblVideos[Length],tblVideos[Day],"&gt;="&amp;DATE($B21,7,1),tblVideos[Day],"&lt;"&amp;DATE($B21,8,1),tblVideos[Channel ID],$T$4)*24,0),COUNTIFS(tblVideos[Day],"&gt;="&amp;DATE($B21,7,1),tblVideos[Day],"&lt;"&amp;DATE($B21,8,1),tblVideos[Channel ID],$T$4))</f>
        <v/>
      </c>
      <c r="J21" s="69">
        <f>IF($G$4="Hours",ROUND(SUMIFS(tblVideos[Length],tblVideos[Day],"&gt;="&amp;DATE($B21,8,1),tblVideos[Day],"&lt;"&amp;DATE($B21,9,1),tblVideos[Channel ID],$T$4)*24,0),COUNTIFS(tblVideos[Day],"&gt;="&amp;DATE($B21,8,1),tblVideos[Day],"&lt;"&amp;DATE($B21,9,1),tblVideos[Channel ID],$T$4))</f>
        <v/>
      </c>
      <c r="K21" s="69">
        <f>IF($G$4="Hours",ROUND(SUMIFS(tblVideos[Length],tblVideos[Day],"&gt;="&amp;DATE($B21,9,1),tblVideos[Day],"&lt;"&amp;DATE($B21,10,1),tblVideos[Channel ID],$T$4)*24,0),COUNTIFS(tblVideos[Day],"&gt;="&amp;DATE($B21,9,1),tblVideos[Day],"&lt;"&amp;DATE($B21,10,1),tblVideos[Channel ID],$T$4))</f>
        <v/>
      </c>
      <c r="L21" s="69">
        <f>IF($G$4="Hours",ROUND(SUMIFS(tblVideos[Length],tblVideos[Day],"&gt;="&amp;DATE($B21,10,1),tblVideos[Day],"&lt;"&amp;DATE($B21,11,1),tblVideos[Channel ID],$T$4)*24,0),COUNTIFS(tblVideos[Day],"&gt;="&amp;DATE($B21,10,1),tblVideos[Day],"&lt;"&amp;DATE($B21,11,1),tblVideos[Channel ID],$T$4))</f>
        <v/>
      </c>
      <c r="M21" s="69">
        <f>IF($G$4="Hours",ROUND(SUMIFS(tblVideos[Length],tblVideos[Day],"&gt;="&amp;DATE($B21,11,1),tblVideos[Day],"&lt;"&amp;DATE($B21,12,1),tblVideos[Channel ID],$T$4)*24,0),COUNTIFS(tblVideos[Day],"&gt;="&amp;DATE($B21,11,1),tblVideos[Day],"&lt;"&amp;DATE($B21,12,1),tblVideos[Channel ID],$T$4))</f>
        <v/>
      </c>
      <c r="N21" s="69">
        <f>IF($G$4="Hours",ROUND(SUMIFS(tblVideos[Length],tblVideos[Day],"&gt;="&amp;DATE($B21,12,1),tblVideos[Day],"&lt;"&amp;DATE($B21,13,1),tblVideos[Channel ID],$T$4)*24,0),COUNTIFS(tblVideos[Day],"&gt;="&amp;DATE($B21,12,1),tblVideos[Day],"&lt;"&amp;DATE($B21,13,1),tblVideos[Channel ID],$T$4))</f>
        <v/>
      </c>
      <c r="O21" s="24">
        <f>SUM(C21:N21)</f>
        <v/>
      </c>
    </row>
    <row r="22">
      <c r="B22" s="68" t="n">
        <v>2026</v>
      </c>
      <c r="C22" s="69">
        <f>IF($G$4="Hours",ROUND(SUMIFS(tblVideos[Length],tblVideos[Day],"&gt;="&amp;DATE($B22,1,1),tblVideos[Day],"&lt;"&amp;DATE($B22,2,1),tblVideos[Channel ID],$T$4)*24,0),COUNTIFS(tblVideos[Day],"&gt;="&amp;DATE($B22,1,1),tblVideos[Day],"&lt;"&amp;DATE($B22,2,1),tblVideos[Channel ID],$T$4))</f>
        <v/>
      </c>
      <c r="D22" s="69">
        <f>IF($G$4="Hours",ROUND(SUMIFS(tblVideos[Length],tblVideos[Day],"&gt;="&amp;DATE($B22,2,1),tblVideos[Day],"&lt;"&amp;DATE($B22,3,1),tblVideos[Channel ID],$T$4)*24,0),COUNTIFS(tblVideos[Day],"&gt;="&amp;DATE($B22,2,1),tblVideos[Day],"&lt;"&amp;DATE($B22,3,1),tblVideos[Channel ID],$T$4))</f>
        <v/>
      </c>
      <c r="E22" s="69">
        <f>IF($G$4="Hours",ROUND(SUMIFS(tblVideos[Length],tblVideos[Day],"&gt;="&amp;DATE($B22,3,1),tblVideos[Day],"&lt;"&amp;DATE($B22,4,1),tblVideos[Channel ID],$T$4)*24,0),COUNTIFS(tblVideos[Day],"&gt;="&amp;DATE($B22,3,1),tblVideos[Day],"&lt;"&amp;DATE($B22,4,1),tblVideos[Channel ID],$T$4))</f>
        <v/>
      </c>
      <c r="F22" s="69">
        <f>IF($G$4="Hours",ROUND(SUMIFS(tblVideos[Length],tblVideos[Day],"&gt;="&amp;DATE($B22,4,1),tblVideos[Day],"&lt;"&amp;DATE($B22,5,1),tblVideos[Channel ID],$T$4)*24,0),COUNTIFS(tblVideos[Day],"&gt;="&amp;DATE($B22,4,1),tblVideos[Day],"&lt;"&amp;DATE($B22,5,1),tblVideos[Channel ID],$T$4))</f>
        <v/>
      </c>
      <c r="G22" s="69">
        <f>IF($G$4="Hours",ROUND(SUMIFS(tblVideos[Length],tblVideos[Day],"&gt;="&amp;DATE($B22,5,1),tblVideos[Day],"&lt;"&amp;DATE($B22,6,1),tblVideos[Channel ID],$T$4)*24,0),COUNTIFS(tblVideos[Day],"&gt;="&amp;DATE($B22,5,1),tblVideos[Day],"&lt;"&amp;DATE($B22,6,1),tblVideos[Channel ID],$T$4))</f>
        <v/>
      </c>
      <c r="H22" s="69">
        <f>IF($G$4="Hours",ROUND(SUMIFS(tblVideos[Length],tblVideos[Day],"&gt;="&amp;DATE($B22,6,1),tblVideos[Day],"&lt;"&amp;DATE($B22,7,1),tblVideos[Channel ID],$T$4)*24,0),COUNTIFS(tblVideos[Day],"&gt;="&amp;DATE($B22,6,1),tblVideos[Day],"&lt;"&amp;DATE($B22,7,1),tblVideos[Channel ID],$T$4))</f>
        <v/>
      </c>
      <c r="I22" s="69">
        <f>IF($G$4="Hours",ROUND(SUMIFS(tblVideos[Length],tblVideos[Day],"&gt;="&amp;DATE($B22,7,1),tblVideos[Day],"&lt;"&amp;DATE($B22,8,1),tblVideos[Channel ID],$T$4)*24,0),COUNTIFS(tblVideos[Day],"&gt;="&amp;DATE($B22,7,1),tblVideos[Day],"&lt;"&amp;DATE($B22,8,1),tblVideos[Channel ID],$T$4))</f>
        <v/>
      </c>
      <c r="J22" s="69">
        <f>IF($G$4="Hours",ROUND(SUMIFS(tblVideos[Length],tblVideos[Day],"&gt;="&amp;DATE($B22,8,1),tblVideos[Day],"&lt;"&amp;DATE($B22,9,1),tblVideos[Channel ID],$T$4)*24,0),COUNTIFS(tblVideos[Day],"&gt;="&amp;DATE($B22,8,1),tblVideos[Day],"&lt;"&amp;DATE($B22,9,1),tblVideos[Channel ID],$T$4))</f>
        <v/>
      </c>
      <c r="K22" s="69">
        <f>IF($G$4="Hours",ROUND(SUMIFS(tblVideos[Length],tblVideos[Day],"&gt;="&amp;DATE($B22,9,1),tblVideos[Day],"&lt;"&amp;DATE($B22,10,1),tblVideos[Channel ID],$T$4)*24,0),COUNTIFS(tblVideos[Day],"&gt;="&amp;DATE($B22,9,1),tblVideos[Day],"&lt;"&amp;DATE($B22,10,1),tblVideos[Channel ID],$T$4))</f>
        <v/>
      </c>
      <c r="L22" s="69">
        <f>IF($G$4="Hours",ROUND(SUMIFS(tblVideos[Length],tblVideos[Day],"&gt;="&amp;DATE($B22,10,1),tblVideos[Day],"&lt;"&amp;DATE($B22,11,1),tblVideos[Channel ID],$T$4)*24,0),COUNTIFS(tblVideos[Day],"&gt;="&amp;DATE($B22,10,1),tblVideos[Day],"&lt;"&amp;DATE($B22,11,1),tblVideos[Channel ID],$T$4))</f>
        <v/>
      </c>
      <c r="M22" s="69">
        <f>IF($G$4="Hours",ROUND(SUMIFS(tblVideos[Length],tblVideos[Day],"&gt;="&amp;DATE($B22,11,1),tblVideos[Day],"&lt;"&amp;DATE($B22,12,1),tblVideos[Channel ID],$T$4)*24,0),COUNTIFS(tblVideos[Day],"&gt;="&amp;DATE($B22,11,1),tblVideos[Day],"&lt;"&amp;DATE($B22,12,1),tblVideos[Channel ID],$T$4))</f>
        <v/>
      </c>
      <c r="N22" s="69">
        <f>IF($G$4="Hours",ROUND(SUMIFS(tblVideos[Length],tblVideos[Day],"&gt;="&amp;DATE($B22,12,1),tblVideos[Day],"&lt;"&amp;DATE($B22,13,1),tblVideos[Channel ID],$T$4)*24,0),COUNTIFS(tblVideos[Day],"&gt;="&amp;DATE($B22,12,1),tblVideos[Day],"&lt;"&amp;DATE($B22,13,1),tblVideos[Channel ID],$T$4))</f>
        <v/>
      </c>
      <c r="O22" s="24">
        <f>SUM(C22:N22)</f>
        <v/>
      </c>
    </row>
    <row r="23">
      <c r="B23" s="70" t="inlineStr">
        <is>
          <t>All years</t>
        </is>
      </c>
      <c r="C23" s="24">
        <f>SUM(C8:C22)</f>
        <v/>
      </c>
      <c r="D23" s="24">
        <f>SUM(D8:D22)</f>
        <v/>
      </c>
      <c r="E23" s="24">
        <f>SUM(E8:E22)</f>
        <v/>
      </c>
      <c r="F23" s="24">
        <f>SUM(F8:F22)</f>
        <v/>
      </c>
      <c r="G23" s="24">
        <f>SUM(G8:G22)</f>
        <v/>
      </c>
      <c r="H23" s="24">
        <f>SUM(H8:H22)</f>
        <v/>
      </c>
      <c r="I23" s="24">
        <f>SUM(I8:I22)</f>
        <v/>
      </c>
      <c r="J23" s="24">
        <f>SUM(J8:J22)</f>
        <v/>
      </c>
      <c r="K23" s="24">
        <f>SUM(K8:K22)</f>
        <v/>
      </c>
      <c r="L23" s="24">
        <f>SUM(L8:L22)</f>
        <v/>
      </c>
      <c r="M23" s="24">
        <f>SUM(M8:M22)</f>
        <v/>
      </c>
      <c r="N23" s="24">
        <f>SUM(N8:N22)</f>
        <v/>
      </c>
      <c r="O23" s="24">
        <f>SUM(O8:O22)</f>
        <v/>
      </c>
    </row>
    <row r="26" ht="20" customHeight="1">
      <c r="B26" s="9">
        <f>"Year view  -  "&amp;$K$4</f>
        <v/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 ht="46" customHeight="1">
      <c r="B27" s="11" t="inlineStr">
        <is>
          <t>Month</t>
        </is>
      </c>
      <c r="C27" s="71">
        <f>Channels!$C$6</f>
        <v/>
      </c>
      <c r="D27" s="72">
        <f>Channels!$C$7</f>
        <v/>
      </c>
      <c r="E27" s="73">
        <f>Channels!$C$8</f>
        <v/>
      </c>
      <c r="F27" s="74">
        <f>Channels!$C$9</f>
        <v/>
      </c>
      <c r="G27" s="75">
        <f>Channels!$C$10</f>
        <v/>
      </c>
      <c r="H27" s="76">
        <f>Channels!$C$11</f>
        <v/>
      </c>
      <c r="I27" s="11" t="inlineStr">
        <is>
          <t>Total</t>
        </is>
      </c>
      <c r="J27" s="11" t="inlineStr">
        <is>
          <t>Hours</t>
        </is>
      </c>
    </row>
    <row r="28">
      <c r="B28" s="77" t="inlineStr">
        <is>
          <t>January</t>
        </is>
      </c>
      <c r="C28" s="69">
        <f>COUNTIFS(tblVideos[Day],"&gt;="&amp;DATE($K$4,1,1),tblVideos[Day],"&lt;"&amp;DATE($K$4,2,1),tblVideos[Channel ID],Channels!$E$6)</f>
        <v/>
      </c>
      <c r="D28" s="69">
        <f>COUNTIFS(tblVideos[Day],"&gt;="&amp;DATE($K$4,1,1),tblVideos[Day],"&lt;"&amp;DATE($K$4,2,1),tblVideos[Channel ID],Channels!$E$7)</f>
        <v/>
      </c>
      <c r="E28" s="69">
        <f>COUNTIFS(tblVideos[Day],"&gt;="&amp;DATE($K$4,1,1),tblVideos[Day],"&lt;"&amp;DATE($K$4,2,1),tblVideos[Channel ID],Channels!$E$8)</f>
        <v/>
      </c>
      <c r="F28" s="69">
        <f>COUNTIFS(tblVideos[Day],"&gt;="&amp;DATE($K$4,1,1),tblVideos[Day],"&lt;"&amp;DATE($K$4,2,1),tblVideos[Channel ID],Channels!$E$9)</f>
        <v/>
      </c>
      <c r="G28" s="69">
        <f>COUNTIFS(tblVideos[Day],"&gt;="&amp;DATE($K$4,1,1),tblVideos[Day],"&lt;"&amp;DATE($K$4,2,1),tblVideos[Channel ID],Channels!$E$10)</f>
        <v/>
      </c>
      <c r="H28" s="69">
        <f>COUNTIFS(tblVideos[Day],"&gt;="&amp;DATE($K$4,1,1),tblVideos[Day],"&lt;"&amp;DATE($K$4,2,1),tblVideos[Channel ID],Channels!$E$11)</f>
        <v/>
      </c>
      <c r="I28" s="78">
        <f>SUM(C28:H28)</f>
        <v/>
      </c>
      <c r="J28" s="79">
        <f>SUMIFS(tblVideos[Length],tblVideos[Day],"&gt;="&amp;DATE($K$4,1,1),tblVideos[Day],"&lt;"&amp;DATE($K$4,2,1))*24</f>
        <v/>
      </c>
    </row>
    <row r="29">
      <c r="B29" s="77" t="inlineStr">
        <is>
          <t>February</t>
        </is>
      </c>
      <c r="C29" s="69">
        <f>COUNTIFS(tblVideos[Day],"&gt;="&amp;DATE($K$4,2,1),tblVideos[Day],"&lt;"&amp;DATE($K$4,3,1),tblVideos[Channel ID],Channels!$E$6)</f>
        <v/>
      </c>
      <c r="D29" s="69">
        <f>COUNTIFS(tblVideos[Day],"&gt;="&amp;DATE($K$4,2,1),tblVideos[Day],"&lt;"&amp;DATE($K$4,3,1),tblVideos[Channel ID],Channels!$E$7)</f>
        <v/>
      </c>
      <c r="E29" s="69">
        <f>COUNTIFS(tblVideos[Day],"&gt;="&amp;DATE($K$4,2,1),tblVideos[Day],"&lt;"&amp;DATE($K$4,3,1),tblVideos[Channel ID],Channels!$E$8)</f>
        <v/>
      </c>
      <c r="F29" s="69">
        <f>COUNTIFS(tblVideos[Day],"&gt;="&amp;DATE($K$4,2,1),tblVideos[Day],"&lt;"&amp;DATE($K$4,3,1),tblVideos[Channel ID],Channels!$E$9)</f>
        <v/>
      </c>
      <c r="G29" s="69">
        <f>COUNTIFS(tblVideos[Day],"&gt;="&amp;DATE($K$4,2,1),tblVideos[Day],"&lt;"&amp;DATE($K$4,3,1),tblVideos[Channel ID],Channels!$E$10)</f>
        <v/>
      </c>
      <c r="H29" s="69">
        <f>COUNTIFS(tblVideos[Day],"&gt;="&amp;DATE($K$4,2,1),tblVideos[Day],"&lt;"&amp;DATE($K$4,3,1),tblVideos[Channel ID],Channels!$E$11)</f>
        <v/>
      </c>
      <c r="I29" s="78">
        <f>SUM(C29:H29)</f>
        <v/>
      </c>
      <c r="J29" s="79">
        <f>SUMIFS(tblVideos[Length],tblVideos[Day],"&gt;="&amp;DATE($K$4,2,1),tblVideos[Day],"&lt;"&amp;DATE($K$4,3,1))*24</f>
        <v/>
      </c>
    </row>
    <row r="30">
      <c r="B30" s="77" t="inlineStr">
        <is>
          <t>March</t>
        </is>
      </c>
      <c r="C30" s="69">
        <f>COUNTIFS(tblVideos[Day],"&gt;="&amp;DATE($K$4,3,1),tblVideos[Day],"&lt;"&amp;DATE($K$4,4,1),tblVideos[Channel ID],Channels!$E$6)</f>
        <v/>
      </c>
      <c r="D30" s="69">
        <f>COUNTIFS(tblVideos[Day],"&gt;="&amp;DATE($K$4,3,1),tblVideos[Day],"&lt;"&amp;DATE($K$4,4,1),tblVideos[Channel ID],Channels!$E$7)</f>
        <v/>
      </c>
      <c r="E30" s="69">
        <f>COUNTIFS(tblVideos[Day],"&gt;="&amp;DATE($K$4,3,1),tblVideos[Day],"&lt;"&amp;DATE($K$4,4,1),tblVideos[Channel ID],Channels!$E$8)</f>
        <v/>
      </c>
      <c r="F30" s="69">
        <f>COUNTIFS(tblVideos[Day],"&gt;="&amp;DATE($K$4,3,1),tblVideos[Day],"&lt;"&amp;DATE($K$4,4,1),tblVideos[Channel ID],Channels!$E$9)</f>
        <v/>
      </c>
      <c r="G30" s="69">
        <f>COUNTIFS(tblVideos[Day],"&gt;="&amp;DATE($K$4,3,1),tblVideos[Day],"&lt;"&amp;DATE($K$4,4,1),tblVideos[Channel ID],Channels!$E$10)</f>
        <v/>
      </c>
      <c r="H30" s="69">
        <f>COUNTIFS(tblVideos[Day],"&gt;="&amp;DATE($K$4,3,1),tblVideos[Day],"&lt;"&amp;DATE($K$4,4,1),tblVideos[Channel ID],Channels!$E$11)</f>
        <v/>
      </c>
      <c r="I30" s="78">
        <f>SUM(C30:H30)</f>
        <v/>
      </c>
      <c r="J30" s="79">
        <f>SUMIFS(tblVideos[Length],tblVideos[Day],"&gt;="&amp;DATE($K$4,3,1),tblVideos[Day],"&lt;"&amp;DATE($K$4,4,1))*24</f>
        <v/>
      </c>
    </row>
    <row r="31">
      <c r="B31" s="77" t="inlineStr">
        <is>
          <t>April</t>
        </is>
      </c>
      <c r="C31" s="69">
        <f>COUNTIFS(tblVideos[Day],"&gt;="&amp;DATE($K$4,4,1),tblVideos[Day],"&lt;"&amp;DATE($K$4,5,1),tblVideos[Channel ID],Channels!$E$6)</f>
        <v/>
      </c>
      <c r="D31" s="69">
        <f>COUNTIFS(tblVideos[Day],"&gt;="&amp;DATE($K$4,4,1),tblVideos[Day],"&lt;"&amp;DATE($K$4,5,1),tblVideos[Channel ID],Channels!$E$7)</f>
        <v/>
      </c>
      <c r="E31" s="69">
        <f>COUNTIFS(tblVideos[Day],"&gt;="&amp;DATE($K$4,4,1),tblVideos[Day],"&lt;"&amp;DATE($K$4,5,1),tblVideos[Channel ID],Channels!$E$8)</f>
        <v/>
      </c>
      <c r="F31" s="69">
        <f>COUNTIFS(tblVideos[Day],"&gt;="&amp;DATE($K$4,4,1),tblVideos[Day],"&lt;"&amp;DATE($K$4,5,1),tblVideos[Channel ID],Channels!$E$9)</f>
        <v/>
      </c>
      <c r="G31" s="69">
        <f>COUNTIFS(tblVideos[Day],"&gt;="&amp;DATE($K$4,4,1),tblVideos[Day],"&lt;"&amp;DATE($K$4,5,1),tblVideos[Channel ID],Channels!$E$10)</f>
        <v/>
      </c>
      <c r="H31" s="69">
        <f>COUNTIFS(tblVideos[Day],"&gt;="&amp;DATE($K$4,4,1),tblVideos[Day],"&lt;"&amp;DATE($K$4,5,1),tblVideos[Channel ID],Channels!$E$11)</f>
        <v/>
      </c>
      <c r="I31" s="78">
        <f>SUM(C31:H31)</f>
        <v/>
      </c>
      <c r="J31" s="79">
        <f>SUMIFS(tblVideos[Length],tblVideos[Day],"&gt;="&amp;DATE($K$4,4,1),tblVideos[Day],"&lt;"&amp;DATE($K$4,5,1))*24</f>
        <v/>
      </c>
    </row>
    <row r="32">
      <c r="B32" s="77" t="inlineStr">
        <is>
          <t>May</t>
        </is>
      </c>
      <c r="C32" s="69">
        <f>COUNTIFS(tblVideos[Day],"&gt;="&amp;DATE($K$4,5,1),tblVideos[Day],"&lt;"&amp;DATE($K$4,6,1),tblVideos[Channel ID],Channels!$E$6)</f>
        <v/>
      </c>
      <c r="D32" s="69">
        <f>COUNTIFS(tblVideos[Day],"&gt;="&amp;DATE($K$4,5,1),tblVideos[Day],"&lt;"&amp;DATE($K$4,6,1),tblVideos[Channel ID],Channels!$E$7)</f>
        <v/>
      </c>
      <c r="E32" s="69">
        <f>COUNTIFS(tblVideos[Day],"&gt;="&amp;DATE($K$4,5,1),tblVideos[Day],"&lt;"&amp;DATE($K$4,6,1),tblVideos[Channel ID],Channels!$E$8)</f>
        <v/>
      </c>
      <c r="F32" s="69">
        <f>COUNTIFS(tblVideos[Day],"&gt;="&amp;DATE($K$4,5,1),tblVideos[Day],"&lt;"&amp;DATE($K$4,6,1),tblVideos[Channel ID],Channels!$E$9)</f>
        <v/>
      </c>
      <c r="G32" s="69">
        <f>COUNTIFS(tblVideos[Day],"&gt;="&amp;DATE($K$4,5,1),tblVideos[Day],"&lt;"&amp;DATE($K$4,6,1),tblVideos[Channel ID],Channels!$E$10)</f>
        <v/>
      </c>
      <c r="H32" s="69">
        <f>COUNTIFS(tblVideos[Day],"&gt;="&amp;DATE($K$4,5,1),tblVideos[Day],"&lt;"&amp;DATE($K$4,6,1),tblVideos[Channel ID],Channels!$E$11)</f>
        <v/>
      </c>
      <c r="I32" s="78">
        <f>SUM(C32:H32)</f>
        <v/>
      </c>
      <c r="J32" s="79">
        <f>SUMIFS(tblVideos[Length],tblVideos[Day],"&gt;="&amp;DATE($K$4,5,1),tblVideos[Day],"&lt;"&amp;DATE($K$4,6,1))*24</f>
        <v/>
      </c>
    </row>
    <row r="33">
      <c r="B33" s="77" t="inlineStr">
        <is>
          <t>June</t>
        </is>
      </c>
      <c r="C33" s="69">
        <f>COUNTIFS(tblVideos[Day],"&gt;="&amp;DATE($K$4,6,1),tblVideos[Day],"&lt;"&amp;DATE($K$4,7,1),tblVideos[Channel ID],Channels!$E$6)</f>
        <v/>
      </c>
      <c r="D33" s="69">
        <f>COUNTIFS(tblVideos[Day],"&gt;="&amp;DATE($K$4,6,1),tblVideos[Day],"&lt;"&amp;DATE($K$4,7,1),tblVideos[Channel ID],Channels!$E$7)</f>
        <v/>
      </c>
      <c r="E33" s="69">
        <f>COUNTIFS(tblVideos[Day],"&gt;="&amp;DATE($K$4,6,1),tblVideos[Day],"&lt;"&amp;DATE($K$4,7,1),tblVideos[Channel ID],Channels!$E$8)</f>
        <v/>
      </c>
      <c r="F33" s="69">
        <f>COUNTIFS(tblVideos[Day],"&gt;="&amp;DATE($K$4,6,1),tblVideos[Day],"&lt;"&amp;DATE($K$4,7,1),tblVideos[Channel ID],Channels!$E$9)</f>
        <v/>
      </c>
      <c r="G33" s="69">
        <f>COUNTIFS(tblVideos[Day],"&gt;="&amp;DATE($K$4,6,1),tblVideos[Day],"&lt;"&amp;DATE($K$4,7,1),tblVideos[Channel ID],Channels!$E$10)</f>
        <v/>
      </c>
      <c r="H33" s="69">
        <f>COUNTIFS(tblVideos[Day],"&gt;="&amp;DATE($K$4,6,1),tblVideos[Day],"&lt;"&amp;DATE($K$4,7,1),tblVideos[Channel ID],Channels!$E$11)</f>
        <v/>
      </c>
      <c r="I33" s="78">
        <f>SUM(C33:H33)</f>
        <v/>
      </c>
      <c r="J33" s="79">
        <f>SUMIFS(tblVideos[Length],tblVideos[Day],"&gt;="&amp;DATE($K$4,6,1),tblVideos[Day],"&lt;"&amp;DATE($K$4,7,1))*24</f>
        <v/>
      </c>
    </row>
    <row r="34">
      <c r="B34" s="77" t="inlineStr">
        <is>
          <t>July</t>
        </is>
      </c>
      <c r="C34" s="69">
        <f>COUNTIFS(tblVideos[Day],"&gt;="&amp;DATE($K$4,7,1),tblVideos[Day],"&lt;"&amp;DATE($K$4,8,1),tblVideos[Channel ID],Channels!$E$6)</f>
        <v/>
      </c>
      <c r="D34" s="69">
        <f>COUNTIFS(tblVideos[Day],"&gt;="&amp;DATE($K$4,7,1),tblVideos[Day],"&lt;"&amp;DATE($K$4,8,1),tblVideos[Channel ID],Channels!$E$7)</f>
        <v/>
      </c>
      <c r="E34" s="69">
        <f>COUNTIFS(tblVideos[Day],"&gt;="&amp;DATE($K$4,7,1),tblVideos[Day],"&lt;"&amp;DATE($K$4,8,1),tblVideos[Channel ID],Channels!$E$8)</f>
        <v/>
      </c>
      <c r="F34" s="69">
        <f>COUNTIFS(tblVideos[Day],"&gt;="&amp;DATE($K$4,7,1),tblVideos[Day],"&lt;"&amp;DATE($K$4,8,1),tblVideos[Channel ID],Channels!$E$9)</f>
        <v/>
      </c>
      <c r="G34" s="69">
        <f>COUNTIFS(tblVideos[Day],"&gt;="&amp;DATE($K$4,7,1),tblVideos[Day],"&lt;"&amp;DATE($K$4,8,1),tblVideos[Channel ID],Channels!$E$10)</f>
        <v/>
      </c>
      <c r="H34" s="69">
        <f>COUNTIFS(tblVideos[Day],"&gt;="&amp;DATE($K$4,7,1),tblVideos[Day],"&lt;"&amp;DATE($K$4,8,1),tblVideos[Channel ID],Channels!$E$11)</f>
        <v/>
      </c>
      <c r="I34" s="78">
        <f>SUM(C34:H34)</f>
        <v/>
      </c>
      <c r="J34" s="79">
        <f>SUMIFS(tblVideos[Length],tblVideos[Day],"&gt;="&amp;DATE($K$4,7,1),tblVideos[Day],"&lt;"&amp;DATE($K$4,8,1))*24</f>
        <v/>
      </c>
    </row>
    <row r="35">
      <c r="B35" s="77" t="inlineStr">
        <is>
          <t>August</t>
        </is>
      </c>
      <c r="C35" s="69">
        <f>COUNTIFS(tblVideos[Day],"&gt;="&amp;DATE($K$4,8,1),tblVideos[Day],"&lt;"&amp;DATE($K$4,9,1),tblVideos[Channel ID],Channels!$E$6)</f>
        <v/>
      </c>
      <c r="D35" s="69">
        <f>COUNTIFS(tblVideos[Day],"&gt;="&amp;DATE($K$4,8,1),tblVideos[Day],"&lt;"&amp;DATE($K$4,9,1),tblVideos[Channel ID],Channels!$E$7)</f>
        <v/>
      </c>
      <c r="E35" s="69">
        <f>COUNTIFS(tblVideos[Day],"&gt;="&amp;DATE($K$4,8,1),tblVideos[Day],"&lt;"&amp;DATE($K$4,9,1),tblVideos[Channel ID],Channels!$E$8)</f>
        <v/>
      </c>
      <c r="F35" s="69">
        <f>COUNTIFS(tblVideos[Day],"&gt;="&amp;DATE($K$4,8,1),tblVideos[Day],"&lt;"&amp;DATE($K$4,9,1),tblVideos[Channel ID],Channels!$E$9)</f>
        <v/>
      </c>
      <c r="G35" s="69">
        <f>COUNTIFS(tblVideos[Day],"&gt;="&amp;DATE($K$4,8,1),tblVideos[Day],"&lt;"&amp;DATE($K$4,9,1),tblVideos[Channel ID],Channels!$E$10)</f>
        <v/>
      </c>
      <c r="H35" s="69">
        <f>COUNTIFS(tblVideos[Day],"&gt;="&amp;DATE($K$4,8,1),tblVideos[Day],"&lt;"&amp;DATE($K$4,9,1),tblVideos[Channel ID],Channels!$E$11)</f>
        <v/>
      </c>
      <c r="I35" s="78">
        <f>SUM(C35:H35)</f>
        <v/>
      </c>
      <c r="J35" s="79">
        <f>SUMIFS(tblVideos[Length],tblVideos[Day],"&gt;="&amp;DATE($K$4,8,1),tblVideos[Day],"&lt;"&amp;DATE($K$4,9,1))*24</f>
        <v/>
      </c>
    </row>
    <row r="36">
      <c r="B36" s="77" t="inlineStr">
        <is>
          <t>September</t>
        </is>
      </c>
      <c r="C36" s="69">
        <f>COUNTIFS(tblVideos[Day],"&gt;="&amp;DATE($K$4,9,1),tblVideos[Day],"&lt;"&amp;DATE($K$4,10,1),tblVideos[Channel ID],Channels!$E$6)</f>
        <v/>
      </c>
      <c r="D36" s="69">
        <f>COUNTIFS(tblVideos[Day],"&gt;="&amp;DATE($K$4,9,1),tblVideos[Day],"&lt;"&amp;DATE($K$4,10,1),tblVideos[Channel ID],Channels!$E$7)</f>
        <v/>
      </c>
      <c r="E36" s="69">
        <f>COUNTIFS(tblVideos[Day],"&gt;="&amp;DATE($K$4,9,1),tblVideos[Day],"&lt;"&amp;DATE($K$4,10,1),tblVideos[Channel ID],Channels!$E$8)</f>
        <v/>
      </c>
      <c r="F36" s="69">
        <f>COUNTIFS(tblVideos[Day],"&gt;="&amp;DATE($K$4,9,1),tblVideos[Day],"&lt;"&amp;DATE($K$4,10,1),tblVideos[Channel ID],Channels!$E$9)</f>
        <v/>
      </c>
      <c r="G36" s="69">
        <f>COUNTIFS(tblVideos[Day],"&gt;="&amp;DATE($K$4,9,1),tblVideos[Day],"&lt;"&amp;DATE($K$4,10,1),tblVideos[Channel ID],Channels!$E$10)</f>
        <v/>
      </c>
      <c r="H36" s="69">
        <f>COUNTIFS(tblVideos[Day],"&gt;="&amp;DATE($K$4,9,1),tblVideos[Day],"&lt;"&amp;DATE($K$4,10,1),tblVideos[Channel ID],Channels!$E$11)</f>
        <v/>
      </c>
      <c r="I36" s="78">
        <f>SUM(C36:H36)</f>
        <v/>
      </c>
      <c r="J36" s="79">
        <f>SUMIFS(tblVideos[Length],tblVideos[Day],"&gt;="&amp;DATE($K$4,9,1),tblVideos[Day],"&lt;"&amp;DATE($K$4,10,1))*24</f>
        <v/>
      </c>
    </row>
    <row r="37">
      <c r="B37" s="77" t="inlineStr">
        <is>
          <t>October</t>
        </is>
      </c>
      <c r="C37" s="69">
        <f>COUNTIFS(tblVideos[Day],"&gt;="&amp;DATE($K$4,10,1),tblVideos[Day],"&lt;"&amp;DATE($K$4,11,1),tblVideos[Channel ID],Channels!$E$6)</f>
        <v/>
      </c>
      <c r="D37" s="69">
        <f>COUNTIFS(tblVideos[Day],"&gt;="&amp;DATE($K$4,10,1),tblVideos[Day],"&lt;"&amp;DATE($K$4,11,1),tblVideos[Channel ID],Channels!$E$7)</f>
        <v/>
      </c>
      <c r="E37" s="69">
        <f>COUNTIFS(tblVideos[Day],"&gt;="&amp;DATE($K$4,10,1),tblVideos[Day],"&lt;"&amp;DATE($K$4,11,1),tblVideos[Channel ID],Channels!$E$8)</f>
        <v/>
      </c>
      <c r="F37" s="69">
        <f>COUNTIFS(tblVideos[Day],"&gt;="&amp;DATE($K$4,10,1),tblVideos[Day],"&lt;"&amp;DATE($K$4,11,1),tblVideos[Channel ID],Channels!$E$9)</f>
        <v/>
      </c>
      <c r="G37" s="69">
        <f>COUNTIFS(tblVideos[Day],"&gt;="&amp;DATE($K$4,10,1),tblVideos[Day],"&lt;"&amp;DATE($K$4,11,1),tblVideos[Channel ID],Channels!$E$10)</f>
        <v/>
      </c>
      <c r="H37" s="69">
        <f>COUNTIFS(tblVideos[Day],"&gt;="&amp;DATE($K$4,10,1),tblVideos[Day],"&lt;"&amp;DATE($K$4,11,1),tblVideos[Channel ID],Channels!$E$11)</f>
        <v/>
      </c>
      <c r="I37" s="78">
        <f>SUM(C37:H37)</f>
        <v/>
      </c>
      <c r="J37" s="79">
        <f>SUMIFS(tblVideos[Length],tblVideos[Day],"&gt;="&amp;DATE($K$4,10,1),tblVideos[Day],"&lt;"&amp;DATE($K$4,11,1))*24</f>
        <v/>
      </c>
    </row>
    <row r="38">
      <c r="B38" s="77" t="inlineStr">
        <is>
          <t>November</t>
        </is>
      </c>
      <c r="C38" s="69">
        <f>COUNTIFS(tblVideos[Day],"&gt;="&amp;DATE($K$4,11,1),tblVideos[Day],"&lt;"&amp;DATE($K$4,12,1),tblVideos[Channel ID],Channels!$E$6)</f>
        <v/>
      </c>
      <c r="D38" s="69">
        <f>COUNTIFS(tblVideos[Day],"&gt;="&amp;DATE($K$4,11,1),tblVideos[Day],"&lt;"&amp;DATE($K$4,12,1),tblVideos[Channel ID],Channels!$E$7)</f>
        <v/>
      </c>
      <c r="E38" s="69">
        <f>COUNTIFS(tblVideos[Day],"&gt;="&amp;DATE($K$4,11,1),tblVideos[Day],"&lt;"&amp;DATE($K$4,12,1),tblVideos[Channel ID],Channels!$E$8)</f>
        <v/>
      </c>
      <c r="F38" s="69">
        <f>COUNTIFS(tblVideos[Day],"&gt;="&amp;DATE($K$4,11,1),tblVideos[Day],"&lt;"&amp;DATE($K$4,12,1),tblVideos[Channel ID],Channels!$E$9)</f>
        <v/>
      </c>
      <c r="G38" s="69">
        <f>COUNTIFS(tblVideos[Day],"&gt;="&amp;DATE($K$4,11,1),tblVideos[Day],"&lt;"&amp;DATE($K$4,12,1),tblVideos[Channel ID],Channels!$E$10)</f>
        <v/>
      </c>
      <c r="H38" s="69">
        <f>COUNTIFS(tblVideos[Day],"&gt;="&amp;DATE($K$4,11,1),tblVideos[Day],"&lt;"&amp;DATE($K$4,12,1),tblVideos[Channel ID],Channels!$E$11)</f>
        <v/>
      </c>
      <c r="I38" s="78">
        <f>SUM(C38:H38)</f>
        <v/>
      </c>
      <c r="J38" s="79">
        <f>SUMIFS(tblVideos[Length],tblVideos[Day],"&gt;="&amp;DATE($K$4,11,1),tblVideos[Day],"&lt;"&amp;DATE($K$4,12,1))*24</f>
        <v/>
      </c>
    </row>
    <row r="39">
      <c r="B39" s="77" t="inlineStr">
        <is>
          <t>December</t>
        </is>
      </c>
      <c r="C39" s="69">
        <f>COUNTIFS(tblVideos[Day],"&gt;="&amp;DATE($K$4,12,1),tblVideos[Day],"&lt;"&amp;DATE($K$4,13,1),tblVideos[Channel ID],Channels!$E$6)</f>
        <v/>
      </c>
      <c r="D39" s="69">
        <f>COUNTIFS(tblVideos[Day],"&gt;="&amp;DATE($K$4,12,1),tblVideos[Day],"&lt;"&amp;DATE($K$4,13,1),tblVideos[Channel ID],Channels!$E$7)</f>
        <v/>
      </c>
      <c r="E39" s="69">
        <f>COUNTIFS(tblVideos[Day],"&gt;="&amp;DATE($K$4,12,1),tblVideos[Day],"&lt;"&amp;DATE($K$4,13,1),tblVideos[Channel ID],Channels!$E$8)</f>
        <v/>
      </c>
      <c r="F39" s="69">
        <f>COUNTIFS(tblVideos[Day],"&gt;="&amp;DATE($K$4,12,1),tblVideos[Day],"&lt;"&amp;DATE($K$4,13,1),tblVideos[Channel ID],Channels!$E$9)</f>
        <v/>
      </c>
      <c r="G39" s="69">
        <f>COUNTIFS(tblVideos[Day],"&gt;="&amp;DATE($K$4,12,1),tblVideos[Day],"&lt;"&amp;DATE($K$4,13,1),tblVideos[Channel ID],Channels!$E$10)</f>
        <v/>
      </c>
      <c r="H39" s="69">
        <f>COUNTIFS(tblVideos[Day],"&gt;="&amp;DATE($K$4,12,1),tblVideos[Day],"&lt;"&amp;DATE($K$4,13,1),tblVideos[Channel ID],Channels!$E$11)</f>
        <v/>
      </c>
      <c r="I39" s="78">
        <f>SUM(C39:H39)</f>
        <v/>
      </c>
      <c r="J39" s="79">
        <f>SUMIFS(tblVideos[Length],tblVideos[Day],"&gt;="&amp;DATE($K$4,12,1),tblVideos[Day],"&lt;"&amp;DATE($K$4,13,1))*24</f>
        <v/>
      </c>
    </row>
    <row r="40">
      <c r="B40" s="23" t="inlineStr">
        <is>
          <t>Year total</t>
        </is>
      </c>
      <c r="C40" s="24">
        <f>SUM(C28:C39)</f>
        <v/>
      </c>
      <c r="D40" s="24">
        <f>SUM(D28:D39)</f>
        <v/>
      </c>
      <c r="E40" s="24">
        <f>SUM(E28:E39)</f>
        <v/>
      </c>
      <c r="F40" s="24">
        <f>SUM(F28:F39)</f>
        <v/>
      </c>
      <c r="G40" s="24">
        <f>SUM(G28:G39)</f>
        <v/>
      </c>
      <c r="H40" s="24">
        <f>SUM(H28:H39)</f>
        <v/>
      </c>
      <c r="I40" s="24">
        <f>SUM(I28:I39)</f>
        <v/>
      </c>
      <c r="J40" s="80">
        <f>SUM(J28:J39)</f>
        <v/>
      </c>
    </row>
    <row r="60" ht="20" customHeight="1">
      <c r="B60" s="9" t="inlineStr">
        <is>
          <t>Uploads per year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</row>
    <row r="61" ht="46" customHeight="1">
      <c r="B61" s="11" t="inlineStr">
        <is>
          <t>Year</t>
        </is>
      </c>
      <c r="C61" s="71">
        <f>Channels!$C$6</f>
        <v/>
      </c>
      <c r="D61" s="72">
        <f>Channels!$C$7</f>
        <v/>
      </c>
      <c r="E61" s="73">
        <f>Channels!$C$8</f>
        <v/>
      </c>
      <c r="F61" s="74">
        <f>Channels!$C$9</f>
        <v/>
      </c>
      <c r="G61" s="75">
        <f>Channels!$C$10</f>
        <v/>
      </c>
      <c r="H61" s="76">
        <f>Channels!$C$11</f>
        <v/>
      </c>
      <c r="I61" s="11" t="inlineStr">
        <is>
          <t>Total</t>
        </is>
      </c>
      <c r="J61" s="11" t="inlineStr">
        <is>
          <t>Hours uploaded</t>
        </is>
      </c>
      <c r="K61" s="11" t="inlineStr">
        <is>
          <t>Watched (dated)</t>
        </is>
      </c>
      <c r="L61" s="11" t="inlineStr">
        <is>
          <t>Hours watched (dated)</t>
        </is>
      </c>
    </row>
    <row r="62">
      <c r="B62" s="68" t="n">
        <v>2012</v>
      </c>
      <c r="C62" s="69">
        <f>COUNTIFS(tblVideos[Day],"&gt;="&amp;DATE($B62,1,1),tblVideos[Day],"&lt;"&amp;DATE($B62+1,1,1),tblVideos[Channel ID],Channels!$E$6)</f>
        <v/>
      </c>
      <c r="D62" s="69">
        <f>COUNTIFS(tblVideos[Day],"&gt;="&amp;DATE($B62,1,1),tblVideos[Day],"&lt;"&amp;DATE($B62+1,1,1),tblVideos[Channel ID],Channels!$E$7)</f>
        <v/>
      </c>
      <c r="E62" s="69">
        <f>COUNTIFS(tblVideos[Day],"&gt;="&amp;DATE($B62,1,1),tblVideos[Day],"&lt;"&amp;DATE($B62+1,1,1),tblVideos[Channel ID],Channels!$E$8)</f>
        <v/>
      </c>
      <c r="F62" s="69">
        <f>COUNTIFS(tblVideos[Day],"&gt;="&amp;DATE($B62,1,1),tblVideos[Day],"&lt;"&amp;DATE($B62+1,1,1),tblVideos[Channel ID],Channels!$E$9)</f>
        <v/>
      </c>
      <c r="G62" s="69">
        <f>COUNTIFS(tblVideos[Day],"&gt;="&amp;DATE($B62,1,1),tblVideos[Day],"&lt;"&amp;DATE($B62+1,1,1),tblVideos[Channel ID],Channels!$E$10)</f>
        <v/>
      </c>
      <c r="H62" s="69">
        <f>COUNTIFS(tblVideos[Day],"&gt;="&amp;DATE($B62,1,1),tblVideos[Day],"&lt;"&amp;DATE($B62+1,1,1),tblVideos[Channel ID],Channels!$E$11)</f>
        <v/>
      </c>
      <c r="I62" s="24">
        <f>SUM(C62:H62)</f>
        <v/>
      </c>
      <c r="J62" s="81">
        <f>SUMIFS(tblVideos[Length],tblVideos[Day],"&gt;="&amp;DATE($B62,1,1),tblVideos[Day],"&lt;"&amp;DATE($B62+1,1,1))*24</f>
        <v/>
      </c>
      <c r="K62" s="69">
        <f>COUNTIFS(tblVideos[Watched On],"&gt;="&amp;DATE($B62,1,1),tblVideos[Watched On],"&lt;"&amp;DATE($B62+1,1,1),tblVideos[Status],"Watched")</f>
        <v/>
      </c>
      <c r="L62" s="82">
        <f>SUMIFS(tblVideos[Length],tblVideos[Watched On],"&gt;="&amp;DATE($B62,1,1),tblVideos[Watched On],"&lt;"&amp;DATE($B62+1,1,1),tblVideos[Status],"Watched")*24</f>
        <v/>
      </c>
    </row>
    <row r="63">
      <c r="B63" s="68" t="n">
        <v>2013</v>
      </c>
      <c r="C63" s="69">
        <f>COUNTIFS(tblVideos[Day],"&gt;="&amp;DATE($B63,1,1),tblVideos[Day],"&lt;"&amp;DATE($B63+1,1,1),tblVideos[Channel ID],Channels!$E$6)</f>
        <v/>
      </c>
      <c r="D63" s="69">
        <f>COUNTIFS(tblVideos[Day],"&gt;="&amp;DATE($B63,1,1),tblVideos[Day],"&lt;"&amp;DATE($B63+1,1,1),tblVideos[Channel ID],Channels!$E$7)</f>
        <v/>
      </c>
      <c r="E63" s="69">
        <f>COUNTIFS(tblVideos[Day],"&gt;="&amp;DATE($B63,1,1),tblVideos[Day],"&lt;"&amp;DATE($B63+1,1,1),tblVideos[Channel ID],Channels!$E$8)</f>
        <v/>
      </c>
      <c r="F63" s="69">
        <f>COUNTIFS(tblVideos[Day],"&gt;="&amp;DATE($B63,1,1),tblVideos[Day],"&lt;"&amp;DATE($B63+1,1,1),tblVideos[Channel ID],Channels!$E$9)</f>
        <v/>
      </c>
      <c r="G63" s="69">
        <f>COUNTIFS(tblVideos[Day],"&gt;="&amp;DATE($B63,1,1),tblVideos[Day],"&lt;"&amp;DATE($B63+1,1,1),tblVideos[Channel ID],Channels!$E$10)</f>
        <v/>
      </c>
      <c r="H63" s="69">
        <f>COUNTIFS(tblVideos[Day],"&gt;="&amp;DATE($B63,1,1),tblVideos[Day],"&lt;"&amp;DATE($B63+1,1,1),tblVideos[Channel ID],Channels!$E$11)</f>
        <v/>
      </c>
      <c r="I63" s="24">
        <f>SUM(C63:H63)</f>
        <v/>
      </c>
      <c r="J63" s="81">
        <f>SUMIFS(tblVideos[Length],tblVideos[Day],"&gt;="&amp;DATE($B63,1,1),tblVideos[Day],"&lt;"&amp;DATE($B63+1,1,1))*24</f>
        <v/>
      </c>
      <c r="K63" s="69">
        <f>COUNTIFS(tblVideos[Watched On],"&gt;="&amp;DATE($B63,1,1),tblVideos[Watched On],"&lt;"&amp;DATE($B63+1,1,1),tblVideos[Status],"Watched")</f>
        <v/>
      </c>
      <c r="L63" s="82">
        <f>SUMIFS(tblVideos[Length],tblVideos[Watched On],"&gt;="&amp;DATE($B63,1,1),tblVideos[Watched On],"&lt;"&amp;DATE($B63+1,1,1),tblVideos[Status],"Watched")*24</f>
        <v/>
      </c>
    </row>
    <row r="64">
      <c r="B64" s="68" t="n">
        <v>2014</v>
      </c>
      <c r="C64" s="69">
        <f>COUNTIFS(tblVideos[Day],"&gt;="&amp;DATE($B64,1,1),tblVideos[Day],"&lt;"&amp;DATE($B64+1,1,1),tblVideos[Channel ID],Channels!$E$6)</f>
        <v/>
      </c>
      <c r="D64" s="69">
        <f>COUNTIFS(tblVideos[Day],"&gt;="&amp;DATE($B64,1,1),tblVideos[Day],"&lt;"&amp;DATE($B64+1,1,1),tblVideos[Channel ID],Channels!$E$7)</f>
        <v/>
      </c>
      <c r="E64" s="69">
        <f>COUNTIFS(tblVideos[Day],"&gt;="&amp;DATE($B64,1,1),tblVideos[Day],"&lt;"&amp;DATE($B64+1,1,1),tblVideos[Channel ID],Channels!$E$8)</f>
        <v/>
      </c>
      <c r="F64" s="69">
        <f>COUNTIFS(tblVideos[Day],"&gt;="&amp;DATE($B64,1,1),tblVideos[Day],"&lt;"&amp;DATE($B64+1,1,1),tblVideos[Channel ID],Channels!$E$9)</f>
        <v/>
      </c>
      <c r="G64" s="69">
        <f>COUNTIFS(tblVideos[Day],"&gt;="&amp;DATE($B64,1,1),tblVideos[Day],"&lt;"&amp;DATE($B64+1,1,1),tblVideos[Channel ID],Channels!$E$10)</f>
        <v/>
      </c>
      <c r="H64" s="69">
        <f>COUNTIFS(tblVideos[Day],"&gt;="&amp;DATE($B64,1,1),tblVideos[Day],"&lt;"&amp;DATE($B64+1,1,1),tblVideos[Channel ID],Channels!$E$11)</f>
        <v/>
      </c>
      <c r="I64" s="24">
        <f>SUM(C64:H64)</f>
        <v/>
      </c>
      <c r="J64" s="81">
        <f>SUMIFS(tblVideos[Length],tblVideos[Day],"&gt;="&amp;DATE($B64,1,1),tblVideos[Day],"&lt;"&amp;DATE($B64+1,1,1))*24</f>
        <v/>
      </c>
      <c r="K64" s="69">
        <f>COUNTIFS(tblVideos[Watched On],"&gt;="&amp;DATE($B64,1,1),tblVideos[Watched On],"&lt;"&amp;DATE($B64+1,1,1),tblVideos[Status],"Watched")</f>
        <v/>
      </c>
      <c r="L64" s="82">
        <f>SUMIFS(tblVideos[Length],tblVideos[Watched On],"&gt;="&amp;DATE($B64,1,1),tblVideos[Watched On],"&lt;"&amp;DATE($B64+1,1,1),tblVideos[Status],"Watched")*24</f>
        <v/>
      </c>
    </row>
    <row r="65">
      <c r="B65" s="68" t="n">
        <v>2015</v>
      </c>
      <c r="C65" s="69">
        <f>COUNTIFS(tblVideos[Day],"&gt;="&amp;DATE($B65,1,1),tblVideos[Day],"&lt;"&amp;DATE($B65+1,1,1),tblVideos[Channel ID],Channels!$E$6)</f>
        <v/>
      </c>
      <c r="D65" s="69">
        <f>COUNTIFS(tblVideos[Day],"&gt;="&amp;DATE($B65,1,1),tblVideos[Day],"&lt;"&amp;DATE($B65+1,1,1),tblVideos[Channel ID],Channels!$E$7)</f>
        <v/>
      </c>
      <c r="E65" s="69">
        <f>COUNTIFS(tblVideos[Day],"&gt;="&amp;DATE($B65,1,1),tblVideos[Day],"&lt;"&amp;DATE($B65+1,1,1),tblVideos[Channel ID],Channels!$E$8)</f>
        <v/>
      </c>
      <c r="F65" s="69">
        <f>COUNTIFS(tblVideos[Day],"&gt;="&amp;DATE($B65,1,1),tblVideos[Day],"&lt;"&amp;DATE($B65+1,1,1),tblVideos[Channel ID],Channels!$E$9)</f>
        <v/>
      </c>
      <c r="G65" s="69">
        <f>COUNTIFS(tblVideos[Day],"&gt;="&amp;DATE($B65,1,1),tblVideos[Day],"&lt;"&amp;DATE($B65+1,1,1),tblVideos[Channel ID],Channels!$E$10)</f>
        <v/>
      </c>
      <c r="H65" s="69">
        <f>COUNTIFS(tblVideos[Day],"&gt;="&amp;DATE($B65,1,1),tblVideos[Day],"&lt;"&amp;DATE($B65+1,1,1),tblVideos[Channel ID],Channels!$E$11)</f>
        <v/>
      </c>
      <c r="I65" s="24">
        <f>SUM(C65:H65)</f>
        <v/>
      </c>
      <c r="J65" s="81">
        <f>SUMIFS(tblVideos[Length],tblVideos[Day],"&gt;="&amp;DATE($B65,1,1),tblVideos[Day],"&lt;"&amp;DATE($B65+1,1,1))*24</f>
        <v/>
      </c>
      <c r="K65" s="69">
        <f>COUNTIFS(tblVideos[Watched On],"&gt;="&amp;DATE($B65,1,1),tblVideos[Watched On],"&lt;"&amp;DATE($B65+1,1,1),tblVideos[Status],"Watched")</f>
        <v/>
      </c>
      <c r="L65" s="82">
        <f>SUMIFS(tblVideos[Length],tblVideos[Watched On],"&gt;="&amp;DATE($B65,1,1),tblVideos[Watched On],"&lt;"&amp;DATE($B65+1,1,1),tblVideos[Status],"Watched")*24</f>
        <v/>
      </c>
    </row>
    <row r="66">
      <c r="B66" s="68" t="n">
        <v>2016</v>
      </c>
      <c r="C66" s="69">
        <f>COUNTIFS(tblVideos[Day],"&gt;="&amp;DATE($B66,1,1),tblVideos[Day],"&lt;"&amp;DATE($B66+1,1,1),tblVideos[Channel ID],Channels!$E$6)</f>
        <v/>
      </c>
      <c r="D66" s="69">
        <f>COUNTIFS(tblVideos[Day],"&gt;="&amp;DATE($B66,1,1),tblVideos[Day],"&lt;"&amp;DATE($B66+1,1,1),tblVideos[Channel ID],Channels!$E$7)</f>
        <v/>
      </c>
      <c r="E66" s="69">
        <f>COUNTIFS(tblVideos[Day],"&gt;="&amp;DATE($B66,1,1),tblVideos[Day],"&lt;"&amp;DATE($B66+1,1,1),tblVideos[Channel ID],Channels!$E$8)</f>
        <v/>
      </c>
      <c r="F66" s="69">
        <f>COUNTIFS(tblVideos[Day],"&gt;="&amp;DATE($B66,1,1),tblVideos[Day],"&lt;"&amp;DATE($B66+1,1,1),tblVideos[Channel ID],Channels!$E$9)</f>
        <v/>
      </c>
      <c r="G66" s="69">
        <f>COUNTIFS(tblVideos[Day],"&gt;="&amp;DATE($B66,1,1),tblVideos[Day],"&lt;"&amp;DATE($B66+1,1,1),tblVideos[Channel ID],Channels!$E$10)</f>
        <v/>
      </c>
      <c r="H66" s="69">
        <f>COUNTIFS(tblVideos[Day],"&gt;="&amp;DATE($B66,1,1),tblVideos[Day],"&lt;"&amp;DATE($B66+1,1,1),tblVideos[Channel ID],Channels!$E$11)</f>
        <v/>
      </c>
      <c r="I66" s="24">
        <f>SUM(C66:H66)</f>
        <v/>
      </c>
      <c r="J66" s="81">
        <f>SUMIFS(tblVideos[Length],tblVideos[Day],"&gt;="&amp;DATE($B66,1,1),tblVideos[Day],"&lt;"&amp;DATE($B66+1,1,1))*24</f>
        <v/>
      </c>
      <c r="K66" s="69">
        <f>COUNTIFS(tblVideos[Watched On],"&gt;="&amp;DATE($B66,1,1),tblVideos[Watched On],"&lt;"&amp;DATE($B66+1,1,1),tblVideos[Status],"Watched")</f>
        <v/>
      </c>
      <c r="L66" s="82">
        <f>SUMIFS(tblVideos[Length],tblVideos[Watched On],"&gt;="&amp;DATE($B66,1,1),tblVideos[Watched On],"&lt;"&amp;DATE($B66+1,1,1),tblVideos[Status],"Watched")*24</f>
        <v/>
      </c>
    </row>
    <row r="67">
      <c r="B67" s="68" t="n">
        <v>2017</v>
      </c>
      <c r="C67" s="69">
        <f>COUNTIFS(tblVideos[Day],"&gt;="&amp;DATE($B67,1,1),tblVideos[Day],"&lt;"&amp;DATE($B67+1,1,1),tblVideos[Channel ID],Channels!$E$6)</f>
        <v/>
      </c>
      <c r="D67" s="69">
        <f>COUNTIFS(tblVideos[Day],"&gt;="&amp;DATE($B67,1,1),tblVideos[Day],"&lt;"&amp;DATE($B67+1,1,1),tblVideos[Channel ID],Channels!$E$7)</f>
        <v/>
      </c>
      <c r="E67" s="69">
        <f>COUNTIFS(tblVideos[Day],"&gt;="&amp;DATE($B67,1,1),tblVideos[Day],"&lt;"&amp;DATE($B67+1,1,1),tblVideos[Channel ID],Channels!$E$8)</f>
        <v/>
      </c>
      <c r="F67" s="69">
        <f>COUNTIFS(tblVideos[Day],"&gt;="&amp;DATE($B67,1,1),tblVideos[Day],"&lt;"&amp;DATE($B67+1,1,1),tblVideos[Channel ID],Channels!$E$9)</f>
        <v/>
      </c>
      <c r="G67" s="69">
        <f>COUNTIFS(tblVideos[Day],"&gt;="&amp;DATE($B67,1,1),tblVideos[Day],"&lt;"&amp;DATE($B67+1,1,1),tblVideos[Channel ID],Channels!$E$10)</f>
        <v/>
      </c>
      <c r="H67" s="69">
        <f>COUNTIFS(tblVideos[Day],"&gt;="&amp;DATE($B67,1,1),tblVideos[Day],"&lt;"&amp;DATE($B67+1,1,1),tblVideos[Channel ID],Channels!$E$11)</f>
        <v/>
      </c>
      <c r="I67" s="24">
        <f>SUM(C67:H67)</f>
        <v/>
      </c>
      <c r="J67" s="81">
        <f>SUMIFS(tblVideos[Length],tblVideos[Day],"&gt;="&amp;DATE($B67,1,1),tblVideos[Day],"&lt;"&amp;DATE($B67+1,1,1))*24</f>
        <v/>
      </c>
      <c r="K67" s="69">
        <f>COUNTIFS(tblVideos[Watched On],"&gt;="&amp;DATE($B67,1,1),tblVideos[Watched On],"&lt;"&amp;DATE($B67+1,1,1),tblVideos[Status],"Watched")</f>
        <v/>
      </c>
      <c r="L67" s="82">
        <f>SUMIFS(tblVideos[Length],tblVideos[Watched On],"&gt;="&amp;DATE($B67,1,1),tblVideos[Watched On],"&lt;"&amp;DATE($B67+1,1,1),tblVideos[Status],"Watched")*24</f>
        <v/>
      </c>
    </row>
    <row r="68">
      <c r="B68" s="68" t="n">
        <v>2018</v>
      </c>
      <c r="C68" s="69">
        <f>COUNTIFS(tblVideos[Day],"&gt;="&amp;DATE($B68,1,1),tblVideos[Day],"&lt;"&amp;DATE($B68+1,1,1),tblVideos[Channel ID],Channels!$E$6)</f>
        <v/>
      </c>
      <c r="D68" s="69">
        <f>COUNTIFS(tblVideos[Day],"&gt;="&amp;DATE($B68,1,1),tblVideos[Day],"&lt;"&amp;DATE($B68+1,1,1),tblVideos[Channel ID],Channels!$E$7)</f>
        <v/>
      </c>
      <c r="E68" s="69">
        <f>COUNTIFS(tblVideos[Day],"&gt;="&amp;DATE($B68,1,1),tblVideos[Day],"&lt;"&amp;DATE($B68+1,1,1),tblVideos[Channel ID],Channels!$E$8)</f>
        <v/>
      </c>
      <c r="F68" s="69">
        <f>COUNTIFS(tblVideos[Day],"&gt;="&amp;DATE($B68,1,1),tblVideos[Day],"&lt;"&amp;DATE($B68+1,1,1),tblVideos[Channel ID],Channels!$E$9)</f>
        <v/>
      </c>
      <c r="G68" s="69">
        <f>COUNTIFS(tblVideos[Day],"&gt;="&amp;DATE($B68,1,1),tblVideos[Day],"&lt;"&amp;DATE($B68+1,1,1),tblVideos[Channel ID],Channels!$E$10)</f>
        <v/>
      </c>
      <c r="H68" s="69">
        <f>COUNTIFS(tblVideos[Day],"&gt;="&amp;DATE($B68,1,1),tblVideos[Day],"&lt;"&amp;DATE($B68+1,1,1),tblVideos[Channel ID],Channels!$E$11)</f>
        <v/>
      </c>
      <c r="I68" s="24">
        <f>SUM(C68:H68)</f>
        <v/>
      </c>
      <c r="J68" s="81">
        <f>SUMIFS(tblVideos[Length],tblVideos[Day],"&gt;="&amp;DATE($B68,1,1),tblVideos[Day],"&lt;"&amp;DATE($B68+1,1,1))*24</f>
        <v/>
      </c>
      <c r="K68" s="69">
        <f>COUNTIFS(tblVideos[Watched On],"&gt;="&amp;DATE($B68,1,1),tblVideos[Watched On],"&lt;"&amp;DATE($B68+1,1,1),tblVideos[Status],"Watched")</f>
        <v/>
      </c>
      <c r="L68" s="82">
        <f>SUMIFS(tblVideos[Length],tblVideos[Watched On],"&gt;="&amp;DATE($B68,1,1),tblVideos[Watched On],"&lt;"&amp;DATE($B68+1,1,1),tblVideos[Status],"Watched")*24</f>
        <v/>
      </c>
    </row>
    <row r="69">
      <c r="B69" s="68" t="n">
        <v>2019</v>
      </c>
      <c r="C69" s="69">
        <f>COUNTIFS(tblVideos[Day],"&gt;="&amp;DATE($B69,1,1),tblVideos[Day],"&lt;"&amp;DATE($B69+1,1,1),tblVideos[Channel ID],Channels!$E$6)</f>
        <v/>
      </c>
      <c r="D69" s="69">
        <f>COUNTIFS(tblVideos[Day],"&gt;="&amp;DATE($B69,1,1),tblVideos[Day],"&lt;"&amp;DATE($B69+1,1,1),tblVideos[Channel ID],Channels!$E$7)</f>
        <v/>
      </c>
      <c r="E69" s="69">
        <f>COUNTIFS(tblVideos[Day],"&gt;="&amp;DATE($B69,1,1),tblVideos[Day],"&lt;"&amp;DATE($B69+1,1,1),tblVideos[Channel ID],Channels!$E$8)</f>
        <v/>
      </c>
      <c r="F69" s="69">
        <f>COUNTIFS(tblVideos[Day],"&gt;="&amp;DATE($B69,1,1),tblVideos[Day],"&lt;"&amp;DATE($B69+1,1,1),tblVideos[Channel ID],Channels!$E$9)</f>
        <v/>
      </c>
      <c r="G69" s="69">
        <f>COUNTIFS(tblVideos[Day],"&gt;="&amp;DATE($B69,1,1),tblVideos[Day],"&lt;"&amp;DATE($B69+1,1,1),tblVideos[Channel ID],Channels!$E$10)</f>
        <v/>
      </c>
      <c r="H69" s="69">
        <f>COUNTIFS(tblVideos[Day],"&gt;="&amp;DATE($B69,1,1),tblVideos[Day],"&lt;"&amp;DATE($B69+1,1,1),tblVideos[Channel ID],Channels!$E$11)</f>
        <v/>
      </c>
      <c r="I69" s="24">
        <f>SUM(C69:H69)</f>
        <v/>
      </c>
      <c r="J69" s="81">
        <f>SUMIFS(tblVideos[Length],tblVideos[Day],"&gt;="&amp;DATE($B69,1,1),tblVideos[Day],"&lt;"&amp;DATE($B69+1,1,1))*24</f>
        <v/>
      </c>
      <c r="K69" s="69">
        <f>COUNTIFS(tblVideos[Watched On],"&gt;="&amp;DATE($B69,1,1),tblVideos[Watched On],"&lt;"&amp;DATE($B69+1,1,1),tblVideos[Status],"Watched")</f>
        <v/>
      </c>
      <c r="L69" s="82">
        <f>SUMIFS(tblVideos[Length],tblVideos[Watched On],"&gt;="&amp;DATE($B69,1,1),tblVideos[Watched On],"&lt;"&amp;DATE($B69+1,1,1),tblVideos[Status],"Watched")*24</f>
        <v/>
      </c>
    </row>
    <row r="70">
      <c r="B70" s="68" t="n">
        <v>2020</v>
      </c>
      <c r="C70" s="69">
        <f>COUNTIFS(tblVideos[Day],"&gt;="&amp;DATE($B70,1,1),tblVideos[Day],"&lt;"&amp;DATE($B70+1,1,1),tblVideos[Channel ID],Channels!$E$6)</f>
        <v/>
      </c>
      <c r="D70" s="69">
        <f>COUNTIFS(tblVideos[Day],"&gt;="&amp;DATE($B70,1,1),tblVideos[Day],"&lt;"&amp;DATE($B70+1,1,1),tblVideos[Channel ID],Channels!$E$7)</f>
        <v/>
      </c>
      <c r="E70" s="69">
        <f>COUNTIFS(tblVideos[Day],"&gt;="&amp;DATE($B70,1,1),tblVideos[Day],"&lt;"&amp;DATE($B70+1,1,1),tblVideos[Channel ID],Channels!$E$8)</f>
        <v/>
      </c>
      <c r="F70" s="69">
        <f>COUNTIFS(tblVideos[Day],"&gt;="&amp;DATE($B70,1,1),tblVideos[Day],"&lt;"&amp;DATE($B70+1,1,1),tblVideos[Channel ID],Channels!$E$9)</f>
        <v/>
      </c>
      <c r="G70" s="69">
        <f>COUNTIFS(tblVideos[Day],"&gt;="&amp;DATE($B70,1,1),tblVideos[Day],"&lt;"&amp;DATE($B70+1,1,1),tblVideos[Channel ID],Channels!$E$10)</f>
        <v/>
      </c>
      <c r="H70" s="69">
        <f>COUNTIFS(tblVideos[Day],"&gt;="&amp;DATE($B70,1,1),tblVideos[Day],"&lt;"&amp;DATE($B70+1,1,1),tblVideos[Channel ID],Channels!$E$11)</f>
        <v/>
      </c>
      <c r="I70" s="24">
        <f>SUM(C70:H70)</f>
        <v/>
      </c>
      <c r="J70" s="81">
        <f>SUMIFS(tblVideos[Length],tblVideos[Day],"&gt;="&amp;DATE($B70,1,1),tblVideos[Day],"&lt;"&amp;DATE($B70+1,1,1))*24</f>
        <v/>
      </c>
      <c r="K70" s="69">
        <f>COUNTIFS(tblVideos[Watched On],"&gt;="&amp;DATE($B70,1,1),tblVideos[Watched On],"&lt;"&amp;DATE($B70+1,1,1),tblVideos[Status],"Watched")</f>
        <v/>
      </c>
      <c r="L70" s="82">
        <f>SUMIFS(tblVideos[Length],tblVideos[Watched On],"&gt;="&amp;DATE($B70,1,1),tblVideos[Watched On],"&lt;"&amp;DATE($B70+1,1,1),tblVideos[Status],"Watched")*24</f>
        <v/>
      </c>
    </row>
    <row r="71">
      <c r="B71" s="68" t="n">
        <v>2021</v>
      </c>
      <c r="C71" s="69">
        <f>COUNTIFS(tblVideos[Day],"&gt;="&amp;DATE($B71,1,1),tblVideos[Day],"&lt;"&amp;DATE($B71+1,1,1),tblVideos[Channel ID],Channels!$E$6)</f>
        <v/>
      </c>
      <c r="D71" s="69">
        <f>COUNTIFS(tblVideos[Day],"&gt;="&amp;DATE($B71,1,1),tblVideos[Day],"&lt;"&amp;DATE($B71+1,1,1),tblVideos[Channel ID],Channels!$E$7)</f>
        <v/>
      </c>
      <c r="E71" s="69">
        <f>COUNTIFS(tblVideos[Day],"&gt;="&amp;DATE($B71,1,1),tblVideos[Day],"&lt;"&amp;DATE($B71+1,1,1),tblVideos[Channel ID],Channels!$E$8)</f>
        <v/>
      </c>
      <c r="F71" s="69">
        <f>COUNTIFS(tblVideos[Day],"&gt;="&amp;DATE($B71,1,1),tblVideos[Day],"&lt;"&amp;DATE($B71+1,1,1),tblVideos[Channel ID],Channels!$E$9)</f>
        <v/>
      </c>
      <c r="G71" s="69">
        <f>COUNTIFS(tblVideos[Day],"&gt;="&amp;DATE($B71,1,1),tblVideos[Day],"&lt;"&amp;DATE($B71+1,1,1),tblVideos[Channel ID],Channels!$E$10)</f>
        <v/>
      </c>
      <c r="H71" s="69">
        <f>COUNTIFS(tblVideos[Day],"&gt;="&amp;DATE($B71,1,1),tblVideos[Day],"&lt;"&amp;DATE($B71+1,1,1),tblVideos[Channel ID],Channels!$E$11)</f>
        <v/>
      </c>
      <c r="I71" s="24">
        <f>SUM(C71:H71)</f>
        <v/>
      </c>
      <c r="J71" s="81">
        <f>SUMIFS(tblVideos[Length],tblVideos[Day],"&gt;="&amp;DATE($B71,1,1),tblVideos[Day],"&lt;"&amp;DATE($B71+1,1,1))*24</f>
        <v/>
      </c>
      <c r="K71" s="69">
        <f>COUNTIFS(tblVideos[Watched On],"&gt;="&amp;DATE($B71,1,1),tblVideos[Watched On],"&lt;"&amp;DATE($B71+1,1,1),tblVideos[Status],"Watched")</f>
        <v/>
      </c>
      <c r="L71" s="82">
        <f>SUMIFS(tblVideos[Length],tblVideos[Watched On],"&gt;="&amp;DATE($B71,1,1),tblVideos[Watched On],"&lt;"&amp;DATE($B71+1,1,1),tblVideos[Status],"Watched")*24</f>
        <v/>
      </c>
    </row>
    <row r="72">
      <c r="B72" s="68" t="n">
        <v>2022</v>
      </c>
      <c r="C72" s="69">
        <f>COUNTIFS(tblVideos[Day],"&gt;="&amp;DATE($B72,1,1),tblVideos[Day],"&lt;"&amp;DATE($B72+1,1,1),tblVideos[Channel ID],Channels!$E$6)</f>
        <v/>
      </c>
      <c r="D72" s="69">
        <f>COUNTIFS(tblVideos[Day],"&gt;="&amp;DATE($B72,1,1),tblVideos[Day],"&lt;"&amp;DATE($B72+1,1,1),tblVideos[Channel ID],Channels!$E$7)</f>
        <v/>
      </c>
      <c r="E72" s="69">
        <f>COUNTIFS(tblVideos[Day],"&gt;="&amp;DATE($B72,1,1),tblVideos[Day],"&lt;"&amp;DATE($B72+1,1,1),tblVideos[Channel ID],Channels!$E$8)</f>
        <v/>
      </c>
      <c r="F72" s="69">
        <f>COUNTIFS(tblVideos[Day],"&gt;="&amp;DATE($B72,1,1),tblVideos[Day],"&lt;"&amp;DATE($B72+1,1,1),tblVideos[Channel ID],Channels!$E$9)</f>
        <v/>
      </c>
      <c r="G72" s="69">
        <f>COUNTIFS(tblVideos[Day],"&gt;="&amp;DATE($B72,1,1),tblVideos[Day],"&lt;"&amp;DATE($B72+1,1,1),tblVideos[Channel ID],Channels!$E$10)</f>
        <v/>
      </c>
      <c r="H72" s="69">
        <f>COUNTIFS(tblVideos[Day],"&gt;="&amp;DATE($B72,1,1),tblVideos[Day],"&lt;"&amp;DATE($B72+1,1,1),tblVideos[Channel ID],Channels!$E$11)</f>
        <v/>
      </c>
      <c r="I72" s="24">
        <f>SUM(C72:H72)</f>
        <v/>
      </c>
      <c r="J72" s="81">
        <f>SUMIFS(tblVideos[Length],tblVideos[Day],"&gt;="&amp;DATE($B72,1,1),tblVideos[Day],"&lt;"&amp;DATE($B72+1,1,1))*24</f>
        <v/>
      </c>
      <c r="K72" s="69">
        <f>COUNTIFS(tblVideos[Watched On],"&gt;="&amp;DATE($B72,1,1),tblVideos[Watched On],"&lt;"&amp;DATE($B72+1,1,1),tblVideos[Status],"Watched")</f>
        <v/>
      </c>
      <c r="L72" s="82">
        <f>SUMIFS(tblVideos[Length],tblVideos[Watched On],"&gt;="&amp;DATE($B72,1,1),tblVideos[Watched On],"&lt;"&amp;DATE($B72+1,1,1),tblVideos[Status],"Watched")*24</f>
        <v/>
      </c>
    </row>
    <row r="73">
      <c r="B73" s="68" t="n">
        <v>2023</v>
      </c>
      <c r="C73" s="69">
        <f>COUNTIFS(tblVideos[Day],"&gt;="&amp;DATE($B73,1,1),tblVideos[Day],"&lt;"&amp;DATE($B73+1,1,1),tblVideos[Channel ID],Channels!$E$6)</f>
        <v/>
      </c>
      <c r="D73" s="69">
        <f>COUNTIFS(tblVideos[Day],"&gt;="&amp;DATE($B73,1,1),tblVideos[Day],"&lt;"&amp;DATE($B73+1,1,1),tblVideos[Channel ID],Channels!$E$7)</f>
        <v/>
      </c>
      <c r="E73" s="69">
        <f>COUNTIFS(tblVideos[Day],"&gt;="&amp;DATE($B73,1,1),tblVideos[Day],"&lt;"&amp;DATE($B73+1,1,1),tblVideos[Channel ID],Channels!$E$8)</f>
        <v/>
      </c>
      <c r="F73" s="69">
        <f>COUNTIFS(tblVideos[Day],"&gt;="&amp;DATE($B73,1,1),tblVideos[Day],"&lt;"&amp;DATE($B73+1,1,1),tblVideos[Channel ID],Channels!$E$9)</f>
        <v/>
      </c>
      <c r="G73" s="69">
        <f>COUNTIFS(tblVideos[Day],"&gt;="&amp;DATE($B73,1,1),tblVideos[Day],"&lt;"&amp;DATE($B73+1,1,1),tblVideos[Channel ID],Channels!$E$10)</f>
        <v/>
      </c>
      <c r="H73" s="69">
        <f>COUNTIFS(tblVideos[Day],"&gt;="&amp;DATE($B73,1,1),tblVideos[Day],"&lt;"&amp;DATE($B73+1,1,1),tblVideos[Channel ID],Channels!$E$11)</f>
        <v/>
      </c>
      <c r="I73" s="24">
        <f>SUM(C73:H73)</f>
        <v/>
      </c>
      <c r="J73" s="81">
        <f>SUMIFS(tblVideos[Length],tblVideos[Day],"&gt;="&amp;DATE($B73,1,1),tblVideos[Day],"&lt;"&amp;DATE($B73+1,1,1))*24</f>
        <v/>
      </c>
      <c r="K73" s="69">
        <f>COUNTIFS(tblVideos[Watched On],"&gt;="&amp;DATE($B73,1,1),tblVideos[Watched On],"&lt;"&amp;DATE($B73+1,1,1),tblVideos[Status],"Watched")</f>
        <v/>
      </c>
      <c r="L73" s="82">
        <f>SUMIFS(tblVideos[Length],tblVideos[Watched On],"&gt;="&amp;DATE($B73,1,1),tblVideos[Watched On],"&lt;"&amp;DATE($B73+1,1,1),tblVideos[Status],"Watched")*24</f>
        <v/>
      </c>
    </row>
    <row r="74">
      <c r="B74" s="68" t="n">
        <v>2024</v>
      </c>
      <c r="C74" s="69">
        <f>COUNTIFS(tblVideos[Day],"&gt;="&amp;DATE($B74,1,1),tblVideos[Day],"&lt;"&amp;DATE($B74+1,1,1),tblVideos[Channel ID],Channels!$E$6)</f>
        <v/>
      </c>
      <c r="D74" s="69">
        <f>COUNTIFS(tblVideos[Day],"&gt;="&amp;DATE($B74,1,1),tblVideos[Day],"&lt;"&amp;DATE($B74+1,1,1),tblVideos[Channel ID],Channels!$E$7)</f>
        <v/>
      </c>
      <c r="E74" s="69">
        <f>COUNTIFS(tblVideos[Day],"&gt;="&amp;DATE($B74,1,1),tblVideos[Day],"&lt;"&amp;DATE($B74+1,1,1),tblVideos[Channel ID],Channels!$E$8)</f>
        <v/>
      </c>
      <c r="F74" s="69">
        <f>COUNTIFS(tblVideos[Day],"&gt;="&amp;DATE($B74,1,1),tblVideos[Day],"&lt;"&amp;DATE($B74+1,1,1),tblVideos[Channel ID],Channels!$E$9)</f>
        <v/>
      </c>
      <c r="G74" s="69">
        <f>COUNTIFS(tblVideos[Day],"&gt;="&amp;DATE($B74,1,1),tblVideos[Day],"&lt;"&amp;DATE($B74+1,1,1),tblVideos[Channel ID],Channels!$E$10)</f>
        <v/>
      </c>
      <c r="H74" s="69">
        <f>COUNTIFS(tblVideos[Day],"&gt;="&amp;DATE($B74,1,1),tblVideos[Day],"&lt;"&amp;DATE($B74+1,1,1),tblVideos[Channel ID],Channels!$E$11)</f>
        <v/>
      </c>
      <c r="I74" s="24">
        <f>SUM(C74:H74)</f>
        <v/>
      </c>
      <c r="J74" s="81">
        <f>SUMIFS(tblVideos[Length],tblVideos[Day],"&gt;="&amp;DATE($B74,1,1),tblVideos[Day],"&lt;"&amp;DATE($B74+1,1,1))*24</f>
        <v/>
      </c>
      <c r="K74" s="69">
        <f>COUNTIFS(tblVideos[Watched On],"&gt;="&amp;DATE($B74,1,1),tblVideos[Watched On],"&lt;"&amp;DATE($B74+1,1,1),tblVideos[Status],"Watched")</f>
        <v/>
      </c>
      <c r="L74" s="82">
        <f>SUMIFS(tblVideos[Length],tblVideos[Watched On],"&gt;="&amp;DATE($B74,1,1),tblVideos[Watched On],"&lt;"&amp;DATE($B74+1,1,1),tblVideos[Status],"Watched")*24</f>
        <v/>
      </c>
    </row>
    <row r="75">
      <c r="B75" s="68" t="n">
        <v>2025</v>
      </c>
      <c r="C75" s="69">
        <f>COUNTIFS(tblVideos[Day],"&gt;="&amp;DATE($B75,1,1),tblVideos[Day],"&lt;"&amp;DATE($B75+1,1,1),tblVideos[Channel ID],Channels!$E$6)</f>
        <v/>
      </c>
      <c r="D75" s="69">
        <f>COUNTIFS(tblVideos[Day],"&gt;="&amp;DATE($B75,1,1),tblVideos[Day],"&lt;"&amp;DATE($B75+1,1,1),tblVideos[Channel ID],Channels!$E$7)</f>
        <v/>
      </c>
      <c r="E75" s="69">
        <f>COUNTIFS(tblVideos[Day],"&gt;="&amp;DATE($B75,1,1),tblVideos[Day],"&lt;"&amp;DATE($B75+1,1,1),tblVideos[Channel ID],Channels!$E$8)</f>
        <v/>
      </c>
      <c r="F75" s="69">
        <f>COUNTIFS(tblVideos[Day],"&gt;="&amp;DATE($B75,1,1),tblVideos[Day],"&lt;"&amp;DATE($B75+1,1,1),tblVideos[Channel ID],Channels!$E$9)</f>
        <v/>
      </c>
      <c r="G75" s="69">
        <f>COUNTIFS(tblVideos[Day],"&gt;="&amp;DATE($B75,1,1),tblVideos[Day],"&lt;"&amp;DATE($B75+1,1,1),tblVideos[Channel ID],Channels!$E$10)</f>
        <v/>
      </c>
      <c r="H75" s="69">
        <f>COUNTIFS(tblVideos[Day],"&gt;="&amp;DATE($B75,1,1),tblVideos[Day],"&lt;"&amp;DATE($B75+1,1,1),tblVideos[Channel ID],Channels!$E$11)</f>
        <v/>
      </c>
      <c r="I75" s="24">
        <f>SUM(C75:H75)</f>
        <v/>
      </c>
      <c r="J75" s="81">
        <f>SUMIFS(tblVideos[Length],tblVideos[Day],"&gt;="&amp;DATE($B75,1,1),tblVideos[Day],"&lt;"&amp;DATE($B75+1,1,1))*24</f>
        <v/>
      </c>
      <c r="K75" s="69">
        <f>COUNTIFS(tblVideos[Watched On],"&gt;="&amp;DATE($B75,1,1),tblVideos[Watched On],"&lt;"&amp;DATE($B75+1,1,1),tblVideos[Status],"Watched")</f>
        <v/>
      </c>
      <c r="L75" s="82">
        <f>SUMIFS(tblVideos[Length],tblVideos[Watched On],"&gt;="&amp;DATE($B75,1,1),tblVideos[Watched On],"&lt;"&amp;DATE($B75+1,1,1),tblVideos[Status],"Watched")*24</f>
        <v/>
      </c>
    </row>
    <row r="76">
      <c r="B76" s="68" t="n">
        <v>2026</v>
      </c>
      <c r="C76" s="69">
        <f>COUNTIFS(tblVideos[Day],"&gt;="&amp;DATE($B76,1,1),tblVideos[Day],"&lt;"&amp;DATE($B76+1,1,1),tblVideos[Channel ID],Channels!$E$6)</f>
        <v/>
      </c>
      <c r="D76" s="69">
        <f>COUNTIFS(tblVideos[Day],"&gt;="&amp;DATE($B76,1,1),tblVideos[Day],"&lt;"&amp;DATE($B76+1,1,1),tblVideos[Channel ID],Channels!$E$7)</f>
        <v/>
      </c>
      <c r="E76" s="69">
        <f>COUNTIFS(tblVideos[Day],"&gt;="&amp;DATE($B76,1,1),tblVideos[Day],"&lt;"&amp;DATE($B76+1,1,1),tblVideos[Channel ID],Channels!$E$8)</f>
        <v/>
      </c>
      <c r="F76" s="69">
        <f>COUNTIFS(tblVideos[Day],"&gt;="&amp;DATE($B76,1,1),tblVideos[Day],"&lt;"&amp;DATE($B76+1,1,1),tblVideos[Channel ID],Channels!$E$9)</f>
        <v/>
      </c>
      <c r="G76" s="69">
        <f>COUNTIFS(tblVideos[Day],"&gt;="&amp;DATE($B76,1,1),tblVideos[Day],"&lt;"&amp;DATE($B76+1,1,1),tblVideos[Channel ID],Channels!$E$10)</f>
        <v/>
      </c>
      <c r="H76" s="69">
        <f>COUNTIFS(tblVideos[Day],"&gt;="&amp;DATE($B76,1,1),tblVideos[Day],"&lt;"&amp;DATE($B76+1,1,1),tblVideos[Channel ID],Channels!$E$11)</f>
        <v/>
      </c>
      <c r="I76" s="24">
        <f>SUM(C76:H76)</f>
        <v/>
      </c>
      <c r="J76" s="81">
        <f>SUMIFS(tblVideos[Length],tblVideos[Day],"&gt;="&amp;DATE($B76,1,1),tblVideos[Day],"&lt;"&amp;DATE($B76+1,1,1))*24</f>
        <v/>
      </c>
      <c r="K76" s="69">
        <f>COUNTIFS(tblVideos[Watched On],"&gt;="&amp;DATE($B76,1,1),tblVideos[Watched On],"&lt;"&amp;DATE($B76+1,1,1),tblVideos[Status],"Watched")</f>
        <v/>
      </c>
      <c r="L76" s="82">
        <f>SUMIFS(tblVideos[Length],tblVideos[Watched On],"&gt;="&amp;DATE($B76,1,1),tblVideos[Watched On],"&lt;"&amp;DATE($B76+1,1,1),tblVideos[Status],"Watched")*24</f>
        <v/>
      </c>
    </row>
    <row r="96" ht="20" customHeight="1">
      <c r="B96" s="9" t="inlineStr">
        <is>
          <t>Month-by-month timeline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</row>
    <row r="134" ht="46" customHeight="1">
      <c r="B134" s="11" t="inlineStr">
        <is>
          <t>Month</t>
        </is>
      </c>
      <c r="C134" s="71">
        <f>Channels!$C$6</f>
        <v/>
      </c>
      <c r="D134" s="72">
        <f>Channels!$C$7</f>
        <v/>
      </c>
      <c r="E134" s="73">
        <f>Channels!$C$8</f>
        <v/>
      </c>
      <c r="F134" s="74">
        <f>Channels!$C$9</f>
        <v/>
      </c>
      <c r="G134" s="75">
        <f>Channels!$C$10</f>
        <v/>
      </c>
      <c r="H134" s="76">
        <f>Channels!$C$11</f>
        <v/>
      </c>
      <c r="I134" s="11" t="inlineStr">
        <is>
          <t>Total</t>
        </is>
      </c>
      <c r="J134" s="11" t="inlineStr">
        <is>
          <t>Hours uploaded</t>
        </is>
      </c>
      <c r="K134" s="11" t="inlineStr">
        <is>
          <t>Watched (dated)</t>
        </is>
      </c>
      <c r="L134" s="11" t="inlineStr">
        <is>
          <t>Hours watched (dated)</t>
        </is>
      </c>
      <c r="M134" s="11" t="inlineStr">
        <is>
          <t>Activity</t>
        </is>
      </c>
    </row>
    <row r="135">
      <c r="B135" s="83" t="n">
        <v>41030</v>
      </c>
      <c r="C135" s="69">
        <f>COUNTIFS(tblVideos[Day],"&gt;="&amp;$B135,tblVideos[Day],"&lt;"&amp;EDATE($B135,1),tblVideos[Channel ID],Channels!$E$6)</f>
        <v/>
      </c>
      <c r="D135" s="69">
        <f>COUNTIFS(tblVideos[Day],"&gt;="&amp;$B135,tblVideos[Day],"&lt;"&amp;EDATE($B135,1),tblVideos[Channel ID],Channels!$E$7)</f>
        <v/>
      </c>
      <c r="E135" s="69">
        <f>COUNTIFS(tblVideos[Day],"&gt;="&amp;$B135,tblVideos[Day],"&lt;"&amp;EDATE($B135,1),tblVideos[Channel ID],Channels!$E$8)</f>
        <v/>
      </c>
      <c r="F135" s="69">
        <f>COUNTIFS(tblVideos[Day],"&gt;="&amp;$B135,tblVideos[Day],"&lt;"&amp;EDATE($B135,1),tblVideos[Channel ID],Channels!$E$9)</f>
        <v/>
      </c>
      <c r="G135" s="69">
        <f>COUNTIFS(tblVideos[Day],"&gt;="&amp;$B135,tblVideos[Day],"&lt;"&amp;EDATE($B135,1),tblVideos[Channel ID],Channels!$E$10)</f>
        <v/>
      </c>
      <c r="H135" s="69">
        <f>COUNTIFS(tblVideos[Day],"&gt;="&amp;$B135,tblVideos[Day],"&lt;"&amp;EDATE($B135,1),tblVideos[Channel ID],Channels!$E$11)</f>
        <v/>
      </c>
      <c r="I135" s="78">
        <f>SUM(C135:H135)</f>
        <v/>
      </c>
      <c r="J135" s="79">
        <f>SUMIFS(tblVideos[Length],tblVideos[Day],"&gt;="&amp;$B135,tblVideos[Day],"&lt;"&amp;EDATE($B135,1))*24</f>
        <v/>
      </c>
      <c r="K135" s="69">
        <f>COUNTIFS(tblVideos[Watched On],"&gt;="&amp;$B135,tblVideos[Watched On],"&lt;"&amp;EDATE($B135,1),tblVideos[Status],"Watched")</f>
        <v/>
      </c>
      <c r="L135" s="79">
        <f>SUMIFS(tblVideos[Length],tblVideos[Watched On],"&gt;="&amp;$B135,tblVideos[Watched On],"&lt;"&amp;EDATE($B135,1),tblVideos[Status],"Watched")*24</f>
        <v/>
      </c>
      <c r="M135" s="84">
        <f>IF(I135=0,"Gap",IF(I135&gt;AVERAGE($I$135:$I$308)+2*STDEV($I$135:$I$308),"High",""))</f>
        <v/>
      </c>
    </row>
    <row r="136">
      <c r="B136" s="83" t="n">
        <v>41061</v>
      </c>
      <c r="C136" s="69">
        <f>COUNTIFS(tblVideos[Day],"&gt;="&amp;$B136,tblVideos[Day],"&lt;"&amp;EDATE($B136,1),tblVideos[Channel ID],Channels!$E$6)</f>
        <v/>
      </c>
      <c r="D136" s="69">
        <f>COUNTIFS(tblVideos[Day],"&gt;="&amp;$B136,tblVideos[Day],"&lt;"&amp;EDATE($B136,1),tblVideos[Channel ID],Channels!$E$7)</f>
        <v/>
      </c>
      <c r="E136" s="69">
        <f>COUNTIFS(tblVideos[Day],"&gt;="&amp;$B136,tblVideos[Day],"&lt;"&amp;EDATE($B136,1),tblVideos[Channel ID],Channels!$E$8)</f>
        <v/>
      </c>
      <c r="F136" s="69">
        <f>COUNTIFS(tblVideos[Day],"&gt;="&amp;$B136,tblVideos[Day],"&lt;"&amp;EDATE($B136,1),tblVideos[Channel ID],Channels!$E$9)</f>
        <v/>
      </c>
      <c r="G136" s="69">
        <f>COUNTIFS(tblVideos[Day],"&gt;="&amp;$B136,tblVideos[Day],"&lt;"&amp;EDATE($B136,1),tblVideos[Channel ID],Channels!$E$10)</f>
        <v/>
      </c>
      <c r="H136" s="69">
        <f>COUNTIFS(tblVideos[Day],"&gt;="&amp;$B136,tblVideos[Day],"&lt;"&amp;EDATE($B136,1),tblVideos[Channel ID],Channels!$E$11)</f>
        <v/>
      </c>
      <c r="I136" s="78">
        <f>SUM(C136:H136)</f>
        <v/>
      </c>
      <c r="J136" s="79">
        <f>SUMIFS(tblVideos[Length],tblVideos[Day],"&gt;="&amp;$B136,tblVideos[Day],"&lt;"&amp;EDATE($B136,1))*24</f>
        <v/>
      </c>
      <c r="K136" s="69">
        <f>COUNTIFS(tblVideos[Watched On],"&gt;="&amp;$B136,tblVideos[Watched On],"&lt;"&amp;EDATE($B136,1),tblVideos[Status],"Watched")</f>
        <v/>
      </c>
      <c r="L136" s="79">
        <f>SUMIFS(tblVideos[Length],tblVideos[Watched On],"&gt;="&amp;$B136,tblVideos[Watched On],"&lt;"&amp;EDATE($B136,1),tblVideos[Status],"Watched")*24</f>
        <v/>
      </c>
      <c r="M136" s="84">
        <f>IF(I136=0,"Gap",IF(I136&gt;AVERAGE($I$135:$I$308)+2*STDEV($I$135:$I$308),"High",""))</f>
        <v/>
      </c>
    </row>
    <row r="137">
      <c r="B137" s="83" t="n">
        <v>41091</v>
      </c>
      <c r="C137" s="69">
        <f>COUNTIFS(tblVideos[Day],"&gt;="&amp;$B137,tblVideos[Day],"&lt;"&amp;EDATE($B137,1),tblVideos[Channel ID],Channels!$E$6)</f>
        <v/>
      </c>
      <c r="D137" s="69">
        <f>COUNTIFS(tblVideos[Day],"&gt;="&amp;$B137,tblVideos[Day],"&lt;"&amp;EDATE($B137,1),tblVideos[Channel ID],Channels!$E$7)</f>
        <v/>
      </c>
      <c r="E137" s="69">
        <f>COUNTIFS(tblVideos[Day],"&gt;="&amp;$B137,tblVideos[Day],"&lt;"&amp;EDATE($B137,1),tblVideos[Channel ID],Channels!$E$8)</f>
        <v/>
      </c>
      <c r="F137" s="69">
        <f>COUNTIFS(tblVideos[Day],"&gt;="&amp;$B137,tblVideos[Day],"&lt;"&amp;EDATE($B137,1),tblVideos[Channel ID],Channels!$E$9)</f>
        <v/>
      </c>
      <c r="G137" s="69">
        <f>COUNTIFS(tblVideos[Day],"&gt;="&amp;$B137,tblVideos[Day],"&lt;"&amp;EDATE($B137,1),tblVideos[Channel ID],Channels!$E$10)</f>
        <v/>
      </c>
      <c r="H137" s="69">
        <f>COUNTIFS(tblVideos[Day],"&gt;="&amp;$B137,tblVideos[Day],"&lt;"&amp;EDATE($B137,1),tblVideos[Channel ID],Channels!$E$11)</f>
        <v/>
      </c>
      <c r="I137" s="78">
        <f>SUM(C137:H137)</f>
        <v/>
      </c>
      <c r="J137" s="79">
        <f>SUMIFS(tblVideos[Length],tblVideos[Day],"&gt;="&amp;$B137,tblVideos[Day],"&lt;"&amp;EDATE($B137,1))*24</f>
        <v/>
      </c>
      <c r="K137" s="69">
        <f>COUNTIFS(tblVideos[Watched On],"&gt;="&amp;$B137,tblVideos[Watched On],"&lt;"&amp;EDATE($B137,1),tblVideos[Status],"Watched")</f>
        <v/>
      </c>
      <c r="L137" s="79">
        <f>SUMIFS(tblVideos[Length],tblVideos[Watched On],"&gt;="&amp;$B137,tblVideos[Watched On],"&lt;"&amp;EDATE($B137,1),tblVideos[Status],"Watched")*24</f>
        <v/>
      </c>
      <c r="M137" s="84">
        <f>IF(I137=0,"Gap",IF(I137&gt;AVERAGE($I$135:$I$308)+2*STDEV($I$135:$I$308),"High",""))</f>
        <v/>
      </c>
    </row>
    <row r="138">
      <c r="B138" s="83" t="n">
        <v>41122</v>
      </c>
      <c r="C138" s="69">
        <f>COUNTIFS(tblVideos[Day],"&gt;="&amp;$B138,tblVideos[Day],"&lt;"&amp;EDATE($B138,1),tblVideos[Channel ID],Channels!$E$6)</f>
        <v/>
      </c>
      <c r="D138" s="69">
        <f>COUNTIFS(tblVideos[Day],"&gt;="&amp;$B138,tblVideos[Day],"&lt;"&amp;EDATE($B138,1),tblVideos[Channel ID],Channels!$E$7)</f>
        <v/>
      </c>
      <c r="E138" s="69">
        <f>COUNTIFS(tblVideos[Day],"&gt;="&amp;$B138,tblVideos[Day],"&lt;"&amp;EDATE($B138,1),tblVideos[Channel ID],Channels!$E$8)</f>
        <v/>
      </c>
      <c r="F138" s="69">
        <f>COUNTIFS(tblVideos[Day],"&gt;="&amp;$B138,tblVideos[Day],"&lt;"&amp;EDATE($B138,1),tblVideos[Channel ID],Channels!$E$9)</f>
        <v/>
      </c>
      <c r="G138" s="69">
        <f>COUNTIFS(tblVideos[Day],"&gt;="&amp;$B138,tblVideos[Day],"&lt;"&amp;EDATE($B138,1),tblVideos[Channel ID],Channels!$E$10)</f>
        <v/>
      </c>
      <c r="H138" s="69">
        <f>COUNTIFS(tblVideos[Day],"&gt;="&amp;$B138,tblVideos[Day],"&lt;"&amp;EDATE($B138,1),tblVideos[Channel ID],Channels!$E$11)</f>
        <v/>
      </c>
      <c r="I138" s="78">
        <f>SUM(C138:H138)</f>
        <v/>
      </c>
      <c r="J138" s="79">
        <f>SUMIFS(tblVideos[Length],tblVideos[Day],"&gt;="&amp;$B138,tblVideos[Day],"&lt;"&amp;EDATE($B138,1))*24</f>
        <v/>
      </c>
      <c r="K138" s="69">
        <f>COUNTIFS(tblVideos[Watched On],"&gt;="&amp;$B138,tblVideos[Watched On],"&lt;"&amp;EDATE($B138,1),tblVideos[Status],"Watched")</f>
        <v/>
      </c>
      <c r="L138" s="79">
        <f>SUMIFS(tblVideos[Length],tblVideos[Watched On],"&gt;="&amp;$B138,tblVideos[Watched On],"&lt;"&amp;EDATE($B138,1),tblVideos[Status],"Watched")*24</f>
        <v/>
      </c>
      <c r="M138" s="84">
        <f>IF(I138=0,"Gap",IF(I138&gt;AVERAGE($I$135:$I$308)+2*STDEV($I$135:$I$308),"High",""))</f>
        <v/>
      </c>
    </row>
    <row r="139">
      <c r="B139" s="83" t="n">
        <v>41153</v>
      </c>
      <c r="C139" s="69">
        <f>COUNTIFS(tblVideos[Day],"&gt;="&amp;$B139,tblVideos[Day],"&lt;"&amp;EDATE($B139,1),tblVideos[Channel ID],Channels!$E$6)</f>
        <v/>
      </c>
      <c r="D139" s="69">
        <f>COUNTIFS(tblVideos[Day],"&gt;="&amp;$B139,tblVideos[Day],"&lt;"&amp;EDATE($B139,1),tblVideos[Channel ID],Channels!$E$7)</f>
        <v/>
      </c>
      <c r="E139" s="69">
        <f>COUNTIFS(tblVideos[Day],"&gt;="&amp;$B139,tblVideos[Day],"&lt;"&amp;EDATE($B139,1),tblVideos[Channel ID],Channels!$E$8)</f>
        <v/>
      </c>
      <c r="F139" s="69">
        <f>COUNTIFS(tblVideos[Day],"&gt;="&amp;$B139,tblVideos[Day],"&lt;"&amp;EDATE($B139,1),tblVideos[Channel ID],Channels!$E$9)</f>
        <v/>
      </c>
      <c r="G139" s="69">
        <f>COUNTIFS(tblVideos[Day],"&gt;="&amp;$B139,tblVideos[Day],"&lt;"&amp;EDATE($B139,1),tblVideos[Channel ID],Channels!$E$10)</f>
        <v/>
      </c>
      <c r="H139" s="69">
        <f>COUNTIFS(tblVideos[Day],"&gt;="&amp;$B139,tblVideos[Day],"&lt;"&amp;EDATE($B139,1),tblVideos[Channel ID],Channels!$E$11)</f>
        <v/>
      </c>
      <c r="I139" s="78">
        <f>SUM(C139:H139)</f>
        <v/>
      </c>
      <c r="J139" s="79">
        <f>SUMIFS(tblVideos[Length],tblVideos[Day],"&gt;="&amp;$B139,tblVideos[Day],"&lt;"&amp;EDATE($B139,1))*24</f>
        <v/>
      </c>
      <c r="K139" s="69">
        <f>COUNTIFS(tblVideos[Watched On],"&gt;="&amp;$B139,tblVideos[Watched On],"&lt;"&amp;EDATE($B139,1),tblVideos[Status],"Watched")</f>
        <v/>
      </c>
      <c r="L139" s="79">
        <f>SUMIFS(tblVideos[Length],tblVideos[Watched On],"&gt;="&amp;$B139,tblVideos[Watched On],"&lt;"&amp;EDATE($B139,1),tblVideos[Status],"Watched")*24</f>
        <v/>
      </c>
      <c r="M139" s="84">
        <f>IF(I139=0,"Gap",IF(I139&gt;AVERAGE($I$135:$I$308)+2*STDEV($I$135:$I$308),"High",""))</f>
        <v/>
      </c>
    </row>
    <row r="140">
      <c r="B140" s="83" t="n">
        <v>41183</v>
      </c>
      <c r="C140" s="69">
        <f>COUNTIFS(tblVideos[Day],"&gt;="&amp;$B140,tblVideos[Day],"&lt;"&amp;EDATE($B140,1),tblVideos[Channel ID],Channels!$E$6)</f>
        <v/>
      </c>
      <c r="D140" s="69">
        <f>COUNTIFS(tblVideos[Day],"&gt;="&amp;$B140,tblVideos[Day],"&lt;"&amp;EDATE($B140,1),tblVideos[Channel ID],Channels!$E$7)</f>
        <v/>
      </c>
      <c r="E140" s="69">
        <f>COUNTIFS(tblVideos[Day],"&gt;="&amp;$B140,tblVideos[Day],"&lt;"&amp;EDATE($B140,1),tblVideos[Channel ID],Channels!$E$8)</f>
        <v/>
      </c>
      <c r="F140" s="69">
        <f>COUNTIFS(tblVideos[Day],"&gt;="&amp;$B140,tblVideos[Day],"&lt;"&amp;EDATE($B140,1),tblVideos[Channel ID],Channels!$E$9)</f>
        <v/>
      </c>
      <c r="G140" s="69">
        <f>COUNTIFS(tblVideos[Day],"&gt;="&amp;$B140,tblVideos[Day],"&lt;"&amp;EDATE($B140,1),tblVideos[Channel ID],Channels!$E$10)</f>
        <v/>
      </c>
      <c r="H140" s="69">
        <f>COUNTIFS(tblVideos[Day],"&gt;="&amp;$B140,tblVideos[Day],"&lt;"&amp;EDATE($B140,1),tblVideos[Channel ID],Channels!$E$11)</f>
        <v/>
      </c>
      <c r="I140" s="78">
        <f>SUM(C140:H140)</f>
        <v/>
      </c>
      <c r="J140" s="79">
        <f>SUMIFS(tblVideos[Length],tblVideos[Day],"&gt;="&amp;$B140,tblVideos[Day],"&lt;"&amp;EDATE($B140,1))*24</f>
        <v/>
      </c>
      <c r="K140" s="69">
        <f>COUNTIFS(tblVideos[Watched On],"&gt;="&amp;$B140,tblVideos[Watched On],"&lt;"&amp;EDATE($B140,1),tblVideos[Status],"Watched")</f>
        <v/>
      </c>
      <c r="L140" s="79">
        <f>SUMIFS(tblVideos[Length],tblVideos[Watched On],"&gt;="&amp;$B140,tblVideos[Watched On],"&lt;"&amp;EDATE($B140,1),tblVideos[Status],"Watched")*24</f>
        <v/>
      </c>
      <c r="M140" s="84">
        <f>IF(I140=0,"Gap",IF(I140&gt;AVERAGE($I$135:$I$308)+2*STDEV($I$135:$I$308),"High",""))</f>
        <v/>
      </c>
    </row>
    <row r="141">
      <c r="B141" s="83" t="n">
        <v>41214</v>
      </c>
      <c r="C141" s="69">
        <f>COUNTIFS(tblVideos[Day],"&gt;="&amp;$B141,tblVideos[Day],"&lt;"&amp;EDATE($B141,1),tblVideos[Channel ID],Channels!$E$6)</f>
        <v/>
      </c>
      <c r="D141" s="69">
        <f>COUNTIFS(tblVideos[Day],"&gt;="&amp;$B141,tblVideos[Day],"&lt;"&amp;EDATE($B141,1),tblVideos[Channel ID],Channels!$E$7)</f>
        <v/>
      </c>
      <c r="E141" s="69">
        <f>COUNTIFS(tblVideos[Day],"&gt;="&amp;$B141,tblVideos[Day],"&lt;"&amp;EDATE($B141,1),tblVideos[Channel ID],Channels!$E$8)</f>
        <v/>
      </c>
      <c r="F141" s="69">
        <f>COUNTIFS(tblVideos[Day],"&gt;="&amp;$B141,tblVideos[Day],"&lt;"&amp;EDATE($B141,1),tblVideos[Channel ID],Channels!$E$9)</f>
        <v/>
      </c>
      <c r="G141" s="69">
        <f>COUNTIFS(tblVideos[Day],"&gt;="&amp;$B141,tblVideos[Day],"&lt;"&amp;EDATE($B141,1),tblVideos[Channel ID],Channels!$E$10)</f>
        <v/>
      </c>
      <c r="H141" s="69">
        <f>COUNTIFS(tblVideos[Day],"&gt;="&amp;$B141,tblVideos[Day],"&lt;"&amp;EDATE($B141,1),tblVideos[Channel ID],Channels!$E$11)</f>
        <v/>
      </c>
      <c r="I141" s="78">
        <f>SUM(C141:H141)</f>
        <v/>
      </c>
      <c r="J141" s="79">
        <f>SUMIFS(tblVideos[Length],tblVideos[Day],"&gt;="&amp;$B141,tblVideos[Day],"&lt;"&amp;EDATE($B141,1))*24</f>
        <v/>
      </c>
      <c r="K141" s="69">
        <f>COUNTIFS(tblVideos[Watched On],"&gt;="&amp;$B141,tblVideos[Watched On],"&lt;"&amp;EDATE($B141,1),tblVideos[Status],"Watched")</f>
        <v/>
      </c>
      <c r="L141" s="79">
        <f>SUMIFS(tblVideos[Length],tblVideos[Watched On],"&gt;="&amp;$B141,tblVideos[Watched On],"&lt;"&amp;EDATE($B141,1),tblVideos[Status],"Watched")*24</f>
        <v/>
      </c>
      <c r="M141" s="84">
        <f>IF(I141=0,"Gap",IF(I141&gt;AVERAGE($I$135:$I$308)+2*STDEV($I$135:$I$308),"High",""))</f>
        <v/>
      </c>
    </row>
    <row r="142">
      <c r="B142" s="83" t="n">
        <v>41244</v>
      </c>
      <c r="C142" s="69">
        <f>COUNTIFS(tblVideos[Day],"&gt;="&amp;$B142,tblVideos[Day],"&lt;"&amp;EDATE($B142,1),tblVideos[Channel ID],Channels!$E$6)</f>
        <v/>
      </c>
      <c r="D142" s="69">
        <f>COUNTIFS(tblVideos[Day],"&gt;="&amp;$B142,tblVideos[Day],"&lt;"&amp;EDATE($B142,1),tblVideos[Channel ID],Channels!$E$7)</f>
        <v/>
      </c>
      <c r="E142" s="69">
        <f>COUNTIFS(tblVideos[Day],"&gt;="&amp;$B142,tblVideos[Day],"&lt;"&amp;EDATE($B142,1),tblVideos[Channel ID],Channels!$E$8)</f>
        <v/>
      </c>
      <c r="F142" s="69">
        <f>COUNTIFS(tblVideos[Day],"&gt;="&amp;$B142,tblVideos[Day],"&lt;"&amp;EDATE($B142,1),tblVideos[Channel ID],Channels!$E$9)</f>
        <v/>
      </c>
      <c r="G142" s="69">
        <f>COUNTIFS(tblVideos[Day],"&gt;="&amp;$B142,tblVideos[Day],"&lt;"&amp;EDATE($B142,1),tblVideos[Channel ID],Channels!$E$10)</f>
        <v/>
      </c>
      <c r="H142" s="69">
        <f>COUNTIFS(tblVideos[Day],"&gt;="&amp;$B142,tblVideos[Day],"&lt;"&amp;EDATE($B142,1),tblVideos[Channel ID],Channels!$E$11)</f>
        <v/>
      </c>
      <c r="I142" s="78">
        <f>SUM(C142:H142)</f>
        <v/>
      </c>
      <c r="J142" s="79">
        <f>SUMIFS(tblVideos[Length],tblVideos[Day],"&gt;="&amp;$B142,tblVideos[Day],"&lt;"&amp;EDATE($B142,1))*24</f>
        <v/>
      </c>
      <c r="K142" s="69">
        <f>COUNTIFS(tblVideos[Watched On],"&gt;="&amp;$B142,tblVideos[Watched On],"&lt;"&amp;EDATE($B142,1),tblVideos[Status],"Watched")</f>
        <v/>
      </c>
      <c r="L142" s="79">
        <f>SUMIFS(tblVideos[Length],tblVideos[Watched On],"&gt;="&amp;$B142,tblVideos[Watched On],"&lt;"&amp;EDATE($B142,1),tblVideos[Status],"Watched")*24</f>
        <v/>
      </c>
      <c r="M142" s="84">
        <f>IF(I142=0,"Gap",IF(I142&gt;AVERAGE($I$135:$I$308)+2*STDEV($I$135:$I$308),"High",""))</f>
        <v/>
      </c>
    </row>
    <row r="143">
      <c r="B143" s="83" t="n">
        <v>41275</v>
      </c>
      <c r="C143" s="69">
        <f>COUNTIFS(tblVideos[Day],"&gt;="&amp;$B143,tblVideos[Day],"&lt;"&amp;EDATE($B143,1),tblVideos[Channel ID],Channels!$E$6)</f>
        <v/>
      </c>
      <c r="D143" s="69">
        <f>COUNTIFS(tblVideos[Day],"&gt;="&amp;$B143,tblVideos[Day],"&lt;"&amp;EDATE($B143,1),tblVideos[Channel ID],Channels!$E$7)</f>
        <v/>
      </c>
      <c r="E143" s="69">
        <f>COUNTIFS(tblVideos[Day],"&gt;="&amp;$B143,tblVideos[Day],"&lt;"&amp;EDATE($B143,1),tblVideos[Channel ID],Channels!$E$8)</f>
        <v/>
      </c>
      <c r="F143" s="69">
        <f>COUNTIFS(tblVideos[Day],"&gt;="&amp;$B143,tblVideos[Day],"&lt;"&amp;EDATE($B143,1),tblVideos[Channel ID],Channels!$E$9)</f>
        <v/>
      </c>
      <c r="G143" s="69">
        <f>COUNTIFS(tblVideos[Day],"&gt;="&amp;$B143,tblVideos[Day],"&lt;"&amp;EDATE($B143,1),tblVideos[Channel ID],Channels!$E$10)</f>
        <v/>
      </c>
      <c r="H143" s="69">
        <f>COUNTIFS(tblVideos[Day],"&gt;="&amp;$B143,tblVideos[Day],"&lt;"&amp;EDATE($B143,1),tblVideos[Channel ID],Channels!$E$11)</f>
        <v/>
      </c>
      <c r="I143" s="78">
        <f>SUM(C143:H143)</f>
        <v/>
      </c>
      <c r="J143" s="79">
        <f>SUMIFS(tblVideos[Length],tblVideos[Day],"&gt;="&amp;$B143,tblVideos[Day],"&lt;"&amp;EDATE($B143,1))*24</f>
        <v/>
      </c>
      <c r="K143" s="69">
        <f>COUNTIFS(tblVideos[Watched On],"&gt;="&amp;$B143,tblVideos[Watched On],"&lt;"&amp;EDATE($B143,1),tblVideos[Status],"Watched")</f>
        <v/>
      </c>
      <c r="L143" s="79">
        <f>SUMIFS(tblVideos[Length],tblVideos[Watched On],"&gt;="&amp;$B143,tblVideos[Watched On],"&lt;"&amp;EDATE($B143,1),tblVideos[Status],"Watched")*24</f>
        <v/>
      </c>
      <c r="M143" s="84">
        <f>IF(I143=0,"Gap",IF(I143&gt;AVERAGE($I$135:$I$308)+2*STDEV($I$135:$I$308),"High",""))</f>
        <v/>
      </c>
    </row>
    <row r="144">
      <c r="B144" s="83" t="n">
        <v>41306</v>
      </c>
      <c r="C144" s="69">
        <f>COUNTIFS(tblVideos[Day],"&gt;="&amp;$B144,tblVideos[Day],"&lt;"&amp;EDATE($B144,1),tblVideos[Channel ID],Channels!$E$6)</f>
        <v/>
      </c>
      <c r="D144" s="69">
        <f>COUNTIFS(tblVideos[Day],"&gt;="&amp;$B144,tblVideos[Day],"&lt;"&amp;EDATE($B144,1),tblVideos[Channel ID],Channels!$E$7)</f>
        <v/>
      </c>
      <c r="E144" s="69">
        <f>COUNTIFS(tblVideos[Day],"&gt;="&amp;$B144,tblVideos[Day],"&lt;"&amp;EDATE($B144,1),tblVideos[Channel ID],Channels!$E$8)</f>
        <v/>
      </c>
      <c r="F144" s="69">
        <f>COUNTIFS(tblVideos[Day],"&gt;="&amp;$B144,tblVideos[Day],"&lt;"&amp;EDATE($B144,1),tblVideos[Channel ID],Channels!$E$9)</f>
        <v/>
      </c>
      <c r="G144" s="69">
        <f>COUNTIFS(tblVideos[Day],"&gt;="&amp;$B144,tblVideos[Day],"&lt;"&amp;EDATE($B144,1),tblVideos[Channel ID],Channels!$E$10)</f>
        <v/>
      </c>
      <c r="H144" s="69">
        <f>COUNTIFS(tblVideos[Day],"&gt;="&amp;$B144,tblVideos[Day],"&lt;"&amp;EDATE($B144,1),tblVideos[Channel ID],Channels!$E$11)</f>
        <v/>
      </c>
      <c r="I144" s="78">
        <f>SUM(C144:H144)</f>
        <v/>
      </c>
      <c r="J144" s="79">
        <f>SUMIFS(tblVideos[Length],tblVideos[Day],"&gt;="&amp;$B144,tblVideos[Day],"&lt;"&amp;EDATE($B144,1))*24</f>
        <v/>
      </c>
      <c r="K144" s="69">
        <f>COUNTIFS(tblVideos[Watched On],"&gt;="&amp;$B144,tblVideos[Watched On],"&lt;"&amp;EDATE($B144,1),tblVideos[Status],"Watched")</f>
        <v/>
      </c>
      <c r="L144" s="79">
        <f>SUMIFS(tblVideos[Length],tblVideos[Watched On],"&gt;="&amp;$B144,tblVideos[Watched On],"&lt;"&amp;EDATE($B144,1),tblVideos[Status],"Watched")*24</f>
        <v/>
      </c>
      <c r="M144" s="84">
        <f>IF(I144=0,"Gap",IF(I144&gt;AVERAGE($I$135:$I$308)+2*STDEV($I$135:$I$308),"High",""))</f>
        <v/>
      </c>
    </row>
    <row r="145">
      <c r="B145" s="83" t="n">
        <v>41334</v>
      </c>
      <c r="C145" s="69">
        <f>COUNTIFS(tblVideos[Day],"&gt;="&amp;$B145,tblVideos[Day],"&lt;"&amp;EDATE($B145,1),tblVideos[Channel ID],Channels!$E$6)</f>
        <v/>
      </c>
      <c r="D145" s="69">
        <f>COUNTIFS(tblVideos[Day],"&gt;="&amp;$B145,tblVideos[Day],"&lt;"&amp;EDATE($B145,1),tblVideos[Channel ID],Channels!$E$7)</f>
        <v/>
      </c>
      <c r="E145" s="69">
        <f>COUNTIFS(tblVideos[Day],"&gt;="&amp;$B145,tblVideos[Day],"&lt;"&amp;EDATE($B145,1),tblVideos[Channel ID],Channels!$E$8)</f>
        <v/>
      </c>
      <c r="F145" s="69">
        <f>COUNTIFS(tblVideos[Day],"&gt;="&amp;$B145,tblVideos[Day],"&lt;"&amp;EDATE($B145,1),tblVideos[Channel ID],Channels!$E$9)</f>
        <v/>
      </c>
      <c r="G145" s="69">
        <f>COUNTIFS(tblVideos[Day],"&gt;="&amp;$B145,tblVideos[Day],"&lt;"&amp;EDATE($B145,1),tblVideos[Channel ID],Channels!$E$10)</f>
        <v/>
      </c>
      <c r="H145" s="69">
        <f>COUNTIFS(tblVideos[Day],"&gt;="&amp;$B145,tblVideos[Day],"&lt;"&amp;EDATE($B145,1),tblVideos[Channel ID],Channels!$E$11)</f>
        <v/>
      </c>
      <c r="I145" s="78">
        <f>SUM(C145:H145)</f>
        <v/>
      </c>
      <c r="J145" s="79">
        <f>SUMIFS(tblVideos[Length],tblVideos[Day],"&gt;="&amp;$B145,tblVideos[Day],"&lt;"&amp;EDATE($B145,1))*24</f>
        <v/>
      </c>
      <c r="K145" s="69">
        <f>COUNTIFS(tblVideos[Watched On],"&gt;="&amp;$B145,tblVideos[Watched On],"&lt;"&amp;EDATE($B145,1),tblVideos[Status],"Watched")</f>
        <v/>
      </c>
      <c r="L145" s="79">
        <f>SUMIFS(tblVideos[Length],tblVideos[Watched On],"&gt;="&amp;$B145,tblVideos[Watched On],"&lt;"&amp;EDATE($B145,1),tblVideos[Status],"Watched")*24</f>
        <v/>
      </c>
      <c r="M145" s="84">
        <f>IF(I145=0,"Gap",IF(I145&gt;AVERAGE($I$135:$I$308)+2*STDEV($I$135:$I$308),"High",""))</f>
        <v/>
      </c>
    </row>
    <row r="146">
      <c r="B146" s="83" t="n">
        <v>41365</v>
      </c>
      <c r="C146" s="69">
        <f>COUNTIFS(tblVideos[Day],"&gt;="&amp;$B146,tblVideos[Day],"&lt;"&amp;EDATE($B146,1),tblVideos[Channel ID],Channels!$E$6)</f>
        <v/>
      </c>
      <c r="D146" s="69">
        <f>COUNTIFS(tblVideos[Day],"&gt;="&amp;$B146,tblVideos[Day],"&lt;"&amp;EDATE($B146,1),tblVideos[Channel ID],Channels!$E$7)</f>
        <v/>
      </c>
      <c r="E146" s="69">
        <f>COUNTIFS(tblVideos[Day],"&gt;="&amp;$B146,tblVideos[Day],"&lt;"&amp;EDATE($B146,1),tblVideos[Channel ID],Channels!$E$8)</f>
        <v/>
      </c>
      <c r="F146" s="69">
        <f>COUNTIFS(tblVideos[Day],"&gt;="&amp;$B146,tblVideos[Day],"&lt;"&amp;EDATE($B146,1),tblVideos[Channel ID],Channels!$E$9)</f>
        <v/>
      </c>
      <c r="G146" s="69">
        <f>COUNTIFS(tblVideos[Day],"&gt;="&amp;$B146,tblVideos[Day],"&lt;"&amp;EDATE($B146,1),tblVideos[Channel ID],Channels!$E$10)</f>
        <v/>
      </c>
      <c r="H146" s="69">
        <f>COUNTIFS(tblVideos[Day],"&gt;="&amp;$B146,tblVideos[Day],"&lt;"&amp;EDATE($B146,1),tblVideos[Channel ID],Channels!$E$11)</f>
        <v/>
      </c>
      <c r="I146" s="78">
        <f>SUM(C146:H146)</f>
        <v/>
      </c>
      <c r="J146" s="79">
        <f>SUMIFS(tblVideos[Length],tblVideos[Day],"&gt;="&amp;$B146,tblVideos[Day],"&lt;"&amp;EDATE($B146,1))*24</f>
        <v/>
      </c>
      <c r="K146" s="69">
        <f>COUNTIFS(tblVideos[Watched On],"&gt;="&amp;$B146,tblVideos[Watched On],"&lt;"&amp;EDATE($B146,1),tblVideos[Status],"Watched")</f>
        <v/>
      </c>
      <c r="L146" s="79">
        <f>SUMIFS(tblVideos[Length],tblVideos[Watched On],"&gt;="&amp;$B146,tblVideos[Watched On],"&lt;"&amp;EDATE($B146,1),tblVideos[Status],"Watched")*24</f>
        <v/>
      </c>
      <c r="M146" s="84">
        <f>IF(I146=0,"Gap",IF(I146&gt;AVERAGE($I$135:$I$308)+2*STDEV($I$135:$I$308),"High",""))</f>
        <v/>
      </c>
    </row>
    <row r="147">
      <c r="B147" s="83" t="n">
        <v>41395</v>
      </c>
      <c r="C147" s="69">
        <f>COUNTIFS(tblVideos[Day],"&gt;="&amp;$B147,tblVideos[Day],"&lt;"&amp;EDATE($B147,1),tblVideos[Channel ID],Channels!$E$6)</f>
        <v/>
      </c>
      <c r="D147" s="69">
        <f>COUNTIFS(tblVideos[Day],"&gt;="&amp;$B147,tblVideos[Day],"&lt;"&amp;EDATE($B147,1),tblVideos[Channel ID],Channels!$E$7)</f>
        <v/>
      </c>
      <c r="E147" s="69">
        <f>COUNTIFS(tblVideos[Day],"&gt;="&amp;$B147,tblVideos[Day],"&lt;"&amp;EDATE($B147,1),tblVideos[Channel ID],Channels!$E$8)</f>
        <v/>
      </c>
      <c r="F147" s="69">
        <f>COUNTIFS(tblVideos[Day],"&gt;="&amp;$B147,tblVideos[Day],"&lt;"&amp;EDATE($B147,1),tblVideos[Channel ID],Channels!$E$9)</f>
        <v/>
      </c>
      <c r="G147" s="69">
        <f>COUNTIFS(tblVideos[Day],"&gt;="&amp;$B147,tblVideos[Day],"&lt;"&amp;EDATE($B147,1),tblVideos[Channel ID],Channels!$E$10)</f>
        <v/>
      </c>
      <c r="H147" s="69">
        <f>COUNTIFS(tblVideos[Day],"&gt;="&amp;$B147,tblVideos[Day],"&lt;"&amp;EDATE($B147,1),tblVideos[Channel ID],Channels!$E$11)</f>
        <v/>
      </c>
      <c r="I147" s="78">
        <f>SUM(C147:H147)</f>
        <v/>
      </c>
      <c r="J147" s="79">
        <f>SUMIFS(tblVideos[Length],tblVideos[Day],"&gt;="&amp;$B147,tblVideos[Day],"&lt;"&amp;EDATE($B147,1))*24</f>
        <v/>
      </c>
      <c r="K147" s="69">
        <f>COUNTIFS(tblVideos[Watched On],"&gt;="&amp;$B147,tblVideos[Watched On],"&lt;"&amp;EDATE($B147,1),tblVideos[Status],"Watched")</f>
        <v/>
      </c>
      <c r="L147" s="79">
        <f>SUMIFS(tblVideos[Length],tblVideos[Watched On],"&gt;="&amp;$B147,tblVideos[Watched On],"&lt;"&amp;EDATE($B147,1),tblVideos[Status],"Watched")*24</f>
        <v/>
      </c>
      <c r="M147" s="84">
        <f>IF(I147=0,"Gap",IF(I147&gt;AVERAGE($I$135:$I$308)+2*STDEV($I$135:$I$308),"High",""))</f>
        <v/>
      </c>
    </row>
    <row r="148">
      <c r="B148" s="83" t="n">
        <v>41426</v>
      </c>
      <c r="C148" s="69">
        <f>COUNTIFS(tblVideos[Day],"&gt;="&amp;$B148,tblVideos[Day],"&lt;"&amp;EDATE($B148,1),tblVideos[Channel ID],Channels!$E$6)</f>
        <v/>
      </c>
      <c r="D148" s="69">
        <f>COUNTIFS(tblVideos[Day],"&gt;="&amp;$B148,tblVideos[Day],"&lt;"&amp;EDATE($B148,1),tblVideos[Channel ID],Channels!$E$7)</f>
        <v/>
      </c>
      <c r="E148" s="69">
        <f>COUNTIFS(tblVideos[Day],"&gt;="&amp;$B148,tblVideos[Day],"&lt;"&amp;EDATE($B148,1),tblVideos[Channel ID],Channels!$E$8)</f>
        <v/>
      </c>
      <c r="F148" s="69">
        <f>COUNTIFS(tblVideos[Day],"&gt;="&amp;$B148,tblVideos[Day],"&lt;"&amp;EDATE($B148,1),tblVideos[Channel ID],Channels!$E$9)</f>
        <v/>
      </c>
      <c r="G148" s="69">
        <f>COUNTIFS(tblVideos[Day],"&gt;="&amp;$B148,tblVideos[Day],"&lt;"&amp;EDATE($B148,1),tblVideos[Channel ID],Channels!$E$10)</f>
        <v/>
      </c>
      <c r="H148" s="69">
        <f>COUNTIFS(tblVideos[Day],"&gt;="&amp;$B148,tblVideos[Day],"&lt;"&amp;EDATE($B148,1),tblVideos[Channel ID],Channels!$E$11)</f>
        <v/>
      </c>
      <c r="I148" s="78">
        <f>SUM(C148:H148)</f>
        <v/>
      </c>
      <c r="J148" s="79">
        <f>SUMIFS(tblVideos[Length],tblVideos[Day],"&gt;="&amp;$B148,tblVideos[Day],"&lt;"&amp;EDATE($B148,1))*24</f>
        <v/>
      </c>
      <c r="K148" s="69">
        <f>COUNTIFS(tblVideos[Watched On],"&gt;="&amp;$B148,tblVideos[Watched On],"&lt;"&amp;EDATE($B148,1),tblVideos[Status],"Watched")</f>
        <v/>
      </c>
      <c r="L148" s="79">
        <f>SUMIFS(tblVideos[Length],tblVideos[Watched On],"&gt;="&amp;$B148,tblVideos[Watched On],"&lt;"&amp;EDATE($B148,1),tblVideos[Status],"Watched")*24</f>
        <v/>
      </c>
      <c r="M148" s="84">
        <f>IF(I148=0,"Gap",IF(I148&gt;AVERAGE($I$135:$I$308)+2*STDEV($I$135:$I$308),"High",""))</f>
        <v/>
      </c>
    </row>
    <row r="149">
      <c r="B149" s="83" t="n">
        <v>41456</v>
      </c>
      <c r="C149" s="69">
        <f>COUNTIFS(tblVideos[Day],"&gt;="&amp;$B149,tblVideos[Day],"&lt;"&amp;EDATE($B149,1),tblVideos[Channel ID],Channels!$E$6)</f>
        <v/>
      </c>
      <c r="D149" s="69">
        <f>COUNTIFS(tblVideos[Day],"&gt;="&amp;$B149,tblVideos[Day],"&lt;"&amp;EDATE($B149,1),tblVideos[Channel ID],Channels!$E$7)</f>
        <v/>
      </c>
      <c r="E149" s="69">
        <f>COUNTIFS(tblVideos[Day],"&gt;="&amp;$B149,tblVideos[Day],"&lt;"&amp;EDATE($B149,1),tblVideos[Channel ID],Channels!$E$8)</f>
        <v/>
      </c>
      <c r="F149" s="69">
        <f>COUNTIFS(tblVideos[Day],"&gt;="&amp;$B149,tblVideos[Day],"&lt;"&amp;EDATE($B149,1),tblVideos[Channel ID],Channels!$E$9)</f>
        <v/>
      </c>
      <c r="G149" s="69">
        <f>COUNTIFS(tblVideos[Day],"&gt;="&amp;$B149,tblVideos[Day],"&lt;"&amp;EDATE($B149,1),tblVideos[Channel ID],Channels!$E$10)</f>
        <v/>
      </c>
      <c r="H149" s="69">
        <f>COUNTIFS(tblVideos[Day],"&gt;="&amp;$B149,tblVideos[Day],"&lt;"&amp;EDATE($B149,1),tblVideos[Channel ID],Channels!$E$11)</f>
        <v/>
      </c>
      <c r="I149" s="78">
        <f>SUM(C149:H149)</f>
        <v/>
      </c>
      <c r="J149" s="79">
        <f>SUMIFS(tblVideos[Length],tblVideos[Day],"&gt;="&amp;$B149,tblVideos[Day],"&lt;"&amp;EDATE($B149,1))*24</f>
        <v/>
      </c>
      <c r="K149" s="69">
        <f>COUNTIFS(tblVideos[Watched On],"&gt;="&amp;$B149,tblVideos[Watched On],"&lt;"&amp;EDATE($B149,1),tblVideos[Status],"Watched")</f>
        <v/>
      </c>
      <c r="L149" s="79">
        <f>SUMIFS(tblVideos[Length],tblVideos[Watched On],"&gt;="&amp;$B149,tblVideos[Watched On],"&lt;"&amp;EDATE($B149,1),tblVideos[Status],"Watched")*24</f>
        <v/>
      </c>
      <c r="M149" s="84">
        <f>IF(I149=0,"Gap",IF(I149&gt;AVERAGE($I$135:$I$308)+2*STDEV($I$135:$I$308),"High",""))</f>
        <v/>
      </c>
    </row>
    <row r="150">
      <c r="B150" s="83" t="n">
        <v>41487</v>
      </c>
      <c r="C150" s="69">
        <f>COUNTIFS(tblVideos[Day],"&gt;="&amp;$B150,tblVideos[Day],"&lt;"&amp;EDATE($B150,1),tblVideos[Channel ID],Channels!$E$6)</f>
        <v/>
      </c>
      <c r="D150" s="69">
        <f>COUNTIFS(tblVideos[Day],"&gt;="&amp;$B150,tblVideos[Day],"&lt;"&amp;EDATE($B150,1),tblVideos[Channel ID],Channels!$E$7)</f>
        <v/>
      </c>
      <c r="E150" s="69">
        <f>COUNTIFS(tblVideos[Day],"&gt;="&amp;$B150,tblVideos[Day],"&lt;"&amp;EDATE($B150,1),tblVideos[Channel ID],Channels!$E$8)</f>
        <v/>
      </c>
      <c r="F150" s="69">
        <f>COUNTIFS(tblVideos[Day],"&gt;="&amp;$B150,tblVideos[Day],"&lt;"&amp;EDATE($B150,1),tblVideos[Channel ID],Channels!$E$9)</f>
        <v/>
      </c>
      <c r="G150" s="69">
        <f>COUNTIFS(tblVideos[Day],"&gt;="&amp;$B150,tblVideos[Day],"&lt;"&amp;EDATE($B150,1),tblVideos[Channel ID],Channels!$E$10)</f>
        <v/>
      </c>
      <c r="H150" s="69">
        <f>COUNTIFS(tblVideos[Day],"&gt;="&amp;$B150,tblVideos[Day],"&lt;"&amp;EDATE($B150,1),tblVideos[Channel ID],Channels!$E$11)</f>
        <v/>
      </c>
      <c r="I150" s="78">
        <f>SUM(C150:H150)</f>
        <v/>
      </c>
      <c r="J150" s="79">
        <f>SUMIFS(tblVideos[Length],tblVideos[Day],"&gt;="&amp;$B150,tblVideos[Day],"&lt;"&amp;EDATE($B150,1))*24</f>
        <v/>
      </c>
      <c r="K150" s="69">
        <f>COUNTIFS(tblVideos[Watched On],"&gt;="&amp;$B150,tblVideos[Watched On],"&lt;"&amp;EDATE($B150,1),tblVideos[Status],"Watched")</f>
        <v/>
      </c>
      <c r="L150" s="79">
        <f>SUMIFS(tblVideos[Length],tblVideos[Watched On],"&gt;="&amp;$B150,tblVideos[Watched On],"&lt;"&amp;EDATE($B150,1),tblVideos[Status],"Watched")*24</f>
        <v/>
      </c>
      <c r="M150" s="84">
        <f>IF(I150=0,"Gap",IF(I150&gt;AVERAGE($I$135:$I$308)+2*STDEV($I$135:$I$308),"High",""))</f>
        <v/>
      </c>
    </row>
    <row r="151">
      <c r="B151" s="83" t="n">
        <v>41518</v>
      </c>
      <c r="C151" s="69">
        <f>COUNTIFS(tblVideos[Day],"&gt;="&amp;$B151,tblVideos[Day],"&lt;"&amp;EDATE($B151,1),tblVideos[Channel ID],Channels!$E$6)</f>
        <v/>
      </c>
      <c r="D151" s="69">
        <f>COUNTIFS(tblVideos[Day],"&gt;="&amp;$B151,tblVideos[Day],"&lt;"&amp;EDATE($B151,1),tblVideos[Channel ID],Channels!$E$7)</f>
        <v/>
      </c>
      <c r="E151" s="69">
        <f>COUNTIFS(tblVideos[Day],"&gt;="&amp;$B151,tblVideos[Day],"&lt;"&amp;EDATE($B151,1),tblVideos[Channel ID],Channels!$E$8)</f>
        <v/>
      </c>
      <c r="F151" s="69">
        <f>COUNTIFS(tblVideos[Day],"&gt;="&amp;$B151,tblVideos[Day],"&lt;"&amp;EDATE($B151,1),tblVideos[Channel ID],Channels!$E$9)</f>
        <v/>
      </c>
      <c r="G151" s="69">
        <f>COUNTIFS(tblVideos[Day],"&gt;="&amp;$B151,tblVideos[Day],"&lt;"&amp;EDATE($B151,1),tblVideos[Channel ID],Channels!$E$10)</f>
        <v/>
      </c>
      <c r="H151" s="69">
        <f>COUNTIFS(tblVideos[Day],"&gt;="&amp;$B151,tblVideos[Day],"&lt;"&amp;EDATE($B151,1),tblVideos[Channel ID],Channels!$E$11)</f>
        <v/>
      </c>
      <c r="I151" s="78">
        <f>SUM(C151:H151)</f>
        <v/>
      </c>
      <c r="J151" s="79">
        <f>SUMIFS(tblVideos[Length],tblVideos[Day],"&gt;="&amp;$B151,tblVideos[Day],"&lt;"&amp;EDATE($B151,1))*24</f>
        <v/>
      </c>
      <c r="K151" s="69">
        <f>COUNTIFS(tblVideos[Watched On],"&gt;="&amp;$B151,tblVideos[Watched On],"&lt;"&amp;EDATE($B151,1),tblVideos[Status],"Watched")</f>
        <v/>
      </c>
      <c r="L151" s="79">
        <f>SUMIFS(tblVideos[Length],tblVideos[Watched On],"&gt;="&amp;$B151,tblVideos[Watched On],"&lt;"&amp;EDATE($B151,1),tblVideos[Status],"Watched")*24</f>
        <v/>
      </c>
      <c r="M151" s="84">
        <f>IF(I151=0,"Gap",IF(I151&gt;AVERAGE($I$135:$I$308)+2*STDEV($I$135:$I$308),"High",""))</f>
        <v/>
      </c>
    </row>
    <row r="152">
      <c r="B152" s="83" t="n">
        <v>41548</v>
      </c>
      <c r="C152" s="69">
        <f>COUNTIFS(tblVideos[Day],"&gt;="&amp;$B152,tblVideos[Day],"&lt;"&amp;EDATE($B152,1),tblVideos[Channel ID],Channels!$E$6)</f>
        <v/>
      </c>
      <c r="D152" s="69">
        <f>COUNTIFS(tblVideos[Day],"&gt;="&amp;$B152,tblVideos[Day],"&lt;"&amp;EDATE($B152,1),tblVideos[Channel ID],Channels!$E$7)</f>
        <v/>
      </c>
      <c r="E152" s="69">
        <f>COUNTIFS(tblVideos[Day],"&gt;="&amp;$B152,tblVideos[Day],"&lt;"&amp;EDATE($B152,1),tblVideos[Channel ID],Channels!$E$8)</f>
        <v/>
      </c>
      <c r="F152" s="69">
        <f>COUNTIFS(tblVideos[Day],"&gt;="&amp;$B152,tblVideos[Day],"&lt;"&amp;EDATE($B152,1),tblVideos[Channel ID],Channels!$E$9)</f>
        <v/>
      </c>
      <c r="G152" s="69">
        <f>COUNTIFS(tblVideos[Day],"&gt;="&amp;$B152,tblVideos[Day],"&lt;"&amp;EDATE($B152,1),tblVideos[Channel ID],Channels!$E$10)</f>
        <v/>
      </c>
      <c r="H152" s="69">
        <f>COUNTIFS(tblVideos[Day],"&gt;="&amp;$B152,tblVideos[Day],"&lt;"&amp;EDATE($B152,1),tblVideos[Channel ID],Channels!$E$11)</f>
        <v/>
      </c>
      <c r="I152" s="78">
        <f>SUM(C152:H152)</f>
        <v/>
      </c>
      <c r="J152" s="79">
        <f>SUMIFS(tblVideos[Length],tblVideos[Day],"&gt;="&amp;$B152,tblVideos[Day],"&lt;"&amp;EDATE($B152,1))*24</f>
        <v/>
      </c>
      <c r="K152" s="69">
        <f>COUNTIFS(tblVideos[Watched On],"&gt;="&amp;$B152,tblVideos[Watched On],"&lt;"&amp;EDATE($B152,1),tblVideos[Status],"Watched")</f>
        <v/>
      </c>
      <c r="L152" s="79">
        <f>SUMIFS(tblVideos[Length],tblVideos[Watched On],"&gt;="&amp;$B152,tblVideos[Watched On],"&lt;"&amp;EDATE($B152,1),tblVideos[Status],"Watched")*24</f>
        <v/>
      </c>
      <c r="M152" s="84">
        <f>IF(I152=0,"Gap",IF(I152&gt;AVERAGE($I$135:$I$308)+2*STDEV($I$135:$I$308),"High",""))</f>
        <v/>
      </c>
    </row>
    <row r="153">
      <c r="B153" s="83" t="n">
        <v>41579</v>
      </c>
      <c r="C153" s="69">
        <f>COUNTIFS(tblVideos[Day],"&gt;="&amp;$B153,tblVideos[Day],"&lt;"&amp;EDATE($B153,1),tblVideos[Channel ID],Channels!$E$6)</f>
        <v/>
      </c>
      <c r="D153" s="69">
        <f>COUNTIFS(tblVideos[Day],"&gt;="&amp;$B153,tblVideos[Day],"&lt;"&amp;EDATE($B153,1),tblVideos[Channel ID],Channels!$E$7)</f>
        <v/>
      </c>
      <c r="E153" s="69">
        <f>COUNTIFS(tblVideos[Day],"&gt;="&amp;$B153,tblVideos[Day],"&lt;"&amp;EDATE($B153,1),tblVideos[Channel ID],Channels!$E$8)</f>
        <v/>
      </c>
      <c r="F153" s="69">
        <f>COUNTIFS(tblVideos[Day],"&gt;="&amp;$B153,tblVideos[Day],"&lt;"&amp;EDATE($B153,1),tblVideos[Channel ID],Channels!$E$9)</f>
        <v/>
      </c>
      <c r="G153" s="69">
        <f>COUNTIFS(tblVideos[Day],"&gt;="&amp;$B153,tblVideos[Day],"&lt;"&amp;EDATE($B153,1),tblVideos[Channel ID],Channels!$E$10)</f>
        <v/>
      </c>
      <c r="H153" s="69">
        <f>COUNTIFS(tblVideos[Day],"&gt;="&amp;$B153,tblVideos[Day],"&lt;"&amp;EDATE($B153,1),tblVideos[Channel ID],Channels!$E$11)</f>
        <v/>
      </c>
      <c r="I153" s="78">
        <f>SUM(C153:H153)</f>
        <v/>
      </c>
      <c r="J153" s="79">
        <f>SUMIFS(tblVideos[Length],tblVideos[Day],"&gt;="&amp;$B153,tblVideos[Day],"&lt;"&amp;EDATE($B153,1))*24</f>
        <v/>
      </c>
      <c r="K153" s="69">
        <f>COUNTIFS(tblVideos[Watched On],"&gt;="&amp;$B153,tblVideos[Watched On],"&lt;"&amp;EDATE($B153,1),tblVideos[Status],"Watched")</f>
        <v/>
      </c>
      <c r="L153" s="79">
        <f>SUMIFS(tblVideos[Length],tblVideos[Watched On],"&gt;="&amp;$B153,tblVideos[Watched On],"&lt;"&amp;EDATE($B153,1),tblVideos[Status],"Watched")*24</f>
        <v/>
      </c>
      <c r="M153" s="84">
        <f>IF(I153=0,"Gap",IF(I153&gt;AVERAGE($I$135:$I$308)+2*STDEV($I$135:$I$308),"High",""))</f>
        <v/>
      </c>
    </row>
    <row r="154">
      <c r="B154" s="83" t="n">
        <v>41609</v>
      </c>
      <c r="C154" s="69">
        <f>COUNTIFS(tblVideos[Day],"&gt;="&amp;$B154,tblVideos[Day],"&lt;"&amp;EDATE($B154,1),tblVideos[Channel ID],Channels!$E$6)</f>
        <v/>
      </c>
      <c r="D154" s="69">
        <f>COUNTIFS(tblVideos[Day],"&gt;="&amp;$B154,tblVideos[Day],"&lt;"&amp;EDATE($B154,1),tblVideos[Channel ID],Channels!$E$7)</f>
        <v/>
      </c>
      <c r="E154" s="69">
        <f>COUNTIFS(tblVideos[Day],"&gt;="&amp;$B154,tblVideos[Day],"&lt;"&amp;EDATE($B154,1),tblVideos[Channel ID],Channels!$E$8)</f>
        <v/>
      </c>
      <c r="F154" s="69">
        <f>COUNTIFS(tblVideos[Day],"&gt;="&amp;$B154,tblVideos[Day],"&lt;"&amp;EDATE($B154,1),tblVideos[Channel ID],Channels!$E$9)</f>
        <v/>
      </c>
      <c r="G154" s="69">
        <f>COUNTIFS(tblVideos[Day],"&gt;="&amp;$B154,tblVideos[Day],"&lt;"&amp;EDATE($B154,1),tblVideos[Channel ID],Channels!$E$10)</f>
        <v/>
      </c>
      <c r="H154" s="69">
        <f>COUNTIFS(tblVideos[Day],"&gt;="&amp;$B154,tblVideos[Day],"&lt;"&amp;EDATE($B154,1),tblVideos[Channel ID],Channels!$E$11)</f>
        <v/>
      </c>
      <c r="I154" s="78">
        <f>SUM(C154:H154)</f>
        <v/>
      </c>
      <c r="J154" s="79">
        <f>SUMIFS(tblVideos[Length],tblVideos[Day],"&gt;="&amp;$B154,tblVideos[Day],"&lt;"&amp;EDATE($B154,1))*24</f>
        <v/>
      </c>
      <c r="K154" s="69">
        <f>COUNTIFS(tblVideos[Watched On],"&gt;="&amp;$B154,tblVideos[Watched On],"&lt;"&amp;EDATE($B154,1),tblVideos[Status],"Watched")</f>
        <v/>
      </c>
      <c r="L154" s="79">
        <f>SUMIFS(tblVideos[Length],tblVideos[Watched On],"&gt;="&amp;$B154,tblVideos[Watched On],"&lt;"&amp;EDATE($B154,1),tblVideos[Status],"Watched")*24</f>
        <v/>
      </c>
      <c r="M154" s="84">
        <f>IF(I154=0,"Gap",IF(I154&gt;AVERAGE($I$135:$I$308)+2*STDEV($I$135:$I$308),"High",""))</f>
        <v/>
      </c>
    </row>
    <row r="155">
      <c r="B155" s="83" t="n">
        <v>41640</v>
      </c>
      <c r="C155" s="69">
        <f>COUNTIFS(tblVideos[Day],"&gt;="&amp;$B155,tblVideos[Day],"&lt;"&amp;EDATE($B155,1),tblVideos[Channel ID],Channels!$E$6)</f>
        <v/>
      </c>
      <c r="D155" s="69">
        <f>COUNTIFS(tblVideos[Day],"&gt;="&amp;$B155,tblVideos[Day],"&lt;"&amp;EDATE($B155,1),tblVideos[Channel ID],Channels!$E$7)</f>
        <v/>
      </c>
      <c r="E155" s="69">
        <f>COUNTIFS(tblVideos[Day],"&gt;="&amp;$B155,tblVideos[Day],"&lt;"&amp;EDATE($B155,1),tblVideos[Channel ID],Channels!$E$8)</f>
        <v/>
      </c>
      <c r="F155" s="69">
        <f>COUNTIFS(tblVideos[Day],"&gt;="&amp;$B155,tblVideos[Day],"&lt;"&amp;EDATE($B155,1),tblVideos[Channel ID],Channels!$E$9)</f>
        <v/>
      </c>
      <c r="G155" s="69">
        <f>COUNTIFS(tblVideos[Day],"&gt;="&amp;$B155,tblVideos[Day],"&lt;"&amp;EDATE($B155,1),tblVideos[Channel ID],Channels!$E$10)</f>
        <v/>
      </c>
      <c r="H155" s="69">
        <f>COUNTIFS(tblVideos[Day],"&gt;="&amp;$B155,tblVideos[Day],"&lt;"&amp;EDATE($B155,1),tblVideos[Channel ID],Channels!$E$11)</f>
        <v/>
      </c>
      <c r="I155" s="78">
        <f>SUM(C155:H155)</f>
        <v/>
      </c>
      <c r="J155" s="79">
        <f>SUMIFS(tblVideos[Length],tblVideos[Day],"&gt;="&amp;$B155,tblVideos[Day],"&lt;"&amp;EDATE($B155,1))*24</f>
        <v/>
      </c>
      <c r="K155" s="69">
        <f>COUNTIFS(tblVideos[Watched On],"&gt;="&amp;$B155,tblVideos[Watched On],"&lt;"&amp;EDATE($B155,1),tblVideos[Status],"Watched")</f>
        <v/>
      </c>
      <c r="L155" s="79">
        <f>SUMIFS(tblVideos[Length],tblVideos[Watched On],"&gt;="&amp;$B155,tblVideos[Watched On],"&lt;"&amp;EDATE($B155,1),tblVideos[Status],"Watched")*24</f>
        <v/>
      </c>
      <c r="M155" s="84">
        <f>IF(I155=0,"Gap",IF(I155&gt;AVERAGE($I$135:$I$308)+2*STDEV($I$135:$I$308),"High",""))</f>
        <v/>
      </c>
    </row>
    <row r="156">
      <c r="B156" s="83" t="n">
        <v>41671</v>
      </c>
      <c r="C156" s="69">
        <f>COUNTIFS(tblVideos[Day],"&gt;="&amp;$B156,tblVideos[Day],"&lt;"&amp;EDATE($B156,1),tblVideos[Channel ID],Channels!$E$6)</f>
        <v/>
      </c>
      <c r="D156" s="69">
        <f>COUNTIFS(tblVideos[Day],"&gt;="&amp;$B156,tblVideos[Day],"&lt;"&amp;EDATE($B156,1),tblVideos[Channel ID],Channels!$E$7)</f>
        <v/>
      </c>
      <c r="E156" s="69">
        <f>COUNTIFS(tblVideos[Day],"&gt;="&amp;$B156,tblVideos[Day],"&lt;"&amp;EDATE($B156,1),tblVideos[Channel ID],Channels!$E$8)</f>
        <v/>
      </c>
      <c r="F156" s="69">
        <f>COUNTIFS(tblVideos[Day],"&gt;="&amp;$B156,tblVideos[Day],"&lt;"&amp;EDATE($B156,1),tblVideos[Channel ID],Channels!$E$9)</f>
        <v/>
      </c>
      <c r="G156" s="69">
        <f>COUNTIFS(tblVideos[Day],"&gt;="&amp;$B156,tblVideos[Day],"&lt;"&amp;EDATE($B156,1),tblVideos[Channel ID],Channels!$E$10)</f>
        <v/>
      </c>
      <c r="H156" s="69">
        <f>COUNTIFS(tblVideos[Day],"&gt;="&amp;$B156,tblVideos[Day],"&lt;"&amp;EDATE($B156,1),tblVideos[Channel ID],Channels!$E$11)</f>
        <v/>
      </c>
      <c r="I156" s="78">
        <f>SUM(C156:H156)</f>
        <v/>
      </c>
      <c r="J156" s="79">
        <f>SUMIFS(tblVideos[Length],tblVideos[Day],"&gt;="&amp;$B156,tblVideos[Day],"&lt;"&amp;EDATE($B156,1))*24</f>
        <v/>
      </c>
      <c r="K156" s="69">
        <f>COUNTIFS(tblVideos[Watched On],"&gt;="&amp;$B156,tblVideos[Watched On],"&lt;"&amp;EDATE($B156,1),tblVideos[Status],"Watched")</f>
        <v/>
      </c>
      <c r="L156" s="79">
        <f>SUMIFS(tblVideos[Length],tblVideos[Watched On],"&gt;="&amp;$B156,tblVideos[Watched On],"&lt;"&amp;EDATE($B156,1),tblVideos[Status],"Watched")*24</f>
        <v/>
      </c>
      <c r="M156" s="84">
        <f>IF(I156=0,"Gap",IF(I156&gt;AVERAGE($I$135:$I$308)+2*STDEV($I$135:$I$308),"High",""))</f>
        <v/>
      </c>
    </row>
    <row r="157">
      <c r="B157" s="83" t="n">
        <v>41699</v>
      </c>
      <c r="C157" s="69">
        <f>COUNTIFS(tblVideos[Day],"&gt;="&amp;$B157,tblVideos[Day],"&lt;"&amp;EDATE($B157,1),tblVideos[Channel ID],Channels!$E$6)</f>
        <v/>
      </c>
      <c r="D157" s="69">
        <f>COUNTIFS(tblVideos[Day],"&gt;="&amp;$B157,tblVideos[Day],"&lt;"&amp;EDATE($B157,1),tblVideos[Channel ID],Channels!$E$7)</f>
        <v/>
      </c>
      <c r="E157" s="69">
        <f>COUNTIFS(tblVideos[Day],"&gt;="&amp;$B157,tblVideos[Day],"&lt;"&amp;EDATE($B157,1),tblVideos[Channel ID],Channels!$E$8)</f>
        <v/>
      </c>
      <c r="F157" s="69">
        <f>COUNTIFS(tblVideos[Day],"&gt;="&amp;$B157,tblVideos[Day],"&lt;"&amp;EDATE($B157,1),tblVideos[Channel ID],Channels!$E$9)</f>
        <v/>
      </c>
      <c r="G157" s="69">
        <f>COUNTIFS(tblVideos[Day],"&gt;="&amp;$B157,tblVideos[Day],"&lt;"&amp;EDATE($B157,1),tblVideos[Channel ID],Channels!$E$10)</f>
        <v/>
      </c>
      <c r="H157" s="69">
        <f>COUNTIFS(tblVideos[Day],"&gt;="&amp;$B157,tblVideos[Day],"&lt;"&amp;EDATE($B157,1),tblVideos[Channel ID],Channels!$E$11)</f>
        <v/>
      </c>
      <c r="I157" s="78">
        <f>SUM(C157:H157)</f>
        <v/>
      </c>
      <c r="J157" s="79">
        <f>SUMIFS(tblVideos[Length],tblVideos[Day],"&gt;="&amp;$B157,tblVideos[Day],"&lt;"&amp;EDATE($B157,1))*24</f>
        <v/>
      </c>
      <c r="K157" s="69">
        <f>COUNTIFS(tblVideos[Watched On],"&gt;="&amp;$B157,tblVideos[Watched On],"&lt;"&amp;EDATE($B157,1),tblVideos[Status],"Watched")</f>
        <v/>
      </c>
      <c r="L157" s="79">
        <f>SUMIFS(tblVideos[Length],tblVideos[Watched On],"&gt;="&amp;$B157,tblVideos[Watched On],"&lt;"&amp;EDATE($B157,1),tblVideos[Status],"Watched")*24</f>
        <v/>
      </c>
      <c r="M157" s="84">
        <f>IF(I157=0,"Gap",IF(I157&gt;AVERAGE($I$135:$I$308)+2*STDEV($I$135:$I$308),"High",""))</f>
        <v/>
      </c>
    </row>
    <row r="158">
      <c r="B158" s="83" t="n">
        <v>41730</v>
      </c>
      <c r="C158" s="69">
        <f>COUNTIFS(tblVideos[Day],"&gt;="&amp;$B158,tblVideos[Day],"&lt;"&amp;EDATE($B158,1),tblVideos[Channel ID],Channels!$E$6)</f>
        <v/>
      </c>
      <c r="D158" s="69">
        <f>COUNTIFS(tblVideos[Day],"&gt;="&amp;$B158,tblVideos[Day],"&lt;"&amp;EDATE($B158,1),tblVideos[Channel ID],Channels!$E$7)</f>
        <v/>
      </c>
      <c r="E158" s="69">
        <f>COUNTIFS(tblVideos[Day],"&gt;="&amp;$B158,tblVideos[Day],"&lt;"&amp;EDATE($B158,1),tblVideos[Channel ID],Channels!$E$8)</f>
        <v/>
      </c>
      <c r="F158" s="69">
        <f>COUNTIFS(tblVideos[Day],"&gt;="&amp;$B158,tblVideos[Day],"&lt;"&amp;EDATE($B158,1),tblVideos[Channel ID],Channels!$E$9)</f>
        <v/>
      </c>
      <c r="G158" s="69">
        <f>COUNTIFS(tblVideos[Day],"&gt;="&amp;$B158,tblVideos[Day],"&lt;"&amp;EDATE($B158,1),tblVideos[Channel ID],Channels!$E$10)</f>
        <v/>
      </c>
      <c r="H158" s="69">
        <f>COUNTIFS(tblVideos[Day],"&gt;="&amp;$B158,tblVideos[Day],"&lt;"&amp;EDATE($B158,1),tblVideos[Channel ID],Channels!$E$11)</f>
        <v/>
      </c>
      <c r="I158" s="78">
        <f>SUM(C158:H158)</f>
        <v/>
      </c>
      <c r="J158" s="79">
        <f>SUMIFS(tblVideos[Length],tblVideos[Day],"&gt;="&amp;$B158,tblVideos[Day],"&lt;"&amp;EDATE($B158,1))*24</f>
        <v/>
      </c>
      <c r="K158" s="69">
        <f>COUNTIFS(tblVideos[Watched On],"&gt;="&amp;$B158,tblVideos[Watched On],"&lt;"&amp;EDATE($B158,1),tblVideos[Status],"Watched")</f>
        <v/>
      </c>
      <c r="L158" s="79">
        <f>SUMIFS(tblVideos[Length],tblVideos[Watched On],"&gt;="&amp;$B158,tblVideos[Watched On],"&lt;"&amp;EDATE($B158,1),tblVideos[Status],"Watched")*24</f>
        <v/>
      </c>
      <c r="M158" s="84">
        <f>IF(I158=0,"Gap",IF(I158&gt;AVERAGE($I$135:$I$308)+2*STDEV($I$135:$I$308),"High",""))</f>
        <v/>
      </c>
    </row>
    <row r="159">
      <c r="B159" s="83" t="n">
        <v>41760</v>
      </c>
      <c r="C159" s="69">
        <f>COUNTIFS(tblVideos[Day],"&gt;="&amp;$B159,tblVideos[Day],"&lt;"&amp;EDATE($B159,1),tblVideos[Channel ID],Channels!$E$6)</f>
        <v/>
      </c>
      <c r="D159" s="69">
        <f>COUNTIFS(tblVideos[Day],"&gt;="&amp;$B159,tblVideos[Day],"&lt;"&amp;EDATE($B159,1),tblVideos[Channel ID],Channels!$E$7)</f>
        <v/>
      </c>
      <c r="E159" s="69">
        <f>COUNTIFS(tblVideos[Day],"&gt;="&amp;$B159,tblVideos[Day],"&lt;"&amp;EDATE($B159,1),tblVideos[Channel ID],Channels!$E$8)</f>
        <v/>
      </c>
      <c r="F159" s="69">
        <f>COUNTIFS(tblVideos[Day],"&gt;="&amp;$B159,tblVideos[Day],"&lt;"&amp;EDATE($B159,1),tblVideos[Channel ID],Channels!$E$9)</f>
        <v/>
      </c>
      <c r="G159" s="69">
        <f>COUNTIFS(tblVideos[Day],"&gt;="&amp;$B159,tblVideos[Day],"&lt;"&amp;EDATE($B159,1),tblVideos[Channel ID],Channels!$E$10)</f>
        <v/>
      </c>
      <c r="H159" s="69">
        <f>COUNTIFS(tblVideos[Day],"&gt;="&amp;$B159,tblVideos[Day],"&lt;"&amp;EDATE($B159,1),tblVideos[Channel ID],Channels!$E$11)</f>
        <v/>
      </c>
      <c r="I159" s="78">
        <f>SUM(C159:H159)</f>
        <v/>
      </c>
      <c r="J159" s="79">
        <f>SUMIFS(tblVideos[Length],tblVideos[Day],"&gt;="&amp;$B159,tblVideos[Day],"&lt;"&amp;EDATE($B159,1))*24</f>
        <v/>
      </c>
      <c r="K159" s="69">
        <f>COUNTIFS(tblVideos[Watched On],"&gt;="&amp;$B159,tblVideos[Watched On],"&lt;"&amp;EDATE($B159,1),tblVideos[Status],"Watched")</f>
        <v/>
      </c>
      <c r="L159" s="79">
        <f>SUMIFS(tblVideos[Length],tblVideos[Watched On],"&gt;="&amp;$B159,tblVideos[Watched On],"&lt;"&amp;EDATE($B159,1),tblVideos[Status],"Watched")*24</f>
        <v/>
      </c>
      <c r="M159" s="84">
        <f>IF(I159=0,"Gap",IF(I159&gt;AVERAGE($I$135:$I$308)+2*STDEV($I$135:$I$308),"High",""))</f>
        <v/>
      </c>
    </row>
    <row r="160">
      <c r="B160" s="83" t="n">
        <v>41791</v>
      </c>
      <c r="C160" s="69">
        <f>COUNTIFS(tblVideos[Day],"&gt;="&amp;$B160,tblVideos[Day],"&lt;"&amp;EDATE($B160,1),tblVideos[Channel ID],Channels!$E$6)</f>
        <v/>
      </c>
      <c r="D160" s="69">
        <f>COUNTIFS(tblVideos[Day],"&gt;="&amp;$B160,tblVideos[Day],"&lt;"&amp;EDATE($B160,1),tblVideos[Channel ID],Channels!$E$7)</f>
        <v/>
      </c>
      <c r="E160" s="69">
        <f>COUNTIFS(tblVideos[Day],"&gt;="&amp;$B160,tblVideos[Day],"&lt;"&amp;EDATE($B160,1),tblVideos[Channel ID],Channels!$E$8)</f>
        <v/>
      </c>
      <c r="F160" s="69">
        <f>COUNTIFS(tblVideos[Day],"&gt;="&amp;$B160,tblVideos[Day],"&lt;"&amp;EDATE($B160,1),tblVideos[Channel ID],Channels!$E$9)</f>
        <v/>
      </c>
      <c r="G160" s="69">
        <f>COUNTIFS(tblVideos[Day],"&gt;="&amp;$B160,tblVideos[Day],"&lt;"&amp;EDATE($B160,1),tblVideos[Channel ID],Channels!$E$10)</f>
        <v/>
      </c>
      <c r="H160" s="69">
        <f>COUNTIFS(tblVideos[Day],"&gt;="&amp;$B160,tblVideos[Day],"&lt;"&amp;EDATE($B160,1),tblVideos[Channel ID],Channels!$E$11)</f>
        <v/>
      </c>
      <c r="I160" s="78">
        <f>SUM(C160:H160)</f>
        <v/>
      </c>
      <c r="J160" s="79">
        <f>SUMIFS(tblVideos[Length],tblVideos[Day],"&gt;="&amp;$B160,tblVideos[Day],"&lt;"&amp;EDATE($B160,1))*24</f>
        <v/>
      </c>
      <c r="K160" s="69">
        <f>COUNTIFS(tblVideos[Watched On],"&gt;="&amp;$B160,tblVideos[Watched On],"&lt;"&amp;EDATE($B160,1),tblVideos[Status],"Watched")</f>
        <v/>
      </c>
      <c r="L160" s="79">
        <f>SUMIFS(tblVideos[Length],tblVideos[Watched On],"&gt;="&amp;$B160,tblVideos[Watched On],"&lt;"&amp;EDATE($B160,1),tblVideos[Status],"Watched")*24</f>
        <v/>
      </c>
      <c r="M160" s="84">
        <f>IF(I160=0,"Gap",IF(I160&gt;AVERAGE($I$135:$I$308)+2*STDEV($I$135:$I$308),"High",""))</f>
        <v/>
      </c>
    </row>
    <row r="161">
      <c r="B161" s="83" t="n">
        <v>41821</v>
      </c>
      <c r="C161" s="69">
        <f>COUNTIFS(tblVideos[Day],"&gt;="&amp;$B161,tblVideos[Day],"&lt;"&amp;EDATE($B161,1),tblVideos[Channel ID],Channels!$E$6)</f>
        <v/>
      </c>
      <c r="D161" s="69">
        <f>COUNTIFS(tblVideos[Day],"&gt;="&amp;$B161,tblVideos[Day],"&lt;"&amp;EDATE($B161,1),tblVideos[Channel ID],Channels!$E$7)</f>
        <v/>
      </c>
      <c r="E161" s="69">
        <f>COUNTIFS(tblVideos[Day],"&gt;="&amp;$B161,tblVideos[Day],"&lt;"&amp;EDATE($B161,1),tblVideos[Channel ID],Channels!$E$8)</f>
        <v/>
      </c>
      <c r="F161" s="69">
        <f>COUNTIFS(tblVideos[Day],"&gt;="&amp;$B161,tblVideos[Day],"&lt;"&amp;EDATE($B161,1),tblVideos[Channel ID],Channels!$E$9)</f>
        <v/>
      </c>
      <c r="G161" s="69">
        <f>COUNTIFS(tblVideos[Day],"&gt;="&amp;$B161,tblVideos[Day],"&lt;"&amp;EDATE($B161,1),tblVideos[Channel ID],Channels!$E$10)</f>
        <v/>
      </c>
      <c r="H161" s="69">
        <f>COUNTIFS(tblVideos[Day],"&gt;="&amp;$B161,tblVideos[Day],"&lt;"&amp;EDATE($B161,1),tblVideos[Channel ID],Channels!$E$11)</f>
        <v/>
      </c>
      <c r="I161" s="78">
        <f>SUM(C161:H161)</f>
        <v/>
      </c>
      <c r="J161" s="79">
        <f>SUMIFS(tblVideos[Length],tblVideos[Day],"&gt;="&amp;$B161,tblVideos[Day],"&lt;"&amp;EDATE($B161,1))*24</f>
        <v/>
      </c>
      <c r="K161" s="69">
        <f>COUNTIFS(tblVideos[Watched On],"&gt;="&amp;$B161,tblVideos[Watched On],"&lt;"&amp;EDATE($B161,1),tblVideos[Status],"Watched")</f>
        <v/>
      </c>
      <c r="L161" s="79">
        <f>SUMIFS(tblVideos[Length],tblVideos[Watched On],"&gt;="&amp;$B161,tblVideos[Watched On],"&lt;"&amp;EDATE($B161,1),tblVideos[Status],"Watched")*24</f>
        <v/>
      </c>
      <c r="M161" s="84">
        <f>IF(I161=0,"Gap",IF(I161&gt;AVERAGE($I$135:$I$308)+2*STDEV($I$135:$I$308),"High",""))</f>
        <v/>
      </c>
    </row>
    <row r="162">
      <c r="B162" s="83" t="n">
        <v>41852</v>
      </c>
      <c r="C162" s="69">
        <f>COUNTIFS(tblVideos[Day],"&gt;="&amp;$B162,tblVideos[Day],"&lt;"&amp;EDATE($B162,1),tblVideos[Channel ID],Channels!$E$6)</f>
        <v/>
      </c>
      <c r="D162" s="69">
        <f>COUNTIFS(tblVideos[Day],"&gt;="&amp;$B162,tblVideos[Day],"&lt;"&amp;EDATE($B162,1),tblVideos[Channel ID],Channels!$E$7)</f>
        <v/>
      </c>
      <c r="E162" s="69">
        <f>COUNTIFS(tblVideos[Day],"&gt;="&amp;$B162,tblVideos[Day],"&lt;"&amp;EDATE($B162,1),tblVideos[Channel ID],Channels!$E$8)</f>
        <v/>
      </c>
      <c r="F162" s="69">
        <f>COUNTIFS(tblVideos[Day],"&gt;="&amp;$B162,tblVideos[Day],"&lt;"&amp;EDATE($B162,1),tblVideos[Channel ID],Channels!$E$9)</f>
        <v/>
      </c>
      <c r="G162" s="69">
        <f>COUNTIFS(tblVideos[Day],"&gt;="&amp;$B162,tblVideos[Day],"&lt;"&amp;EDATE($B162,1),tblVideos[Channel ID],Channels!$E$10)</f>
        <v/>
      </c>
      <c r="H162" s="69">
        <f>COUNTIFS(tblVideos[Day],"&gt;="&amp;$B162,tblVideos[Day],"&lt;"&amp;EDATE($B162,1),tblVideos[Channel ID],Channels!$E$11)</f>
        <v/>
      </c>
      <c r="I162" s="78">
        <f>SUM(C162:H162)</f>
        <v/>
      </c>
      <c r="J162" s="79">
        <f>SUMIFS(tblVideos[Length],tblVideos[Day],"&gt;="&amp;$B162,tblVideos[Day],"&lt;"&amp;EDATE($B162,1))*24</f>
        <v/>
      </c>
      <c r="K162" s="69">
        <f>COUNTIFS(tblVideos[Watched On],"&gt;="&amp;$B162,tblVideos[Watched On],"&lt;"&amp;EDATE($B162,1),tblVideos[Status],"Watched")</f>
        <v/>
      </c>
      <c r="L162" s="79">
        <f>SUMIFS(tblVideos[Length],tblVideos[Watched On],"&gt;="&amp;$B162,tblVideos[Watched On],"&lt;"&amp;EDATE($B162,1),tblVideos[Status],"Watched")*24</f>
        <v/>
      </c>
      <c r="M162" s="84">
        <f>IF(I162=0,"Gap",IF(I162&gt;AVERAGE($I$135:$I$308)+2*STDEV($I$135:$I$308),"High",""))</f>
        <v/>
      </c>
    </row>
    <row r="163">
      <c r="B163" s="83" t="n">
        <v>41883</v>
      </c>
      <c r="C163" s="69">
        <f>COUNTIFS(tblVideos[Day],"&gt;="&amp;$B163,tblVideos[Day],"&lt;"&amp;EDATE($B163,1),tblVideos[Channel ID],Channels!$E$6)</f>
        <v/>
      </c>
      <c r="D163" s="69">
        <f>COUNTIFS(tblVideos[Day],"&gt;="&amp;$B163,tblVideos[Day],"&lt;"&amp;EDATE($B163,1),tblVideos[Channel ID],Channels!$E$7)</f>
        <v/>
      </c>
      <c r="E163" s="69">
        <f>COUNTIFS(tblVideos[Day],"&gt;="&amp;$B163,tblVideos[Day],"&lt;"&amp;EDATE($B163,1),tblVideos[Channel ID],Channels!$E$8)</f>
        <v/>
      </c>
      <c r="F163" s="69">
        <f>COUNTIFS(tblVideos[Day],"&gt;="&amp;$B163,tblVideos[Day],"&lt;"&amp;EDATE($B163,1),tblVideos[Channel ID],Channels!$E$9)</f>
        <v/>
      </c>
      <c r="G163" s="69">
        <f>COUNTIFS(tblVideos[Day],"&gt;="&amp;$B163,tblVideos[Day],"&lt;"&amp;EDATE($B163,1),tblVideos[Channel ID],Channels!$E$10)</f>
        <v/>
      </c>
      <c r="H163" s="69">
        <f>COUNTIFS(tblVideos[Day],"&gt;="&amp;$B163,tblVideos[Day],"&lt;"&amp;EDATE($B163,1),tblVideos[Channel ID],Channels!$E$11)</f>
        <v/>
      </c>
      <c r="I163" s="78">
        <f>SUM(C163:H163)</f>
        <v/>
      </c>
      <c r="J163" s="79">
        <f>SUMIFS(tblVideos[Length],tblVideos[Day],"&gt;="&amp;$B163,tblVideos[Day],"&lt;"&amp;EDATE($B163,1))*24</f>
        <v/>
      </c>
      <c r="K163" s="69">
        <f>COUNTIFS(tblVideos[Watched On],"&gt;="&amp;$B163,tblVideos[Watched On],"&lt;"&amp;EDATE($B163,1),tblVideos[Status],"Watched")</f>
        <v/>
      </c>
      <c r="L163" s="79">
        <f>SUMIFS(tblVideos[Length],tblVideos[Watched On],"&gt;="&amp;$B163,tblVideos[Watched On],"&lt;"&amp;EDATE($B163,1),tblVideos[Status],"Watched")*24</f>
        <v/>
      </c>
      <c r="M163" s="84">
        <f>IF(I163=0,"Gap",IF(I163&gt;AVERAGE($I$135:$I$308)+2*STDEV($I$135:$I$308),"High",""))</f>
        <v/>
      </c>
    </row>
    <row r="164">
      <c r="B164" s="83" t="n">
        <v>41913</v>
      </c>
      <c r="C164" s="69">
        <f>COUNTIFS(tblVideos[Day],"&gt;="&amp;$B164,tblVideos[Day],"&lt;"&amp;EDATE($B164,1),tblVideos[Channel ID],Channels!$E$6)</f>
        <v/>
      </c>
      <c r="D164" s="69">
        <f>COUNTIFS(tblVideos[Day],"&gt;="&amp;$B164,tblVideos[Day],"&lt;"&amp;EDATE($B164,1),tblVideos[Channel ID],Channels!$E$7)</f>
        <v/>
      </c>
      <c r="E164" s="69">
        <f>COUNTIFS(tblVideos[Day],"&gt;="&amp;$B164,tblVideos[Day],"&lt;"&amp;EDATE($B164,1),tblVideos[Channel ID],Channels!$E$8)</f>
        <v/>
      </c>
      <c r="F164" s="69">
        <f>COUNTIFS(tblVideos[Day],"&gt;="&amp;$B164,tblVideos[Day],"&lt;"&amp;EDATE($B164,1),tblVideos[Channel ID],Channels!$E$9)</f>
        <v/>
      </c>
      <c r="G164" s="69">
        <f>COUNTIFS(tblVideos[Day],"&gt;="&amp;$B164,tblVideos[Day],"&lt;"&amp;EDATE($B164,1),tblVideos[Channel ID],Channels!$E$10)</f>
        <v/>
      </c>
      <c r="H164" s="69">
        <f>COUNTIFS(tblVideos[Day],"&gt;="&amp;$B164,tblVideos[Day],"&lt;"&amp;EDATE($B164,1),tblVideos[Channel ID],Channels!$E$11)</f>
        <v/>
      </c>
      <c r="I164" s="78">
        <f>SUM(C164:H164)</f>
        <v/>
      </c>
      <c r="J164" s="79">
        <f>SUMIFS(tblVideos[Length],tblVideos[Day],"&gt;="&amp;$B164,tblVideos[Day],"&lt;"&amp;EDATE($B164,1))*24</f>
        <v/>
      </c>
      <c r="K164" s="69">
        <f>COUNTIFS(tblVideos[Watched On],"&gt;="&amp;$B164,tblVideos[Watched On],"&lt;"&amp;EDATE($B164,1),tblVideos[Status],"Watched")</f>
        <v/>
      </c>
      <c r="L164" s="79">
        <f>SUMIFS(tblVideos[Length],tblVideos[Watched On],"&gt;="&amp;$B164,tblVideos[Watched On],"&lt;"&amp;EDATE($B164,1),tblVideos[Status],"Watched")*24</f>
        <v/>
      </c>
      <c r="M164" s="84">
        <f>IF(I164=0,"Gap",IF(I164&gt;AVERAGE($I$135:$I$308)+2*STDEV($I$135:$I$308),"High",""))</f>
        <v/>
      </c>
    </row>
    <row r="165">
      <c r="B165" s="83" t="n">
        <v>41944</v>
      </c>
      <c r="C165" s="69">
        <f>COUNTIFS(tblVideos[Day],"&gt;="&amp;$B165,tblVideos[Day],"&lt;"&amp;EDATE($B165,1),tblVideos[Channel ID],Channels!$E$6)</f>
        <v/>
      </c>
      <c r="D165" s="69">
        <f>COUNTIFS(tblVideos[Day],"&gt;="&amp;$B165,tblVideos[Day],"&lt;"&amp;EDATE($B165,1),tblVideos[Channel ID],Channels!$E$7)</f>
        <v/>
      </c>
      <c r="E165" s="69">
        <f>COUNTIFS(tblVideos[Day],"&gt;="&amp;$B165,tblVideos[Day],"&lt;"&amp;EDATE($B165,1),tblVideos[Channel ID],Channels!$E$8)</f>
        <v/>
      </c>
      <c r="F165" s="69">
        <f>COUNTIFS(tblVideos[Day],"&gt;="&amp;$B165,tblVideos[Day],"&lt;"&amp;EDATE($B165,1),tblVideos[Channel ID],Channels!$E$9)</f>
        <v/>
      </c>
      <c r="G165" s="69">
        <f>COUNTIFS(tblVideos[Day],"&gt;="&amp;$B165,tblVideos[Day],"&lt;"&amp;EDATE($B165,1),tblVideos[Channel ID],Channels!$E$10)</f>
        <v/>
      </c>
      <c r="H165" s="69">
        <f>COUNTIFS(tblVideos[Day],"&gt;="&amp;$B165,tblVideos[Day],"&lt;"&amp;EDATE($B165,1),tblVideos[Channel ID],Channels!$E$11)</f>
        <v/>
      </c>
      <c r="I165" s="78">
        <f>SUM(C165:H165)</f>
        <v/>
      </c>
      <c r="J165" s="79">
        <f>SUMIFS(tblVideos[Length],tblVideos[Day],"&gt;="&amp;$B165,tblVideos[Day],"&lt;"&amp;EDATE($B165,1))*24</f>
        <v/>
      </c>
      <c r="K165" s="69">
        <f>COUNTIFS(tblVideos[Watched On],"&gt;="&amp;$B165,tblVideos[Watched On],"&lt;"&amp;EDATE($B165,1),tblVideos[Status],"Watched")</f>
        <v/>
      </c>
      <c r="L165" s="79">
        <f>SUMIFS(tblVideos[Length],tblVideos[Watched On],"&gt;="&amp;$B165,tblVideos[Watched On],"&lt;"&amp;EDATE($B165,1),tblVideos[Status],"Watched")*24</f>
        <v/>
      </c>
      <c r="M165" s="84">
        <f>IF(I165=0,"Gap",IF(I165&gt;AVERAGE($I$135:$I$308)+2*STDEV($I$135:$I$308),"High",""))</f>
        <v/>
      </c>
    </row>
    <row r="166">
      <c r="B166" s="83" t="n">
        <v>41974</v>
      </c>
      <c r="C166" s="69">
        <f>COUNTIFS(tblVideos[Day],"&gt;="&amp;$B166,tblVideos[Day],"&lt;"&amp;EDATE($B166,1),tblVideos[Channel ID],Channels!$E$6)</f>
        <v/>
      </c>
      <c r="D166" s="69">
        <f>COUNTIFS(tblVideos[Day],"&gt;="&amp;$B166,tblVideos[Day],"&lt;"&amp;EDATE($B166,1),tblVideos[Channel ID],Channels!$E$7)</f>
        <v/>
      </c>
      <c r="E166" s="69">
        <f>COUNTIFS(tblVideos[Day],"&gt;="&amp;$B166,tblVideos[Day],"&lt;"&amp;EDATE($B166,1),tblVideos[Channel ID],Channels!$E$8)</f>
        <v/>
      </c>
      <c r="F166" s="69">
        <f>COUNTIFS(tblVideos[Day],"&gt;="&amp;$B166,tblVideos[Day],"&lt;"&amp;EDATE($B166,1),tblVideos[Channel ID],Channels!$E$9)</f>
        <v/>
      </c>
      <c r="G166" s="69">
        <f>COUNTIFS(tblVideos[Day],"&gt;="&amp;$B166,tblVideos[Day],"&lt;"&amp;EDATE($B166,1),tblVideos[Channel ID],Channels!$E$10)</f>
        <v/>
      </c>
      <c r="H166" s="69">
        <f>COUNTIFS(tblVideos[Day],"&gt;="&amp;$B166,tblVideos[Day],"&lt;"&amp;EDATE($B166,1),tblVideos[Channel ID],Channels!$E$11)</f>
        <v/>
      </c>
      <c r="I166" s="78">
        <f>SUM(C166:H166)</f>
        <v/>
      </c>
      <c r="J166" s="79">
        <f>SUMIFS(tblVideos[Length],tblVideos[Day],"&gt;="&amp;$B166,tblVideos[Day],"&lt;"&amp;EDATE($B166,1))*24</f>
        <v/>
      </c>
      <c r="K166" s="69">
        <f>COUNTIFS(tblVideos[Watched On],"&gt;="&amp;$B166,tblVideos[Watched On],"&lt;"&amp;EDATE($B166,1),tblVideos[Status],"Watched")</f>
        <v/>
      </c>
      <c r="L166" s="79">
        <f>SUMIFS(tblVideos[Length],tblVideos[Watched On],"&gt;="&amp;$B166,tblVideos[Watched On],"&lt;"&amp;EDATE($B166,1),tblVideos[Status],"Watched")*24</f>
        <v/>
      </c>
      <c r="M166" s="84">
        <f>IF(I166=0,"Gap",IF(I166&gt;AVERAGE($I$135:$I$308)+2*STDEV($I$135:$I$308),"High",""))</f>
        <v/>
      </c>
    </row>
    <row r="167">
      <c r="B167" s="83" t="n">
        <v>42005</v>
      </c>
      <c r="C167" s="69">
        <f>COUNTIFS(tblVideos[Day],"&gt;="&amp;$B167,tblVideos[Day],"&lt;"&amp;EDATE($B167,1),tblVideos[Channel ID],Channels!$E$6)</f>
        <v/>
      </c>
      <c r="D167" s="69">
        <f>COUNTIFS(tblVideos[Day],"&gt;="&amp;$B167,tblVideos[Day],"&lt;"&amp;EDATE($B167,1),tblVideos[Channel ID],Channels!$E$7)</f>
        <v/>
      </c>
      <c r="E167" s="69">
        <f>COUNTIFS(tblVideos[Day],"&gt;="&amp;$B167,tblVideos[Day],"&lt;"&amp;EDATE($B167,1),tblVideos[Channel ID],Channels!$E$8)</f>
        <v/>
      </c>
      <c r="F167" s="69">
        <f>COUNTIFS(tblVideos[Day],"&gt;="&amp;$B167,tblVideos[Day],"&lt;"&amp;EDATE($B167,1),tblVideos[Channel ID],Channels!$E$9)</f>
        <v/>
      </c>
      <c r="G167" s="69">
        <f>COUNTIFS(tblVideos[Day],"&gt;="&amp;$B167,tblVideos[Day],"&lt;"&amp;EDATE($B167,1),tblVideos[Channel ID],Channels!$E$10)</f>
        <v/>
      </c>
      <c r="H167" s="69">
        <f>COUNTIFS(tblVideos[Day],"&gt;="&amp;$B167,tblVideos[Day],"&lt;"&amp;EDATE($B167,1),tblVideos[Channel ID],Channels!$E$11)</f>
        <v/>
      </c>
      <c r="I167" s="78">
        <f>SUM(C167:H167)</f>
        <v/>
      </c>
      <c r="J167" s="79">
        <f>SUMIFS(tblVideos[Length],tblVideos[Day],"&gt;="&amp;$B167,tblVideos[Day],"&lt;"&amp;EDATE($B167,1))*24</f>
        <v/>
      </c>
      <c r="K167" s="69">
        <f>COUNTIFS(tblVideos[Watched On],"&gt;="&amp;$B167,tblVideos[Watched On],"&lt;"&amp;EDATE($B167,1),tblVideos[Status],"Watched")</f>
        <v/>
      </c>
      <c r="L167" s="79">
        <f>SUMIFS(tblVideos[Length],tblVideos[Watched On],"&gt;="&amp;$B167,tblVideos[Watched On],"&lt;"&amp;EDATE($B167,1),tblVideos[Status],"Watched")*24</f>
        <v/>
      </c>
      <c r="M167" s="84">
        <f>IF(I167=0,"Gap",IF(I167&gt;AVERAGE($I$135:$I$308)+2*STDEV($I$135:$I$308),"High",""))</f>
        <v/>
      </c>
    </row>
    <row r="168">
      <c r="B168" s="83" t="n">
        <v>42036</v>
      </c>
      <c r="C168" s="69">
        <f>COUNTIFS(tblVideos[Day],"&gt;="&amp;$B168,tblVideos[Day],"&lt;"&amp;EDATE($B168,1),tblVideos[Channel ID],Channels!$E$6)</f>
        <v/>
      </c>
      <c r="D168" s="69">
        <f>COUNTIFS(tblVideos[Day],"&gt;="&amp;$B168,tblVideos[Day],"&lt;"&amp;EDATE($B168,1),tblVideos[Channel ID],Channels!$E$7)</f>
        <v/>
      </c>
      <c r="E168" s="69">
        <f>COUNTIFS(tblVideos[Day],"&gt;="&amp;$B168,tblVideos[Day],"&lt;"&amp;EDATE($B168,1),tblVideos[Channel ID],Channels!$E$8)</f>
        <v/>
      </c>
      <c r="F168" s="69">
        <f>COUNTIFS(tblVideos[Day],"&gt;="&amp;$B168,tblVideos[Day],"&lt;"&amp;EDATE($B168,1),tblVideos[Channel ID],Channels!$E$9)</f>
        <v/>
      </c>
      <c r="G168" s="69">
        <f>COUNTIFS(tblVideos[Day],"&gt;="&amp;$B168,tblVideos[Day],"&lt;"&amp;EDATE($B168,1),tblVideos[Channel ID],Channels!$E$10)</f>
        <v/>
      </c>
      <c r="H168" s="69">
        <f>COUNTIFS(tblVideos[Day],"&gt;="&amp;$B168,tblVideos[Day],"&lt;"&amp;EDATE($B168,1),tblVideos[Channel ID],Channels!$E$11)</f>
        <v/>
      </c>
      <c r="I168" s="78">
        <f>SUM(C168:H168)</f>
        <v/>
      </c>
      <c r="J168" s="79">
        <f>SUMIFS(tblVideos[Length],tblVideos[Day],"&gt;="&amp;$B168,tblVideos[Day],"&lt;"&amp;EDATE($B168,1))*24</f>
        <v/>
      </c>
      <c r="K168" s="69">
        <f>COUNTIFS(tblVideos[Watched On],"&gt;="&amp;$B168,tblVideos[Watched On],"&lt;"&amp;EDATE($B168,1),tblVideos[Status],"Watched")</f>
        <v/>
      </c>
      <c r="L168" s="79">
        <f>SUMIFS(tblVideos[Length],tblVideos[Watched On],"&gt;="&amp;$B168,tblVideos[Watched On],"&lt;"&amp;EDATE($B168,1),tblVideos[Status],"Watched")*24</f>
        <v/>
      </c>
      <c r="M168" s="84">
        <f>IF(I168=0,"Gap",IF(I168&gt;AVERAGE($I$135:$I$308)+2*STDEV($I$135:$I$308),"High",""))</f>
        <v/>
      </c>
    </row>
    <row r="169">
      <c r="B169" s="83" t="n">
        <v>42064</v>
      </c>
      <c r="C169" s="69">
        <f>COUNTIFS(tblVideos[Day],"&gt;="&amp;$B169,tblVideos[Day],"&lt;"&amp;EDATE($B169,1),tblVideos[Channel ID],Channels!$E$6)</f>
        <v/>
      </c>
      <c r="D169" s="69">
        <f>COUNTIFS(tblVideos[Day],"&gt;="&amp;$B169,tblVideos[Day],"&lt;"&amp;EDATE($B169,1),tblVideos[Channel ID],Channels!$E$7)</f>
        <v/>
      </c>
      <c r="E169" s="69">
        <f>COUNTIFS(tblVideos[Day],"&gt;="&amp;$B169,tblVideos[Day],"&lt;"&amp;EDATE($B169,1),tblVideos[Channel ID],Channels!$E$8)</f>
        <v/>
      </c>
      <c r="F169" s="69">
        <f>COUNTIFS(tblVideos[Day],"&gt;="&amp;$B169,tblVideos[Day],"&lt;"&amp;EDATE($B169,1),tblVideos[Channel ID],Channels!$E$9)</f>
        <v/>
      </c>
      <c r="G169" s="69">
        <f>COUNTIFS(tblVideos[Day],"&gt;="&amp;$B169,tblVideos[Day],"&lt;"&amp;EDATE($B169,1),tblVideos[Channel ID],Channels!$E$10)</f>
        <v/>
      </c>
      <c r="H169" s="69">
        <f>COUNTIFS(tblVideos[Day],"&gt;="&amp;$B169,tblVideos[Day],"&lt;"&amp;EDATE($B169,1),tblVideos[Channel ID],Channels!$E$11)</f>
        <v/>
      </c>
      <c r="I169" s="78">
        <f>SUM(C169:H169)</f>
        <v/>
      </c>
      <c r="J169" s="79">
        <f>SUMIFS(tblVideos[Length],tblVideos[Day],"&gt;="&amp;$B169,tblVideos[Day],"&lt;"&amp;EDATE($B169,1))*24</f>
        <v/>
      </c>
      <c r="K169" s="69">
        <f>COUNTIFS(tblVideos[Watched On],"&gt;="&amp;$B169,tblVideos[Watched On],"&lt;"&amp;EDATE($B169,1),tblVideos[Status],"Watched")</f>
        <v/>
      </c>
      <c r="L169" s="79">
        <f>SUMIFS(tblVideos[Length],tblVideos[Watched On],"&gt;="&amp;$B169,tblVideos[Watched On],"&lt;"&amp;EDATE($B169,1),tblVideos[Status],"Watched")*24</f>
        <v/>
      </c>
      <c r="M169" s="84">
        <f>IF(I169=0,"Gap",IF(I169&gt;AVERAGE($I$135:$I$308)+2*STDEV($I$135:$I$308),"High",""))</f>
        <v/>
      </c>
    </row>
    <row r="170">
      <c r="B170" s="83" t="n">
        <v>42095</v>
      </c>
      <c r="C170" s="69">
        <f>COUNTIFS(tblVideos[Day],"&gt;="&amp;$B170,tblVideos[Day],"&lt;"&amp;EDATE($B170,1),tblVideos[Channel ID],Channels!$E$6)</f>
        <v/>
      </c>
      <c r="D170" s="69">
        <f>COUNTIFS(tblVideos[Day],"&gt;="&amp;$B170,tblVideos[Day],"&lt;"&amp;EDATE($B170,1),tblVideos[Channel ID],Channels!$E$7)</f>
        <v/>
      </c>
      <c r="E170" s="69">
        <f>COUNTIFS(tblVideos[Day],"&gt;="&amp;$B170,tblVideos[Day],"&lt;"&amp;EDATE($B170,1),tblVideos[Channel ID],Channels!$E$8)</f>
        <v/>
      </c>
      <c r="F170" s="69">
        <f>COUNTIFS(tblVideos[Day],"&gt;="&amp;$B170,tblVideos[Day],"&lt;"&amp;EDATE($B170,1),tblVideos[Channel ID],Channels!$E$9)</f>
        <v/>
      </c>
      <c r="G170" s="69">
        <f>COUNTIFS(tblVideos[Day],"&gt;="&amp;$B170,tblVideos[Day],"&lt;"&amp;EDATE($B170,1),tblVideos[Channel ID],Channels!$E$10)</f>
        <v/>
      </c>
      <c r="H170" s="69">
        <f>COUNTIFS(tblVideos[Day],"&gt;="&amp;$B170,tblVideos[Day],"&lt;"&amp;EDATE($B170,1),tblVideos[Channel ID],Channels!$E$11)</f>
        <v/>
      </c>
      <c r="I170" s="78">
        <f>SUM(C170:H170)</f>
        <v/>
      </c>
      <c r="J170" s="79">
        <f>SUMIFS(tblVideos[Length],tblVideos[Day],"&gt;="&amp;$B170,tblVideos[Day],"&lt;"&amp;EDATE($B170,1))*24</f>
        <v/>
      </c>
      <c r="K170" s="69">
        <f>COUNTIFS(tblVideos[Watched On],"&gt;="&amp;$B170,tblVideos[Watched On],"&lt;"&amp;EDATE($B170,1),tblVideos[Status],"Watched")</f>
        <v/>
      </c>
      <c r="L170" s="79">
        <f>SUMIFS(tblVideos[Length],tblVideos[Watched On],"&gt;="&amp;$B170,tblVideos[Watched On],"&lt;"&amp;EDATE($B170,1),tblVideos[Status],"Watched")*24</f>
        <v/>
      </c>
      <c r="M170" s="84">
        <f>IF(I170=0,"Gap",IF(I170&gt;AVERAGE($I$135:$I$308)+2*STDEV($I$135:$I$308),"High",""))</f>
        <v/>
      </c>
    </row>
    <row r="171">
      <c r="B171" s="83" t="n">
        <v>42125</v>
      </c>
      <c r="C171" s="69">
        <f>COUNTIFS(tblVideos[Day],"&gt;="&amp;$B171,tblVideos[Day],"&lt;"&amp;EDATE($B171,1),tblVideos[Channel ID],Channels!$E$6)</f>
        <v/>
      </c>
      <c r="D171" s="69">
        <f>COUNTIFS(tblVideos[Day],"&gt;="&amp;$B171,tblVideos[Day],"&lt;"&amp;EDATE($B171,1),tblVideos[Channel ID],Channels!$E$7)</f>
        <v/>
      </c>
      <c r="E171" s="69">
        <f>COUNTIFS(tblVideos[Day],"&gt;="&amp;$B171,tblVideos[Day],"&lt;"&amp;EDATE($B171,1),tblVideos[Channel ID],Channels!$E$8)</f>
        <v/>
      </c>
      <c r="F171" s="69">
        <f>COUNTIFS(tblVideos[Day],"&gt;="&amp;$B171,tblVideos[Day],"&lt;"&amp;EDATE($B171,1),tblVideos[Channel ID],Channels!$E$9)</f>
        <v/>
      </c>
      <c r="G171" s="69">
        <f>COUNTIFS(tblVideos[Day],"&gt;="&amp;$B171,tblVideos[Day],"&lt;"&amp;EDATE($B171,1),tblVideos[Channel ID],Channels!$E$10)</f>
        <v/>
      </c>
      <c r="H171" s="69">
        <f>COUNTIFS(tblVideos[Day],"&gt;="&amp;$B171,tblVideos[Day],"&lt;"&amp;EDATE($B171,1),tblVideos[Channel ID],Channels!$E$11)</f>
        <v/>
      </c>
      <c r="I171" s="78">
        <f>SUM(C171:H171)</f>
        <v/>
      </c>
      <c r="J171" s="79">
        <f>SUMIFS(tblVideos[Length],tblVideos[Day],"&gt;="&amp;$B171,tblVideos[Day],"&lt;"&amp;EDATE($B171,1))*24</f>
        <v/>
      </c>
      <c r="K171" s="69">
        <f>COUNTIFS(tblVideos[Watched On],"&gt;="&amp;$B171,tblVideos[Watched On],"&lt;"&amp;EDATE($B171,1),tblVideos[Status],"Watched")</f>
        <v/>
      </c>
      <c r="L171" s="79">
        <f>SUMIFS(tblVideos[Length],tblVideos[Watched On],"&gt;="&amp;$B171,tblVideos[Watched On],"&lt;"&amp;EDATE($B171,1),tblVideos[Status],"Watched")*24</f>
        <v/>
      </c>
      <c r="M171" s="84">
        <f>IF(I171=0,"Gap",IF(I171&gt;AVERAGE($I$135:$I$308)+2*STDEV($I$135:$I$308),"High",""))</f>
        <v/>
      </c>
    </row>
    <row r="172">
      <c r="B172" s="83" t="n">
        <v>42156</v>
      </c>
      <c r="C172" s="69">
        <f>COUNTIFS(tblVideos[Day],"&gt;="&amp;$B172,tblVideos[Day],"&lt;"&amp;EDATE($B172,1),tblVideos[Channel ID],Channels!$E$6)</f>
        <v/>
      </c>
      <c r="D172" s="69">
        <f>COUNTIFS(tblVideos[Day],"&gt;="&amp;$B172,tblVideos[Day],"&lt;"&amp;EDATE($B172,1),tblVideos[Channel ID],Channels!$E$7)</f>
        <v/>
      </c>
      <c r="E172" s="69">
        <f>COUNTIFS(tblVideos[Day],"&gt;="&amp;$B172,tblVideos[Day],"&lt;"&amp;EDATE($B172,1),tblVideos[Channel ID],Channels!$E$8)</f>
        <v/>
      </c>
      <c r="F172" s="69">
        <f>COUNTIFS(tblVideos[Day],"&gt;="&amp;$B172,tblVideos[Day],"&lt;"&amp;EDATE($B172,1),tblVideos[Channel ID],Channels!$E$9)</f>
        <v/>
      </c>
      <c r="G172" s="69">
        <f>COUNTIFS(tblVideos[Day],"&gt;="&amp;$B172,tblVideos[Day],"&lt;"&amp;EDATE($B172,1),tblVideos[Channel ID],Channels!$E$10)</f>
        <v/>
      </c>
      <c r="H172" s="69">
        <f>COUNTIFS(tblVideos[Day],"&gt;="&amp;$B172,tblVideos[Day],"&lt;"&amp;EDATE($B172,1),tblVideos[Channel ID],Channels!$E$11)</f>
        <v/>
      </c>
      <c r="I172" s="78">
        <f>SUM(C172:H172)</f>
        <v/>
      </c>
      <c r="J172" s="79">
        <f>SUMIFS(tblVideos[Length],tblVideos[Day],"&gt;="&amp;$B172,tblVideos[Day],"&lt;"&amp;EDATE($B172,1))*24</f>
        <v/>
      </c>
      <c r="K172" s="69">
        <f>COUNTIFS(tblVideos[Watched On],"&gt;="&amp;$B172,tblVideos[Watched On],"&lt;"&amp;EDATE($B172,1),tblVideos[Status],"Watched")</f>
        <v/>
      </c>
      <c r="L172" s="79">
        <f>SUMIFS(tblVideos[Length],tblVideos[Watched On],"&gt;="&amp;$B172,tblVideos[Watched On],"&lt;"&amp;EDATE($B172,1),tblVideos[Status],"Watched")*24</f>
        <v/>
      </c>
      <c r="M172" s="84">
        <f>IF(I172=0,"Gap",IF(I172&gt;AVERAGE($I$135:$I$308)+2*STDEV($I$135:$I$308),"High",""))</f>
        <v/>
      </c>
    </row>
    <row r="173">
      <c r="B173" s="83" t="n">
        <v>42186</v>
      </c>
      <c r="C173" s="69">
        <f>COUNTIFS(tblVideos[Day],"&gt;="&amp;$B173,tblVideos[Day],"&lt;"&amp;EDATE($B173,1),tblVideos[Channel ID],Channels!$E$6)</f>
        <v/>
      </c>
      <c r="D173" s="69">
        <f>COUNTIFS(tblVideos[Day],"&gt;="&amp;$B173,tblVideos[Day],"&lt;"&amp;EDATE($B173,1),tblVideos[Channel ID],Channels!$E$7)</f>
        <v/>
      </c>
      <c r="E173" s="69">
        <f>COUNTIFS(tblVideos[Day],"&gt;="&amp;$B173,tblVideos[Day],"&lt;"&amp;EDATE($B173,1),tblVideos[Channel ID],Channels!$E$8)</f>
        <v/>
      </c>
      <c r="F173" s="69">
        <f>COUNTIFS(tblVideos[Day],"&gt;="&amp;$B173,tblVideos[Day],"&lt;"&amp;EDATE($B173,1),tblVideos[Channel ID],Channels!$E$9)</f>
        <v/>
      </c>
      <c r="G173" s="69">
        <f>COUNTIFS(tblVideos[Day],"&gt;="&amp;$B173,tblVideos[Day],"&lt;"&amp;EDATE($B173,1),tblVideos[Channel ID],Channels!$E$10)</f>
        <v/>
      </c>
      <c r="H173" s="69">
        <f>COUNTIFS(tblVideos[Day],"&gt;="&amp;$B173,tblVideos[Day],"&lt;"&amp;EDATE($B173,1),tblVideos[Channel ID],Channels!$E$11)</f>
        <v/>
      </c>
      <c r="I173" s="78">
        <f>SUM(C173:H173)</f>
        <v/>
      </c>
      <c r="J173" s="79">
        <f>SUMIFS(tblVideos[Length],tblVideos[Day],"&gt;="&amp;$B173,tblVideos[Day],"&lt;"&amp;EDATE($B173,1))*24</f>
        <v/>
      </c>
      <c r="K173" s="69">
        <f>COUNTIFS(tblVideos[Watched On],"&gt;="&amp;$B173,tblVideos[Watched On],"&lt;"&amp;EDATE($B173,1),tblVideos[Status],"Watched")</f>
        <v/>
      </c>
      <c r="L173" s="79">
        <f>SUMIFS(tblVideos[Length],tblVideos[Watched On],"&gt;="&amp;$B173,tblVideos[Watched On],"&lt;"&amp;EDATE($B173,1),tblVideos[Status],"Watched")*24</f>
        <v/>
      </c>
      <c r="M173" s="84">
        <f>IF(I173=0,"Gap",IF(I173&gt;AVERAGE($I$135:$I$308)+2*STDEV($I$135:$I$308),"High",""))</f>
        <v/>
      </c>
    </row>
    <row r="174">
      <c r="B174" s="83" t="n">
        <v>42217</v>
      </c>
      <c r="C174" s="69">
        <f>COUNTIFS(tblVideos[Day],"&gt;="&amp;$B174,tblVideos[Day],"&lt;"&amp;EDATE($B174,1),tblVideos[Channel ID],Channels!$E$6)</f>
        <v/>
      </c>
      <c r="D174" s="69">
        <f>COUNTIFS(tblVideos[Day],"&gt;="&amp;$B174,tblVideos[Day],"&lt;"&amp;EDATE($B174,1),tblVideos[Channel ID],Channels!$E$7)</f>
        <v/>
      </c>
      <c r="E174" s="69">
        <f>COUNTIFS(tblVideos[Day],"&gt;="&amp;$B174,tblVideos[Day],"&lt;"&amp;EDATE($B174,1),tblVideos[Channel ID],Channels!$E$8)</f>
        <v/>
      </c>
      <c r="F174" s="69">
        <f>COUNTIFS(tblVideos[Day],"&gt;="&amp;$B174,tblVideos[Day],"&lt;"&amp;EDATE($B174,1),tblVideos[Channel ID],Channels!$E$9)</f>
        <v/>
      </c>
      <c r="G174" s="69">
        <f>COUNTIFS(tblVideos[Day],"&gt;="&amp;$B174,tblVideos[Day],"&lt;"&amp;EDATE($B174,1),tblVideos[Channel ID],Channels!$E$10)</f>
        <v/>
      </c>
      <c r="H174" s="69">
        <f>COUNTIFS(tblVideos[Day],"&gt;="&amp;$B174,tblVideos[Day],"&lt;"&amp;EDATE($B174,1),tblVideos[Channel ID],Channels!$E$11)</f>
        <v/>
      </c>
      <c r="I174" s="78">
        <f>SUM(C174:H174)</f>
        <v/>
      </c>
      <c r="J174" s="79">
        <f>SUMIFS(tblVideos[Length],tblVideos[Day],"&gt;="&amp;$B174,tblVideos[Day],"&lt;"&amp;EDATE($B174,1))*24</f>
        <v/>
      </c>
      <c r="K174" s="69">
        <f>COUNTIFS(tblVideos[Watched On],"&gt;="&amp;$B174,tblVideos[Watched On],"&lt;"&amp;EDATE($B174,1),tblVideos[Status],"Watched")</f>
        <v/>
      </c>
      <c r="L174" s="79">
        <f>SUMIFS(tblVideos[Length],tblVideos[Watched On],"&gt;="&amp;$B174,tblVideos[Watched On],"&lt;"&amp;EDATE($B174,1),tblVideos[Status],"Watched")*24</f>
        <v/>
      </c>
      <c r="M174" s="84">
        <f>IF(I174=0,"Gap",IF(I174&gt;AVERAGE($I$135:$I$308)+2*STDEV($I$135:$I$308),"High",""))</f>
        <v/>
      </c>
    </row>
    <row r="175">
      <c r="B175" s="83" t="n">
        <v>42248</v>
      </c>
      <c r="C175" s="69">
        <f>COUNTIFS(tblVideos[Day],"&gt;="&amp;$B175,tblVideos[Day],"&lt;"&amp;EDATE($B175,1),tblVideos[Channel ID],Channels!$E$6)</f>
        <v/>
      </c>
      <c r="D175" s="69">
        <f>COUNTIFS(tblVideos[Day],"&gt;="&amp;$B175,tblVideos[Day],"&lt;"&amp;EDATE($B175,1),tblVideos[Channel ID],Channels!$E$7)</f>
        <v/>
      </c>
      <c r="E175" s="69">
        <f>COUNTIFS(tblVideos[Day],"&gt;="&amp;$B175,tblVideos[Day],"&lt;"&amp;EDATE($B175,1),tblVideos[Channel ID],Channels!$E$8)</f>
        <v/>
      </c>
      <c r="F175" s="69">
        <f>COUNTIFS(tblVideos[Day],"&gt;="&amp;$B175,tblVideos[Day],"&lt;"&amp;EDATE($B175,1),tblVideos[Channel ID],Channels!$E$9)</f>
        <v/>
      </c>
      <c r="G175" s="69">
        <f>COUNTIFS(tblVideos[Day],"&gt;="&amp;$B175,tblVideos[Day],"&lt;"&amp;EDATE($B175,1),tblVideos[Channel ID],Channels!$E$10)</f>
        <v/>
      </c>
      <c r="H175" s="69">
        <f>COUNTIFS(tblVideos[Day],"&gt;="&amp;$B175,tblVideos[Day],"&lt;"&amp;EDATE($B175,1),tblVideos[Channel ID],Channels!$E$11)</f>
        <v/>
      </c>
      <c r="I175" s="78">
        <f>SUM(C175:H175)</f>
        <v/>
      </c>
      <c r="J175" s="79">
        <f>SUMIFS(tblVideos[Length],tblVideos[Day],"&gt;="&amp;$B175,tblVideos[Day],"&lt;"&amp;EDATE($B175,1))*24</f>
        <v/>
      </c>
      <c r="K175" s="69">
        <f>COUNTIFS(tblVideos[Watched On],"&gt;="&amp;$B175,tblVideos[Watched On],"&lt;"&amp;EDATE($B175,1),tblVideos[Status],"Watched")</f>
        <v/>
      </c>
      <c r="L175" s="79">
        <f>SUMIFS(tblVideos[Length],tblVideos[Watched On],"&gt;="&amp;$B175,tblVideos[Watched On],"&lt;"&amp;EDATE($B175,1),tblVideos[Status],"Watched")*24</f>
        <v/>
      </c>
      <c r="M175" s="84">
        <f>IF(I175=0,"Gap",IF(I175&gt;AVERAGE($I$135:$I$308)+2*STDEV($I$135:$I$308),"High",""))</f>
        <v/>
      </c>
    </row>
    <row r="176">
      <c r="B176" s="83" t="n">
        <v>42278</v>
      </c>
      <c r="C176" s="69">
        <f>COUNTIFS(tblVideos[Day],"&gt;="&amp;$B176,tblVideos[Day],"&lt;"&amp;EDATE($B176,1),tblVideos[Channel ID],Channels!$E$6)</f>
        <v/>
      </c>
      <c r="D176" s="69">
        <f>COUNTIFS(tblVideos[Day],"&gt;="&amp;$B176,tblVideos[Day],"&lt;"&amp;EDATE($B176,1),tblVideos[Channel ID],Channels!$E$7)</f>
        <v/>
      </c>
      <c r="E176" s="69">
        <f>COUNTIFS(tblVideos[Day],"&gt;="&amp;$B176,tblVideos[Day],"&lt;"&amp;EDATE($B176,1),tblVideos[Channel ID],Channels!$E$8)</f>
        <v/>
      </c>
      <c r="F176" s="69">
        <f>COUNTIFS(tblVideos[Day],"&gt;="&amp;$B176,tblVideos[Day],"&lt;"&amp;EDATE($B176,1),tblVideos[Channel ID],Channels!$E$9)</f>
        <v/>
      </c>
      <c r="G176" s="69">
        <f>COUNTIFS(tblVideos[Day],"&gt;="&amp;$B176,tblVideos[Day],"&lt;"&amp;EDATE($B176,1),tblVideos[Channel ID],Channels!$E$10)</f>
        <v/>
      </c>
      <c r="H176" s="69">
        <f>COUNTIFS(tblVideos[Day],"&gt;="&amp;$B176,tblVideos[Day],"&lt;"&amp;EDATE($B176,1),tblVideos[Channel ID],Channels!$E$11)</f>
        <v/>
      </c>
      <c r="I176" s="78">
        <f>SUM(C176:H176)</f>
        <v/>
      </c>
      <c r="J176" s="79">
        <f>SUMIFS(tblVideos[Length],tblVideos[Day],"&gt;="&amp;$B176,tblVideos[Day],"&lt;"&amp;EDATE($B176,1))*24</f>
        <v/>
      </c>
      <c r="K176" s="69">
        <f>COUNTIFS(tblVideos[Watched On],"&gt;="&amp;$B176,tblVideos[Watched On],"&lt;"&amp;EDATE($B176,1),tblVideos[Status],"Watched")</f>
        <v/>
      </c>
      <c r="L176" s="79">
        <f>SUMIFS(tblVideos[Length],tblVideos[Watched On],"&gt;="&amp;$B176,tblVideos[Watched On],"&lt;"&amp;EDATE($B176,1),tblVideos[Status],"Watched")*24</f>
        <v/>
      </c>
      <c r="M176" s="84">
        <f>IF(I176=0,"Gap",IF(I176&gt;AVERAGE($I$135:$I$308)+2*STDEV($I$135:$I$308),"High",""))</f>
        <v/>
      </c>
    </row>
    <row r="177">
      <c r="B177" s="83" t="n">
        <v>42309</v>
      </c>
      <c r="C177" s="69">
        <f>COUNTIFS(tblVideos[Day],"&gt;="&amp;$B177,tblVideos[Day],"&lt;"&amp;EDATE($B177,1),tblVideos[Channel ID],Channels!$E$6)</f>
        <v/>
      </c>
      <c r="D177" s="69">
        <f>COUNTIFS(tblVideos[Day],"&gt;="&amp;$B177,tblVideos[Day],"&lt;"&amp;EDATE($B177,1),tblVideos[Channel ID],Channels!$E$7)</f>
        <v/>
      </c>
      <c r="E177" s="69">
        <f>COUNTIFS(tblVideos[Day],"&gt;="&amp;$B177,tblVideos[Day],"&lt;"&amp;EDATE($B177,1),tblVideos[Channel ID],Channels!$E$8)</f>
        <v/>
      </c>
      <c r="F177" s="69">
        <f>COUNTIFS(tblVideos[Day],"&gt;="&amp;$B177,tblVideos[Day],"&lt;"&amp;EDATE($B177,1),tblVideos[Channel ID],Channels!$E$9)</f>
        <v/>
      </c>
      <c r="G177" s="69">
        <f>COUNTIFS(tblVideos[Day],"&gt;="&amp;$B177,tblVideos[Day],"&lt;"&amp;EDATE($B177,1),tblVideos[Channel ID],Channels!$E$10)</f>
        <v/>
      </c>
      <c r="H177" s="69">
        <f>COUNTIFS(tblVideos[Day],"&gt;="&amp;$B177,tblVideos[Day],"&lt;"&amp;EDATE($B177,1),tblVideos[Channel ID],Channels!$E$11)</f>
        <v/>
      </c>
      <c r="I177" s="78">
        <f>SUM(C177:H177)</f>
        <v/>
      </c>
      <c r="J177" s="79">
        <f>SUMIFS(tblVideos[Length],tblVideos[Day],"&gt;="&amp;$B177,tblVideos[Day],"&lt;"&amp;EDATE($B177,1))*24</f>
        <v/>
      </c>
      <c r="K177" s="69">
        <f>COUNTIFS(tblVideos[Watched On],"&gt;="&amp;$B177,tblVideos[Watched On],"&lt;"&amp;EDATE($B177,1),tblVideos[Status],"Watched")</f>
        <v/>
      </c>
      <c r="L177" s="79">
        <f>SUMIFS(tblVideos[Length],tblVideos[Watched On],"&gt;="&amp;$B177,tblVideos[Watched On],"&lt;"&amp;EDATE($B177,1),tblVideos[Status],"Watched")*24</f>
        <v/>
      </c>
      <c r="M177" s="84">
        <f>IF(I177=0,"Gap",IF(I177&gt;AVERAGE($I$135:$I$308)+2*STDEV($I$135:$I$308),"High",""))</f>
        <v/>
      </c>
    </row>
    <row r="178">
      <c r="B178" s="83" t="n">
        <v>42339</v>
      </c>
      <c r="C178" s="69">
        <f>COUNTIFS(tblVideos[Day],"&gt;="&amp;$B178,tblVideos[Day],"&lt;"&amp;EDATE($B178,1),tblVideos[Channel ID],Channels!$E$6)</f>
        <v/>
      </c>
      <c r="D178" s="69">
        <f>COUNTIFS(tblVideos[Day],"&gt;="&amp;$B178,tblVideos[Day],"&lt;"&amp;EDATE($B178,1),tblVideos[Channel ID],Channels!$E$7)</f>
        <v/>
      </c>
      <c r="E178" s="69">
        <f>COUNTIFS(tblVideos[Day],"&gt;="&amp;$B178,tblVideos[Day],"&lt;"&amp;EDATE($B178,1),tblVideos[Channel ID],Channels!$E$8)</f>
        <v/>
      </c>
      <c r="F178" s="69">
        <f>COUNTIFS(tblVideos[Day],"&gt;="&amp;$B178,tblVideos[Day],"&lt;"&amp;EDATE($B178,1),tblVideos[Channel ID],Channels!$E$9)</f>
        <v/>
      </c>
      <c r="G178" s="69">
        <f>COUNTIFS(tblVideos[Day],"&gt;="&amp;$B178,tblVideos[Day],"&lt;"&amp;EDATE($B178,1),tblVideos[Channel ID],Channels!$E$10)</f>
        <v/>
      </c>
      <c r="H178" s="69">
        <f>COUNTIFS(tblVideos[Day],"&gt;="&amp;$B178,tblVideos[Day],"&lt;"&amp;EDATE($B178,1),tblVideos[Channel ID],Channels!$E$11)</f>
        <v/>
      </c>
      <c r="I178" s="78">
        <f>SUM(C178:H178)</f>
        <v/>
      </c>
      <c r="J178" s="79">
        <f>SUMIFS(tblVideos[Length],tblVideos[Day],"&gt;="&amp;$B178,tblVideos[Day],"&lt;"&amp;EDATE($B178,1))*24</f>
        <v/>
      </c>
      <c r="K178" s="69">
        <f>COUNTIFS(tblVideos[Watched On],"&gt;="&amp;$B178,tblVideos[Watched On],"&lt;"&amp;EDATE($B178,1),tblVideos[Status],"Watched")</f>
        <v/>
      </c>
      <c r="L178" s="79">
        <f>SUMIFS(tblVideos[Length],tblVideos[Watched On],"&gt;="&amp;$B178,tblVideos[Watched On],"&lt;"&amp;EDATE($B178,1),tblVideos[Status],"Watched")*24</f>
        <v/>
      </c>
      <c r="M178" s="84">
        <f>IF(I178=0,"Gap",IF(I178&gt;AVERAGE($I$135:$I$308)+2*STDEV($I$135:$I$308),"High",""))</f>
        <v/>
      </c>
    </row>
    <row r="179">
      <c r="B179" s="83" t="n">
        <v>42370</v>
      </c>
      <c r="C179" s="69">
        <f>COUNTIFS(tblVideos[Day],"&gt;="&amp;$B179,tblVideos[Day],"&lt;"&amp;EDATE($B179,1),tblVideos[Channel ID],Channels!$E$6)</f>
        <v/>
      </c>
      <c r="D179" s="69">
        <f>COUNTIFS(tblVideos[Day],"&gt;="&amp;$B179,tblVideos[Day],"&lt;"&amp;EDATE($B179,1),tblVideos[Channel ID],Channels!$E$7)</f>
        <v/>
      </c>
      <c r="E179" s="69">
        <f>COUNTIFS(tblVideos[Day],"&gt;="&amp;$B179,tblVideos[Day],"&lt;"&amp;EDATE($B179,1),tblVideos[Channel ID],Channels!$E$8)</f>
        <v/>
      </c>
      <c r="F179" s="69">
        <f>COUNTIFS(tblVideos[Day],"&gt;="&amp;$B179,tblVideos[Day],"&lt;"&amp;EDATE($B179,1),tblVideos[Channel ID],Channels!$E$9)</f>
        <v/>
      </c>
      <c r="G179" s="69">
        <f>COUNTIFS(tblVideos[Day],"&gt;="&amp;$B179,tblVideos[Day],"&lt;"&amp;EDATE($B179,1),tblVideos[Channel ID],Channels!$E$10)</f>
        <v/>
      </c>
      <c r="H179" s="69">
        <f>COUNTIFS(tblVideos[Day],"&gt;="&amp;$B179,tblVideos[Day],"&lt;"&amp;EDATE($B179,1),tblVideos[Channel ID],Channels!$E$11)</f>
        <v/>
      </c>
      <c r="I179" s="78">
        <f>SUM(C179:H179)</f>
        <v/>
      </c>
      <c r="J179" s="79">
        <f>SUMIFS(tblVideos[Length],tblVideos[Day],"&gt;="&amp;$B179,tblVideos[Day],"&lt;"&amp;EDATE($B179,1))*24</f>
        <v/>
      </c>
      <c r="K179" s="69">
        <f>COUNTIFS(tblVideos[Watched On],"&gt;="&amp;$B179,tblVideos[Watched On],"&lt;"&amp;EDATE($B179,1),tblVideos[Status],"Watched")</f>
        <v/>
      </c>
      <c r="L179" s="79">
        <f>SUMIFS(tblVideos[Length],tblVideos[Watched On],"&gt;="&amp;$B179,tblVideos[Watched On],"&lt;"&amp;EDATE($B179,1),tblVideos[Status],"Watched")*24</f>
        <v/>
      </c>
      <c r="M179" s="84">
        <f>IF(I179=0,"Gap",IF(I179&gt;AVERAGE($I$135:$I$308)+2*STDEV($I$135:$I$308),"High",""))</f>
        <v/>
      </c>
    </row>
    <row r="180">
      <c r="B180" s="83" t="n">
        <v>42401</v>
      </c>
      <c r="C180" s="69">
        <f>COUNTIFS(tblVideos[Day],"&gt;="&amp;$B180,tblVideos[Day],"&lt;"&amp;EDATE($B180,1),tblVideos[Channel ID],Channels!$E$6)</f>
        <v/>
      </c>
      <c r="D180" s="69">
        <f>COUNTIFS(tblVideos[Day],"&gt;="&amp;$B180,tblVideos[Day],"&lt;"&amp;EDATE($B180,1),tblVideos[Channel ID],Channels!$E$7)</f>
        <v/>
      </c>
      <c r="E180" s="69">
        <f>COUNTIFS(tblVideos[Day],"&gt;="&amp;$B180,tblVideos[Day],"&lt;"&amp;EDATE($B180,1),tblVideos[Channel ID],Channels!$E$8)</f>
        <v/>
      </c>
      <c r="F180" s="69">
        <f>COUNTIFS(tblVideos[Day],"&gt;="&amp;$B180,tblVideos[Day],"&lt;"&amp;EDATE($B180,1),tblVideos[Channel ID],Channels!$E$9)</f>
        <v/>
      </c>
      <c r="G180" s="69">
        <f>COUNTIFS(tblVideos[Day],"&gt;="&amp;$B180,tblVideos[Day],"&lt;"&amp;EDATE($B180,1),tblVideos[Channel ID],Channels!$E$10)</f>
        <v/>
      </c>
      <c r="H180" s="69">
        <f>COUNTIFS(tblVideos[Day],"&gt;="&amp;$B180,tblVideos[Day],"&lt;"&amp;EDATE($B180,1),tblVideos[Channel ID],Channels!$E$11)</f>
        <v/>
      </c>
      <c r="I180" s="78">
        <f>SUM(C180:H180)</f>
        <v/>
      </c>
      <c r="J180" s="79">
        <f>SUMIFS(tblVideos[Length],tblVideos[Day],"&gt;="&amp;$B180,tblVideos[Day],"&lt;"&amp;EDATE($B180,1))*24</f>
        <v/>
      </c>
      <c r="K180" s="69">
        <f>COUNTIFS(tblVideos[Watched On],"&gt;="&amp;$B180,tblVideos[Watched On],"&lt;"&amp;EDATE($B180,1),tblVideos[Status],"Watched")</f>
        <v/>
      </c>
      <c r="L180" s="79">
        <f>SUMIFS(tblVideos[Length],tblVideos[Watched On],"&gt;="&amp;$B180,tblVideos[Watched On],"&lt;"&amp;EDATE($B180,1),tblVideos[Status],"Watched")*24</f>
        <v/>
      </c>
      <c r="M180" s="84">
        <f>IF(I180=0,"Gap",IF(I180&gt;AVERAGE($I$135:$I$308)+2*STDEV($I$135:$I$308),"High",""))</f>
        <v/>
      </c>
    </row>
    <row r="181">
      <c r="B181" s="83" t="n">
        <v>42430</v>
      </c>
      <c r="C181" s="69">
        <f>COUNTIFS(tblVideos[Day],"&gt;="&amp;$B181,tblVideos[Day],"&lt;"&amp;EDATE($B181,1),tblVideos[Channel ID],Channels!$E$6)</f>
        <v/>
      </c>
      <c r="D181" s="69">
        <f>COUNTIFS(tblVideos[Day],"&gt;="&amp;$B181,tblVideos[Day],"&lt;"&amp;EDATE($B181,1),tblVideos[Channel ID],Channels!$E$7)</f>
        <v/>
      </c>
      <c r="E181" s="69">
        <f>COUNTIFS(tblVideos[Day],"&gt;="&amp;$B181,tblVideos[Day],"&lt;"&amp;EDATE($B181,1),tblVideos[Channel ID],Channels!$E$8)</f>
        <v/>
      </c>
      <c r="F181" s="69">
        <f>COUNTIFS(tblVideos[Day],"&gt;="&amp;$B181,tblVideos[Day],"&lt;"&amp;EDATE($B181,1),tblVideos[Channel ID],Channels!$E$9)</f>
        <v/>
      </c>
      <c r="G181" s="69">
        <f>COUNTIFS(tblVideos[Day],"&gt;="&amp;$B181,tblVideos[Day],"&lt;"&amp;EDATE($B181,1),tblVideos[Channel ID],Channels!$E$10)</f>
        <v/>
      </c>
      <c r="H181" s="69">
        <f>COUNTIFS(tblVideos[Day],"&gt;="&amp;$B181,tblVideos[Day],"&lt;"&amp;EDATE($B181,1),tblVideos[Channel ID],Channels!$E$11)</f>
        <v/>
      </c>
      <c r="I181" s="78">
        <f>SUM(C181:H181)</f>
        <v/>
      </c>
      <c r="J181" s="79">
        <f>SUMIFS(tblVideos[Length],tblVideos[Day],"&gt;="&amp;$B181,tblVideos[Day],"&lt;"&amp;EDATE($B181,1))*24</f>
        <v/>
      </c>
      <c r="K181" s="69">
        <f>COUNTIFS(tblVideos[Watched On],"&gt;="&amp;$B181,tblVideos[Watched On],"&lt;"&amp;EDATE($B181,1),tblVideos[Status],"Watched")</f>
        <v/>
      </c>
      <c r="L181" s="79">
        <f>SUMIFS(tblVideos[Length],tblVideos[Watched On],"&gt;="&amp;$B181,tblVideos[Watched On],"&lt;"&amp;EDATE($B181,1),tblVideos[Status],"Watched")*24</f>
        <v/>
      </c>
      <c r="M181" s="84">
        <f>IF(I181=0,"Gap",IF(I181&gt;AVERAGE($I$135:$I$308)+2*STDEV($I$135:$I$308),"High",""))</f>
        <v/>
      </c>
    </row>
    <row r="182">
      <c r="B182" s="83" t="n">
        <v>42461</v>
      </c>
      <c r="C182" s="69">
        <f>COUNTIFS(tblVideos[Day],"&gt;="&amp;$B182,tblVideos[Day],"&lt;"&amp;EDATE($B182,1),tblVideos[Channel ID],Channels!$E$6)</f>
        <v/>
      </c>
      <c r="D182" s="69">
        <f>COUNTIFS(tblVideos[Day],"&gt;="&amp;$B182,tblVideos[Day],"&lt;"&amp;EDATE($B182,1),tblVideos[Channel ID],Channels!$E$7)</f>
        <v/>
      </c>
      <c r="E182" s="69">
        <f>COUNTIFS(tblVideos[Day],"&gt;="&amp;$B182,tblVideos[Day],"&lt;"&amp;EDATE($B182,1),tblVideos[Channel ID],Channels!$E$8)</f>
        <v/>
      </c>
      <c r="F182" s="69">
        <f>COUNTIFS(tblVideos[Day],"&gt;="&amp;$B182,tblVideos[Day],"&lt;"&amp;EDATE($B182,1),tblVideos[Channel ID],Channels!$E$9)</f>
        <v/>
      </c>
      <c r="G182" s="69">
        <f>COUNTIFS(tblVideos[Day],"&gt;="&amp;$B182,tblVideos[Day],"&lt;"&amp;EDATE($B182,1),tblVideos[Channel ID],Channels!$E$10)</f>
        <v/>
      </c>
      <c r="H182" s="69">
        <f>COUNTIFS(tblVideos[Day],"&gt;="&amp;$B182,tblVideos[Day],"&lt;"&amp;EDATE($B182,1),tblVideos[Channel ID],Channels!$E$11)</f>
        <v/>
      </c>
      <c r="I182" s="78">
        <f>SUM(C182:H182)</f>
        <v/>
      </c>
      <c r="J182" s="79">
        <f>SUMIFS(tblVideos[Length],tblVideos[Day],"&gt;="&amp;$B182,tblVideos[Day],"&lt;"&amp;EDATE($B182,1))*24</f>
        <v/>
      </c>
      <c r="K182" s="69">
        <f>COUNTIFS(tblVideos[Watched On],"&gt;="&amp;$B182,tblVideos[Watched On],"&lt;"&amp;EDATE($B182,1),tblVideos[Status],"Watched")</f>
        <v/>
      </c>
      <c r="L182" s="79">
        <f>SUMIFS(tblVideos[Length],tblVideos[Watched On],"&gt;="&amp;$B182,tblVideos[Watched On],"&lt;"&amp;EDATE($B182,1),tblVideos[Status],"Watched")*24</f>
        <v/>
      </c>
      <c r="M182" s="84">
        <f>IF(I182=0,"Gap",IF(I182&gt;AVERAGE($I$135:$I$308)+2*STDEV($I$135:$I$308),"High",""))</f>
        <v/>
      </c>
    </row>
    <row r="183">
      <c r="B183" s="83" t="n">
        <v>42491</v>
      </c>
      <c r="C183" s="69">
        <f>COUNTIFS(tblVideos[Day],"&gt;="&amp;$B183,tblVideos[Day],"&lt;"&amp;EDATE($B183,1),tblVideos[Channel ID],Channels!$E$6)</f>
        <v/>
      </c>
      <c r="D183" s="69">
        <f>COUNTIFS(tblVideos[Day],"&gt;="&amp;$B183,tblVideos[Day],"&lt;"&amp;EDATE($B183,1),tblVideos[Channel ID],Channels!$E$7)</f>
        <v/>
      </c>
      <c r="E183" s="69">
        <f>COUNTIFS(tblVideos[Day],"&gt;="&amp;$B183,tblVideos[Day],"&lt;"&amp;EDATE($B183,1),tblVideos[Channel ID],Channels!$E$8)</f>
        <v/>
      </c>
      <c r="F183" s="69">
        <f>COUNTIFS(tblVideos[Day],"&gt;="&amp;$B183,tblVideos[Day],"&lt;"&amp;EDATE($B183,1),tblVideos[Channel ID],Channels!$E$9)</f>
        <v/>
      </c>
      <c r="G183" s="69">
        <f>COUNTIFS(tblVideos[Day],"&gt;="&amp;$B183,tblVideos[Day],"&lt;"&amp;EDATE($B183,1),tblVideos[Channel ID],Channels!$E$10)</f>
        <v/>
      </c>
      <c r="H183" s="69">
        <f>COUNTIFS(tblVideos[Day],"&gt;="&amp;$B183,tblVideos[Day],"&lt;"&amp;EDATE($B183,1),tblVideos[Channel ID],Channels!$E$11)</f>
        <v/>
      </c>
      <c r="I183" s="78">
        <f>SUM(C183:H183)</f>
        <v/>
      </c>
      <c r="J183" s="79">
        <f>SUMIFS(tblVideos[Length],tblVideos[Day],"&gt;="&amp;$B183,tblVideos[Day],"&lt;"&amp;EDATE($B183,1))*24</f>
        <v/>
      </c>
      <c r="K183" s="69">
        <f>COUNTIFS(tblVideos[Watched On],"&gt;="&amp;$B183,tblVideos[Watched On],"&lt;"&amp;EDATE($B183,1),tblVideos[Status],"Watched")</f>
        <v/>
      </c>
      <c r="L183" s="79">
        <f>SUMIFS(tblVideos[Length],tblVideos[Watched On],"&gt;="&amp;$B183,tblVideos[Watched On],"&lt;"&amp;EDATE($B183,1),tblVideos[Status],"Watched")*24</f>
        <v/>
      </c>
      <c r="M183" s="84">
        <f>IF(I183=0,"Gap",IF(I183&gt;AVERAGE($I$135:$I$308)+2*STDEV($I$135:$I$308),"High",""))</f>
        <v/>
      </c>
    </row>
    <row r="184">
      <c r="B184" s="83" t="n">
        <v>42522</v>
      </c>
      <c r="C184" s="69">
        <f>COUNTIFS(tblVideos[Day],"&gt;="&amp;$B184,tblVideos[Day],"&lt;"&amp;EDATE($B184,1),tblVideos[Channel ID],Channels!$E$6)</f>
        <v/>
      </c>
      <c r="D184" s="69">
        <f>COUNTIFS(tblVideos[Day],"&gt;="&amp;$B184,tblVideos[Day],"&lt;"&amp;EDATE($B184,1),tblVideos[Channel ID],Channels!$E$7)</f>
        <v/>
      </c>
      <c r="E184" s="69">
        <f>COUNTIFS(tblVideos[Day],"&gt;="&amp;$B184,tblVideos[Day],"&lt;"&amp;EDATE($B184,1),tblVideos[Channel ID],Channels!$E$8)</f>
        <v/>
      </c>
      <c r="F184" s="69">
        <f>COUNTIFS(tblVideos[Day],"&gt;="&amp;$B184,tblVideos[Day],"&lt;"&amp;EDATE($B184,1),tblVideos[Channel ID],Channels!$E$9)</f>
        <v/>
      </c>
      <c r="G184" s="69">
        <f>COUNTIFS(tblVideos[Day],"&gt;="&amp;$B184,tblVideos[Day],"&lt;"&amp;EDATE($B184,1),tblVideos[Channel ID],Channels!$E$10)</f>
        <v/>
      </c>
      <c r="H184" s="69">
        <f>COUNTIFS(tblVideos[Day],"&gt;="&amp;$B184,tblVideos[Day],"&lt;"&amp;EDATE($B184,1),tblVideos[Channel ID],Channels!$E$11)</f>
        <v/>
      </c>
      <c r="I184" s="78">
        <f>SUM(C184:H184)</f>
        <v/>
      </c>
      <c r="J184" s="79">
        <f>SUMIFS(tblVideos[Length],tblVideos[Day],"&gt;="&amp;$B184,tblVideos[Day],"&lt;"&amp;EDATE($B184,1))*24</f>
        <v/>
      </c>
      <c r="K184" s="69">
        <f>COUNTIFS(tblVideos[Watched On],"&gt;="&amp;$B184,tblVideos[Watched On],"&lt;"&amp;EDATE($B184,1),tblVideos[Status],"Watched")</f>
        <v/>
      </c>
      <c r="L184" s="79">
        <f>SUMIFS(tblVideos[Length],tblVideos[Watched On],"&gt;="&amp;$B184,tblVideos[Watched On],"&lt;"&amp;EDATE($B184,1),tblVideos[Status],"Watched")*24</f>
        <v/>
      </c>
      <c r="M184" s="84">
        <f>IF(I184=0,"Gap",IF(I184&gt;AVERAGE($I$135:$I$308)+2*STDEV($I$135:$I$308),"High",""))</f>
        <v/>
      </c>
    </row>
    <row r="185">
      <c r="B185" s="83" t="n">
        <v>42552</v>
      </c>
      <c r="C185" s="69">
        <f>COUNTIFS(tblVideos[Day],"&gt;="&amp;$B185,tblVideos[Day],"&lt;"&amp;EDATE($B185,1),tblVideos[Channel ID],Channels!$E$6)</f>
        <v/>
      </c>
      <c r="D185" s="69">
        <f>COUNTIFS(tblVideos[Day],"&gt;="&amp;$B185,tblVideos[Day],"&lt;"&amp;EDATE($B185,1),tblVideos[Channel ID],Channels!$E$7)</f>
        <v/>
      </c>
      <c r="E185" s="69">
        <f>COUNTIFS(tblVideos[Day],"&gt;="&amp;$B185,tblVideos[Day],"&lt;"&amp;EDATE($B185,1),tblVideos[Channel ID],Channels!$E$8)</f>
        <v/>
      </c>
      <c r="F185" s="69">
        <f>COUNTIFS(tblVideos[Day],"&gt;="&amp;$B185,tblVideos[Day],"&lt;"&amp;EDATE($B185,1),tblVideos[Channel ID],Channels!$E$9)</f>
        <v/>
      </c>
      <c r="G185" s="69">
        <f>COUNTIFS(tblVideos[Day],"&gt;="&amp;$B185,tblVideos[Day],"&lt;"&amp;EDATE($B185,1),tblVideos[Channel ID],Channels!$E$10)</f>
        <v/>
      </c>
      <c r="H185" s="69">
        <f>COUNTIFS(tblVideos[Day],"&gt;="&amp;$B185,tblVideos[Day],"&lt;"&amp;EDATE($B185,1),tblVideos[Channel ID],Channels!$E$11)</f>
        <v/>
      </c>
      <c r="I185" s="78">
        <f>SUM(C185:H185)</f>
        <v/>
      </c>
      <c r="J185" s="79">
        <f>SUMIFS(tblVideos[Length],tblVideos[Day],"&gt;="&amp;$B185,tblVideos[Day],"&lt;"&amp;EDATE($B185,1))*24</f>
        <v/>
      </c>
      <c r="K185" s="69">
        <f>COUNTIFS(tblVideos[Watched On],"&gt;="&amp;$B185,tblVideos[Watched On],"&lt;"&amp;EDATE($B185,1),tblVideos[Status],"Watched")</f>
        <v/>
      </c>
      <c r="L185" s="79">
        <f>SUMIFS(tblVideos[Length],tblVideos[Watched On],"&gt;="&amp;$B185,tblVideos[Watched On],"&lt;"&amp;EDATE($B185,1),tblVideos[Status],"Watched")*24</f>
        <v/>
      </c>
      <c r="M185" s="84">
        <f>IF(I185=0,"Gap",IF(I185&gt;AVERAGE($I$135:$I$308)+2*STDEV($I$135:$I$308),"High",""))</f>
        <v/>
      </c>
    </row>
    <row r="186">
      <c r="B186" s="83" t="n">
        <v>42583</v>
      </c>
      <c r="C186" s="69">
        <f>COUNTIFS(tblVideos[Day],"&gt;="&amp;$B186,tblVideos[Day],"&lt;"&amp;EDATE($B186,1),tblVideos[Channel ID],Channels!$E$6)</f>
        <v/>
      </c>
      <c r="D186" s="69">
        <f>COUNTIFS(tblVideos[Day],"&gt;="&amp;$B186,tblVideos[Day],"&lt;"&amp;EDATE($B186,1),tblVideos[Channel ID],Channels!$E$7)</f>
        <v/>
      </c>
      <c r="E186" s="69">
        <f>COUNTIFS(tblVideos[Day],"&gt;="&amp;$B186,tblVideos[Day],"&lt;"&amp;EDATE($B186,1),tblVideos[Channel ID],Channels!$E$8)</f>
        <v/>
      </c>
      <c r="F186" s="69">
        <f>COUNTIFS(tblVideos[Day],"&gt;="&amp;$B186,tblVideos[Day],"&lt;"&amp;EDATE($B186,1),tblVideos[Channel ID],Channels!$E$9)</f>
        <v/>
      </c>
      <c r="G186" s="69">
        <f>COUNTIFS(tblVideos[Day],"&gt;="&amp;$B186,tblVideos[Day],"&lt;"&amp;EDATE($B186,1),tblVideos[Channel ID],Channels!$E$10)</f>
        <v/>
      </c>
      <c r="H186" s="69">
        <f>COUNTIFS(tblVideos[Day],"&gt;="&amp;$B186,tblVideos[Day],"&lt;"&amp;EDATE($B186,1),tblVideos[Channel ID],Channels!$E$11)</f>
        <v/>
      </c>
      <c r="I186" s="78">
        <f>SUM(C186:H186)</f>
        <v/>
      </c>
      <c r="J186" s="79">
        <f>SUMIFS(tblVideos[Length],tblVideos[Day],"&gt;="&amp;$B186,tblVideos[Day],"&lt;"&amp;EDATE($B186,1))*24</f>
        <v/>
      </c>
      <c r="K186" s="69">
        <f>COUNTIFS(tblVideos[Watched On],"&gt;="&amp;$B186,tblVideos[Watched On],"&lt;"&amp;EDATE($B186,1),tblVideos[Status],"Watched")</f>
        <v/>
      </c>
      <c r="L186" s="79">
        <f>SUMIFS(tblVideos[Length],tblVideos[Watched On],"&gt;="&amp;$B186,tblVideos[Watched On],"&lt;"&amp;EDATE($B186,1),tblVideos[Status],"Watched")*24</f>
        <v/>
      </c>
      <c r="M186" s="84">
        <f>IF(I186=0,"Gap",IF(I186&gt;AVERAGE($I$135:$I$308)+2*STDEV($I$135:$I$308),"High",""))</f>
        <v/>
      </c>
    </row>
    <row r="187">
      <c r="B187" s="83" t="n">
        <v>42614</v>
      </c>
      <c r="C187" s="69">
        <f>COUNTIFS(tblVideos[Day],"&gt;="&amp;$B187,tblVideos[Day],"&lt;"&amp;EDATE($B187,1),tblVideos[Channel ID],Channels!$E$6)</f>
        <v/>
      </c>
      <c r="D187" s="69">
        <f>COUNTIFS(tblVideos[Day],"&gt;="&amp;$B187,tblVideos[Day],"&lt;"&amp;EDATE($B187,1),tblVideos[Channel ID],Channels!$E$7)</f>
        <v/>
      </c>
      <c r="E187" s="69">
        <f>COUNTIFS(tblVideos[Day],"&gt;="&amp;$B187,tblVideos[Day],"&lt;"&amp;EDATE($B187,1),tblVideos[Channel ID],Channels!$E$8)</f>
        <v/>
      </c>
      <c r="F187" s="69">
        <f>COUNTIFS(tblVideos[Day],"&gt;="&amp;$B187,tblVideos[Day],"&lt;"&amp;EDATE($B187,1),tblVideos[Channel ID],Channels!$E$9)</f>
        <v/>
      </c>
      <c r="G187" s="69">
        <f>COUNTIFS(tblVideos[Day],"&gt;="&amp;$B187,tblVideos[Day],"&lt;"&amp;EDATE($B187,1),tblVideos[Channel ID],Channels!$E$10)</f>
        <v/>
      </c>
      <c r="H187" s="69">
        <f>COUNTIFS(tblVideos[Day],"&gt;="&amp;$B187,tblVideos[Day],"&lt;"&amp;EDATE($B187,1),tblVideos[Channel ID],Channels!$E$11)</f>
        <v/>
      </c>
      <c r="I187" s="78">
        <f>SUM(C187:H187)</f>
        <v/>
      </c>
      <c r="J187" s="79">
        <f>SUMIFS(tblVideos[Length],tblVideos[Day],"&gt;="&amp;$B187,tblVideos[Day],"&lt;"&amp;EDATE($B187,1))*24</f>
        <v/>
      </c>
      <c r="K187" s="69">
        <f>COUNTIFS(tblVideos[Watched On],"&gt;="&amp;$B187,tblVideos[Watched On],"&lt;"&amp;EDATE($B187,1),tblVideos[Status],"Watched")</f>
        <v/>
      </c>
      <c r="L187" s="79">
        <f>SUMIFS(tblVideos[Length],tblVideos[Watched On],"&gt;="&amp;$B187,tblVideos[Watched On],"&lt;"&amp;EDATE($B187,1),tblVideos[Status],"Watched")*24</f>
        <v/>
      </c>
      <c r="M187" s="84">
        <f>IF(I187=0,"Gap",IF(I187&gt;AVERAGE($I$135:$I$308)+2*STDEV($I$135:$I$308),"High",""))</f>
        <v/>
      </c>
    </row>
    <row r="188">
      <c r="B188" s="83" t="n">
        <v>42644</v>
      </c>
      <c r="C188" s="69">
        <f>COUNTIFS(tblVideos[Day],"&gt;="&amp;$B188,tblVideos[Day],"&lt;"&amp;EDATE($B188,1),tblVideos[Channel ID],Channels!$E$6)</f>
        <v/>
      </c>
      <c r="D188" s="69">
        <f>COUNTIFS(tblVideos[Day],"&gt;="&amp;$B188,tblVideos[Day],"&lt;"&amp;EDATE($B188,1),tblVideos[Channel ID],Channels!$E$7)</f>
        <v/>
      </c>
      <c r="E188" s="69">
        <f>COUNTIFS(tblVideos[Day],"&gt;="&amp;$B188,tblVideos[Day],"&lt;"&amp;EDATE($B188,1),tblVideos[Channel ID],Channels!$E$8)</f>
        <v/>
      </c>
      <c r="F188" s="69">
        <f>COUNTIFS(tblVideos[Day],"&gt;="&amp;$B188,tblVideos[Day],"&lt;"&amp;EDATE($B188,1),tblVideos[Channel ID],Channels!$E$9)</f>
        <v/>
      </c>
      <c r="G188" s="69">
        <f>COUNTIFS(tblVideos[Day],"&gt;="&amp;$B188,tblVideos[Day],"&lt;"&amp;EDATE($B188,1),tblVideos[Channel ID],Channels!$E$10)</f>
        <v/>
      </c>
      <c r="H188" s="69">
        <f>COUNTIFS(tblVideos[Day],"&gt;="&amp;$B188,tblVideos[Day],"&lt;"&amp;EDATE($B188,1),tblVideos[Channel ID],Channels!$E$11)</f>
        <v/>
      </c>
      <c r="I188" s="78">
        <f>SUM(C188:H188)</f>
        <v/>
      </c>
      <c r="J188" s="79">
        <f>SUMIFS(tblVideos[Length],tblVideos[Day],"&gt;="&amp;$B188,tblVideos[Day],"&lt;"&amp;EDATE($B188,1))*24</f>
        <v/>
      </c>
      <c r="K188" s="69">
        <f>COUNTIFS(tblVideos[Watched On],"&gt;="&amp;$B188,tblVideos[Watched On],"&lt;"&amp;EDATE($B188,1),tblVideos[Status],"Watched")</f>
        <v/>
      </c>
      <c r="L188" s="79">
        <f>SUMIFS(tblVideos[Length],tblVideos[Watched On],"&gt;="&amp;$B188,tblVideos[Watched On],"&lt;"&amp;EDATE($B188,1),tblVideos[Status],"Watched")*24</f>
        <v/>
      </c>
      <c r="M188" s="84">
        <f>IF(I188=0,"Gap",IF(I188&gt;AVERAGE($I$135:$I$308)+2*STDEV($I$135:$I$308),"High",""))</f>
        <v/>
      </c>
    </row>
    <row r="189">
      <c r="B189" s="83" t="n">
        <v>42675</v>
      </c>
      <c r="C189" s="69">
        <f>COUNTIFS(tblVideos[Day],"&gt;="&amp;$B189,tblVideos[Day],"&lt;"&amp;EDATE($B189,1),tblVideos[Channel ID],Channels!$E$6)</f>
        <v/>
      </c>
      <c r="D189" s="69">
        <f>COUNTIFS(tblVideos[Day],"&gt;="&amp;$B189,tblVideos[Day],"&lt;"&amp;EDATE($B189,1),tblVideos[Channel ID],Channels!$E$7)</f>
        <v/>
      </c>
      <c r="E189" s="69">
        <f>COUNTIFS(tblVideos[Day],"&gt;="&amp;$B189,tblVideos[Day],"&lt;"&amp;EDATE($B189,1),tblVideos[Channel ID],Channels!$E$8)</f>
        <v/>
      </c>
      <c r="F189" s="69">
        <f>COUNTIFS(tblVideos[Day],"&gt;="&amp;$B189,tblVideos[Day],"&lt;"&amp;EDATE($B189,1),tblVideos[Channel ID],Channels!$E$9)</f>
        <v/>
      </c>
      <c r="G189" s="69">
        <f>COUNTIFS(tblVideos[Day],"&gt;="&amp;$B189,tblVideos[Day],"&lt;"&amp;EDATE($B189,1),tblVideos[Channel ID],Channels!$E$10)</f>
        <v/>
      </c>
      <c r="H189" s="69">
        <f>COUNTIFS(tblVideos[Day],"&gt;="&amp;$B189,tblVideos[Day],"&lt;"&amp;EDATE($B189,1),tblVideos[Channel ID],Channels!$E$11)</f>
        <v/>
      </c>
      <c r="I189" s="78">
        <f>SUM(C189:H189)</f>
        <v/>
      </c>
      <c r="J189" s="79">
        <f>SUMIFS(tblVideos[Length],tblVideos[Day],"&gt;="&amp;$B189,tblVideos[Day],"&lt;"&amp;EDATE($B189,1))*24</f>
        <v/>
      </c>
      <c r="K189" s="69">
        <f>COUNTIFS(tblVideos[Watched On],"&gt;="&amp;$B189,tblVideos[Watched On],"&lt;"&amp;EDATE($B189,1),tblVideos[Status],"Watched")</f>
        <v/>
      </c>
      <c r="L189" s="79">
        <f>SUMIFS(tblVideos[Length],tblVideos[Watched On],"&gt;="&amp;$B189,tblVideos[Watched On],"&lt;"&amp;EDATE($B189,1),tblVideos[Status],"Watched")*24</f>
        <v/>
      </c>
      <c r="M189" s="84">
        <f>IF(I189=0,"Gap",IF(I189&gt;AVERAGE($I$135:$I$308)+2*STDEV($I$135:$I$308),"High",""))</f>
        <v/>
      </c>
    </row>
    <row r="190">
      <c r="B190" s="83" t="n">
        <v>42705</v>
      </c>
      <c r="C190" s="69">
        <f>COUNTIFS(tblVideos[Day],"&gt;="&amp;$B190,tblVideos[Day],"&lt;"&amp;EDATE($B190,1),tblVideos[Channel ID],Channels!$E$6)</f>
        <v/>
      </c>
      <c r="D190" s="69">
        <f>COUNTIFS(tblVideos[Day],"&gt;="&amp;$B190,tblVideos[Day],"&lt;"&amp;EDATE($B190,1),tblVideos[Channel ID],Channels!$E$7)</f>
        <v/>
      </c>
      <c r="E190" s="69">
        <f>COUNTIFS(tblVideos[Day],"&gt;="&amp;$B190,tblVideos[Day],"&lt;"&amp;EDATE($B190,1),tblVideos[Channel ID],Channels!$E$8)</f>
        <v/>
      </c>
      <c r="F190" s="69">
        <f>COUNTIFS(tblVideos[Day],"&gt;="&amp;$B190,tblVideos[Day],"&lt;"&amp;EDATE($B190,1),tblVideos[Channel ID],Channels!$E$9)</f>
        <v/>
      </c>
      <c r="G190" s="69">
        <f>COUNTIFS(tblVideos[Day],"&gt;="&amp;$B190,tblVideos[Day],"&lt;"&amp;EDATE($B190,1),tblVideos[Channel ID],Channels!$E$10)</f>
        <v/>
      </c>
      <c r="H190" s="69">
        <f>COUNTIFS(tblVideos[Day],"&gt;="&amp;$B190,tblVideos[Day],"&lt;"&amp;EDATE($B190,1),tblVideos[Channel ID],Channels!$E$11)</f>
        <v/>
      </c>
      <c r="I190" s="78">
        <f>SUM(C190:H190)</f>
        <v/>
      </c>
      <c r="J190" s="79">
        <f>SUMIFS(tblVideos[Length],tblVideos[Day],"&gt;="&amp;$B190,tblVideos[Day],"&lt;"&amp;EDATE($B190,1))*24</f>
        <v/>
      </c>
      <c r="K190" s="69">
        <f>COUNTIFS(tblVideos[Watched On],"&gt;="&amp;$B190,tblVideos[Watched On],"&lt;"&amp;EDATE($B190,1),tblVideos[Status],"Watched")</f>
        <v/>
      </c>
      <c r="L190" s="79">
        <f>SUMIFS(tblVideos[Length],tblVideos[Watched On],"&gt;="&amp;$B190,tblVideos[Watched On],"&lt;"&amp;EDATE($B190,1),tblVideos[Status],"Watched")*24</f>
        <v/>
      </c>
      <c r="M190" s="84">
        <f>IF(I190=0,"Gap",IF(I190&gt;AVERAGE($I$135:$I$308)+2*STDEV($I$135:$I$308),"High",""))</f>
        <v/>
      </c>
    </row>
    <row r="191">
      <c r="B191" s="83" t="n">
        <v>42736</v>
      </c>
      <c r="C191" s="69">
        <f>COUNTIFS(tblVideos[Day],"&gt;="&amp;$B191,tblVideos[Day],"&lt;"&amp;EDATE($B191,1),tblVideos[Channel ID],Channels!$E$6)</f>
        <v/>
      </c>
      <c r="D191" s="69">
        <f>COUNTIFS(tblVideos[Day],"&gt;="&amp;$B191,tblVideos[Day],"&lt;"&amp;EDATE($B191,1),tblVideos[Channel ID],Channels!$E$7)</f>
        <v/>
      </c>
      <c r="E191" s="69">
        <f>COUNTIFS(tblVideos[Day],"&gt;="&amp;$B191,tblVideos[Day],"&lt;"&amp;EDATE($B191,1),tblVideos[Channel ID],Channels!$E$8)</f>
        <v/>
      </c>
      <c r="F191" s="69">
        <f>COUNTIFS(tblVideos[Day],"&gt;="&amp;$B191,tblVideos[Day],"&lt;"&amp;EDATE($B191,1),tblVideos[Channel ID],Channels!$E$9)</f>
        <v/>
      </c>
      <c r="G191" s="69">
        <f>COUNTIFS(tblVideos[Day],"&gt;="&amp;$B191,tblVideos[Day],"&lt;"&amp;EDATE($B191,1),tblVideos[Channel ID],Channels!$E$10)</f>
        <v/>
      </c>
      <c r="H191" s="69">
        <f>COUNTIFS(tblVideos[Day],"&gt;="&amp;$B191,tblVideos[Day],"&lt;"&amp;EDATE($B191,1),tblVideos[Channel ID],Channels!$E$11)</f>
        <v/>
      </c>
      <c r="I191" s="78">
        <f>SUM(C191:H191)</f>
        <v/>
      </c>
      <c r="J191" s="79">
        <f>SUMIFS(tblVideos[Length],tblVideos[Day],"&gt;="&amp;$B191,tblVideos[Day],"&lt;"&amp;EDATE($B191,1))*24</f>
        <v/>
      </c>
      <c r="K191" s="69">
        <f>COUNTIFS(tblVideos[Watched On],"&gt;="&amp;$B191,tblVideos[Watched On],"&lt;"&amp;EDATE($B191,1),tblVideos[Status],"Watched")</f>
        <v/>
      </c>
      <c r="L191" s="79">
        <f>SUMIFS(tblVideos[Length],tblVideos[Watched On],"&gt;="&amp;$B191,tblVideos[Watched On],"&lt;"&amp;EDATE($B191,1),tblVideos[Status],"Watched")*24</f>
        <v/>
      </c>
      <c r="M191" s="84">
        <f>IF(I191=0,"Gap",IF(I191&gt;AVERAGE($I$135:$I$308)+2*STDEV($I$135:$I$308),"High",""))</f>
        <v/>
      </c>
    </row>
    <row r="192">
      <c r="B192" s="83" t="n">
        <v>42767</v>
      </c>
      <c r="C192" s="69">
        <f>COUNTIFS(tblVideos[Day],"&gt;="&amp;$B192,tblVideos[Day],"&lt;"&amp;EDATE($B192,1),tblVideos[Channel ID],Channels!$E$6)</f>
        <v/>
      </c>
      <c r="D192" s="69">
        <f>COUNTIFS(tblVideos[Day],"&gt;="&amp;$B192,tblVideos[Day],"&lt;"&amp;EDATE($B192,1),tblVideos[Channel ID],Channels!$E$7)</f>
        <v/>
      </c>
      <c r="E192" s="69">
        <f>COUNTIFS(tblVideos[Day],"&gt;="&amp;$B192,tblVideos[Day],"&lt;"&amp;EDATE($B192,1),tblVideos[Channel ID],Channels!$E$8)</f>
        <v/>
      </c>
      <c r="F192" s="69">
        <f>COUNTIFS(tblVideos[Day],"&gt;="&amp;$B192,tblVideos[Day],"&lt;"&amp;EDATE($B192,1),tblVideos[Channel ID],Channels!$E$9)</f>
        <v/>
      </c>
      <c r="G192" s="69">
        <f>COUNTIFS(tblVideos[Day],"&gt;="&amp;$B192,tblVideos[Day],"&lt;"&amp;EDATE($B192,1),tblVideos[Channel ID],Channels!$E$10)</f>
        <v/>
      </c>
      <c r="H192" s="69">
        <f>COUNTIFS(tblVideos[Day],"&gt;="&amp;$B192,tblVideos[Day],"&lt;"&amp;EDATE($B192,1),tblVideos[Channel ID],Channels!$E$11)</f>
        <v/>
      </c>
      <c r="I192" s="78">
        <f>SUM(C192:H192)</f>
        <v/>
      </c>
      <c r="J192" s="79">
        <f>SUMIFS(tblVideos[Length],tblVideos[Day],"&gt;="&amp;$B192,tblVideos[Day],"&lt;"&amp;EDATE($B192,1))*24</f>
        <v/>
      </c>
      <c r="K192" s="69">
        <f>COUNTIFS(tblVideos[Watched On],"&gt;="&amp;$B192,tblVideos[Watched On],"&lt;"&amp;EDATE($B192,1),tblVideos[Status],"Watched")</f>
        <v/>
      </c>
      <c r="L192" s="79">
        <f>SUMIFS(tblVideos[Length],tblVideos[Watched On],"&gt;="&amp;$B192,tblVideos[Watched On],"&lt;"&amp;EDATE($B192,1),tblVideos[Status],"Watched")*24</f>
        <v/>
      </c>
      <c r="M192" s="84">
        <f>IF(I192=0,"Gap",IF(I192&gt;AVERAGE($I$135:$I$308)+2*STDEV($I$135:$I$308),"High",""))</f>
        <v/>
      </c>
    </row>
    <row r="193">
      <c r="B193" s="83" t="n">
        <v>42795</v>
      </c>
      <c r="C193" s="69">
        <f>COUNTIFS(tblVideos[Day],"&gt;="&amp;$B193,tblVideos[Day],"&lt;"&amp;EDATE($B193,1),tblVideos[Channel ID],Channels!$E$6)</f>
        <v/>
      </c>
      <c r="D193" s="69">
        <f>COUNTIFS(tblVideos[Day],"&gt;="&amp;$B193,tblVideos[Day],"&lt;"&amp;EDATE($B193,1),tblVideos[Channel ID],Channels!$E$7)</f>
        <v/>
      </c>
      <c r="E193" s="69">
        <f>COUNTIFS(tblVideos[Day],"&gt;="&amp;$B193,tblVideos[Day],"&lt;"&amp;EDATE($B193,1),tblVideos[Channel ID],Channels!$E$8)</f>
        <v/>
      </c>
      <c r="F193" s="69">
        <f>COUNTIFS(tblVideos[Day],"&gt;="&amp;$B193,tblVideos[Day],"&lt;"&amp;EDATE($B193,1),tblVideos[Channel ID],Channels!$E$9)</f>
        <v/>
      </c>
      <c r="G193" s="69">
        <f>COUNTIFS(tblVideos[Day],"&gt;="&amp;$B193,tblVideos[Day],"&lt;"&amp;EDATE($B193,1),tblVideos[Channel ID],Channels!$E$10)</f>
        <v/>
      </c>
      <c r="H193" s="69">
        <f>COUNTIFS(tblVideos[Day],"&gt;="&amp;$B193,tblVideos[Day],"&lt;"&amp;EDATE($B193,1),tblVideos[Channel ID],Channels!$E$11)</f>
        <v/>
      </c>
      <c r="I193" s="78">
        <f>SUM(C193:H193)</f>
        <v/>
      </c>
      <c r="J193" s="79">
        <f>SUMIFS(tblVideos[Length],tblVideos[Day],"&gt;="&amp;$B193,tblVideos[Day],"&lt;"&amp;EDATE($B193,1))*24</f>
        <v/>
      </c>
      <c r="K193" s="69">
        <f>COUNTIFS(tblVideos[Watched On],"&gt;="&amp;$B193,tblVideos[Watched On],"&lt;"&amp;EDATE($B193,1),tblVideos[Status],"Watched")</f>
        <v/>
      </c>
      <c r="L193" s="79">
        <f>SUMIFS(tblVideos[Length],tblVideos[Watched On],"&gt;="&amp;$B193,tblVideos[Watched On],"&lt;"&amp;EDATE($B193,1),tblVideos[Status],"Watched")*24</f>
        <v/>
      </c>
      <c r="M193" s="84">
        <f>IF(I193=0,"Gap",IF(I193&gt;AVERAGE($I$135:$I$308)+2*STDEV($I$135:$I$308),"High",""))</f>
        <v/>
      </c>
    </row>
    <row r="194">
      <c r="B194" s="83" t="n">
        <v>42826</v>
      </c>
      <c r="C194" s="69">
        <f>COUNTIFS(tblVideos[Day],"&gt;="&amp;$B194,tblVideos[Day],"&lt;"&amp;EDATE($B194,1),tblVideos[Channel ID],Channels!$E$6)</f>
        <v/>
      </c>
      <c r="D194" s="69">
        <f>COUNTIFS(tblVideos[Day],"&gt;="&amp;$B194,tblVideos[Day],"&lt;"&amp;EDATE($B194,1),tblVideos[Channel ID],Channels!$E$7)</f>
        <v/>
      </c>
      <c r="E194" s="69">
        <f>COUNTIFS(tblVideos[Day],"&gt;="&amp;$B194,tblVideos[Day],"&lt;"&amp;EDATE($B194,1),tblVideos[Channel ID],Channels!$E$8)</f>
        <v/>
      </c>
      <c r="F194" s="69">
        <f>COUNTIFS(tblVideos[Day],"&gt;="&amp;$B194,tblVideos[Day],"&lt;"&amp;EDATE($B194,1),tblVideos[Channel ID],Channels!$E$9)</f>
        <v/>
      </c>
      <c r="G194" s="69">
        <f>COUNTIFS(tblVideos[Day],"&gt;="&amp;$B194,tblVideos[Day],"&lt;"&amp;EDATE($B194,1),tblVideos[Channel ID],Channels!$E$10)</f>
        <v/>
      </c>
      <c r="H194" s="69">
        <f>COUNTIFS(tblVideos[Day],"&gt;="&amp;$B194,tblVideos[Day],"&lt;"&amp;EDATE($B194,1),tblVideos[Channel ID],Channels!$E$11)</f>
        <v/>
      </c>
      <c r="I194" s="78">
        <f>SUM(C194:H194)</f>
        <v/>
      </c>
      <c r="J194" s="79">
        <f>SUMIFS(tblVideos[Length],tblVideos[Day],"&gt;="&amp;$B194,tblVideos[Day],"&lt;"&amp;EDATE($B194,1))*24</f>
        <v/>
      </c>
      <c r="K194" s="69">
        <f>COUNTIFS(tblVideos[Watched On],"&gt;="&amp;$B194,tblVideos[Watched On],"&lt;"&amp;EDATE($B194,1),tblVideos[Status],"Watched")</f>
        <v/>
      </c>
      <c r="L194" s="79">
        <f>SUMIFS(tblVideos[Length],tblVideos[Watched On],"&gt;="&amp;$B194,tblVideos[Watched On],"&lt;"&amp;EDATE($B194,1),tblVideos[Status],"Watched")*24</f>
        <v/>
      </c>
      <c r="M194" s="84">
        <f>IF(I194=0,"Gap",IF(I194&gt;AVERAGE($I$135:$I$308)+2*STDEV($I$135:$I$308),"High",""))</f>
        <v/>
      </c>
    </row>
    <row r="195">
      <c r="B195" s="83" t="n">
        <v>42856</v>
      </c>
      <c r="C195" s="69">
        <f>COUNTIFS(tblVideos[Day],"&gt;="&amp;$B195,tblVideos[Day],"&lt;"&amp;EDATE($B195,1),tblVideos[Channel ID],Channels!$E$6)</f>
        <v/>
      </c>
      <c r="D195" s="69">
        <f>COUNTIFS(tblVideos[Day],"&gt;="&amp;$B195,tblVideos[Day],"&lt;"&amp;EDATE($B195,1),tblVideos[Channel ID],Channels!$E$7)</f>
        <v/>
      </c>
      <c r="E195" s="69">
        <f>COUNTIFS(tblVideos[Day],"&gt;="&amp;$B195,tblVideos[Day],"&lt;"&amp;EDATE($B195,1),tblVideos[Channel ID],Channels!$E$8)</f>
        <v/>
      </c>
      <c r="F195" s="69">
        <f>COUNTIFS(tblVideos[Day],"&gt;="&amp;$B195,tblVideos[Day],"&lt;"&amp;EDATE($B195,1),tblVideos[Channel ID],Channels!$E$9)</f>
        <v/>
      </c>
      <c r="G195" s="69">
        <f>COUNTIFS(tblVideos[Day],"&gt;="&amp;$B195,tblVideos[Day],"&lt;"&amp;EDATE($B195,1),tblVideos[Channel ID],Channels!$E$10)</f>
        <v/>
      </c>
      <c r="H195" s="69">
        <f>COUNTIFS(tblVideos[Day],"&gt;="&amp;$B195,tblVideos[Day],"&lt;"&amp;EDATE($B195,1),tblVideos[Channel ID],Channels!$E$11)</f>
        <v/>
      </c>
      <c r="I195" s="78">
        <f>SUM(C195:H195)</f>
        <v/>
      </c>
      <c r="J195" s="79">
        <f>SUMIFS(tblVideos[Length],tblVideos[Day],"&gt;="&amp;$B195,tblVideos[Day],"&lt;"&amp;EDATE($B195,1))*24</f>
        <v/>
      </c>
      <c r="K195" s="69">
        <f>COUNTIFS(tblVideos[Watched On],"&gt;="&amp;$B195,tblVideos[Watched On],"&lt;"&amp;EDATE($B195,1),tblVideos[Status],"Watched")</f>
        <v/>
      </c>
      <c r="L195" s="79">
        <f>SUMIFS(tblVideos[Length],tblVideos[Watched On],"&gt;="&amp;$B195,tblVideos[Watched On],"&lt;"&amp;EDATE($B195,1),tblVideos[Status],"Watched")*24</f>
        <v/>
      </c>
      <c r="M195" s="84">
        <f>IF(I195=0,"Gap",IF(I195&gt;AVERAGE($I$135:$I$308)+2*STDEV($I$135:$I$308),"High",""))</f>
        <v/>
      </c>
    </row>
    <row r="196">
      <c r="B196" s="83" t="n">
        <v>42887</v>
      </c>
      <c r="C196" s="69">
        <f>COUNTIFS(tblVideos[Day],"&gt;="&amp;$B196,tblVideos[Day],"&lt;"&amp;EDATE($B196,1),tblVideos[Channel ID],Channels!$E$6)</f>
        <v/>
      </c>
      <c r="D196" s="69">
        <f>COUNTIFS(tblVideos[Day],"&gt;="&amp;$B196,tblVideos[Day],"&lt;"&amp;EDATE($B196,1),tblVideos[Channel ID],Channels!$E$7)</f>
        <v/>
      </c>
      <c r="E196" s="69">
        <f>COUNTIFS(tblVideos[Day],"&gt;="&amp;$B196,tblVideos[Day],"&lt;"&amp;EDATE($B196,1),tblVideos[Channel ID],Channels!$E$8)</f>
        <v/>
      </c>
      <c r="F196" s="69">
        <f>COUNTIFS(tblVideos[Day],"&gt;="&amp;$B196,tblVideos[Day],"&lt;"&amp;EDATE($B196,1),tblVideos[Channel ID],Channels!$E$9)</f>
        <v/>
      </c>
      <c r="G196" s="69">
        <f>COUNTIFS(tblVideos[Day],"&gt;="&amp;$B196,tblVideos[Day],"&lt;"&amp;EDATE($B196,1),tblVideos[Channel ID],Channels!$E$10)</f>
        <v/>
      </c>
      <c r="H196" s="69">
        <f>COUNTIFS(tblVideos[Day],"&gt;="&amp;$B196,tblVideos[Day],"&lt;"&amp;EDATE($B196,1),tblVideos[Channel ID],Channels!$E$11)</f>
        <v/>
      </c>
      <c r="I196" s="78">
        <f>SUM(C196:H196)</f>
        <v/>
      </c>
      <c r="J196" s="79">
        <f>SUMIFS(tblVideos[Length],tblVideos[Day],"&gt;="&amp;$B196,tblVideos[Day],"&lt;"&amp;EDATE($B196,1))*24</f>
        <v/>
      </c>
      <c r="K196" s="69">
        <f>COUNTIFS(tblVideos[Watched On],"&gt;="&amp;$B196,tblVideos[Watched On],"&lt;"&amp;EDATE($B196,1),tblVideos[Status],"Watched")</f>
        <v/>
      </c>
      <c r="L196" s="79">
        <f>SUMIFS(tblVideos[Length],tblVideos[Watched On],"&gt;="&amp;$B196,tblVideos[Watched On],"&lt;"&amp;EDATE($B196,1),tblVideos[Status],"Watched")*24</f>
        <v/>
      </c>
      <c r="M196" s="84">
        <f>IF(I196=0,"Gap",IF(I196&gt;AVERAGE($I$135:$I$308)+2*STDEV($I$135:$I$308),"High",""))</f>
        <v/>
      </c>
    </row>
    <row r="197">
      <c r="B197" s="83" t="n">
        <v>42917</v>
      </c>
      <c r="C197" s="69">
        <f>COUNTIFS(tblVideos[Day],"&gt;="&amp;$B197,tblVideos[Day],"&lt;"&amp;EDATE($B197,1),tblVideos[Channel ID],Channels!$E$6)</f>
        <v/>
      </c>
      <c r="D197" s="69">
        <f>COUNTIFS(tblVideos[Day],"&gt;="&amp;$B197,tblVideos[Day],"&lt;"&amp;EDATE($B197,1),tblVideos[Channel ID],Channels!$E$7)</f>
        <v/>
      </c>
      <c r="E197" s="69">
        <f>COUNTIFS(tblVideos[Day],"&gt;="&amp;$B197,tblVideos[Day],"&lt;"&amp;EDATE($B197,1),tblVideos[Channel ID],Channels!$E$8)</f>
        <v/>
      </c>
      <c r="F197" s="69">
        <f>COUNTIFS(tblVideos[Day],"&gt;="&amp;$B197,tblVideos[Day],"&lt;"&amp;EDATE($B197,1),tblVideos[Channel ID],Channels!$E$9)</f>
        <v/>
      </c>
      <c r="G197" s="69">
        <f>COUNTIFS(tblVideos[Day],"&gt;="&amp;$B197,tblVideos[Day],"&lt;"&amp;EDATE($B197,1),tblVideos[Channel ID],Channels!$E$10)</f>
        <v/>
      </c>
      <c r="H197" s="69">
        <f>COUNTIFS(tblVideos[Day],"&gt;="&amp;$B197,tblVideos[Day],"&lt;"&amp;EDATE($B197,1),tblVideos[Channel ID],Channels!$E$11)</f>
        <v/>
      </c>
      <c r="I197" s="78">
        <f>SUM(C197:H197)</f>
        <v/>
      </c>
      <c r="J197" s="79">
        <f>SUMIFS(tblVideos[Length],tblVideos[Day],"&gt;="&amp;$B197,tblVideos[Day],"&lt;"&amp;EDATE($B197,1))*24</f>
        <v/>
      </c>
      <c r="K197" s="69">
        <f>COUNTIFS(tblVideos[Watched On],"&gt;="&amp;$B197,tblVideos[Watched On],"&lt;"&amp;EDATE($B197,1),tblVideos[Status],"Watched")</f>
        <v/>
      </c>
      <c r="L197" s="79">
        <f>SUMIFS(tblVideos[Length],tblVideos[Watched On],"&gt;="&amp;$B197,tblVideos[Watched On],"&lt;"&amp;EDATE($B197,1),tblVideos[Status],"Watched")*24</f>
        <v/>
      </c>
      <c r="M197" s="84">
        <f>IF(I197=0,"Gap",IF(I197&gt;AVERAGE($I$135:$I$308)+2*STDEV($I$135:$I$308),"High",""))</f>
        <v/>
      </c>
    </row>
    <row r="198">
      <c r="B198" s="83" t="n">
        <v>42948</v>
      </c>
      <c r="C198" s="69">
        <f>COUNTIFS(tblVideos[Day],"&gt;="&amp;$B198,tblVideos[Day],"&lt;"&amp;EDATE($B198,1),tblVideos[Channel ID],Channels!$E$6)</f>
        <v/>
      </c>
      <c r="D198" s="69">
        <f>COUNTIFS(tblVideos[Day],"&gt;="&amp;$B198,tblVideos[Day],"&lt;"&amp;EDATE($B198,1),tblVideos[Channel ID],Channels!$E$7)</f>
        <v/>
      </c>
      <c r="E198" s="69">
        <f>COUNTIFS(tblVideos[Day],"&gt;="&amp;$B198,tblVideos[Day],"&lt;"&amp;EDATE($B198,1),tblVideos[Channel ID],Channels!$E$8)</f>
        <v/>
      </c>
      <c r="F198" s="69">
        <f>COUNTIFS(tblVideos[Day],"&gt;="&amp;$B198,tblVideos[Day],"&lt;"&amp;EDATE($B198,1),tblVideos[Channel ID],Channels!$E$9)</f>
        <v/>
      </c>
      <c r="G198" s="69">
        <f>COUNTIFS(tblVideos[Day],"&gt;="&amp;$B198,tblVideos[Day],"&lt;"&amp;EDATE($B198,1),tblVideos[Channel ID],Channels!$E$10)</f>
        <v/>
      </c>
      <c r="H198" s="69">
        <f>COUNTIFS(tblVideos[Day],"&gt;="&amp;$B198,tblVideos[Day],"&lt;"&amp;EDATE($B198,1),tblVideos[Channel ID],Channels!$E$11)</f>
        <v/>
      </c>
      <c r="I198" s="78">
        <f>SUM(C198:H198)</f>
        <v/>
      </c>
      <c r="J198" s="79">
        <f>SUMIFS(tblVideos[Length],tblVideos[Day],"&gt;="&amp;$B198,tblVideos[Day],"&lt;"&amp;EDATE($B198,1))*24</f>
        <v/>
      </c>
      <c r="K198" s="69">
        <f>COUNTIFS(tblVideos[Watched On],"&gt;="&amp;$B198,tblVideos[Watched On],"&lt;"&amp;EDATE($B198,1),tblVideos[Status],"Watched")</f>
        <v/>
      </c>
      <c r="L198" s="79">
        <f>SUMIFS(tblVideos[Length],tblVideos[Watched On],"&gt;="&amp;$B198,tblVideos[Watched On],"&lt;"&amp;EDATE($B198,1),tblVideos[Status],"Watched")*24</f>
        <v/>
      </c>
      <c r="M198" s="84">
        <f>IF(I198=0,"Gap",IF(I198&gt;AVERAGE($I$135:$I$308)+2*STDEV($I$135:$I$308),"High",""))</f>
        <v/>
      </c>
    </row>
    <row r="199">
      <c r="B199" s="83" t="n">
        <v>42979</v>
      </c>
      <c r="C199" s="69">
        <f>COUNTIFS(tblVideos[Day],"&gt;="&amp;$B199,tblVideos[Day],"&lt;"&amp;EDATE($B199,1),tblVideos[Channel ID],Channels!$E$6)</f>
        <v/>
      </c>
      <c r="D199" s="69">
        <f>COUNTIFS(tblVideos[Day],"&gt;="&amp;$B199,tblVideos[Day],"&lt;"&amp;EDATE($B199,1),tblVideos[Channel ID],Channels!$E$7)</f>
        <v/>
      </c>
      <c r="E199" s="69">
        <f>COUNTIFS(tblVideos[Day],"&gt;="&amp;$B199,tblVideos[Day],"&lt;"&amp;EDATE($B199,1),tblVideos[Channel ID],Channels!$E$8)</f>
        <v/>
      </c>
      <c r="F199" s="69">
        <f>COUNTIFS(tblVideos[Day],"&gt;="&amp;$B199,tblVideos[Day],"&lt;"&amp;EDATE($B199,1),tblVideos[Channel ID],Channels!$E$9)</f>
        <v/>
      </c>
      <c r="G199" s="69">
        <f>COUNTIFS(tblVideos[Day],"&gt;="&amp;$B199,tblVideos[Day],"&lt;"&amp;EDATE($B199,1),tblVideos[Channel ID],Channels!$E$10)</f>
        <v/>
      </c>
      <c r="H199" s="69">
        <f>COUNTIFS(tblVideos[Day],"&gt;="&amp;$B199,tblVideos[Day],"&lt;"&amp;EDATE($B199,1),tblVideos[Channel ID],Channels!$E$11)</f>
        <v/>
      </c>
      <c r="I199" s="78">
        <f>SUM(C199:H199)</f>
        <v/>
      </c>
      <c r="J199" s="79">
        <f>SUMIFS(tblVideos[Length],tblVideos[Day],"&gt;="&amp;$B199,tblVideos[Day],"&lt;"&amp;EDATE($B199,1))*24</f>
        <v/>
      </c>
      <c r="K199" s="69">
        <f>COUNTIFS(tblVideos[Watched On],"&gt;="&amp;$B199,tblVideos[Watched On],"&lt;"&amp;EDATE($B199,1),tblVideos[Status],"Watched")</f>
        <v/>
      </c>
      <c r="L199" s="79">
        <f>SUMIFS(tblVideos[Length],tblVideos[Watched On],"&gt;="&amp;$B199,tblVideos[Watched On],"&lt;"&amp;EDATE($B199,1),tblVideos[Status],"Watched")*24</f>
        <v/>
      </c>
      <c r="M199" s="84">
        <f>IF(I199=0,"Gap",IF(I199&gt;AVERAGE($I$135:$I$308)+2*STDEV($I$135:$I$308),"High",""))</f>
        <v/>
      </c>
    </row>
    <row r="200">
      <c r="B200" s="83" t="n">
        <v>43009</v>
      </c>
      <c r="C200" s="69">
        <f>COUNTIFS(tblVideos[Day],"&gt;="&amp;$B200,tblVideos[Day],"&lt;"&amp;EDATE($B200,1),tblVideos[Channel ID],Channels!$E$6)</f>
        <v/>
      </c>
      <c r="D200" s="69">
        <f>COUNTIFS(tblVideos[Day],"&gt;="&amp;$B200,tblVideos[Day],"&lt;"&amp;EDATE($B200,1),tblVideos[Channel ID],Channels!$E$7)</f>
        <v/>
      </c>
      <c r="E200" s="69">
        <f>COUNTIFS(tblVideos[Day],"&gt;="&amp;$B200,tblVideos[Day],"&lt;"&amp;EDATE($B200,1),tblVideos[Channel ID],Channels!$E$8)</f>
        <v/>
      </c>
      <c r="F200" s="69">
        <f>COUNTIFS(tblVideos[Day],"&gt;="&amp;$B200,tblVideos[Day],"&lt;"&amp;EDATE($B200,1),tblVideos[Channel ID],Channels!$E$9)</f>
        <v/>
      </c>
      <c r="G200" s="69">
        <f>COUNTIFS(tblVideos[Day],"&gt;="&amp;$B200,tblVideos[Day],"&lt;"&amp;EDATE($B200,1),tblVideos[Channel ID],Channels!$E$10)</f>
        <v/>
      </c>
      <c r="H200" s="69">
        <f>COUNTIFS(tblVideos[Day],"&gt;="&amp;$B200,tblVideos[Day],"&lt;"&amp;EDATE($B200,1),tblVideos[Channel ID],Channels!$E$11)</f>
        <v/>
      </c>
      <c r="I200" s="78">
        <f>SUM(C200:H200)</f>
        <v/>
      </c>
      <c r="J200" s="79">
        <f>SUMIFS(tblVideos[Length],tblVideos[Day],"&gt;="&amp;$B200,tblVideos[Day],"&lt;"&amp;EDATE($B200,1))*24</f>
        <v/>
      </c>
      <c r="K200" s="69">
        <f>COUNTIFS(tblVideos[Watched On],"&gt;="&amp;$B200,tblVideos[Watched On],"&lt;"&amp;EDATE($B200,1),tblVideos[Status],"Watched")</f>
        <v/>
      </c>
      <c r="L200" s="79">
        <f>SUMIFS(tblVideos[Length],tblVideos[Watched On],"&gt;="&amp;$B200,tblVideos[Watched On],"&lt;"&amp;EDATE($B200,1),tblVideos[Status],"Watched")*24</f>
        <v/>
      </c>
      <c r="M200" s="84">
        <f>IF(I200=0,"Gap",IF(I200&gt;AVERAGE($I$135:$I$308)+2*STDEV($I$135:$I$308),"High",""))</f>
        <v/>
      </c>
    </row>
    <row r="201">
      <c r="B201" s="83" t="n">
        <v>43040</v>
      </c>
      <c r="C201" s="69">
        <f>COUNTIFS(tblVideos[Day],"&gt;="&amp;$B201,tblVideos[Day],"&lt;"&amp;EDATE($B201,1),tblVideos[Channel ID],Channels!$E$6)</f>
        <v/>
      </c>
      <c r="D201" s="69">
        <f>COUNTIFS(tblVideos[Day],"&gt;="&amp;$B201,tblVideos[Day],"&lt;"&amp;EDATE($B201,1),tblVideos[Channel ID],Channels!$E$7)</f>
        <v/>
      </c>
      <c r="E201" s="69">
        <f>COUNTIFS(tblVideos[Day],"&gt;="&amp;$B201,tblVideos[Day],"&lt;"&amp;EDATE($B201,1),tblVideos[Channel ID],Channels!$E$8)</f>
        <v/>
      </c>
      <c r="F201" s="69">
        <f>COUNTIFS(tblVideos[Day],"&gt;="&amp;$B201,tblVideos[Day],"&lt;"&amp;EDATE($B201,1),tblVideos[Channel ID],Channels!$E$9)</f>
        <v/>
      </c>
      <c r="G201" s="69">
        <f>COUNTIFS(tblVideos[Day],"&gt;="&amp;$B201,tblVideos[Day],"&lt;"&amp;EDATE($B201,1),tblVideos[Channel ID],Channels!$E$10)</f>
        <v/>
      </c>
      <c r="H201" s="69">
        <f>COUNTIFS(tblVideos[Day],"&gt;="&amp;$B201,tblVideos[Day],"&lt;"&amp;EDATE($B201,1),tblVideos[Channel ID],Channels!$E$11)</f>
        <v/>
      </c>
      <c r="I201" s="78">
        <f>SUM(C201:H201)</f>
        <v/>
      </c>
      <c r="J201" s="79">
        <f>SUMIFS(tblVideos[Length],tblVideos[Day],"&gt;="&amp;$B201,tblVideos[Day],"&lt;"&amp;EDATE($B201,1))*24</f>
        <v/>
      </c>
      <c r="K201" s="69">
        <f>COUNTIFS(tblVideos[Watched On],"&gt;="&amp;$B201,tblVideos[Watched On],"&lt;"&amp;EDATE($B201,1),tblVideos[Status],"Watched")</f>
        <v/>
      </c>
      <c r="L201" s="79">
        <f>SUMIFS(tblVideos[Length],tblVideos[Watched On],"&gt;="&amp;$B201,tblVideos[Watched On],"&lt;"&amp;EDATE($B201,1),tblVideos[Status],"Watched")*24</f>
        <v/>
      </c>
      <c r="M201" s="84">
        <f>IF(I201=0,"Gap",IF(I201&gt;AVERAGE($I$135:$I$308)+2*STDEV($I$135:$I$308),"High",""))</f>
        <v/>
      </c>
    </row>
    <row r="202">
      <c r="B202" s="83" t="n">
        <v>43070</v>
      </c>
      <c r="C202" s="69">
        <f>COUNTIFS(tblVideos[Day],"&gt;="&amp;$B202,tblVideos[Day],"&lt;"&amp;EDATE($B202,1),tblVideos[Channel ID],Channels!$E$6)</f>
        <v/>
      </c>
      <c r="D202" s="69">
        <f>COUNTIFS(tblVideos[Day],"&gt;="&amp;$B202,tblVideos[Day],"&lt;"&amp;EDATE($B202,1),tblVideos[Channel ID],Channels!$E$7)</f>
        <v/>
      </c>
      <c r="E202" s="69">
        <f>COUNTIFS(tblVideos[Day],"&gt;="&amp;$B202,tblVideos[Day],"&lt;"&amp;EDATE($B202,1),tblVideos[Channel ID],Channels!$E$8)</f>
        <v/>
      </c>
      <c r="F202" s="69">
        <f>COUNTIFS(tblVideos[Day],"&gt;="&amp;$B202,tblVideos[Day],"&lt;"&amp;EDATE($B202,1),tblVideos[Channel ID],Channels!$E$9)</f>
        <v/>
      </c>
      <c r="G202" s="69">
        <f>COUNTIFS(tblVideos[Day],"&gt;="&amp;$B202,tblVideos[Day],"&lt;"&amp;EDATE($B202,1),tblVideos[Channel ID],Channels!$E$10)</f>
        <v/>
      </c>
      <c r="H202" s="69">
        <f>COUNTIFS(tblVideos[Day],"&gt;="&amp;$B202,tblVideos[Day],"&lt;"&amp;EDATE($B202,1),tblVideos[Channel ID],Channels!$E$11)</f>
        <v/>
      </c>
      <c r="I202" s="78">
        <f>SUM(C202:H202)</f>
        <v/>
      </c>
      <c r="J202" s="79">
        <f>SUMIFS(tblVideos[Length],tblVideos[Day],"&gt;="&amp;$B202,tblVideos[Day],"&lt;"&amp;EDATE($B202,1))*24</f>
        <v/>
      </c>
      <c r="K202" s="69">
        <f>COUNTIFS(tblVideos[Watched On],"&gt;="&amp;$B202,tblVideos[Watched On],"&lt;"&amp;EDATE($B202,1),tblVideos[Status],"Watched")</f>
        <v/>
      </c>
      <c r="L202" s="79">
        <f>SUMIFS(tblVideos[Length],tblVideos[Watched On],"&gt;="&amp;$B202,tblVideos[Watched On],"&lt;"&amp;EDATE($B202,1),tblVideos[Status],"Watched")*24</f>
        <v/>
      </c>
      <c r="M202" s="84">
        <f>IF(I202=0,"Gap",IF(I202&gt;AVERAGE($I$135:$I$308)+2*STDEV($I$135:$I$308),"High",""))</f>
        <v/>
      </c>
    </row>
    <row r="203">
      <c r="B203" s="83" t="n">
        <v>43101</v>
      </c>
      <c r="C203" s="69">
        <f>COUNTIFS(tblVideos[Day],"&gt;="&amp;$B203,tblVideos[Day],"&lt;"&amp;EDATE($B203,1),tblVideos[Channel ID],Channels!$E$6)</f>
        <v/>
      </c>
      <c r="D203" s="69">
        <f>COUNTIFS(tblVideos[Day],"&gt;="&amp;$B203,tblVideos[Day],"&lt;"&amp;EDATE($B203,1),tblVideos[Channel ID],Channels!$E$7)</f>
        <v/>
      </c>
      <c r="E203" s="69">
        <f>COUNTIFS(tblVideos[Day],"&gt;="&amp;$B203,tblVideos[Day],"&lt;"&amp;EDATE($B203,1),tblVideos[Channel ID],Channels!$E$8)</f>
        <v/>
      </c>
      <c r="F203" s="69">
        <f>COUNTIFS(tblVideos[Day],"&gt;="&amp;$B203,tblVideos[Day],"&lt;"&amp;EDATE($B203,1),tblVideos[Channel ID],Channels!$E$9)</f>
        <v/>
      </c>
      <c r="G203" s="69">
        <f>COUNTIFS(tblVideos[Day],"&gt;="&amp;$B203,tblVideos[Day],"&lt;"&amp;EDATE($B203,1),tblVideos[Channel ID],Channels!$E$10)</f>
        <v/>
      </c>
      <c r="H203" s="69">
        <f>COUNTIFS(tblVideos[Day],"&gt;="&amp;$B203,tblVideos[Day],"&lt;"&amp;EDATE($B203,1),tblVideos[Channel ID],Channels!$E$11)</f>
        <v/>
      </c>
      <c r="I203" s="78">
        <f>SUM(C203:H203)</f>
        <v/>
      </c>
      <c r="J203" s="79">
        <f>SUMIFS(tblVideos[Length],tblVideos[Day],"&gt;="&amp;$B203,tblVideos[Day],"&lt;"&amp;EDATE($B203,1))*24</f>
        <v/>
      </c>
      <c r="K203" s="69">
        <f>COUNTIFS(tblVideos[Watched On],"&gt;="&amp;$B203,tblVideos[Watched On],"&lt;"&amp;EDATE($B203,1),tblVideos[Status],"Watched")</f>
        <v/>
      </c>
      <c r="L203" s="79">
        <f>SUMIFS(tblVideos[Length],tblVideos[Watched On],"&gt;="&amp;$B203,tblVideos[Watched On],"&lt;"&amp;EDATE($B203,1),tblVideos[Status],"Watched")*24</f>
        <v/>
      </c>
      <c r="M203" s="84">
        <f>IF(I203=0,"Gap",IF(I203&gt;AVERAGE($I$135:$I$308)+2*STDEV($I$135:$I$308),"High",""))</f>
        <v/>
      </c>
    </row>
    <row r="204">
      <c r="B204" s="83" t="n">
        <v>43132</v>
      </c>
      <c r="C204" s="69">
        <f>COUNTIFS(tblVideos[Day],"&gt;="&amp;$B204,tblVideos[Day],"&lt;"&amp;EDATE($B204,1),tblVideos[Channel ID],Channels!$E$6)</f>
        <v/>
      </c>
      <c r="D204" s="69">
        <f>COUNTIFS(tblVideos[Day],"&gt;="&amp;$B204,tblVideos[Day],"&lt;"&amp;EDATE($B204,1),tblVideos[Channel ID],Channels!$E$7)</f>
        <v/>
      </c>
      <c r="E204" s="69">
        <f>COUNTIFS(tblVideos[Day],"&gt;="&amp;$B204,tblVideos[Day],"&lt;"&amp;EDATE($B204,1),tblVideos[Channel ID],Channels!$E$8)</f>
        <v/>
      </c>
      <c r="F204" s="69">
        <f>COUNTIFS(tblVideos[Day],"&gt;="&amp;$B204,tblVideos[Day],"&lt;"&amp;EDATE($B204,1),tblVideos[Channel ID],Channels!$E$9)</f>
        <v/>
      </c>
      <c r="G204" s="69">
        <f>COUNTIFS(tblVideos[Day],"&gt;="&amp;$B204,tblVideos[Day],"&lt;"&amp;EDATE($B204,1),tblVideos[Channel ID],Channels!$E$10)</f>
        <v/>
      </c>
      <c r="H204" s="69">
        <f>COUNTIFS(tblVideos[Day],"&gt;="&amp;$B204,tblVideos[Day],"&lt;"&amp;EDATE($B204,1),tblVideos[Channel ID],Channels!$E$11)</f>
        <v/>
      </c>
      <c r="I204" s="78">
        <f>SUM(C204:H204)</f>
        <v/>
      </c>
      <c r="J204" s="79">
        <f>SUMIFS(tblVideos[Length],tblVideos[Day],"&gt;="&amp;$B204,tblVideos[Day],"&lt;"&amp;EDATE($B204,1))*24</f>
        <v/>
      </c>
      <c r="K204" s="69">
        <f>COUNTIFS(tblVideos[Watched On],"&gt;="&amp;$B204,tblVideos[Watched On],"&lt;"&amp;EDATE($B204,1),tblVideos[Status],"Watched")</f>
        <v/>
      </c>
      <c r="L204" s="79">
        <f>SUMIFS(tblVideos[Length],tblVideos[Watched On],"&gt;="&amp;$B204,tblVideos[Watched On],"&lt;"&amp;EDATE($B204,1),tblVideos[Status],"Watched")*24</f>
        <v/>
      </c>
      <c r="M204" s="84">
        <f>IF(I204=0,"Gap",IF(I204&gt;AVERAGE($I$135:$I$308)+2*STDEV($I$135:$I$308),"High",""))</f>
        <v/>
      </c>
    </row>
    <row r="205">
      <c r="B205" s="83" t="n">
        <v>43160</v>
      </c>
      <c r="C205" s="69">
        <f>COUNTIFS(tblVideos[Day],"&gt;="&amp;$B205,tblVideos[Day],"&lt;"&amp;EDATE($B205,1),tblVideos[Channel ID],Channels!$E$6)</f>
        <v/>
      </c>
      <c r="D205" s="69">
        <f>COUNTIFS(tblVideos[Day],"&gt;="&amp;$B205,tblVideos[Day],"&lt;"&amp;EDATE($B205,1),tblVideos[Channel ID],Channels!$E$7)</f>
        <v/>
      </c>
      <c r="E205" s="69">
        <f>COUNTIFS(tblVideos[Day],"&gt;="&amp;$B205,tblVideos[Day],"&lt;"&amp;EDATE($B205,1),tblVideos[Channel ID],Channels!$E$8)</f>
        <v/>
      </c>
      <c r="F205" s="69">
        <f>COUNTIFS(tblVideos[Day],"&gt;="&amp;$B205,tblVideos[Day],"&lt;"&amp;EDATE($B205,1),tblVideos[Channel ID],Channels!$E$9)</f>
        <v/>
      </c>
      <c r="G205" s="69">
        <f>COUNTIFS(tblVideos[Day],"&gt;="&amp;$B205,tblVideos[Day],"&lt;"&amp;EDATE($B205,1),tblVideos[Channel ID],Channels!$E$10)</f>
        <v/>
      </c>
      <c r="H205" s="69">
        <f>COUNTIFS(tblVideos[Day],"&gt;="&amp;$B205,tblVideos[Day],"&lt;"&amp;EDATE($B205,1),tblVideos[Channel ID],Channels!$E$11)</f>
        <v/>
      </c>
      <c r="I205" s="78">
        <f>SUM(C205:H205)</f>
        <v/>
      </c>
      <c r="J205" s="79">
        <f>SUMIFS(tblVideos[Length],tblVideos[Day],"&gt;="&amp;$B205,tblVideos[Day],"&lt;"&amp;EDATE($B205,1))*24</f>
        <v/>
      </c>
      <c r="K205" s="69">
        <f>COUNTIFS(tblVideos[Watched On],"&gt;="&amp;$B205,tblVideos[Watched On],"&lt;"&amp;EDATE($B205,1),tblVideos[Status],"Watched")</f>
        <v/>
      </c>
      <c r="L205" s="79">
        <f>SUMIFS(tblVideos[Length],tblVideos[Watched On],"&gt;="&amp;$B205,tblVideos[Watched On],"&lt;"&amp;EDATE($B205,1),tblVideos[Status],"Watched")*24</f>
        <v/>
      </c>
      <c r="M205" s="84">
        <f>IF(I205=0,"Gap",IF(I205&gt;AVERAGE($I$135:$I$308)+2*STDEV($I$135:$I$308),"High",""))</f>
        <v/>
      </c>
    </row>
    <row r="206">
      <c r="B206" s="83" t="n">
        <v>43191</v>
      </c>
      <c r="C206" s="69">
        <f>COUNTIFS(tblVideos[Day],"&gt;="&amp;$B206,tblVideos[Day],"&lt;"&amp;EDATE($B206,1),tblVideos[Channel ID],Channels!$E$6)</f>
        <v/>
      </c>
      <c r="D206" s="69">
        <f>COUNTIFS(tblVideos[Day],"&gt;="&amp;$B206,tblVideos[Day],"&lt;"&amp;EDATE($B206,1),tblVideos[Channel ID],Channels!$E$7)</f>
        <v/>
      </c>
      <c r="E206" s="69">
        <f>COUNTIFS(tblVideos[Day],"&gt;="&amp;$B206,tblVideos[Day],"&lt;"&amp;EDATE($B206,1),tblVideos[Channel ID],Channels!$E$8)</f>
        <v/>
      </c>
      <c r="F206" s="69">
        <f>COUNTIFS(tblVideos[Day],"&gt;="&amp;$B206,tblVideos[Day],"&lt;"&amp;EDATE($B206,1),tblVideos[Channel ID],Channels!$E$9)</f>
        <v/>
      </c>
      <c r="G206" s="69">
        <f>COUNTIFS(tblVideos[Day],"&gt;="&amp;$B206,tblVideos[Day],"&lt;"&amp;EDATE($B206,1),tblVideos[Channel ID],Channels!$E$10)</f>
        <v/>
      </c>
      <c r="H206" s="69">
        <f>COUNTIFS(tblVideos[Day],"&gt;="&amp;$B206,tblVideos[Day],"&lt;"&amp;EDATE($B206,1),tblVideos[Channel ID],Channels!$E$11)</f>
        <v/>
      </c>
      <c r="I206" s="78">
        <f>SUM(C206:H206)</f>
        <v/>
      </c>
      <c r="J206" s="79">
        <f>SUMIFS(tblVideos[Length],tblVideos[Day],"&gt;="&amp;$B206,tblVideos[Day],"&lt;"&amp;EDATE($B206,1))*24</f>
        <v/>
      </c>
      <c r="K206" s="69">
        <f>COUNTIFS(tblVideos[Watched On],"&gt;="&amp;$B206,tblVideos[Watched On],"&lt;"&amp;EDATE($B206,1),tblVideos[Status],"Watched")</f>
        <v/>
      </c>
      <c r="L206" s="79">
        <f>SUMIFS(tblVideos[Length],tblVideos[Watched On],"&gt;="&amp;$B206,tblVideos[Watched On],"&lt;"&amp;EDATE($B206,1),tblVideos[Status],"Watched")*24</f>
        <v/>
      </c>
      <c r="M206" s="84">
        <f>IF(I206=0,"Gap",IF(I206&gt;AVERAGE($I$135:$I$308)+2*STDEV($I$135:$I$308),"High",""))</f>
        <v/>
      </c>
    </row>
    <row r="207">
      <c r="B207" s="83" t="n">
        <v>43221</v>
      </c>
      <c r="C207" s="69">
        <f>COUNTIFS(tblVideos[Day],"&gt;="&amp;$B207,tblVideos[Day],"&lt;"&amp;EDATE($B207,1),tblVideos[Channel ID],Channels!$E$6)</f>
        <v/>
      </c>
      <c r="D207" s="69">
        <f>COUNTIFS(tblVideos[Day],"&gt;="&amp;$B207,tblVideos[Day],"&lt;"&amp;EDATE($B207,1),tblVideos[Channel ID],Channels!$E$7)</f>
        <v/>
      </c>
      <c r="E207" s="69">
        <f>COUNTIFS(tblVideos[Day],"&gt;="&amp;$B207,tblVideos[Day],"&lt;"&amp;EDATE($B207,1),tblVideos[Channel ID],Channels!$E$8)</f>
        <v/>
      </c>
      <c r="F207" s="69">
        <f>COUNTIFS(tblVideos[Day],"&gt;="&amp;$B207,tblVideos[Day],"&lt;"&amp;EDATE($B207,1),tblVideos[Channel ID],Channels!$E$9)</f>
        <v/>
      </c>
      <c r="G207" s="69">
        <f>COUNTIFS(tblVideos[Day],"&gt;="&amp;$B207,tblVideos[Day],"&lt;"&amp;EDATE($B207,1),tblVideos[Channel ID],Channels!$E$10)</f>
        <v/>
      </c>
      <c r="H207" s="69">
        <f>COUNTIFS(tblVideos[Day],"&gt;="&amp;$B207,tblVideos[Day],"&lt;"&amp;EDATE($B207,1),tblVideos[Channel ID],Channels!$E$11)</f>
        <v/>
      </c>
      <c r="I207" s="78">
        <f>SUM(C207:H207)</f>
        <v/>
      </c>
      <c r="J207" s="79">
        <f>SUMIFS(tblVideos[Length],tblVideos[Day],"&gt;="&amp;$B207,tblVideos[Day],"&lt;"&amp;EDATE($B207,1))*24</f>
        <v/>
      </c>
      <c r="K207" s="69">
        <f>COUNTIFS(tblVideos[Watched On],"&gt;="&amp;$B207,tblVideos[Watched On],"&lt;"&amp;EDATE($B207,1),tblVideos[Status],"Watched")</f>
        <v/>
      </c>
      <c r="L207" s="79">
        <f>SUMIFS(tblVideos[Length],tblVideos[Watched On],"&gt;="&amp;$B207,tblVideos[Watched On],"&lt;"&amp;EDATE($B207,1),tblVideos[Status],"Watched")*24</f>
        <v/>
      </c>
      <c r="M207" s="84">
        <f>IF(I207=0,"Gap",IF(I207&gt;AVERAGE($I$135:$I$308)+2*STDEV($I$135:$I$308),"High",""))</f>
        <v/>
      </c>
    </row>
    <row r="208">
      <c r="B208" s="83" t="n">
        <v>43252</v>
      </c>
      <c r="C208" s="69">
        <f>COUNTIFS(tblVideos[Day],"&gt;="&amp;$B208,tblVideos[Day],"&lt;"&amp;EDATE($B208,1),tblVideos[Channel ID],Channels!$E$6)</f>
        <v/>
      </c>
      <c r="D208" s="69">
        <f>COUNTIFS(tblVideos[Day],"&gt;="&amp;$B208,tblVideos[Day],"&lt;"&amp;EDATE($B208,1),tblVideos[Channel ID],Channels!$E$7)</f>
        <v/>
      </c>
      <c r="E208" s="69">
        <f>COUNTIFS(tblVideos[Day],"&gt;="&amp;$B208,tblVideos[Day],"&lt;"&amp;EDATE($B208,1),tblVideos[Channel ID],Channels!$E$8)</f>
        <v/>
      </c>
      <c r="F208" s="69">
        <f>COUNTIFS(tblVideos[Day],"&gt;="&amp;$B208,tblVideos[Day],"&lt;"&amp;EDATE($B208,1),tblVideos[Channel ID],Channels!$E$9)</f>
        <v/>
      </c>
      <c r="G208" s="69">
        <f>COUNTIFS(tblVideos[Day],"&gt;="&amp;$B208,tblVideos[Day],"&lt;"&amp;EDATE($B208,1),tblVideos[Channel ID],Channels!$E$10)</f>
        <v/>
      </c>
      <c r="H208" s="69">
        <f>COUNTIFS(tblVideos[Day],"&gt;="&amp;$B208,tblVideos[Day],"&lt;"&amp;EDATE($B208,1),tblVideos[Channel ID],Channels!$E$11)</f>
        <v/>
      </c>
      <c r="I208" s="78">
        <f>SUM(C208:H208)</f>
        <v/>
      </c>
      <c r="J208" s="79">
        <f>SUMIFS(tblVideos[Length],tblVideos[Day],"&gt;="&amp;$B208,tblVideos[Day],"&lt;"&amp;EDATE($B208,1))*24</f>
        <v/>
      </c>
      <c r="K208" s="69">
        <f>COUNTIFS(tblVideos[Watched On],"&gt;="&amp;$B208,tblVideos[Watched On],"&lt;"&amp;EDATE($B208,1),tblVideos[Status],"Watched")</f>
        <v/>
      </c>
      <c r="L208" s="79">
        <f>SUMIFS(tblVideos[Length],tblVideos[Watched On],"&gt;="&amp;$B208,tblVideos[Watched On],"&lt;"&amp;EDATE($B208,1),tblVideos[Status],"Watched")*24</f>
        <v/>
      </c>
      <c r="M208" s="84">
        <f>IF(I208=0,"Gap",IF(I208&gt;AVERAGE($I$135:$I$308)+2*STDEV($I$135:$I$308),"High",""))</f>
        <v/>
      </c>
    </row>
    <row r="209">
      <c r="B209" s="83" t="n">
        <v>43282</v>
      </c>
      <c r="C209" s="69">
        <f>COUNTIFS(tblVideos[Day],"&gt;="&amp;$B209,tblVideos[Day],"&lt;"&amp;EDATE($B209,1),tblVideos[Channel ID],Channels!$E$6)</f>
        <v/>
      </c>
      <c r="D209" s="69">
        <f>COUNTIFS(tblVideos[Day],"&gt;="&amp;$B209,tblVideos[Day],"&lt;"&amp;EDATE($B209,1),tblVideos[Channel ID],Channels!$E$7)</f>
        <v/>
      </c>
      <c r="E209" s="69">
        <f>COUNTIFS(tblVideos[Day],"&gt;="&amp;$B209,tblVideos[Day],"&lt;"&amp;EDATE($B209,1),tblVideos[Channel ID],Channels!$E$8)</f>
        <v/>
      </c>
      <c r="F209" s="69">
        <f>COUNTIFS(tblVideos[Day],"&gt;="&amp;$B209,tblVideos[Day],"&lt;"&amp;EDATE($B209,1),tblVideos[Channel ID],Channels!$E$9)</f>
        <v/>
      </c>
      <c r="G209" s="69">
        <f>COUNTIFS(tblVideos[Day],"&gt;="&amp;$B209,tblVideos[Day],"&lt;"&amp;EDATE($B209,1),tblVideos[Channel ID],Channels!$E$10)</f>
        <v/>
      </c>
      <c r="H209" s="69">
        <f>COUNTIFS(tblVideos[Day],"&gt;="&amp;$B209,tblVideos[Day],"&lt;"&amp;EDATE($B209,1),tblVideos[Channel ID],Channels!$E$11)</f>
        <v/>
      </c>
      <c r="I209" s="78">
        <f>SUM(C209:H209)</f>
        <v/>
      </c>
      <c r="J209" s="79">
        <f>SUMIFS(tblVideos[Length],tblVideos[Day],"&gt;="&amp;$B209,tblVideos[Day],"&lt;"&amp;EDATE($B209,1))*24</f>
        <v/>
      </c>
      <c r="K209" s="69">
        <f>COUNTIFS(tblVideos[Watched On],"&gt;="&amp;$B209,tblVideos[Watched On],"&lt;"&amp;EDATE($B209,1),tblVideos[Status],"Watched")</f>
        <v/>
      </c>
      <c r="L209" s="79">
        <f>SUMIFS(tblVideos[Length],tblVideos[Watched On],"&gt;="&amp;$B209,tblVideos[Watched On],"&lt;"&amp;EDATE($B209,1),tblVideos[Status],"Watched")*24</f>
        <v/>
      </c>
      <c r="M209" s="84">
        <f>IF(I209=0,"Gap",IF(I209&gt;AVERAGE($I$135:$I$308)+2*STDEV($I$135:$I$308),"High",""))</f>
        <v/>
      </c>
    </row>
    <row r="210">
      <c r="B210" s="83" t="n">
        <v>43313</v>
      </c>
      <c r="C210" s="69">
        <f>COUNTIFS(tblVideos[Day],"&gt;="&amp;$B210,tblVideos[Day],"&lt;"&amp;EDATE($B210,1),tblVideos[Channel ID],Channels!$E$6)</f>
        <v/>
      </c>
      <c r="D210" s="69">
        <f>COUNTIFS(tblVideos[Day],"&gt;="&amp;$B210,tblVideos[Day],"&lt;"&amp;EDATE($B210,1),tblVideos[Channel ID],Channels!$E$7)</f>
        <v/>
      </c>
      <c r="E210" s="69">
        <f>COUNTIFS(tblVideos[Day],"&gt;="&amp;$B210,tblVideos[Day],"&lt;"&amp;EDATE($B210,1),tblVideos[Channel ID],Channels!$E$8)</f>
        <v/>
      </c>
      <c r="F210" s="69">
        <f>COUNTIFS(tblVideos[Day],"&gt;="&amp;$B210,tblVideos[Day],"&lt;"&amp;EDATE($B210,1),tblVideos[Channel ID],Channels!$E$9)</f>
        <v/>
      </c>
      <c r="G210" s="69">
        <f>COUNTIFS(tblVideos[Day],"&gt;="&amp;$B210,tblVideos[Day],"&lt;"&amp;EDATE($B210,1),tblVideos[Channel ID],Channels!$E$10)</f>
        <v/>
      </c>
      <c r="H210" s="69">
        <f>COUNTIFS(tblVideos[Day],"&gt;="&amp;$B210,tblVideos[Day],"&lt;"&amp;EDATE($B210,1),tblVideos[Channel ID],Channels!$E$11)</f>
        <v/>
      </c>
      <c r="I210" s="78">
        <f>SUM(C210:H210)</f>
        <v/>
      </c>
      <c r="J210" s="79">
        <f>SUMIFS(tblVideos[Length],tblVideos[Day],"&gt;="&amp;$B210,tblVideos[Day],"&lt;"&amp;EDATE($B210,1))*24</f>
        <v/>
      </c>
      <c r="K210" s="69">
        <f>COUNTIFS(tblVideos[Watched On],"&gt;="&amp;$B210,tblVideos[Watched On],"&lt;"&amp;EDATE($B210,1),tblVideos[Status],"Watched")</f>
        <v/>
      </c>
      <c r="L210" s="79">
        <f>SUMIFS(tblVideos[Length],tblVideos[Watched On],"&gt;="&amp;$B210,tblVideos[Watched On],"&lt;"&amp;EDATE($B210,1),tblVideos[Status],"Watched")*24</f>
        <v/>
      </c>
      <c r="M210" s="84">
        <f>IF(I210=0,"Gap",IF(I210&gt;AVERAGE($I$135:$I$308)+2*STDEV($I$135:$I$308),"High",""))</f>
        <v/>
      </c>
    </row>
    <row r="211">
      <c r="B211" s="83" t="n">
        <v>43344</v>
      </c>
      <c r="C211" s="69">
        <f>COUNTIFS(tblVideos[Day],"&gt;="&amp;$B211,tblVideos[Day],"&lt;"&amp;EDATE($B211,1),tblVideos[Channel ID],Channels!$E$6)</f>
        <v/>
      </c>
      <c r="D211" s="69">
        <f>COUNTIFS(tblVideos[Day],"&gt;="&amp;$B211,tblVideos[Day],"&lt;"&amp;EDATE($B211,1),tblVideos[Channel ID],Channels!$E$7)</f>
        <v/>
      </c>
      <c r="E211" s="69">
        <f>COUNTIFS(tblVideos[Day],"&gt;="&amp;$B211,tblVideos[Day],"&lt;"&amp;EDATE($B211,1),tblVideos[Channel ID],Channels!$E$8)</f>
        <v/>
      </c>
      <c r="F211" s="69">
        <f>COUNTIFS(tblVideos[Day],"&gt;="&amp;$B211,tblVideos[Day],"&lt;"&amp;EDATE($B211,1),tblVideos[Channel ID],Channels!$E$9)</f>
        <v/>
      </c>
      <c r="G211" s="69">
        <f>COUNTIFS(tblVideos[Day],"&gt;="&amp;$B211,tblVideos[Day],"&lt;"&amp;EDATE($B211,1),tblVideos[Channel ID],Channels!$E$10)</f>
        <v/>
      </c>
      <c r="H211" s="69">
        <f>COUNTIFS(tblVideos[Day],"&gt;="&amp;$B211,tblVideos[Day],"&lt;"&amp;EDATE($B211,1),tblVideos[Channel ID],Channels!$E$11)</f>
        <v/>
      </c>
      <c r="I211" s="78">
        <f>SUM(C211:H211)</f>
        <v/>
      </c>
      <c r="J211" s="79">
        <f>SUMIFS(tblVideos[Length],tblVideos[Day],"&gt;="&amp;$B211,tblVideos[Day],"&lt;"&amp;EDATE($B211,1))*24</f>
        <v/>
      </c>
      <c r="K211" s="69">
        <f>COUNTIFS(tblVideos[Watched On],"&gt;="&amp;$B211,tblVideos[Watched On],"&lt;"&amp;EDATE($B211,1),tblVideos[Status],"Watched")</f>
        <v/>
      </c>
      <c r="L211" s="79">
        <f>SUMIFS(tblVideos[Length],tblVideos[Watched On],"&gt;="&amp;$B211,tblVideos[Watched On],"&lt;"&amp;EDATE($B211,1),tblVideos[Status],"Watched")*24</f>
        <v/>
      </c>
      <c r="M211" s="84">
        <f>IF(I211=0,"Gap",IF(I211&gt;AVERAGE($I$135:$I$308)+2*STDEV($I$135:$I$308),"High",""))</f>
        <v/>
      </c>
    </row>
    <row r="212">
      <c r="B212" s="83" t="n">
        <v>43374</v>
      </c>
      <c r="C212" s="69">
        <f>COUNTIFS(tblVideos[Day],"&gt;="&amp;$B212,tblVideos[Day],"&lt;"&amp;EDATE($B212,1),tblVideos[Channel ID],Channels!$E$6)</f>
        <v/>
      </c>
      <c r="D212" s="69">
        <f>COUNTIFS(tblVideos[Day],"&gt;="&amp;$B212,tblVideos[Day],"&lt;"&amp;EDATE($B212,1),tblVideos[Channel ID],Channels!$E$7)</f>
        <v/>
      </c>
      <c r="E212" s="69">
        <f>COUNTIFS(tblVideos[Day],"&gt;="&amp;$B212,tblVideos[Day],"&lt;"&amp;EDATE($B212,1),tblVideos[Channel ID],Channels!$E$8)</f>
        <v/>
      </c>
      <c r="F212" s="69">
        <f>COUNTIFS(tblVideos[Day],"&gt;="&amp;$B212,tblVideos[Day],"&lt;"&amp;EDATE($B212,1),tblVideos[Channel ID],Channels!$E$9)</f>
        <v/>
      </c>
      <c r="G212" s="69">
        <f>COUNTIFS(tblVideos[Day],"&gt;="&amp;$B212,tblVideos[Day],"&lt;"&amp;EDATE($B212,1),tblVideos[Channel ID],Channels!$E$10)</f>
        <v/>
      </c>
      <c r="H212" s="69">
        <f>COUNTIFS(tblVideos[Day],"&gt;="&amp;$B212,tblVideos[Day],"&lt;"&amp;EDATE($B212,1),tblVideos[Channel ID],Channels!$E$11)</f>
        <v/>
      </c>
      <c r="I212" s="78">
        <f>SUM(C212:H212)</f>
        <v/>
      </c>
      <c r="J212" s="79">
        <f>SUMIFS(tblVideos[Length],tblVideos[Day],"&gt;="&amp;$B212,tblVideos[Day],"&lt;"&amp;EDATE($B212,1))*24</f>
        <v/>
      </c>
      <c r="K212" s="69">
        <f>COUNTIFS(tblVideos[Watched On],"&gt;="&amp;$B212,tblVideos[Watched On],"&lt;"&amp;EDATE($B212,1),tblVideos[Status],"Watched")</f>
        <v/>
      </c>
      <c r="L212" s="79">
        <f>SUMIFS(tblVideos[Length],tblVideos[Watched On],"&gt;="&amp;$B212,tblVideos[Watched On],"&lt;"&amp;EDATE($B212,1),tblVideos[Status],"Watched")*24</f>
        <v/>
      </c>
      <c r="M212" s="84">
        <f>IF(I212=0,"Gap",IF(I212&gt;AVERAGE($I$135:$I$308)+2*STDEV($I$135:$I$308),"High",""))</f>
        <v/>
      </c>
    </row>
    <row r="213">
      <c r="B213" s="83" t="n">
        <v>43405</v>
      </c>
      <c r="C213" s="69">
        <f>COUNTIFS(tblVideos[Day],"&gt;="&amp;$B213,tblVideos[Day],"&lt;"&amp;EDATE($B213,1),tblVideos[Channel ID],Channels!$E$6)</f>
        <v/>
      </c>
      <c r="D213" s="69">
        <f>COUNTIFS(tblVideos[Day],"&gt;="&amp;$B213,tblVideos[Day],"&lt;"&amp;EDATE($B213,1),tblVideos[Channel ID],Channels!$E$7)</f>
        <v/>
      </c>
      <c r="E213" s="69">
        <f>COUNTIFS(tblVideos[Day],"&gt;="&amp;$B213,tblVideos[Day],"&lt;"&amp;EDATE($B213,1),tblVideos[Channel ID],Channels!$E$8)</f>
        <v/>
      </c>
      <c r="F213" s="69">
        <f>COUNTIFS(tblVideos[Day],"&gt;="&amp;$B213,tblVideos[Day],"&lt;"&amp;EDATE($B213,1),tblVideos[Channel ID],Channels!$E$9)</f>
        <v/>
      </c>
      <c r="G213" s="69">
        <f>COUNTIFS(tblVideos[Day],"&gt;="&amp;$B213,tblVideos[Day],"&lt;"&amp;EDATE($B213,1),tblVideos[Channel ID],Channels!$E$10)</f>
        <v/>
      </c>
      <c r="H213" s="69">
        <f>COUNTIFS(tblVideos[Day],"&gt;="&amp;$B213,tblVideos[Day],"&lt;"&amp;EDATE($B213,1),tblVideos[Channel ID],Channels!$E$11)</f>
        <v/>
      </c>
      <c r="I213" s="78">
        <f>SUM(C213:H213)</f>
        <v/>
      </c>
      <c r="J213" s="79">
        <f>SUMIFS(tblVideos[Length],tblVideos[Day],"&gt;="&amp;$B213,tblVideos[Day],"&lt;"&amp;EDATE($B213,1))*24</f>
        <v/>
      </c>
      <c r="K213" s="69">
        <f>COUNTIFS(tblVideos[Watched On],"&gt;="&amp;$B213,tblVideos[Watched On],"&lt;"&amp;EDATE($B213,1),tblVideos[Status],"Watched")</f>
        <v/>
      </c>
      <c r="L213" s="79">
        <f>SUMIFS(tblVideos[Length],tblVideos[Watched On],"&gt;="&amp;$B213,tblVideos[Watched On],"&lt;"&amp;EDATE($B213,1),tblVideos[Status],"Watched")*24</f>
        <v/>
      </c>
      <c r="M213" s="84">
        <f>IF(I213=0,"Gap",IF(I213&gt;AVERAGE($I$135:$I$308)+2*STDEV($I$135:$I$308),"High",""))</f>
        <v/>
      </c>
    </row>
    <row r="214">
      <c r="B214" s="83" t="n">
        <v>43435</v>
      </c>
      <c r="C214" s="69">
        <f>COUNTIFS(tblVideos[Day],"&gt;="&amp;$B214,tblVideos[Day],"&lt;"&amp;EDATE($B214,1),tblVideos[Channel ID],Channels!$E$6)</f>
        <v/>
      </c>
      <c r="D214" s="69">
        <f>COUNTIFS(tblVideos[Day],"&gt;="&amp;$B214,tblVideos[Day],"&lt;"&amp;EDATE($B214,1),tblVideos[Channel ID],Channels!$E$7)</f>
        <v/>
      </c>
      <c r="E214" s="69">
        <f>COUNTIFS(tblVideos[Day],"&gt;="&amp;$B214,tblVideos[Day],"&lt;"&amp;EDATE($B214,1),tblVideos[Channel ID],Channels!$E$8)</f>
        <v/>
      </c>
      <c r="F214" s="69">
        <f>COUNTIFS(tblVideos[Day],"&gt;="&amp;$B214,tblVideos[Day],"&lt;"&amp;EDATE($B214,1),tblVideos[Channel ID],Channels!$E$9)</f>
        <v/>
      </c>
      <c r="G214" s="69">
        <f>COUNTIFS(tblVideos[Day],"&gt;="&amp;$B214,tblVideos[Day],"&lt;"&amp;EDATE($B214,1),tblVideos[Channel ID],Channels!$E$10)</f>
        <v/>
      </c>
      <c r="H214" s="69">
        <f>COUNTIFS(tblVideos[Day],"&gt;="&amp;$B214,tblVideos[Day],"&lt;"&amp;EDATE($B214,1),tblVideos[Channel ID],Channels!$E$11)</f>
        <v/>
      </c>
      <c r="I214" s="78">
        <f>SUM(C214:H214)</f>
        <v/>
      </c>
      <c r="J214" s="79">
        <f>SUMIFS(tblVideos[Length],tblVideos[Day],"&gt;="&amp;$B214,tblVideos[Day],"&lt;"&amp;EDATE($B214,1))*24</f>
        <v/>
      </c>
      <c r="K214" s="69">
        <f>COUNTIFS(tblVideos[Watched On],"&gt;="&amp;$B214,tblVideos[Watched On],"&lt;"&amp;EDATE($B214,1),tblVideos[Status],"Watched")</f>
        <v/>
      </c>
      <c r="L214" s="79">
        <f>SUMIFS(tblVideos[Length],tblVideos[Watched On],"&gt;="&amp;$B214,tblVideos[Watched On],"&lt;"&amp;EDATE($B214,1),tblVideos[Status],"Watched")*24</f>
        <v/>
      </c>
      <c r="M214" s="84">
        <f>IF(I214=0,"Gap",IF(I214&gt;AVERAGE($I$135:$I$308)+2*STDEV($I$135:$I$308),"High",""))</f>
        <v/>
      </c>
    </row>
    <row r="215">
      <c r="B215" s="83" t="n">
        <v>43466</v>
      </c>
      <c r="C215" s="69">
        <f>COUNTIFS(tblVideos[Day],"&gt;="&amp;$B215,tblVideos[Day],"&lt;"&amp;EDATE($B215,1),tblVideos[Channel ID],Channels!$E$6)</f>
        <v/>
      </c>
      <c r="D215" s="69">
        <f>COUNTIFS(tblVideos[Day],"&gt;="&amp;$B215,tblVideos[Day],"&lt;"&amp;EDATE($B215,1),tblVideos[Channel ID],Channels!$E$7)</f>
        <v/>
      </c>
      <c r="E215" s="69">
        <f>COUNTIFS(tblVideos[Day],"&gt;="&amp;$B215,tblVideos[Day],"&lt;"&amp;EDATE($B215,1),tblVideos[Channel ID],Channels!$E$8)</f>
        <v/>
      </c>
      <c r="F215" s="69">
        <f>COUNTIFS(tblVideos[Day],"&gt;="&amp;$B215,tblVideos[Day],"&lt;"&amp;EDATE($B215,1),tblVideos[Channel ID],Channels!$E$9)</f>
        <v/>
      </c>
      <c r="G215" s="69">
        <f>COUNTIFS(tblVideos[Day],"&gt;="&amp;$B215,tblVideos[Day],"&lt;"&amp;EDATE($B215,1),tblVideos[Channel ID],Channels!$E$10)</f>
        <v/>
      </c>
      <c r="H215" s="69">
        <f>COUNTIFS(tblVideos[Day],"&gt;="&amp;$B215,tblVideos[Day],"&lt;"&amp;EDATE($B215,1),tblVideos[Channel ID],Channels!$E$11)</f>
        <v/>
      </c>
      <c r="I215" s="78">
        <f>SUM(C215:H215)</f>
        <v/>
      </c>
      <c r="J215" s="79">
        <f>SUMIFS(tblVideos[Length],tblVideos[Day],"&gt;="&amp;$B215,tblVideos[Day],"&lt;"&amp;EDATE($B215,1))*24</f>
        <v/>
      </c>
      <c r="K215" s="69">
        <f>COUNTIFS(tblVideos[Watched On],"&gt;="&amp;$B215,tblVideos[Watched On],"&lt;"&amp;EDATE($B215,1),tblVideos[Status],"Watched")</f>
        <v/>
      </c>
      <c r="L215" s="79">
        <f>SUMIFS(tblVideos[Length],tblVideos[Watched On],"&gt;="&amp;$B215,tblVideos[Watched On],"&lt;"&amp;EDATE($B215,1),tblVideos[Status],"Watched")*24</f>
        <v/>
      </c>
      <c r="M215" s="84">
        <f>IF(I215=0,"Gap",IF(I215&gt;AVERAGE($I$135:$I$308)+2*STDEV($I$135:$I$308),"High",""))</f>
        <v/>
      </c>
    </row>
    <row r="216">
      <c r="B216" s="83" t="n">
        <v>43497</v>
      </c>
      <c r="C216" s="69">
        <f>COUNTIFS(tblVideos[Day],"&gt;="&amp;$B216,tblVideos[Day],"&lt;"&amp;EDATE($B216,1),tblVideos[Channel ID],Channels!$E$6)</f>
        <v/>
      </c>
      <c r="D216" s="69">
        <f>COUNTIFS(tblVideos[Day],"&gt;="&amp;$B216,tblVideos[Day],"&lt;"&amp;EDATE($B216,1),tblVideos[Channel ID],Channels!$E$7)</f>
        <v/>
      </c>
      <c r="E216" s="69">
        <f>COUNTIFS(tblVideos[Day],"&gt;="&amp;$B216,tblVideos[Day],"&lt;"&amp;EDATE($B216,1),tblVideos[Channel ID],Channels!$E$8)</f>
        <v/>
      </c>
      <c r="F216" s="69">
        <f>COUNTIFS(tblVideos[Day],"&gt;="&amp;$B216,tblVideos[Day],"&lt;"&amp;EDATE($B216,1),tblVideos[Channel ID],Channels!$E$9)</f>
        <v/>
      </c>
      <c r="G216" s="69">
        <f>COUNTIFS(tblVideos[Day],"&gt;="&amp;$B216,tblVideos[Day],"&lt;"&amp;EDATE($B216,1),tblVideos[Channel ID],Channels!$E$10)</f>
        <v/>
      </c>
      <c r="H216" s="69">
        <f>COUNTIFS(tblVideos[Day],"&gt;="&amp;$B216,tblVideos[Day],"&lt;"&amp;EDATE($B216,1),tblVideos[Channel ID],Channels!$E$11)</f>
        <v/>
      </c>
      <c r="I216" s="78">
        <f>SUM(C216:H216)</f>
        <v/>
      </c>
      <c r="J216" s="79">
        <f>SUMIFS(tblVideos[Length],tblVideos[Day],"&gt;="&amp;$B216,tblVideos[Day],"&lt;"&amp;EDATE($B216,1))*24</f>
        <v/>
      </c>
      <c r="K216" s="69">
        <f>COUNTIFS(tblVideos[Watched On],"&gt;="&amp;$B216,tblVideos[Watched On],"&lt;"&amp;EDATE($B216,1),tblVideos[Status],"Watched")</f>
        <v/>
      </c>
      <c r="L216" s="79">
        <f>SUMIFS(tblVideos[Length],tblVideos[Watched On],"&gt;="&amp;$B216,tblVideos[Watched On],"&lt;"&amp;EDATE($B216,1),tblVideos[Status],"Watched")*24</f>
        <v/>
      </c>
      <c r="M216" s="84">
        <f>IF(I216=0,"Gap",IF(I216&gt;AVERAGE($I$135:$I$308)+2*STDEV($I$135:$I$308),"High",""))</f>
        <v/>
      </c>
    </row>
    <row r="217">
      <c r="B217" s="83" t="n">
        <v>43525</v>
      </c>
      <c r="C217" s="69">
        <f>COUNTIFS(tblVideos[Day],"&gt;="&amp;$B217,tblVideos[Day],"&lt;"&amp;EDATE($B217,1),tblVideos[Channel ID],Channels!$E$6)</f>
        <v/>
      </c>
      <c r="D217" s="69">
        <f>COUNTIFS(tblVideos[Day],"&gt;="&amp;$B217,tblVideos[Day],"&lt;"&amp;EDATE($B217,1),tblVideos[Channel ID],Channels!$E$7)</f>
        <v/>
      </c>
      <c r="E217" s="69">
        <f>COUNTIFS(tblVideos[Day],"&gt;="&amp;$B217,tblVideos[Day],"&lt;"&amp;EDATE($B217,1),tblVideos[Channel ID],Channels!$E$8)</f>
        <v/>
      </c>
      <c r="F217" s="69">
        <f>COUNTIFS(tblVideos[Day],"&gt;="&amp;$B217,tblVideos[Day],"&lt;"&amp;EDATE($B217,1),tblVideos[Channel ID],Channels!$E$9)</f>
        <v/>
      </c>
      <c r="G217" s="69">
        <f>COUNTIFS(tblVideos[Day],"&gt;="&amp;$B217,tblVideos[Day],"&lt;"&amp;EDATE($B217,1),tblVideos[Channel ID],Channels!$E$10)</f>
        <v/>
      </c>
      <c r="H217" s="69">
        <f>COUNTIFS(tblVideos[Day],"&gt;="&amp;$B217,tblVideos[Day],"&lt;"&amp;EDATE($B217,1),tblVideos[Channel ID],Channels!$E$11)</f>
        <v/>
      </c>
      <c r="I217" s="78">
        <f>SUM(C217:H217)</f>
        <v/>
      </c>
      <c r="J217" s="79">
        <f>SUMIFS(tblVideos[Length],tblVideos[Day],"&gt;="&amp;$B217,tblVideos[Day],"&lt;"&amp;EDATE($B217,1))*24</f>
        <v/>
      </c>
      <c r="K217" s="69">
        <f>COUNTIFS(tblVideos[Watched On],"&gt;="&amp;$B217,tblVideos[Watched On],"&lt;"&amp;EDATE($B217,1),tblVideos[Status],"Watched")</f>
        <v/>
      </c>
      <c r="L217" s="79">
        <f>SUMIFS(tblVideos[Length],tblVideos[Watched On],"&gt;="&amp;$B217,tblVideos[Watched On],"&lt;"&amp;EDATE($B217,1),tblVideos[Status],"Watched")*24</f>
        <v/>
      </c>
      <c r="M217" s="84">
        <f>IF(I217=0,"Gap",IF(I217&gt;AVERAGE($I$135:$I$308)+2*STDEV($I$135:$I$308),"High",""))</f>
        <v/>
      </c>
    </row>
    <row r="218">
      <c r="B218" s="83" t="n">
        <v>43556</v>
      </c>
      <c r="C218" s="69">
        <f>COUNTIFS(tblVideos[Day],"&gt;="&amp;$B218,tblVideos[Day],"&lt;"&amp;EDATE($B218,1),tblVideos[Channel ID],Channels!$E$6)</f>
        <v/>
      </c>
      <c r="D218" s="69">
        <f>COUNTIFS(tblVideos[Day],"&gt;="&amp;$B218,tblVideos[Day],"&lt;"&amp;EDATE($B218,1),tblVideos[Channel ID],Channels!$E$7)</f>
        <v/>
      </c>
      <c r="E218" s="69">
        <f>COUNTIFS(tblVideos[Day],"&gt;="&amp;$B218,tblVideos[Day],"&lt;"&amp;EDATE($B218,1),tblVideos[Channel ID],Channels!$E$8)</f>
        <v/>
      </c>
      <c r="F218" s="69">
        <f>COUNTIFS(tblVideos[Day],"&gt;="&amp;$B218,tblVideos[Day],"&lt;"&amp;EDATE($B218,1),tblVideos[Channel ID],Channels!$E$9)</f>
        <v/>
      </c>
      <c r="G218" s="69">
        <f>COUNTIFS(tblVideos[Day],"&gt;="&amp;$B218,tblVideos[Day],"&lt;"&amp;EDATE($B218,1),tblVideos[Channel ID],Channels!$E$10)</f>
        <v/>
      </c>
      <c r="H218" s="69">
        <f>COUNTIFS(tblVideos[Day],"&gt;="&amp;$B218,tblVideos[Day],"&lt;"&amp;EDATE($B218,1),tblVideos[Channel ID],Channels!$E$11)</f>
        <v/>
      </c>
      <c r="I218" s="78">
        <f>SUM(C218:H218)</f>
        <v/>
      </c>
      <c r="J218" s="79">
        <f>SUMIFS(tblVideos[Length],tblVideos[Day],"&gt;="&amp;$B218,tblVideos[Day],"&lt;"&amp;EDATE($B218,1))*24</f>
        <v/>
      </c>
      <c r="K218" s="69">
        <f>COUNTIFS(tblVideos[Watched On],"&gt;="&amp;$B218,tblVideos[Watched On],"&lt;"&amp;EDATE($B218,1),tblVideos[Status],"Watched")</f>
        <v/>
      </c>
      <c r="L218" s="79">
        <f>SUMIFS(tblVideos[Length],tblVideos[Watched On],"&gt;="&amp;$B218,tblVideos[Watched On],"&lt;"&amp;EDATE($B218,1),tblVideos[Status],"Watched")*24</f>
        <v/>
      </c>
      <c r="M218" s="84">
        <f>IF(I218=0,"Gap",IF(I218&gt;AVERAGE($I$135:$I$308)+2*STDEV($I$135:$I$308),"High",""))</f>
        <v/>
      </c>
    </row>
    <row r="219">
      <c r="B219" s="83" t="n">
        <v>43586</v>
      </c>
      <c r="C219" s="69">
        <f>COUNTIFS(tblVideos[Day],"&gt;="&amp;$B219,tblVideos[Day],"&lt;"&amp;EDATE($B219,1),tblVideos[Channel ID],Channels!$E$6)</f>
        <v/>
      </c>
      <c r="D219" s="69">
        <f>COUNTIFS(tblVideos[Day],"&gt;="&amp;$B219,tblVideos[Day],"&lt;"&amp;EDATE($B219,1),tblVideos[Channel ID],Channels!$E$7)</f>
        <v/>
      </c>
      <c r="E219" s="69">
        <f>COUNTIFS(tblVideos[Day],"&gt;="&amp;$B219,tblVideos[Day],"&lt;"&amp;EDATE($B219,1),tblVideos[Channel ID],Channels!$E$8)</f>
        <v/>
      </c>
      <c r="F219" s="69">
        <f>COUNTIFS(tblVideos[Day],"&gt;="&amp;$B219,tblVideos[Day],"&lt;"&amp;EDATE($B219,1),tblVideos[Channel ID],Channels!$E$9)</f>
        <v/>
      </c>
      <c r="G219" s="69">
        <f>COUNTIFS(tblVideos[Day],"&gt;="&amp;$B219,tblVideos[Day],"&lt;"&amp;EDATE($B219,1),tblVideos[Channel ID],Channels!$E$10)</f>
        <v/>
      </c>
      <c r="H219" s="69">
        <f>COUNTIFS(tblVideos[Day],"&gt;="&amp;$B219,tblVideos[Day],"&lt;"&amp;EDATE($B219,1),tblVideos[Channel ID],Channels!$E$11)</f>
        <v/>
      </c>
      <c r="I219" s="78">
        <f>SUM(C219:H219)</f>
        <v/>
      </c>
      <c r="J219" s="79">
        <f>SUMIFS(tblVideos[Length],tblVideos[Day],"&gt;="&amp;$B219,tblVideos[Day],"&lt;"&amp;EDATE($B219,1))*24</f>
        <v/>
      </c>
      <c r="K219" s="69">
        <f>COUNTIFS(tblVideos[Watched On],"&gt;="&amp;$B219,tblVideos[Watched On],"&lt;"&amp;EDATE($B219,1),tblVideos[Status],"Watched")</f>
        <v/>
      </c>
      <c r="L219" s="79">
        <f>SUMIFS(tblVideos[Length],tblVideos[Watched On],"&gt;="&amp;$B219,tblVideos[Watched On],"&lt;"&amp;EDATE($B219,1),tblVideos[Status],"Watched")*24</f>
        <v/>
      </c>
      <c r="M219" s="84">
        <f>IF(I219=0,"Gap",IF(I219&gt;AVERAGE($I$135:$I$308)+2*STDEV($I$135:$I$308),"High",""))</f>
        <v/>
      </c>
    </row>
    <row r="220">
      <c r="B220" s="83" t="n">
        <v>43617</v>
      </c>
      <c r="C220" s="69">
        <f>COUNTIFS(tblVideos[Day],"&gt;="&amp;$B220,tblVideos[Day],"&lt;"&amp;EDATE($B220,1),tblVideos[Channel ID],Channels!$E$6)</f>
        <v/>
      </c>
      <c r="D220" s="69">
        <f>COUNTIFS(tblVideos[Day],"&gt;="&amp;$B220,tblVideos[Day],"&lt;"&amp;EDATE($B220,1),tblVideos[Channel ID],Channels!$E$7)</f>
        <v/>
      </c>
      <c r="E220" s="69">
        <f>COUNTIFS(tblVideos[Day],"&gt;="&amp;$B220,tblVideos[Day],"&lt;"&amp;EDATE($B220,1),tblVideos[Channel ID],Channels!$E$8)</f>
        <v/>
      </c>
      <c r="F220" s="69">
        <f>COUNTIFS(tblVideos[Day],"&gt;="&amp;$B220,tblVideos[Day],"&lt;"&amp;EDATE($B220,1),tblVideos[Channel ID],Channels!$E$9)</f>
        <v/>
      </c>
      <c r="G220" s="69">
        <f>COUNTIFS(tblVideos[Day],"&gt;="&amp;$B220,tblVideos[Day],"&lt;"&amp;EDATE($B220,1),tblVideos[Channel ID],Channels!$E$10)</f>
        <v/>
      </c>
      <c r="H220" s="69">
        <f>COUNTIFS(tblVideos[Day],"&gt;="&amp;$B220,tblVideos[Day],"&lt;"&amp;EDATE($B220,1),tblVideos[Channel ID],Channels!$E$11)</f>
        <v/>
      </c>
      <c r="I220" s="78">
        <f>SUM(C220:H220)</f>
        <v/>
      </c>
      <c r="J220" s="79">
        <f>SUMIFS(tblVideos[Length],tblVideos[Day],"&gt;="&amp;$B220,tblVideos[Day],"&lt;"&amp;EDATE($B220,1))*24</f>
        <v/>
      </c>
      <c r="K220" s="69">
        <f>COUNTIFS(tblVideos[Watched On],"&gt;="&amp;$B220,tblVideos[Watched On],"&lt;"&amp;EDATE($B220,1),tblVideos[Status],"Watched")</f>
        <v/>
      </c>
      <c r="L220" s="79">
        <f>SUMIFS(tblVideos[Length],tblVideos[Watched On],"&gt;="&amp;$B220,tblVideos[Watched On],"&lt;"&amp;EDATE($B220,1),tblVideos[Status],"Watched")*24</f>
        <v/>
      </c>
      <c r="M220" s="84">
        <f>IF(I220=0,"Gap",IF(I220&gt;AVERAGE($I$135:$I$308)+2*STDEV($I$135:$I$308),"High",""))</f>
        <v/>
      </c>
    </row>
    <row r="221">
      <c r="B221" s="83" t="n">
        <v>43647</v>
      </c>
      <c r="C221" s="69">
        <f>COUNTIFS(tblVideos[Day],"&gt;="&amp;$B221,tblVideos[Day],"&lt;"&amp;EDATE($B221,1),tblVideos[Channel ID],Channels!$E$6)</f>
        <v/>
      </c>
      <c r="D221" s="69">
        <f>COUNTIFS(tblVideos[Day],"&gt;="&amp;$B221,tblVideos[Day],"&lt;"&amp;EDATE($B221,1),tblVideos[Channel ID],Channels!$E$7)</f>
        <v/>
      </c>
      <c r="E221" s="69">
        <f>COUNTIFS(tblVideos[Day],"&gt;="&amp;$B221,tblVideos[Day],"&lt;"&amp;EDATE($B221,1),tblVideos[Channel ID],Channels!$E$8)</f>
        <v/>
      </c>
      <c r="F221" s="69">
        <f>COUNTIFS(tblVideos[Day],"&gt;="&amp;$B221,tblVideos[Day],"&lt;"&amp;EDATE($B221,1),tblVideos[Channel ID],Channels!$E$9)</f>
        <v/>
      </c>
      <c r="G221" s="69">
        <f>COUNTIFS(tblVideos[Day],"&gt;="&amp;$B221,tblVideos[Day],"&lt;"&amp;EDATE($B221,1),tblVideos[Channel ID],Channels!$E$10)</f>
        <v/>
      </c>
      <c r="H221" s="69">
        <f>COUNTIFS(tblVideos[Day],"&gt;="&amp;$B221,tblVideos[Day],"&lt;"&amp;EDATE($B221,1),tblVideos[Channel ID],Channels!$E$11)</f>
        <v/>
      </c>
      <c r="I221" s="78">
        <f>SUM(C221:H221)</f>
        <v/>
      </c>
      <c r="J221" s="79">
        <f>SUMIFS(tblVideos[Length],tblVideos[Day],"&gt;="&amp;$B221,tblVideos[Day],"&lt;"&amp;EDATE($B221,1))*24</f>
        <v/>
      </c>
      <c r="K221" s="69">
        <f>COUNTIFS(tblVideos[Watched On],"&gt;="&amp;$B221,tblVideos[Watched On],"&lt;"&amp;EDATE($B221,1),tblVideos[Status],"Watched")</f>
        <v/>
      </c>
      <c r="L221" s="79">
        <f>SUMIFS(tblVideos[Length],tblVideos[Watched On],"&gt;="&amp;$B221,tblVideos[Watched On],"&lt;"&amp;EDATE($B221,1),tblVideos[Status],"Watched")*24</f>
        <v/>
      </c>
      <c r="M221" s="84">
        <f>IF(I221=0,"Gap",IF(I221&gt;AVERAGE($I$135:$I$308)+2*STDEV($I$135:$I$308),"High",""))</f>
        <v/>
      </c>
    </row>
    <row r="222">
      <c r="B222" s="83" t="n">
        <v>43678</v>
      </c>
      <c r="C222" s="69">
        <f>COUNTIFS(tblVideos[Day],"&gt;="&amp;$B222,tblVideos[Day],"&lt;"&amp;EDATE($B222,1),tblVideos[Channel ID],Channels!$E$6)</f>
        <v/>
      </c>
      <c r="D222" s="69">
        <f>COUNTIFS(tblVideos[Day],"&gt;="&amp;$B222,tblVideos[Day],"&lt;"&amp;EDATE($B222,1),tblVideos[Channel ID],Channels!$E$7)</f>
        <v/>
      </c>
      <c r="E222" s="69">
        <f>COUNTIFS(tblVideos[Day],"&gt;="&amp;$B222,tblVideos[Day],"&lt;"&amp;EDATE($B222,1),tblVideos[Channel ID],Channels!$E$8)</f>
        <v/>
      </c>
      <c r="F222" s="69">
        <f>COUNTIFS(tblVideos[Day],"&gt;="&amp;$B222,tblVideos[Day],"&lt;"&amp;EDATE($B222,1),tblVideos[Channel ID],Channels!$E$9)</f>
        <v/>
      </c>
      <c r="G222" s="69">
        <f>COUNTIFS(tblVideos[Day],"&gt;="&amp;$B222,tblVideos[Day],"&lt;"&amp;EDATE($B222,1),tblVideos[Channel ID],Channels!$E$10)</f>
        <v/>
      </c>
      <c r="H222" s="69">
        <f>COUNTIFS(tblVideos[Day],"&gt;="&amp;$B222,tblVideos[Day],"&lt;"&amp;EDATE($B222,1),tblVideos[Channel ID],Channels!$E$11)</f>
        <v/>
      </c>
      <c r="I222" s="78">
        <f>SUM(C222:H222)</f>
        <v/>
      </c>
      <c r="J222" s="79">
        <f>SUMIFS(tblVideos[Length],tblVideos[Day],"&gt;="&amp;$B222,tblVideos[Day],"&lt;"&amp;EDATE($B222,1))*24</f>
        <v/>
      </c>
      <c r="K222" s="69">
        <f>COUNTIFS(tblVideos[Watched On],"&gt;="&amp;$B222,tblVideos[Watched On],"&lt;"&amp;EDATE($B222,1),tblVideos[Status],"Watched")</f>
        <v/>
      </c>
      <c r="L222" s="79">
        <f>SUMIFS(tblVideos[Length],tblVideos[Watched On],"&gt;="&amp;$B222,tblVideos[Watched On],"&lt;"&amp;EDATE($B222,1),tblVideos[Status],"Watched")*24</f>
        <v/>
      </c>
      <c r="M222" s="84">
        <f>IF(I222=0,"Gap",IF(I222&gt;AVERAGE($I$135:$I$308)+2*STDEV($I$135:$I$308),"High",""))</f>
        <v/>
      </c>
    </row>
    <row r="223">
      <c r="B223" s="83" t="n">
        <v>43709</v>
      </c>
      <c r="C223" s="69">
        <f>COUNTIFS(tblVideos[Day],"&gt;="&amp;$B223,tblVideos[Day],"&lt;"&amp;EDATE($B223,1),tblVideos[Channel ID],Channels!$E$6)</f>
        <v/>
      </c>
      <c r="D223" s="69">
        <f>COUNTIFS(tblVideos[Day],"&gt;="&amp;$B223,tblVideos[Day],"&lt;"&amp;EDATE($B223,1),tblVideos[Channel ID],Channels!$E$7)</f>
        <v/>
      </c>
      <c r="E223" s="69">
        <f>COUNTIFS(tblVideos[Day],"&gt;="&amp;$B223,tblVideos[Day],"&lt;"&amp;EDATE($B223,1),tblVideos[Channel ID],Channels!$E$8)</f>
        <v/>
      </c>
      <c r="F223" s="69">
        <f>COUNTIFS(tblVideos[Day],"&gt;="&amp;$B223,tblVideos[Day],"&lt;"&amp;EDATE($B223,1),tblVideos[Channel ID],Channels!$E$9)</f>
        <v/>
      </c>
      <c r="G223" s="69">
        <f>COUNTIFS(tblVideos[Day],"&gt;="&amp;$B223,tblVideos[Day],"&lt;"&amp;EDATE($B223,1),tblVideos[Channel ID],Channels!$E$10)</f>
        <v/>
      </c>
      <c r="H223" s="69">
        <f>COUNTIFS(tblVideos[Day],"&gt;="&amp;$B223,tblVideos[Day],"&lt;"&amp;EDATE($B223,1),tblVideos[Channel ID],Channels!$E$11)</f>
        <v/>
      </c>
      <c r="I223" s="78">
        <f>SUM(C223:H223)</f>
        <v/>
      </c>
      <c r="J223" s="79">
        <f>SUMIFS(tblVideos[Length],tblVideos[Day],"&gt;="&amp;$B223,tblVideos[Day],"&lt;"&amp;EDATE($B223,1))*24</f>
        <v/>
      </c>
      <c r="K223" s="69">
        <f>COUNTIFS(tblVideos[Watched On],"&gt;="&amp;$B223,tblVideos[Watched On],"&lt;"&amp;EDATE($B223,1),tblVideos[Status],"Watched")</f>
        <v/>
      </c>
      <c r="L223" s="79">
        <f>SUMIFS(tblVideos[Length],tblVideos[Watched On],"&gt;="&amp;$B223,tblVideos[Watched On],"&lt;"&amp;EDATE($B223,1),tblVideos[Status],"Watched")*24</f>
        <v/>
      </c>
      <c r="M223" s="84">
        <f>IF(I223=0,"Gap",IF(I223&gt;AVERAGE($I$135:$I$308)+2*STDEV($I$135:$I$308),"High",""))</f>
        <v/>
      </c>
    </row>
    <row r="224">
      <c r="B224" s="83" t="n">
        <v>43739</v>
      </c>
      <c r="C224" s="69">
        <f>COUNTIFS(tblVideos[Day],"&gt;="&amp;$B224,tblVideos[Day],"&lt;"&amp;EDATE($B224,1),tblVideos[Channel ID],Channels!$E$6)</f>
        <v/>
      </c>
      <c r="D224" s="69">
        <f>COUNTIFS(tblVideos[Day],"&gt;="&amp;$B224,tblVideos[Day],"&lt;"&amp;EDATE($B224,1),tblVideos[Channel ID],Channels!$E$7)</f>
        <v/>
      </c>
      <c r="E224" s="69">
        <f>COUNTIFS(tblVideos[Day],"&gt;="&amp;$B224,tblVideos[Day],"&lt;"&amp;EDATE($B224,1),tblVideos[Channel ID],Channels!$E$8)</f>
        <v/>
      </c>
      <c r="F224" s="69">
        <f>COUNTIFS(tblVideos[Day],"&gt;="&amp;$B224,tblVideos[Day],"&lt;"&amp;EDATE($B224,1),tblVideos[Channel ID],Channels!$E$9)</f>
        <v/>
      </c>
      <c r="G224" s="69">
        <f>COUNTIFS(tblVideos[Day],"&gt;="&amp;$B224,tblVideos[Day],"&lt;"&amp;EDATE($B224,1),tblVideos[Channel ID],Channels!$E$10)</f>
        <v/>
      </c>
      <c r="H224" s="69">
        <f>COUNTIFS(tblVideos[Day],"&gt;="&amp;$B224,tblVideos[Day],"&lt;"&amp;EDATE($B224,1),tblVideos[Channel ID],Channels!$E$11)</f>
        <v/>
      </c>
      <c r="I224" s="78">
        <f>SUM(C224:H224)</f>
        <v/>
      </c>
      <c r="J224" s="79">
        <f>SUMIFS(tblVideos[Length],tblVideos[Day],"&gt;="&amp;$B224,tblVideos[Day],"&lt;"&amp;EDATE($B224,1))*24</f>
        <v/>
      </c>
      <c r="K224" s="69">
        <f>COUNTIFS(tblVideos[Watched On],"&gt;="&amp;$B224,tblVideos[Watched On],"&lt;"&amp;EDATE($B224,1),tblVideos[Status],"Watched")</f>
        <v/>
      </c>
      <c r="L224" s="79">
        <f>SUMIFS(tblVideos[Length],tblVideos[Watched On],"&gt;="&amp;$B224,tblVideos[Watched On],"&lt;"&amp;EDATE($B224,1),tblVideos[Status],"Watched")*24</f>
        <v/>
      </c>
      <c r="M224" s="84">
        <f>IF(I224=0,"Gap",IF(I224&gt;AVERAGE($I$135:$I$308)+2*STDEV($I$135:$I$308),"High",""))</f>
        <v/>
      </c>
    </row>
    <row r="225">
      <c r="B225" s="83" t="n">
        <v>43770</v>
      </c>
      <c r="C225" s="69">
        <f>COUNTIFS(tblVideos[Day],"&gt;="&amp;$B225,tblVideos[Day],"&lt;"&amp;EDATE($B225,1),tblVideos[Channel ID],Channels!$E$6)</f>
        <v/>
      </c>
      <c r="D225" s="69">
        <f>COUNTIFS(tblVideos[Day],"&gt;="&amp;$B225,tblVideos[Day],"&lt;"&amp;EDATE($B225,1),tblVideos[Channel ID],Channels!$E$7)</f>
        <v/>
      </c>
      <c r="E225" s="69">
        <f>COUNTIFS(tblVideos[Day],"&gt;="&amp;$B225,tblVideos[Day],"&lt;"&amp;EDATE($B225,1),tblVideos[Channel ID],Channels!$E$8)</f>
        <v/>
      </c>
      <c r="F225" s="69">
        <f>COUNTIFS(tblVideos[Day],"&gt;="&amp;$B225,tblVideos[Day],"&lt;"&amp;EDATE($B225,1),tblVideos[Channel ID],Channels!$E$9)</f>
        <v/>
      </c>
      <c r="G225" s="69">
        <f>COUNTIFS(tblVideos[Day],"&gt;="&amp;$B225,tblVideos[Day],"&lt;"&amp;EDATE($B225,1),tblVideos[Channel ID],Channels!$E$10)</f>
        <v/>
      </c>
      <c r="H225" s="69">
        <f>COUNTIFS(tblVideos[Day],"&gt;="&amp;$B225,tblVideos[Day],"&lt;"&amp;EDATE($B225,1),tblVideos[Channel ID],Channels!$E$11)</f>
        <v/>
      </c>
      <c r="I225" s="78">
        <f>SUM(C225:H225)</f>
        <v/>
      </c>
      <c r="J225" s="79">
        <f>SUMIFS(tblVideos[Length],tblVideos[Day],"&gt;="&amp;$B225,tblVideos[Day],"&lt;"&amp;EDATE($B225,1))*24</f>
        <v/>
      </c>
      <c r="K225" s="69">
        <f>COUNTIFS(tblVideos[Watched On],"&gt;="&amp;$B225,tblVideos[Watched On],"&lt;"&amp;EDATE($B225,1),tblVideos[Status],"Watched")</f>
        <v/>
      </c>
      <c r="L225" s="79">
        <f>SUMIFS(tblVideos[Length],tblVideos[Watched On],"&gt;="&amp;$B225,tblVideos[Watched On],"&lt;"&amp;EDATE($B225,1),tblVideos[Status],"Watched")*24</f>
        <v/>
      </c>
      <c r="M225" s="84">
        <f>IF(I225=0,"Gap",IF(I225&gt;AVERAGE($I$135:$I$308)+2*STDEV($I$135:$I$308),"High",""))</f>
        <v/>
      </c>
    </row>
    <row r="226">
      <c r="B226" s="83" t="n">
        <v>43800</v>
      </c>
      <c r="C226" s="69">
        <f>COUNTIFS(tblVideos[Day],"&gt;="&amp;$B226,tblVideos[Day],"&lt;"&amp;EDATE($B226,1),tblVideos[Channel ID],Channels!$E$6)</f>
        <v/>
      </c>
      <c r="D226" s="69">
        <f>COUNTIFS(tblVideos[Day],"&gt;="&amp;$B226,tblVideos[Day],"&lt;"&amp;EDATE($B226,1),tblVideos[Channel ID],Channels!$E$7)</f>
        <v/>
      </c>
      <c r="E226" s="69">
        <f>COUNTIFS(tblVideos[Day],"&gt;="&amp;$B226,tblVideos[Day],"&lt;"&amp;EDATE($B226,1),tblVideos[Channel ID],Channels!$E$8)</f>
        <v/>
      </c>
      <c r="F226" s="69">
        <f>COUNTIFS(tblVideos[Day],"&gt;="&amp;$B226,tblVideos[Day],"&lt;"&amp;EDATE($B226,1),tblVideos[Channel ID],Channels!$E$9)</f>
        <v/>
      </c>
      <c r="G226" s="69">
        <f>COUNTIFS(tblVideos[Day],"&gt;="&amp;$B226,tblVideos[Day],"&lt;"&amp;EDATE($B226,1),tblVideos[Channel ID],Channels!$E$10)</f>
        <v/>
      </c>
      <c r="H226" s="69">
        <f>COUNTIFS(tblVideos[Day],"&gt;="&amp;$B226,tblVideos[Day],"&lt;"&amp;EDATE($B226,1),tblVideos[Channel ID],Channels!$E$11)</f>
        <v/>
      </c>
      <c r="I226" s="78">
        <f>SUM(C226:H226)</f>
        <v/>
      </c>
      <c r="J226" s="79">
        <f>SUMIFS(tblVideos[Length],tblVideos[Day],"&gt;="&amp;$B226,tblVideos[Day],"&lt;"&amp;EDATE($B226,1))*24</f>
        <v/>
      </c>
      <c r="K226" s="69">
        <f>COUNTIFS(tblVideos[Watched On],"&gt;="&amp;$B226,tblVideos[Watched On],"&lt;"&amp;EDATE($B226,1),tblVideos[Status],"Watched")</f>
        <v/>
      </c>
      <c r="L226" s="79">
        <f>SUMIFS(tblVideos[Length],tblVideos[Watched On],"&gt;="&amp;$B226,tblVideos[Watched On],"&lt;"&amp;EDATE($B226,1),tblVideos[Status],"Watched")*24</f>
        <v/>
      </c>
      <c r="M226" s="84">
        <f>IF(I226=0,"Gap",IF(I226&gt;AVERAGE($I$135:$I$308)+2*STDEV($I$135:$I$308),"High",""))</f>
        <v/>
      </c>
    </row>
    <row r="227">
      <c r="B227" s="83" t="n">
        <v>43831</v>
      </c>
      <c r="C227" s="69">
        <f>COUNTIFS(tblVideos[Day],"&gt;="&amp;$B227,tblVideos[Day],"&lt;"&amp;EDATE($B227,1),tblVideos[Channel ID],Channels!$E$6)</f>
        <v/>
      </c>
      <c r="D227" s="69">
        <f>COUNTIFS(tblVideos[Day],"&gt;="&amp;$B227,tblVideos[Day],"&lt;"&amp;EDATE($B227,1),tblVideos[Channel ID],Channels!$E$7)</f>
        <v/>
      </c>
      <c r="E227" s="69">
        <f>COUNTIFS(tblVideos[Day],"&gt;="&amp;$B227,tblVideos[Day],"&lt;"&amp;EDATE($B227,1),tblVideos[Channel ID],Channels!$E$8)</f>
        <v/>
      </c>
      <c r="F227" s="69">
        <f>COUNTIFS(tblVideos[Day],"&gt;="&amp;$B227,tblVideos[Day],"&lt;"&amp;EDATE($B227,1),tblVideos[Channel ID],Channels!$E$9)</f>
        <v/>
      </c>
      <c r="G227" s="69">
        <f>COUNTIFS(tblVideos[Day],"&gt;="&amp;$B227,tblVideos[Day],"&lt;"&amp;EDATE($B227,1),tblVideos[Channel ID],Channels!$E$10)</f>
        <v/>
      </c>
      <c r="H227" s="69">
        <f>COUNTIFS(tblVideos[Day],"&gt;="&amp;$B227,tblVideos[Day],"&lt;"&amp;EDATE($B227,1),tblVideos[Channel ID],Channels!$E$11)</f>
        <v/>
      </c>
      <c r="I227" s="78">
        <f>SUM(C227:H227)</f>
        <v/>
      </c>
      <c r="J227" s="79">
        <f>SUMIFS(tblVideos[Length],tblVideos[Day],"&gt;="&amp;$B227,tblVideos[Day],"&lt;"&amp;EDATE($B227,1))*24</f>
        <v/>
      </c>
      <c r="K227" s="69">
        <f>COUNTIFS(tblVideos[Watched On],"&gt;="&amp;$B227,tblVideos[Watched On],"&lt;"&amp;EDATE($B227,1),tblVideos[Status],"Watched")</f>
        <v/>
      </c>
      <c r="L227" s="79">
        <f>SUMIFS(tblVideos[Length],tblVideos[Watched On],"&gt;="&amp;$B227,tblVideos[Watched On],"&lt;"&amp;EDATE($B227,1),tblVideos[Status],"Watched")*24</f>
        <v/>
      </c>
      <c r="M227" s="84">
        <f>IF(I227=0,"Gap",IF(I227&gt;AVERAGE($I$135:$I$308)+2*STDEV($I$135:$I$308),"High",""))</f>
        <v/>
      </c>
    </row>
    <row r="228">
      <c r="B228" s="83" t="n">
        <v>43862</v>
      </c>
      <c r="C228" s="69">
        <f>COUNTIFS(tblVideos[Day],"&gt;="&amp;$B228,tblVideos[Day],"&lt;"&amp;EDATE($B228,1),tblVideos[Channel ID],Channels!$E$6)</f>
        <v/>
      </c>
      <c r="D228" s="69">
        <f>COUNTIFS(tblVideos[Day],"&gt;="&amp;$B228,tblVideos[Day],"&lt;"&amp;EDATE($B228,1),tblVideos[Channel ID],Channels!$E$7)</f>
        <v/>
      </c>
      <c r="E228" s="69">
        <f>COUNTIFS(tblVideos[Day],"&gt;="&amp;$B228,tblVideos[Day],"&lt;"&amp;EDATE($B228,1),tblVideos[Channel ID],Channels!$E$8)</f>
        <v/>
      </c>
      <c r="F228" s="69">
        <f>COUNTIFS(tblVideos[Day],"&gt;="&amp;$B228,tblVideos[Day],"&lt;"&amp;EDATE($B228,1),tblVideos[Channel ID],Channels!$E$9)</f>
        <v/>
      </c>
      <c r="G228" s="69">
        <f>COUNTIFS(tblVideos[Day],"&gt;="&amp;$B228,tblVideos[Day],"&lt;"&amp;EDATE($B228,1),tblVideos[Channel ID],Channels!$E$10)</f>
        <v/>
      </c>
      <c r="H228" s="69">
        <f>COUNTIFS(tblVideos[Day],"&gt;="&amp;$B228,tblVideos[Day],"&lt;"&amp;EDATE($B228,1),tblVideos[Channel ID],Channels!$E$11)</f>
        <v/>
      </c>
      <c r="I228" s="78">
        <f>SUM(C228:H228)</f>
        <v/>
      </c>
      <c r="J228" s="79">
        <f>SUMIFS(tblVideos[Length],tblVideos[Day],"&gt;="&amp;$B228,tblVideos[Day],"&lt;"&amp;EDATE($B228,1))*24</f>
        <v/>
      </c>
      <c r="K228" s="69">
        <f>COUNTIFS(tblVideos[Watched On],"&gt;="&amp;$B228,tblVideos[Watched On],"&lt;"&amp;EDATE($B228,1),tblVideos[Status],"Watched")</f>
        <v/>
      </c>
      <c r="L228" s="79">
        <f>SUMIFS(tblVideos[Length],tblVideos[Watched On],"&gt;="&amp;$B228,tblVideos[Watched On],"&lt;"&amp;EDATE($B228,1),tblVideos[Status],"Watched")*24</f>
        <v/>
      </c>
      <c r="M228" s="84">
        <f>IF(I228=0,"Gap",IF(I228&gt;AVERAGE($I$135:$I$308)+2*STDEV($I$135:$I$308),"High",""))</f>
        <v/>
      </c>
    </row>
    <row r="229">
      <c r="B229" s="83" t="n">
        <v>43891</v>
      </c>
      <c r="C229" s="69">
        <f>COUNTIFS(tblVideos[Day],"&gt;="&amp;$B229,tblVideos[Day],"&lt;"&amp;EDATE($B229,1),tblVideos[Channel ID],Channels!$E$6)</f>
        <v/>
      </c>
      <c r="D229" s="69">
        <f>COUNTIFS(tblVideos[Day],"&gt;="&amp;$B229,tblVideos[Day],"&lt;"&amp;EDATE($B229,1),tblVideos[Channel ID],Channels!$E$7)</f>
        <v/>
      </c>
      <c r="E229" s="69">
        <f>COUNTIFS(tblVideos[Day],"&gt;="&amp;$B229,tblVideos[Day],"&lt;"&amp;EDATE($B229,1),tblVideos[Channel ID],Channels!$E$8)</f>
        <v/>
      </c>
      <c r="F229" s="69">
        <f>COUNTIFS(tblVideos[Day],"&gt;="&amp;$B229,tblVideos[Day],"&lt;"&amp;EDATE($B229,1),tblVideos[Channel ID],Channels!$E$9)</f>
        <v/>
      </c>
      <c r="G229" s="69">
        <f>COUNTIFS(tblVideos[Day],"&gt;="&amp;$B229,tblVideos[Day],"&lt;"&amp;EDATE($B229,1),tblVideos[Channel ID],Channels!$E$10)</f>
        <v/>
      </c>
      <c r="H229" s="69">
        <f>COUNTIFS(tblVideos[Day],"&gt;="&amp;$B229,tblVideos[Day],"&lt;"&amp;EDATE($B229,1),tblVideos[Channel ID],Channels!$E$11)</f>
        <v/>
      </c>
      <c r="I229" s="78">
        <f>SUM(C229:H229)</f>
        <v/>
      </c>
      <c r="J229" s="79">
        <f>SUMIFS(tblVideos[Length],tblVideos[Day],"&gt;="&amp;$B229,tblVideos[Day],"&lt;"&amp;EDATE($B229,1))*24</f>
        <v/>
      </c>
      <c r="K229" s="69">
        <f>COUNTIFS(tblVideos[Watched On],"&gt;="&amp;$B229,tblVideos[Watched On],"&lt;"&amp;EDATE($B229,1),tblVideos[Status],"Watched")</f>
        <v/>
      </c>
      <c r="L229" s="79">
        <f>SUMIFS(tblVideos[Length],tblVideos[Watched On],"&gt;="&amp;$B229,tblVideos[Watched On],"&lt;"&amp;EDATE($B229,1),tblVideos[Status],"Watched")*24</f>
        <v/>
      </c>
      <c r="M229" s="84">
        <f>IF(I229=0,"Gap",IF(I229&gt;AVERAGE($I$135:$I$308)+2*STDEV($I$135:$I$308),"High",""))</f>
        <v/>
      </c>
    </row>
    <row r="230">
      <c r="B230" s="83" t="n">
        <v>43922</v>
      </c>
      <c r="C230" s="69">
        <f>COUNTIFS(tblVideos[Day],"&gt;="&amp;$B230,tblVideos[Day],"&lt;"&amp;EDATE($B230,1),tblVideos[Channel ID],Channels!$E$6)</f>
        <v/>
      </c>
      <c r="D230" s="69">
        <f>COUNTIFS(tblVideos[Day],"&gt;="&amp;$B230,tblVideos[Day],"&lt;"&amp;EDATE($B230,1),tblVideos[Channel ID],Channels!$E$7)</f>
        <v/>
      </c>
      <c r="E230" s="69">
        <f>COUNTIFS(tblVideos[Day],"&gt;="&amp;$B230,tblVideos[Day],"&lt;"&amp;EDATE($B230,1),tblVideos[Channel ID],Channels!$E$8)</f>
        <v/>
      </c>
      <c r="F230" s="69">
        <f>COUNTIFS(tblVideos[Day],"&gt;="&amp;$B230,tblVideos[Day],"&lt;"&amp;EDATE($B230,1),tblVideos[Channel ID],Channels!$E$9)</f>
        <v/>
      </c>
      <c r="G230" s="69">
        <f>COUNTIFS(tblVideos[Day],"&gt;="&amp;$B230,tblVideos[Day],"&lt;"&amp;EDATE($B230,1),tblVideos[Channel ID],Channels!$E$10)</f>
        <v/>
      </c>
      <c r="H230" s="69">
        <f>COUNTIFS(tblVideos[Day],"&gt;="&amp;$B230,tblVideos[Day],"&lt;"&amp;EDATE($B230,1),tblVideos[Channel ID],Channels!$E$11)</f>
        <v/>
      </c>
      <c r="I230" s="78">
        <f>SUM(C230:H230)</f>
        <v/>
      </c>
      <c r="J230" s="79">
        <f>SUMIFS(tblVideos[Length],tblVideos[Day],"&gt;="&amp;$B230,tblVideos[Day],"&lt;"&amp;EDATE($B230,1))*24</f>
        <v/>
      </c>
      <c r="K230" s="69">
        <f>COUNTIFS(tblVideos[Watched On],"&gt;="&amp;$B230,tblVideos[Watched On],"&lt;"&amp;EDATE($B230,1),tblVideos[Status],"Watched")</f>
        <v/>
      </c>
      <c r="L230" s="79">
        <f>SUMIFS(tblVideos[Length],tblVideos[Watched On],"&gt;="&amp;$B230,tblVideos[Watched On],"&lt;"&amp;EDATE($B230,1),tblVideos[Status],"Watched")*24</f>
        <v/>
      </c>
      <c r="M230" s="84">
        <f>IF(I230=0,"Gap",IF(I230&gt;AVERAGE($I$135:$I$308)+2*STDEV($I$135:$I$308),"High",""))</f>
        <v/>
      </c>
    </row>
    <row r="231">
      <c r="B231" s="83" t="n">
        <v>43952</v>
      </c>
      <c r="C231" s="69">
        <f>COUNTIFS(tblVideos[Day],"&gt;="&amp;$B231,tblVideos[Day],"&lt;"&amp;EDATE($B231,1),tblVideos[Channel ID],Channels!$E$6)</f>
        <v/>
      </c>
      <c r="D231" s="69">
        <f>COUNTIFS(tblVideos[Day],"&gt;="&amp;$B231,tblVideos[Day],"&lt;"&amp;EDATE($B231,1),tblVideos[Channel ID],Channels!$E$7)</f>
        <v/>
      </c>
      <c r="E231" s="69">
        <f>COUNTIFS(tblVideos[Day],"&gt;="&amp;$B231,tblVideos[Day],"&lt;"&amp;EDATE($B231,1),tblVideos[Channel ID],Channels!$E$8)</f>
        <v/>
      </c>
      <c r="F231" s="69">
        <f>COUNTIFS(tblVideos[Day],"&gt;="&amp;$B231,tblVideos[Day],"&lt;"&amp;EDATE($B231,1),tblVideos[Channel ID],Channels!$E$9)</f>
        <v/>
      </c>
      <c r="G231" s="69">
        <f>COUNTIFS(tblVideos[Day],"&gt;="&amp;$B231,tblVideos[Day],"&lt;"&amp;EDATE($B231,1),tblVideos[Channel ID],Channels!$E$10)</f>
        <v/>
      </c>
      <c r="H231" s="69">
        <f>COUNTIFS(tblVideos[Day],"&gt;="&amp;$B231,tblVideos[Day],"&lt;"&amp;EDATE($B231,1),tblVideos[Channel ID],Channels!$E$11)</f>
        <v/>
      </c>
      <c r="I231" s="78">
        <f>SUM(C231:H231)</f>
        <v/>
      </c>
      <c r="J231" s="79">
        <f>SUMIFS(tblVideos[Length],tblVideos[Day],"&gt;="&amp;$B231,tblVideos[Day],"&lt;"&amp;EDATE($B231,1))*24</f>
        <v/>
      </c>
      <c r="K231" s="69">
        <f>COUNTIFS(tblVideos[Watched On],"&gt;="&amp;$B231,tblVideos[Watched On],"&lt;"&amp;EDATE($B231,1),tblVideos[Status],"Watched")</f>
        <v/>
      </c>
      <c r="L231" s="79">
        <f>SUMIFS(tblVideos[Length],tblVideos[Watched On],"&gt;="&amp;$B231,tblVideos[Watched On],"&lt;"&amp;EDATE($B231,1),tblVideos[Status],"Watched")*24</f>
        <v/>
      </c>
      <c r="M231" s="84">
        <f>IF(I231=0,"Gap",IF(I231&gt;AVERAGE($I$135:$I$308)+2*STDEV($I$135:$I$308),"High",""))</f>
        <v/>
      </c>
    </row>
    <row r="232">
      <c r="B232" s="83" t="n">
        <v>43983</v>
      </c>
      <c r="C232" s="69">
        <f>COUNTIFS(tblVideos[Day],"&gt;="&amp;$B232,tblVideos[Day],"&lt;"&amp;EDATE($B232,1),tblVideos[Channel ID],Channels!$E$6)</f>
        <v/>
      </c>
      <c r="D232" s="69">
        <f>COUNTIFS(tblVideos[Day],"&gt;="&amp;$B232,tblVideos[Day],"&lt;"&amp;EDATE($B232,1),tblVideos[Channel ID],Channels!$E$7)</f>
        <v/>
      </c>
      <c r="E232" s="69">
        <f>COUNTIFS(tblVideos[Day],"&gt;="&amp;$B232,tblVideos[Day],"&lt;"&amp;EDATE($B232,1),tblVideos[Channel ID],Channels!$E$8)</f>
        <v/>
      </c>
      <c r="F232" s="69">
        <f>COUNTIFS(tblVideos[Day],"&gt;="&amp;$B232,tblVideos[Day],"&lt;"&amp;EDATE($B232,1),tblVideos[Channel ID],Channels!$E$9)</f>
        <v/>
      </c>
      <c r="G232" s="69">
        <f>COUNTIFS(tblVideos[Day],"&gt;="&amp;$B232,tblVideos[Day],"&lt;"&amp;EDATE($B232,1),tblVideos[Channel ID],Channels!$E$10)</f>
        <v/>
      </c>
      <c r="H232" s="69">
        <f>COUNTIFS(tblVideos[Day],"&gt;="&amp;$B232,tblVideos[Day],"&lt;"&amp;EDATE($B232,1),tblVideos[Channel ID],Channels!$E$11)</f>
        <v/>
      </c>
      <c r="I232" s="78">
        <f>SUM(C232:H232)</f>
        <v/>
      </c>
      <c r="J232" s="79">
        <f>SUMIFS(tblVideos[Length],tblVideos[Day],"&gt;="&amp;$B232,tblVideos[Day],"&lt;"&amp;EDATE($B232,1))*24</f>
        <v/>
      </c>
      <c r="K232" s="69">
        <f>COUNTIFS(tblVideos[Watched On],"&gt;="&amp;$B232,tblVideos[Watched On],"&lt;"&amp;EDATE($B232,1),tblVideos[Status],"Watched")</f>
        <v/>
      </c>
      <c r="L232" s="79">
        <f>SUMIFS(tblVideos[Length],tblVideos[Watched On],"&gt;="&amp;$B232,tblVideos[Watched On],"&lt;"&amp;EDATE($B232,1),tblVideos[Status],"Watched")*24</f>
        <v/>
      </c>
      <c r="M232" s="84">
        <f>IF(I232=0,"Gap",IF(I232&gt;AVERAGE($I$135:$I$308)+2*STDEV($I$135:$I$308),"High",""))</f>
        <v/>
      </c>
    </row>
    <row r="233">
      <c r="B233" s="83" t="n">
        <v>44013</v>
      </c>
      <c r="C233" s="69">
        <f>COUNTIFS(tblVideos[Day],"&gt;="&amp;$B233,tblVideos[Day],"&lt;"&amp;EDATE($B233,1),tblVideos[Channel ID],Channels!$E$6)</f>
        <v/>
      </c>
      <c r="D233" s="69">
        <f>COUNTIFS(tblVideos[Day],"&gt;="&amp;$B233,tblVideos[Day],"&lt;"&amp;EDATE($B233,1),tblVideos[Channel ID],Channels!$E$7)</f>
        <v/>
      </c>
      <c r="E233" s="69">
        <f>COUNTIFS(tblVideos[Day],"&gt;="&amp;$B233,tblVideos[Day],"&lt;"&amp;EDATE($B233,1),tblVideos[Channel ID],Channels!$E$8)</f>
        <v/>
      </c>
      <c r="F233" s="69">
        <f>COUNTIFS(tblVideos[Day],"&gt;="&amp;$B233,tblVideos[Day],"&lt;"&amp;EDATE($B233,1),tblVideos[Channel ID],Channels!$E$9)</f>
        <v/>
      </c>
      <c r="G233" s="69">
        <f>COUNTIFS(tblVideos[Day],"&gt;="&amp;$B233,tblVideos[Day],"&lt;"&amp;EDATE($B233,1),tblVideos[Channel ID],Channels!$E$10)</f>
        <v/>
      </c>
      <c r="H233" s="69">
        <f>COUNTIFS(tblVideos[Day],"&gt;="&amp;$B233,tblVideos[Day],"&lt;"&amp;EDATE($B233,1),tblVideos[Channel ID],Channels!$E$11)</f>
        <v/>
      </c>
      <c r="I233" s="78">
        <f>SUM(C233:H233)</f>
        <v/>
      </c>
      <c r="J233" s="79">
        <f>SUMIFS(tblVideos[Length],tblVideos[Day],"&gt;="&amp;$B233,tblVideos[Day],"&lt;"&amp;EDATE($B233,1))*24</f>
        <v/>
      </c>
      <c r="K233" s="69">
        <f>COUNTIFS(tblVideos[Watched On],"&gt;="&amp;$B233,tblVideos[Watched On],"&lt;"&amp;EDATE($B233,1),tblVideos[Status],"Watched")</f>
        <v/>
      </c>
      <c r="L233" s="79">
        <f>SUMIFS(tblVideos[Length],tblVideos[Watched On],"&gt;="&amp;$B233,tblVideos[Watched On],"&lt;"&amp;EDATE($B233,1),tblVideos[Status],"Watched")*24</f>
        <v/>
      </c>
      <c r="M233" s="84">
        <f>IF(I233=0,"Gap",IF(I233&gt;AVERAGE($I$135:$I$308)+2*STDEV($I$135:$I$308),"High",""))</f>
        <v/>
      </c>
    </row>
    <row r="234">
      <c r="B234" s="83" t="n">
        <v>44044</v>
      </c>
      <c r="C234" s="69">
        <f>COUNTIFS(tblVideos[Day],"&gt;="&amp;$B234,tblVideos[Day],"&lt;"&amp;EDATE($B234,1),tblVideos[Channel ID],Channels!$E$6)</f>
        <v/>
      </c>
      <c r="D234" s="69">
        <f>COUNTIFS(tblVideos[Day],"&gt;="&amp;$B234,tblVideos[Day],"&lt;"&amp;EDATE($B234,1),tblVideos[Channel ID],Channels!$E$7)</f>
        <v/>
      </c>
      <c r="E234" s="69">
        <f>COUNTIFS(tblVideos[Day],"&gt;="&amp;$B234,tblVideos[Day],"&lt;"&amp;EDATE($B234,1),tblVideos[Channel ID],Channels!$E$8)</f>
        <v/>
      </c>
      <c r="F234" s="69">
        <f>COUNTIFS(tblVideos[Day],"&gt;="&amp;$B234,tblVideos[Day],"&lt;"&amp;EDATE($B234,1),tblVideos[Channel ID],Channels!$E$9)</f>
        <v/>
      </c>
      <c r="G234" s="69">
        <f>COUNTIFS(tblVideos[Day],"&gt;="&amp;$B234,tblVideos[Day],"&lt;"&amp;EDATE($B234,1),tblVideos[Channel ID],Channels!$E$10)</f>
        <v/>
      </c>
      <c r="H234" s="69">
        <f>COUNTIFS(tblVideos[Day],"&gt;="&amp;$B234,tblVideos[Day],"&lt;"&amp;EDATE($B234,1),tblVideos[Channel ID],Channels!$E$11)</f>
        <v/>
      </c>
      <c r="I234" s="78">
        <f>SUM(C234:H234)</f>
        <v/>
      </c>
      <c r="J234" s="79">
        <f>SUMIFS(tblVideos[Length],tblVideos[Day],"&gt;="&amp;$B234,tblVideos[Day],"&lt;"&amp;EDATE($B234,1))*24</f>
        <v/>
      </c>
      <c r="K234" s="69">
        <f>COUNTIFS(tblVideos[Watched On],"&gt;="&amp;$B234,tblVideos[Watched On],"&lt;"&amp;EDATE($B234,1),tblVideos[Status],"Watched")</f>
        <v/>
      </c>
      <c r="L234" s="79">
        <f>SUMIFS(tblVideos[Length],tblVideos[Watched On],"&gt;="&amp;$B234,tblVideos[Watched On],"&lt;"&amp;EDATE($B234,1),tblVideos[Status],"Watched")*24</f>
        <v/>
      </c>
      <c r="M234" s="84">
        <f>IF(I234=0,"Gap",IF(I234&gt;AVERAGE($I$135:$I$308)+2*STDEV($I$135:$I$308),"High",""))</f>
        <v/>
      </c>
    </row>
    <row r="235">
      <c r="B235" s="83" t="n">
        <v>44075</v>
      </c>
      <c r="C235" s="69">
        <f>COUNTIFS(tblVideos[Day],"&gt;="&amp;$B235,tblVideos[Day],"&lt;"&amp;EDATE($B235,1),tblVideos[Channel ID],Channels!$E$6)</f>
        <v/>
      </c>
      <c r="D235" s="69">
        <f>COUNTIFS(tblVideos[Day],"&gt;="&amp;$B235,tblVideos[Day],"&lt;"&amp;EDATE($B235,1),tblVideos[Channel ID],Channels!$E$7)</f>
        <v/>
      </c>
      <c r="E235" s="69">
        <f>COUNTIFS(tblVideos[Day],"&gt;="&amp;$B235,tblVideos[Day],"&lt;"&amp;EDATE($B235,1),tblVideos[Channel ID],Channels!$E$8)</f>
        <v/>
      </c>
      <c r="F235" s="69">
        <f>COUNTIFS(tblVideos[Day],"&gt;="&amp;$B235,tblVideos[Day],"&lt;"&amp;EDATE($B235,1),tblVideos[Channel ID],Channels!$E$9)</f>
        <v/>
      </c>
      <c r="G235" s="69">
        <f>COUNTIFS(tblVideos[Day],"&gt;="&amp;$B235,tblVideos[Day],"&lt;"&amp;EDATE($B235,1),tblVideos[Channel ID],Channels!$E$10)</f>
        <v/>
      </c>
      <c r="H235" s="69">
        <f>COUNTIFS(tblVideos[Day],"&gt;="&amp;$B235,tblVideos[Day],"&lt;"&amp;EDATE($B235,1),tblVideos[Channel ID],Channels!$E$11)</f>
        <v/>
      </c>
      <c r="I235" s="78">
        <f>SUM(C235:H235)</f>
        <v/>
      </c>
      <c r="J235" s="79">
        <f>SUMIFS(tblVideos[Length],tblVideos[Day],"&gt;="&amp;$B235,tblVideos[Day],"&lt;"&amp;EDATE($B235,1))*24</f>
        <v/>
      </c>
      <c r="K235" s="69">
        <f>COUNTIFS(tblVideos[Watched On],"&gt;="&amp;$B235,tblVideos[Watched On],"&lt;"&amp;EDATE($B235,1),tblVideos[Status],"Watched")</f>
        <v/>
      </c>
      <c r="L235" s="79">
        <f>SUMIFS(tblVideos[Length],tblVideos[Watched On],"&gt;="&amp;$B235,tblVideos[Watched On],"&lt;"&amp;EDATE($B235,1),tblVideos[Status],"Watched")*24</f>
        <v/>
      </c>
      <c r="M235" s="84">
        <f>IF(I235=0,"Gap",IF(I235&gt;AVERAGE($I$135:$I$308)+2*STDEV($I$135:$I$308),"High",""))</f>
        <v/>
      </c>
    </row>
    <row r="236">
      <c r="B236" s="83" t="n">
        <v>44105</v>
      </c>
      <c r="C236" s="69">
        <f>COUNTIFS(tblVideos[Day],"&gt;="&amp;$B236,tblVideos[Day],"&lt;"&amp;EDATE($B236,1),tblVideos[Channel ID],Channels!$E$6)</f>
        <v/>
      </c>
      <c r="D236" s="69">
        <f>COUNTIFS(tblVideos[Day],"&gt;="&amp;$B236,tblVideos[Day],"&lt;"&amp;EDATE($B236,1),tblVideos[Channel ID],Channels!$E$7)</f>
        <v/>
      </c>
      <c r="E236" s="69">
        <f>COUNTIFS(tblVideos[Day],"&gt;="&amp;$B236,tblVideos[Day],"&lt;"&amp;EDATE($B236,1),tblVideos[Channel ID],Channels!$E$8)</f>
        <v/>
      </c>
      <c r="F236" s="69">
        <f>COUNTIFS(tblVideos[Day],"&gt;="&amp;$B236,tblVideos[Day],"&lt;"&amp;EDATE($B236,1),tblVideos[Channel ID],Channels!$E$9)</f>
        <v/>
      </c>
      <c r="G236" s="69">
        <f>COUNTIFS(tblVideos[Day],"&gt;="&amp;$B236,tblVideos[Day],"&lt;"&amp;EDATE($B236,1),tblVideos[Channel ID],Channels!$E$10)</f>
        <v/>
      </c>
      <c r="H236" s="69">
        <f>COUNTIFS(tblVideos[Day],"&gt;="&amp;$B236,tblVideos[Day],"&lt;"&amp;EDATE($B236,1),tblVideos[Channel ID],Channels!$E$11)</f>
        <v/>
      </c>
      <c r="I236" s="78">
        <f>SUM(C236:H236)</f>
        <v/>
      </c>
      <c r="J236" s="79">
        <f>SUMIFS(tblVideos[Length],tblVideos[Day],"&gt;="&amp;$B236,tblVideos[Day],"&lt;"&amp;EDATE($B236,1))*24</f>
        <v/>
      </c>
      <c r="K236" s="69">
        <f>COUNTIFS(tblVideos[Watched On],"&gt;="&amp;$B236,tblVideos[Watched On],"&lt;"&amp;EDATE($B236,1),tblVideos[Status],"Watched")</f>
        <v/>
      </c>
      <c r="L236" s="79">
        <f>SUMIFS(tblVideos[Length],tblVideos[Watched On],"&gt;="&amp;$B236,tblVideos[Watched On],"&lt;"&amp;EDATE($B236,1),tblVideos[Status],"Watched")*24</f>
        <v/>
      </c>
      <c r="M236" s="84">
        <f>IF(I236=0,"Gap",IF(I236&gt;AVERAGE($I$135:$I$308)+2*STDEV($I$135:$I$308),"High",""))</f>
        <v/>
      </c>
    </row>
    <row r="237">
      <c r="B237" s="83" t="n">
        <v>44136</v>
      </c>
      <c r="C237" s="69">
        <f>COUNTIFS(tblVideos[Day],"&gt;="&amp;$B237,tblVideos[Day],"&lt;"&amp;EDATE($B237,1),tblVideos[Channel ID],Channels!$E$6)</f>
        <v/>
      </c>
      <c r="D237" s="69">
        <f>COUNTIFS(tblVideos[Day],"&gt;="&amp;$B237,tblVideos[Day],"&lt;"&amp;EDATE($B237,1),tblVideos[Channel ID],Channels!$E$7)</f>
        <v/>
      </c>
      <c r="E237" s="69">
        <f>COUNTIFS(tblVideos[Day],"&gt;="&amp;$B237,tblVideos[Day],"&lt;"&amp;EDATE($B237,1),tblVideos[Channel ID],Channels!$E$8)</f>
        <v/>
      </c>
      <c r="F237" s="69">
        <f>COUNTIFS(tblVideos[Day],"&gt;="&amp;$B237,tblVideos[Day],"&lt;"&amp;EDATE($B237,1),tblVideos[Channel ID],Channels!$E$9)</f>
        <v/>
      </c>
      <c r="G237" s="69">
        <f>COUNTIFS(tblVideos[Day],"&gt;="&amp;$B237,tblVideos[Day],"&lt;"&amp;EDATE($B237,1),tblVideos[Channel ID],Channels!$E$10)</f>
        <v/>
      </c>
      <c r="H237" s="69">
        <f>COUNTIFS(tblVideos[Day],"&gt;="&amp;$B237,tblVideos[Day],"&lt;"&amp;EDATE($B237,1),tblVideos[Channel ID],Channels!$E$11)</f>
        <v/>
      </c>
      <c r="I237" s="78">
        <f>SUM(C237:H237)</f>
        <v/>
      </c>
      <c r="J237" s="79">
        <f>SUMIFS(tblVideos[Length],tblVideos[Day],"&gt;="&amp;$B237,tblVideos[Day],"&lt;"&amp;EDATE($B237,1))*24</f>
        <v/>
      </c>
      <c r="K237" s="69">
        <f>COUNTIFS(tblVideos[Watched On],"&gt;="&amp;$B237,tblVideos[Watched On],"&lt;"&amp;EDATE($B237,1),tblVideos[Status],"Watched")</f>
        <v/>
      </c>
      <c r="L237" s="79">
        <f>SUMIFS(tblVideos[Length],tblVideos[Watched On],"&gt;="&amp;$B237,tblVideos[Watched On],"&lt;"&amp;EDATE($B237,1),tblVideos[Status],"Watched")*24</f>
        <v/>
      </c>
      <c r="M237" s="84">
        <f>IF(I237=0,"Gap",IF(I237&gt;AVERAGE($I$135:$I$308)+2*STDEV($I$135:$I$308),"High",""))</f>
        <v/>
      </c>
    </row>
    <row r="238">
      <c r="B238" s="83" t="n">
        <v>44166</v>
      </c>
      <c r="C238" s="69">
        <f>COUNTIFS(tblVideos[Day],"&gt;="&amp;$B238,tblVideos[Day],"&lt;"&amp;EDATE($B238,1),tblVideos[Channel ID],Channels!$E$6)</f>
        <v/>
      </c>
      <c r="D238" s="69">
        <f>COUNTIFS(tblVideos[Day],"&gt;="&amp;$B238,tblVideos[Day],"&lt;"&amp;EDATE($B238,1),tblVideos[Channel ID],Channels!$E$7)</f>
        <v/>
      </c>
      <c r="E238" s="69">
        <f>COUNTIFS(tblVideos[Day],"&gt;="&amp;$B238,tblVideos[Day],"&lt;"&amp;EDATE($B238,1),tblVideos[Channel ID],Channels!$E$8)</f>
        <v/>
      </c>
      <c r="F238" s="69">
        <f>COUNTIFS(tblVideos[Day],"&gt;="&amp;$B238,tblVideos[Day],"&lt;"&amp;EDATE($B238,1),tblVideos[Channel ID],Channels!$E$9)</f>
        <v/>
      </c>
      <c r="G238" s="69">
        <f>COUNTIFS(tblVideos[Day],"&gt;="&amp;$B238,tblVideos[Day],"&lt;"&amp;EDATE($B238,1),tblVideos[Channel ID],Channels!$E$10)</f>
        <v/>
      </c>
      <c r="H238" s="69">
        <f>COUNTIFS(tblVideos[Day],"&gt;="&amp;$B238,tblVideos[Day],"&lt;"&amp;EDATE($B238,1),tblVideos[Channel ID],Channels!$E$11)</f>
        <v/>
      </c>
      <c r="I238" s="78">
        <f>SUM(C238:H238)</f>
        <v/>
      </c>
      <c r="J238" s="79">
        <f>SUMIFS(tblVideos[Length],tblVideos[Day],"&gt;="&amp;$B238,tblVideos[Day],"&lt;"&amp;EDATE($B238,1))*24</f>
        <v/>
      </c>
      <c r="K238" s="69">
        <f>COUNTIFS(tblVideos[Watched On],"&gt;="&amp;$B238,tblVideos[Watched On],"&lt;"&amp;EDATE($B238,1),tblVideos[Status],"Watched")</f>
        <v/>
      </c>
      <c r="L238" s="79">
        <f>SUMIFS(tblVideos[Length],tblVideos[Watched On],"&gt;="&amp;$B238,tblVideos[Watched On],"&lt;"&amp;EDATE($B238,1),tblVideos[Status],"Watched")*24</f>
        <v/>
      </c>
      <c r="M238" s="84">
        <f>IF(I238=0,"Gap",IF(I238&gt;AVERAGE($I$135:$I$308)+2*STDEV($I$135:$I$308),"High",""))</f>
        <v/>
      </c>
    </row>
    <row r="239">
      <c r="B239" s="83" t="n">
        <v>44197</v>
      </c>
      <c r="C239" s="69">
        <f>COUNTIFS(tblVideos[Day],"&gt;="&amp;$B239,tblVideos[Day],"&lt;"&amp;EDATE($B239,1),tblVideos[Channel ID],Channels!$E$6)</f>
        <v/>
      </c>
      <c r="D239" s="69">
        <f>COUNTIFS(tblVideos[Day],"&gt;="&amp;$B239,tblVideos[Day],"&lt;"&amp;EDATE($B239,1),tblVideos[Channel ID],Channels!$E$7)</f>
        <v/>
      </c>
      <c r="E239" s="69">
        <f>COUNTIFS(tblVideos[Day],"&gt;="&amp;$B239,tblVideos[Day],"&lt;"&amp;EDATE($B239,1),tblVideos[Channel ID],Channels!$E$8)</f>
        <v/>
      </c>
      <c r="F239" s="69">
        <f>COUNTIFS(tblVideos[Day],"&gt;="&amp;$B239,tblVideos[Day],"&lt;"&amp;EDATE($B239,1),tblVideos[Channel ID],Channels!$E$9)</f>
        <v/>
      </c>
      <c r="G239" s="69">
        <f>COUNTIFS(tblVideos[Day],"&gt;="&amp;$B239,tblVideos[Day],"&lt;"&amp;EDATE($B239,1),tblVideos[Channel ID],Channels!$E$10)</f>
        <v/>
      </c>
      <c r="H239" s="69">
        <f>COUNTIFS(tblVideos[Day],"&gt;="&amp;$B239,tblVideos[Day],"&lt;"&amp;EDATE($B239,1),tblVideos[Channel ID],Channels!$E$11)</f>
        <v/>
      </c>
      <c r="I239" s="78">
        <f>SUM(C239:H239)</f>
        <v/>
      </c>
      <c r="J239" s="79">
        <f>SUMIFS(tblVideos[Length],tblVideos[Day],"&gt;="&amp;$B239,tblVideos[Day],"&lt;"&amp;EDATE($B239,1))*24</f>
        <v/>
      </c>
      <c r="K239" s="69">
        <f>COUNTIFS(tblVideos[Watched On],"&gt;="&amp;$B239,tblVideos[Watched On],"&lt;"&amp;EDATE($B239,1),tblVideos[Status],"Watched")</f>
        <v/>
      </c>
      <c r="L239" s="79">
        <f>SUMIFS(tblVideos[Length],tblVideos[Watched On],"&gt;="&amp;$B239,tblVideos[Watched On],"&lt;"&amp;EDATE($B239,1),tblVideos[Status],"Watched")*24</f>
        <v/>
      </c>
      <c r="M239" s="84">
        <f>IF(I239=0,"Gap",IF(I239&gt;AVERAGE($I$135:$I$308)+2*STDEV($I$135:$I$308),"High",""))</f>
        <v/>
      </c>
    </row>
    <row r="240">
      <c r="B240" s="83" t="n">
        <v>44228</v>
      </c>
      <c r="C240" s="69">
        <f>COUNTIFS(tblVideos[Day],"&gt;="&amp;$B240,tblVideos[Day],"&lt;"&amp;EDATE($B240,1),tblVideos[Channel ID],Channels!$E$6)</f>
        <v/>
      </c>
      <c r="D240" s="69">
        <f>COUNTIFS(tblVideos[Day],"&gt;="&amp;$B240,tblVideos[Day],"&lt;"&amp;EDATE($B240,1),tblVideos[Channel ID],Channels!$E$7)</f>
        <v/>
      </c>
      <c r="E240" s="69">
        <f>COUNTIFS(tblVideos[Day],"&gt;="&amp;$B240,tblVideos[Day],"&lt;"&amp;EDATE($B240,1),tblVideos[Channel ID],Channels!$E$8)</f>
        <v/>
      </c>
      <c r="F240" s="69">
        <f>COUNTIFS(tblVideos[Day],"&gt;="&amp;$B240,tblVideos[Day],"&lt;"&amp;EDATE($B240,1),tblVideos[Channel ID],Channels!$E$9)</f>
        <v/>
      </c>
      <c r="G240" s="69">
        <f>COUNTIFS(tblVideos[Day],"&gt;="&amp;$B240,tblVideos[Day],"&lt;"&amp;EDATE($B240,1),tblVideos[Channel ID],Channels!$E$10)</f>
        <v/>
      </c>
      <c r="H240" s="69">
        <f>COUNTIFS(tblVideos[Day],"&gt;="&amp;$B240,tblVideos[Day],"&lt;"&amp;EDATE($B240,1),tblVideos[Channel ID],Channels!$E$11)</f>
        <v/>
      </c>
      <c r="I240" s="78">
        <f>SUM(C240:H240)</f>
        <v/>
      </c>
      <c r="J240" s="79">
        <f>SUMIFS(tblVideos[Length],tblVideos[Day],"&gt;="&amp;$B240,tblVideos[Day],"&lt;"&amp;EDATE($B240,1))*24</f>
        <v/>
      </c>
      <c r="K240" s="69">
        <f>COUNTIFS(tblVideos[Watched On],"&gt;="&amp;$B240,tblVideos[Watched On],"&lt;"&amp;EDATE($B240,1),tblVideos[Status],"Watched")</f>
        <v/>
      </c>
      <c r="L240" s="79">
        <f>SUMIFS(tblVideos[Length],tblVideos[Watched On],"&gt;="&amp;$B240,tblVideos[Watched On],"&lt;"&amp;EDATE($B240,1),tblVideos[Status],"Watched")*24</f>
        <v/>
      </c>
      <c r="M240" s="84">
        <f>IF(I240=0,"Gap",IF(I240&gt;AVERAGE($I$135:$I$308)+2*STDEV($I$135:$I$308),"High",""))</f>
        <v/>
      </c>
    </row>
    <row r="241">
      <c r="B241" s="83" t="n">
        <v>44256</v>
      </c>
      <c r="C241" s="69">
        <f>COUNTIFS(tblVideos[Day],"&gt;="&amp;$B241,tblVideos[Day],"&lt;"&amp;EDATE($B241,1),tblVideos[Channel ID],Channels!$E$6)</f>
        <v/>
      </c>
      <c r="D241" s="69">
        <f>COUNTIFS(tblVideos[Day],"&gt;="&amp;$B241,tblVideos[Day],"&lt;"&amp;EDATE($B241,1),tblVideos[Channel ID],Channels!$E$7)</f>
        <v/>
      </c>
      <c r="E241" s="69">
        <f>COUNTIFS(tblVideos[Day],"&gt;="&amp;$B241,tblVideos[Day],"&lt;"&amp;EDATE($B241,1),tblVideos[Channel ID],Channels!$E$8)</f>
        <v/>
      </c>
      <c r="F241" s="69">
        <f>COUNTIFS(tblVideos[Day],"&gt;="&amp;$B241,tblVideos[Day],"&lt;"&amp;EDATE($B241,1),tblVideos[Channel ID],Channels!$E$9)</f>
        <v/>
      </c>
      <c r="G241" s="69">
        <f>COUNTIFS(tblVideos[Day],"&gt;="&amp;$B241,tblVideos[Day],"&lt;"&amp;EDATE($B241,1),tblVideos[Channel ID],Channels!$E$10)</f>
        <v/>
      </c>
      <c r="H241" s="69">
        <f>COUNTIFS(tblVideos[Day],"&gt;="&amp;$B241,tblVideos[Day],"&lt;"&amp;EDATE($B241,1),tblVideos[Channel ID],Channels!$E$11)</f>
        <v/>
      </c>
      <c r="I241" s="78">
        <f>SUM(C241:H241)</f>
        <v/>
      </c>
      <c r="J241" s="79">
        <f>SUMIFS(tblVideos[Length],tblVideos[Day],"&gt;="&amp;$B241,tblVideos[Day],"&lt;"&amp;EDATE($B241,1))*24</f>
        <v/>
      </c>
      <c r="K241" s="69">
        <f>COUNTIFS(tblVideos[Watched On],"&gt;="&amp;$B241,tblVideos[Watched On],"&lt;"&amp;EDATE($B241,1),tblVideos[Status],"Watched")</f>
        <v/>
      </c>
      <c r="L241" s="79">
        <f>SUMIFS(tblVideos[Length],tblVideos[Watched On],"&gt;="&amp;$B241,tblVideos[Watched On],"&lt;"&amp;EDATE($B241,1),tblVideos[Status],"Watched")*24</f>
        <v/>
      </c>
      <c r="M241" s="84">
        <f>IF(I241=0,"Gap",IF(I241&gt;AVERAGE($I$135:$I$308)+2*STDEV($I$135:$I$308),"High",""))</f>
        <v/>
      </c>
    </row>
    <row r="242">
      <c r="B242" s="83" t="n">
        <v>44287</v>
      </c>
      <c r="C242" s="69">
        <f>COUNTIFS(tblVideos[Day],"&gt;="&amp;$B242,tblVideos[Day],"&lt;"&amp;EDATE($B242,1),tblVideos[Channel ID],Channels!$E$6)</f>
        <v/>
      </c>
      <c r="D242" s="69">
        <f>COUNTIFS(tblVideos[Day],"&gt;="&amp;$B242,tblVideos[Day],"&lt;"&amp;EDATE($B242,1),tblVideos[Channel ID],Channels!$E$7)</f>
        <v/>
      </c>
      <c r="E242" s="69">
        <f>COUNTIFS(tblVideos[Day],"&gt;="&amp;$B242,tblVideos[Day],"&lt;"&amp;EDATE($B242,1),tblVideos[Channel ID],Channels!$E$8)</f>
        <v/>
      </c>
      <c r="F242" s="69">
        <f>COUNTIFS(tblVideos[Day],"&gt;="&amp;$B242,tblVideos[Day],"&lt;"&amp;EDATE($B242,1),tblVideos[Channel ID],Channels!$E$9)</f>
        <v/>
      </c>
      <c r="G242" s="69">
        <f>COUNTIFS(tblVideos[Day],"&gt;="&amp;$B242,tblVideos[Day],"&lt;"&amp;EDATE($B242,1),tblVideos[Channel ID],Channels!$E$10)</f>
        <v/>
      </c>
      <c r="H242" s="69">
        <f>COUNTIFS(tblVideos[Day],"&gt;="&amp;$B242,tblVideos[Day],"&lt;"&amp;EDATE($B242,1),tblVideos[Channel ID],Channels!$E$11)</f>
        <v/>
      </c>
      <c r="I242" s="78">
        <f>SUM(C242:H242)</f>
        <v/>
      </c>
      <c r="J242" s="79">
        <f>SUMIFS(tblVideos[Length],tblVideos[Day],"&gt;="&amp;$B242,tblVideos[Day],"&lt;"&amp;EDATE($B242,1))*24</f>
        <v/>
      </c>
      <c r="K242" s="69">
        <f>COUNTIFS(tblVideos[Watched On],"&gt;="&amp;$B242,tblVideos[Watched On],"&lt;"&amp;EDATE($B242,1),tblVideos[Status],"Watched")</f>
        <v/>
      </c>
      <c r="L242" s="79">
        <f>SUMIFS(tblVideos[Length],tblVideos[Watched On],"&gt;="&amp;$B242,tblVideos[Watched On],"&lt;"&amp;EDATE($B242,1),tblVideos[Status],"Watched")*24</f>
        <v/>
      </c>
      <c r="M242" s="84">
        <f>IF(I242=0,"Gap",IF(I242&gt;AVERAGE($I$135:$I$308)+2*STDEV($I$135:$I$308),"High",""))</f>
        <v/>
      </c>
    </row>
    <row r="243">
      <c r="B243" s="83" t="n">
        <v>44317</v>
      </c>
      <c r="C243" s="69">
        <f>COUNTIFS(tblVideos[Day],"&gt;="&amp;$B243,tblVideos[Day],"&lt;"&amp;EDATE($B243,1),tblVideos[Channel ID],Channels!$E$6)</f>
        <v/>
      </c>
      <c r="D243" s="69">
        <f>COUNTIFS(tblVideos[Day],"&gt;="&amp;$B243,tblVideos[Day],"&lt;"&amp;EDATE($B243,1),tblVideos[Channel ID],Channels!$E$7)</f>
        <v/>
      </c>
      <c r="E243" s="69">
        <f>COUNTIFS(tblVideos[Day],"&gt;="&amp;$B243,tblVideos[Day],"&lt;"&amp;EDATE($B243,1),tblVideos[Channel ID],Channels!$E$8)</f>
        <v/>
      </c>
      <c r="F243" s="69">
        <f>COUNTIFS(tblVideos[Day],"&gt;="&amp;$B243,tblVideos[Day],"&lt;"&amp;EDATE($B243,1),tblVideos[Channel ID],Channels!$E$9)</f>
        <v/>
      </c>
      <c r="G243" s="69">
        <f>COUNTIFS(tblVideos[Day],"&gt;="&amp;$B243,tblVideos[Day],"&lt;"&amp;EDATE($B243,1),tblVideos[Channel ID],Channels!$E$10)</f>
        <v/>
      </c>
      <c r="H243" s="69">
        <f>COUNTIFS(tblVideos[Day],"&gt;="&amp;$B243,tblVideos[Day],"&lt;"&amp;EDATE($B243,1),tblVideos[Channel ID],Channels!$E$11)</f>
        <v/>
      </c>
      <c r="I243" s="78">
        <f>SUM(C243:H243)</f>
        <v/>
      </c>
      <c r="J243" s="79">
        <f>SUMIFS(tblVideos[Length],tblVideos[Day],"&gt;="&amp;$B243,tblVideos[Day],"&lt;"&amp;EDATE($B243,1))*24</f>
        <v/>
      </c>
      <c r="K243" s="69">
        <f>COUNTIFS(tblVideos[Watched On],"&gt;="&amp;$B243,tblVideos[Watched On],"&lt;"&amp;EDATE($B243,1),tblVideos[Status],"Watched")</f>
        <v/>
      </c>
      <c r="L243" s="79">
        <f>SUMIFS(tblVideos[Length],tblVideos[Watched On],"&gt;="&amp;$B243,tblVideos[Watched On],"&lt;"&amp;EDATE($B243,1),tblVideos[Status],"Watched")*24</f>
        <v/>
      </c>
      <c r="M243" s="84">
        <f>IF(I243=0,"Gap",IF(I243&gt;AVERAGE($I$135:$I$308)+2*STDEV($I$135:$I$308),"High",""))</f>
        <v/>
      </c>
    </row>
    <row r="244">
      <c r="B244" s="83" t="n">
        <v>44348</v>
      </c>
      <c r="C244" s="69">
        <f>COUNTIFS(tblVideos[Day],"&gt;="&amp;$B244,tblVideos[Day],"&lt;"&amp;EDATE($B244,1),tblVideos[Channel ID],Channels!$E$6)</f>
        <v/>
      </c>
      <c r="D244" s="69">
        <f>COUNTIFS(tblVideos[Day],"&gt;="&amp;$B244,tblVideos[Day],"&lt;"&amp;EDATE($B244,1),tblVideos[Channel ID],Channels!$E$7)</f>
        <v/>
      </c>
      <c r="E244" s="69">
        <f>COUNTIFS(tblVideos[Day],"&gt;="&amp;$B244,tblVideos[Day],"&lt;"&amp;EDATE($B244,1),tblVideos[Channel ID],Channels!$E$8)</f>
        <v/>
      </c>
      <c r="F244" s="69">
        <f>COUNTIFS(tblVideos[Day],"&gt;="&amp;$B244,tblVideos[Day],"&lt;"&amp;EDATE($B244,1),tblVideos[Channel ID],Channels!$E$9)</f>
        <v/>
      </c>
      <c r="G244" s="69">
        <f>COUNTIFS(tblVideos[Day],"&gt;="&amp;$B244,tblVideos[Day],"&lt;"&amp;EDATE($B244,1),tblVideos[Channel ID],Channels!$E$10)</f>
        <v/>
      </c>
      <c r="H244" s="69">
        <f>COUNTIFS(tblVideos[Day],"&gt;="&amp;$B244,tblVideos[Day],"&lt;"&amp;EDATE($B244,1),tblVideos[Channel ID],Channels!$E$11)</f>
        <v/>
      </c>
      <c r="I244" s="78">
        <f>SUM(C244:H244)</f>
        <v/>
      </c>
      <c r="J244" s="79">
        <f>SUMIFS(tblVideos[Length],tblVideos[Day],"&gt;="&amp;$B244,tblVideos[Day],"&lt;"&amp;EDATE($B244,1))*24</f>
        <v/>
      </c>
      <c r="K244" s="69">
        <f>COUNTIFS(tblVideos[Watched On],"&gt;="&amp;$B244,tblVideos[Watched On],"&lt;"&amp;EDATE($B244,1),tblVideos[Status],"Watched")</f>
        <v/>
      </c>
      <c r="L244" s="79">
        <f>SUMIFS(tblVideos[Length],tblVideos[Watched On],"&gt;="&amp;$B244,tblVideos[Watched On],"&lt;"&amp;EDATE($B244,1),tblVideos[Status],"Watched")*24</f>
        <v/>
      </c>
      <c r="M244" s="84">
        <f>IF(I244=0,"Gap",IF(I244&gt;AVERAGE($I$135:$I$308)+2*STDEV($I$135:$I$308),"High",""))</f>
        <v/>
      </c>
    </row>
    <row r="245">
      <c r="B245" s="83" t="n">
        <v>44378</v>
      </c>
      <c r="C245" s="69">
        <f>COUNTIFS(tblVideos[Day],"&gt;="&amp;$B245,tblVideos[Day],"&lt;"&amp;EDATE($B245,1),tblVideos[Channel ID],Channels!$E$6)</f>
        <v/>
      </c>
      <c r="D245" s="69">
        <f>COUNTIFS(tblVideos[Day],"&gt;="&amp;$B245,tblVideos[Day],"&lt;"&amp;EDATE($B245,1),tblVideos[Channel ID],Channels!$E$7)</f>
        <v/>
      </c>
      <c r="E245" s="69">
        <f>COUNTIFS(tblVideos[Day],"&gt;="&amp;$B245,tblVideos[Day],"&lt;"&amp;EDATE($B245,1),tblVideos[Channel ID],Channels!$E$8)</f>
        <v/>
      </c>
      <c r="F245" s="69">
        <f>COUNTIFS(tblVideos[Day],"&gt;="&amp;$B245,tblVideos[Day],"&lt;"&amp;EDATE($B245,1),tblVideos[Channel ID],Channels!$E$9)</f>
        <v/>
      </c>
      <c r="G245" s="69">
        <f>COUNTIFS(tblVideos[Day],"&gt;="&amp;$B245,tblVideos[Day],"&lt;"&amp;EDATE($B245,1),tblVideos[Channel ID],Channels!$E$10)</f>
        <v/>
      </c>
      <c r="H245" s="69">
        <f>COUNTIFS(tblVideos[Day],"&gt;="&amp;$B245,tblVideos[Day],"&lt;"&amp;EDATE($B245,1),tblVideos[Channel ID],Channels!$E$11)</f>
        <v/>
      </c>
      <c r="I245" s="78">
        <f>SUM(C245:H245)</f>
        <v/>
      </c>
      <c r="J245" s="79">
        <f>SUMIFS(tblVideos[Length],tblVideos[Day],"&gt;="&amp;$B245,tblVideos[Day],"&lt;"&amp;EDATE($B245,1))*24</f>
        <v/>
      </c>
      <c r="K245" s="69">
        <f>COUNTIFS(tblVideos[Watched On],"&gt;="&amp;$B245,tblVideos[Watched On],"&lt;"&amp;EDATE($B245,1),tblVideos[Status],"Watched")</f>
        <v/>
      </c>
      <c r="L245" s="79">
        <f>SUMIFS(tblVideos[Length],tblVideos[Watched On],"&gt;="&amp;$B245,tblVideos[Watched On],"&lt;"&amp;EDATE($B245,1),tblVideos[Status],"Watched")*24</f>
        <v/>
      </c>
      <c r="M245" s="84">
        <f>IF(I245=0,"Gap",IF(I245&gt;AVERAGE($I$135:$I$308)+2*STDEV($I$135:$I$308),"High",""))</f>
        <v/>
      </c>
    </row>
    <row r="246">
      <c r="B246" s="83" t="n">
        <v>44409</v>
      </c>
      <c r="C246" s="69">
        <f>COUNTIFS(tblVideos[Day],"&gt;="&amp;$B246,tblVideos[Day],"&lt;"&amp;EDATE($B246,1),tblVideos[Channel ID],Channels!$E$6)</f>
        <v/>
      </c>
      <c r="D246" s="69">
        <f>COUNTIFS(tblVideos[Day],"&gt;="&amp;$B246,tblVideos[Day],"&lt;"&amp;EDATE($B246,1),tblVideos[Channel ID],Channels!$E$7)</f>
        <v/>
      </c>
      <c r="E246" s="69">
        <f>COUNTIFS(tblVideos[Day],"&gt;="&amp;$B246,tblVideos[Day],"&lt;"&amp;EDATE($B246,1),tblVideos[Channel ID],Channels!$E$8)</f>
        <v/>
      </c>
      <c r="F246" s="69">
        <f>COUNTIFS(tblVideos[Day],"&gt;="&amp;$B246,tblVideos[Day],"&lt;"&amp;EDATE($B246,1),tblVideos[Channel ID],Channels!$E$9)</f>
        <v/>
      </c>
      <c r="G246" s="69">
        <f>COUNTIFS(tblVideos[Day],"&gt;="&amp;$B246,tblVideos[Day],"&lt;"&amp;EDATE($B246,1),tblVideos[Channel ID],Channels!$E$10)</f>
        <v/>
      </c>
      <c r="H246" s="69">
        <f>COUNTIFS(tblVideos[Day],"&gt;="&amp;$B246,tblVideos[Day],"&lt;"&amp;EDATE($B246,1),tblVideos[Channel ID],Channels!$E$11)</f>
        <v/>
      </c>
      <c r="I246" s="78">
        <f>SUM(C246:H246)</f>
        <v/>
      </c>
      <c r="J246" s="79">
        <f>SUMIFS(tblVideos[Length],tblVideos[Day],"&gt;="&amp;$B246,tblVideos[Day],"&lt;"&amp;EDATE($B246,1))*24</f>
        <v/>
      </c>
      <c r="K246" s="69">
        <f>COUNTIFS(tblVideos[Watched On],"&gt;="&amp;$B246,tblVideos[Watched On],"&lt;"&amp;EDATE($B246,1),tblVideos[Status],"Watched")</f>
        <v/>
      </c>
      <c r="L246" s="79">
        <f>SUMIFS(tblVideos[Length],tblVideos[Watched On],"&gt;="&amp;$B246,tblVideos[Watched On],"&lt;"&amp;EDATE($B246,1),tblVideos[Status],"Watched")*24</f>
        <v/>
      </c>
      <c r="M246" s="84">
        <f>IF(I246=0,"Gap",IF(I246&gt;AVERAGE($I$135:$I$308)+2*STDEV($I$135:$I$308),"High",""))</f>
        <v/>
      </c>
    </row>
    <row r="247">
      <c r="B247" s="83" t="n">
        <v>44440</v>
      </c>
      <c r="C247" s="69">
        <f>COUNTIFS(tblVideos[Day],"&gt;="&amp;$B247,tblVideos[Day],"&lt;"&amp;EDATE($B247,1),tblVideos[Channel ID],Channels!$E$6)</f>
        <v/>
      </c>
      <c r="D247" s="69">
        <f>COUNTIFS(tblVideos[Day],"&gt;="&amp;$B247,tblVideos[Day],"&lt;"&amp;EDATE($B247,1),tblVideos[Channel ID],Channels!$E$7)</f>
        <v/>
      </c>
      <c r="E247" s="69">
        <f>COUNTIFS(tblVideos[Day],"&gt;="&amp;$B247,tblVideos[Day],"&lt;"&amp;EDATE($B247,1),tblVideos[Channel ID],Channels!$E$8)</f>
        <v/>
      </c>
      <c r="F247" s="69">
        <f>COUNTIFS(tblVideos[Day],"&gt;="&amp;$B247,tblVideos[Day],"&lt;"&amp;EDATE($B247,1),tblVideos[Channel ID],Channels!$E$9)</f>
        <v/>
      </c>
      <c r="G247" s="69">
        <f>COUNTIFS(tblVideos[Day],"&gt;="&amp;$B247,tblVideos[Day],"&lt;"&amp;EDATE($B247,1),tblVideos[Channel ID],Channels!$E$10)</f>
        <v/>
      </c>
      <c r="H247" s="69">
        <f>COUNTIFS(tblVideos[Day],"&gt;="&amp;$B247,tblVideos[Day],"&lt;"&amp;EDATE($B247,1),tblVideos[Channel ID],Channels!$E$11)</f>
        <v/>
      </c>
      <c r="I247" s="78">
        <f>SUM(C247:H247)</f>
        <v/>
      </c>
      <c r="J247" s="79">
        <f>SUMIFS(tblVideos[Length],tblVideos[Day],"&gt;="&amp;$B247,tblVideos[Day],"&lt;"&amp;EDATE($B247,1))*24</f>
        <v/>
      </c>
      <c r="K247" s="69">
        <f>COUNTIFS(tblVideos[Watched On],"&gt;="&amp;$B247,tblVideos[Watched On],"&lt;"&amp;EDATE($B247,1),tblVideos[Status],"Watched")</f>
        <v/>
      </c>
      <c r="L247" s="79">
        <f>SUMIFS(tblVideos[Length],tblVideos[Watched On],"&gt;="&amp;$B247,tblVideos[Watched On],"&lt;"&amp;EDATE($B247,1),tblVideos[Status],"Watched")*24</f>
        <v/>
      </c>
      <c r="M247" s="84">
        <f>IF(I247=0,"Gap",IF(I247&gt;AVERAGE($I$135:$I$308)+2*STDEV($I$135:$I$308),"High",""))</f>
        <v/>
      </c>
    </row>
    <row r="248">
      <c r="B248" s="83" t="n">
        <v>44470</v>
      </c>
      <c r="C248" s="69">
        <f>COUNTIFS(tblVideos[Day],"&gt;="&amp;$B248,tblVideos[Day],"&lt;"&amp;EDATE($B248,1),tblVideos[Channel ID],Channels!$E$6)</f>
        <v/>
      </c>
      <c r="D248" s="69">
        <f>COUNTIFS(tblVideos[Day],"&gt;="&amp;$B248,tblVideos[Day],"&lt;"&amp;EDATE($B248,1),tblVideos[Channel ID],Channels!$E$7)</f>
        <v/>
      </c>
      <c r="E248" s="69">
        <f>COUNTIFS(tblVideos[Day],"&gt;="&amp;$B248,tblVideos[Day],"&lt;"&amp;EDATE($B248,1),tblVideos[Channel ID],Channels!$E$8)</f>
        <v/>
      </c>
      <c r="F248" s="69">
        <f>COUNTIFS(tblVideos[Day],"&gt;="&amp;$B248,tblVideos[Day],"&lt;"&amp;EDATE($B248,1),tblVideos[Channel ID],Channels!$E$9)</f>
        <v/>
      </c>
      <c r="G248" s="69">
        <f>COUNTIFS(tblVideos[Day],"&gt;="&amp;$B248,tblVideos[Day],"&lt;"&amp;EDATE($B248,1),tblVideos[Channel ID],Channels!$E$10)</f>
        <v/>
      </c>
      <c r="H248" s="69">
        <f>COUNTIFS(tblVideos[Day],"&gt;="&amp;$B248,tblVideos[Day],"&lt;"&amp;EDATE($B248,1),tblVideos[Channel ID],Channels!$E$11)</f>
        <v/>
      </c>
      <c r="I248" s="78">
        <f>SUM(C248:H248)</f>
        <v/>
      </c>
      <c r="J248" s="79">
        <f>SUMIFS(tblVideos[Length],tblVideos[Day],"&gt;="&amp;$B248,tblVideos[Day],"&lt;"&amp;EDATE($B248,1))*24</f>
        <v/>
      </c>
      <c r="K248" s="69">
        <f>COUNTIFS(tblVideos[Watched On],"&gt;="&amp;$B248,tblVideos[Watched On],"&lt;"&amp;EDATE($B248,1),tblVideos[Status],"Watched")</f>
        <v/>
      </c>
      <c r="L248" s="79">
        <f>SUMIFS(tblVideos[Length],tblVideos[Watched On],"&gt;="&amp;$B248,tblVideos[Watched On],"&lt;"&amp;EDATE($B248,1),tblVideos[Status],"Watched")*24</f>
        <v/>
      </c>
      <c r="M248" s="84">
        <f>IF(I248=0,"Gap",IF(I248&gt;AVERAGE($I$135:$I$308)+2*STDEV($I$135:$I$308),"High",""))</f>
        <v/>
      </c>
    </row>
    <row r="249">
      <c r="B249" s="83" t="n">
        <v>44501</v>
      </c>
      <c r="C249" s="69">
        <f>COUNTIFS(tblVideos[Day],"&gt;="&amp;$B249,tblVideos[Day],"&lt;"&amp;EDATE($B249,1),tblVideos[Channel ID],Channels!$E$6)</f>
        <v/>
      </c>
      <c r="D249" s="69">
        <f>COUNTIFS(tblVideos[Day],"&gt;="&amp;$B249,tblVideos[Day],"&lt;"&amp;EDATE($B249,1),tblVideos[Channel ID],Channels!$E$7)</f>
        <v/>
      </c>
      <c r="E249" s="69">
        <f>COUNTIFS(tblVideos[Day],"&gt;="&amp;$B249,tblVideos[Day],"&lt;"&amp;EDATE($B249,1),tblVideos[Channel ID],Channels!$E$8)</f>
        <v/>
      </c>
      <c r="F249" s="69">
        <f>COUNTIFS(tblVideos[Day],"&gt;="&amp;$B249,tblVideos[Day],"&lt;"&amp;EDATE($B249,1),tblVideos[Channel ID],Channels!$E$9)</f>
        <v/>
      </c>
      <c r="G249" s="69">
        <f>COUNTIFS(tblVideos[Day],"&gt;="&amp;$B249,tblVideos[Day],"&lt;"&amp;EDATE($B249,1),tblVideos[Channel ID],Channels!$E$10)</f>
        <v/>
      </c>
      <c r="H249" s="69">
        <f>COUNTIFS(tblVideos[Day],"&gt;="&amp;$B249,tblVideos[Day],"&lt;"&amp;EDATE($B249,1),tblVideos[Channel ID],Channels!$E$11)</f>
        <v/>
      </c>
      <c r="I249" s="78">
        <f>SUM(C249:H249)</f>
        <v/>
      </c>
      <c r="J249" s="79">
        <f>SUMIFS(tblVideos[Length],tblVideos[Day],"&gt;="&amp;$B249,tblVideos[Day],"&lt;"&amp;EDATE($B249,1))*24</f>
        <v/>
      </c>
      <c r="K249" s="69">
        <f>COUNTIFS(tblVideos[Watched On],"&gt;="&amp;$B249,tblVideos[Watched On],"&lt;"&amp;EDATE($B249,1),tblVideos[Status],"Watched")</f>
        <v/>
      </c>
      <c r="L249" s="79">
        <f>SUMIFS(tblVideos[Length],tblVideos[Watched On],"&gt;="&amp;$B249,tblVideos[Watched On],"&lt;"&amp;EDATE($B249,1),tblVideos[Status],"Watched")*24</f>
        <v/>
      </c>
      <c r="M249" s="84">
        <f>IF(I249=0,"Gap",IF(I249&gt;AVERAGE($I$135:$I$308)+2*STDEV($I$135:$I$308),"High",""))</f>
        <v/>
      </c>
    </row>
    <row r="250">
      <c r="B250" s="83" t="n">
        <v>44531</v>
      </c>
      <c r="C250" s="69">
        <f>COUNTIFS(tblVideos[Day],"&gt;="&amp;$B250,tblVideos[Day],"&lt;"&amp;EDATE($B250,1),tblVideos[Channel ID],Channels!$E$6)</f>
        <v/>
      </c>
      <c r="D250" s="69">
        <f>COUNTIFS(tblVideos[Day],"&gt;="&amp;$B250,tblVideos[Day],"&lt;"&amp;EDATE($B250,1),tblVideos[Channel ID],Channels!$E$7)</f>
        <v/>
      </c>
      <c r="E250" s="69">
        <f>COUNTIFS(tblVideos[Day],"&gt;="&amp;$B250,tblVideos[Day],"&lt;"&amp;EDATE($B250,1),tblVideos[Channel ID],Channels!$E$8)</f>
        <v/>
      </c>
      <c r="F250" s="69">
        <f>COUNTIFS(tblVideos[Day],"&gt;="&amp;$B250,tblVideos[Day],"&lt;"&amp;EDATE($B250,1),tblVideos[Channel ID],Channels!$E$9)</f>
        <v/>
      </c>
      <c r="G250" s="69">
        <f>COUNTIFS(tblVideos[Day],"&gt;="&amp;$B250,tblVideos[Day],"&lt;"&amp;EDATE($B250,1),tblVideos[Channel ID],Channels!$E$10)</f>
        <v/>
      </c>
      <c r="H250" s="69">
        <f>COUNTIFS(tblVideos[Day],"&gt;="&amp;$B250,tblVideos[Day],"&lt;"&amp;EDATE($B250,1),tblVideos[Channel ID],Channels!$E$11)</f>
        <v/>
      </c>
      <c r="I250" s="78">
        <f>SUM(C250:H250)</f>
        <v/>
      </c>
      <c r="J250" s="79">
        <f>SUMIFS(tblVideos[Length],tblVideos[Day],"&gt;="&amp;$B250,tblVideos[Day],"&lt;"&amp;EDATE($B250,1))*24</f>
        <v/>
      </c>
      <c r="K250" s="69">
        <f>COUNTIFS(tblVideos[Watched On],"&gt;="&amp;$B250,tblVideos[Watched On],"&lt;"&amp;EDATE($B250,1),tblVideos[Status],"Watched")</f>
        <v/>
      </c>
      <c r="L250" s="79">
        <f>SUMIFS(tblVideos[Length],tblVideos[Watched On],"&gt;="&amp;$B250,tblVideos[Watched On],"&lt;"&amp;EDATE($B250,1),tblVideos[Status],"Watched")*24</f>
        <v/>
      </c>
      <c r="M250" s="84">
        <f>IF(I250=0,"Gap",IF(I250&gt;AVERAGE($I$135:$I$308)+2*STDEV($I$135:$I$308),"High",""))</f>
        <v/>
      </c>
    </row>
    <row r="251">
      <c r="B251" s="83" t="n">
        <v>44562</v>
      </c>
      <c r="C251" s="69">
        <f>COUNTIFS(tblVideos[Day],"&gt;="&amp;$B251,tblVideos[Day],"&lt;"&amp;EDATE($B251,1),tblVideos[Channel ID],Channels!$E$6)</f>
        <v/>
      </c>
      <c r="D251" s="69">
        <f>COUNTIFS(tblVideos[Day],"&gt;="&amp;$B251,tblVideos[Day],"&lt;"&amp;EDATE($B251,1),tblVideos[Channel ID],Channels!$E$7)</f>
        <v/>
      </c>
      <c r="E251" s="69">
        <f>COUNTIFS(tblVideos[Day],"&gt;="&amp;$B251,tblVideos[Day],"&lt;"&amp;EDATE($B251,1),tblVideos[Channel ID],Channels!$E$8)</f>
        <v/>
      </c>
      <c r="F251" s="69">
        <f>COUNTIFS(tblVideos[Day],"&gt;="&amp;$B251,tblVideos[Day],"&lt;"&amp;EDATE($B251,1),tblVideos[Channel ID],Channels!$E$9)</f>
        <v/>
      </c>
      <c r="G251" s="69">
        <f>COUNTIFS(tblVideos[Day],"&gt;="&amp;$B251,tblVideos[Day],"&lt;"&amp;EDATE($B251,1),tblVideos[Channel ID],Channels!$E$10)</f>
        <v/>
      </c>
      <c r="H251" s="69">
        <f>COUNTIFS(tblVideos[Day],"&gt;="&amp;$B251,tblVideos[Day],"&lt;"&amp;EDATE($B251,1),tblVideos[Channel ID],Channels!$E$11)</f>
        <v/>
      </c>
      <c r="I251" s="78">
        <f>SUM(C251:H251)</f>
        <v/>
      </c>
      <c r="J251" s="79">
        <f>SUMIFS(tblVideos[Length],tblVideos[Day],"&gt;="&amp;$B251,tblVideos[Day],"&lt;"&amp;EDATE($B251,1))*24</f>
        <v/>
      </c>
      <c r="K251" s="69">
        <f>COUNTIFS(tblVideos[Watched On],"&gt;="&amp;$B251,tblVideos[Watched On],"&lt;"&amp;EDATE($B251,1),tblVideos[Status],"Watched")</f>
        <v/>
      </c>
      <c r="L251" s="79">
        <f>SUMIFS(tblVideos[Length],tblVideos[Watched On],"&gt;="&amp;$B251,tblVideos[Watched On],"&lt;"&amp;EDATE($B251,1),tblVideos[Status],"Watched")*24</f>
        <v/>
      </c>
      <c r="M251" s="84">
        <f>IF(I251=0,"Gap",IF(I251&gt;AVERAGE($I$135:$I$308)+2*STDEV($I$135:$I$308),"High",""))</f>
        <v/>
      </c>
    </row>
    <row r="252">
      <c r="B252" s="83" t="n">
        <v>44593</v>
      </c>
      <c r="C252" s="69">
        <f>COUNTIFS(tblVideos[Day],"&gt;="&amp;$B252,tblVideos[Day],"&lt;"&amp;EDATE($B252,1),tblVideos[Channel ID],Channels!$E$6)</f>
        <v/>
      </c>
      <c r="D252" s="69">
        <f>COUNTIFS(tblVideos[Day],"&gt;="&amp;$B252,tblVideos[Day],"&lt;"&amp;EDATE($B252,1),tblVideos[Channel ID],Channels!$E$7)</f>
        <v/>
      </c>
      <c r="E252" s="69">
        <f>COUNTIFS(tblVideos[Day],"&gt;="&amp;$B252,tblVideos[Day],"&lt;"&amp;EDATE($B252,1),tblVideos[Channel ID],Channels!$E$8)</f>
        <v/>
      </c>
      <c r="F252" s="69">
        <f>COUNTIFS(tblVideos[Day],"&gt;="&amp;$B252,tblVideos[Day],"&lt;"&amp;EDATE($B252,1),tblVideos[Channel ID],Channels!$E$9)</f>
        <v/>
      </c>
      <c r="G252" s="69">
        <f>COUNTIFS(tblVideos[Day],"&gt;="&amp;$B252,tblVideos[Day],"&lt;"&amp;EDATE($B252,1),tblVideos[Channel ID],Channels!$E$10)</f>
        <v/>
      </c>
      <c r="H252" s="69">
        <f>COUNTIFS(tblVideos[Day],"&gt;="&amp;$B252,tblVideos[Day],"&lt;"&amp;EDATE($B252,1),tblVideos[Channel ID],Channels!$E$11)</f>
        <v/>
      </c>
      <c r="I252" s="78">
        <f>SUM(C252:H252)</f>
        <v/>
      </c>
      <c r="J252" s="79">
        <f>SUMIFS(tblVideos[Length],tblVideos[Day],"&gt;="&amp;$B252,tblVideos[Day],"&lt;"&amp;EDATE($B252,1))*24</f>
        <v/>
      </c>
      <c r="K252" s="69">
        <f>COUNTIFS(tblVideos[Watched On],"&gt;="&amp;$B252,tblVideos[Watched On],"&lt;"&amp;EDATE($B252,1),tblVideos[Status],"Watched")</f>
        <v/>
      </c>
      <c r="L252" s="79">
        <f>SUMIFS(tblVideos[Length],tblVideos[Watched On],"&gt;="&amp;$B252,tblVideos[Watched On],"&lt;"&amp;EDATE($B252,1),tblVideos[Status],"Watched")*24</f>
        <v/>
      </c>
      <c r="M252" s="84">
        <f>IF(I252=0,"Gap",IF(I252&gt;AVERAGE($I$135:$I$308)+2*STDEV($I$135:$I$308),"High",""))</f>
        <v/>
      </c>
    </row>
    <row r="253">
      <c r="B253" s="83" t="n">
        <v>44621</v>
      </c>
      <c r="C253" s="69">
        <f>COUNTIFS(tblVideos[Day],"&gt;="&amp;$B253,tblVideos[Day],"&lt;"&amp;EDATE($B253,1),tblVideos[Channel ID],Channels!$E$6)</f>
        <v/>
      </c>
      <c r="D253" s="69">
        <f>COUNTIFS(tblVideos[Day],"&gt;="&amp;$B253,tblVideos[Day],"&lt;"&amp;EDATE($B253,1),tblVideos[Channel ID],Channels!$E$7)</f>
        <v/>
      </c>
      <c r="E253" s="69">
        <f>COUNTIFS(tblVideos[Day],"&gt;="&amp;$B253,tblVideos[Day],"&lt;"&amp;EDATE($B253,1),tblVideos[Channel ID],Channels!$E$8)</f>
        <v/>
      </c>
      <c r="F253" s="69">
        <f>COUNTIFS(tblVideos[Day],"&gt;="&amp;$B253,tblVideos[Day],"&lt;"&amp;EDATE($B253,1),tblVideos[Channel ID],Channels!$E$9)</f>
        <v/>
      </c>
      <c r="G253" s="69">
        <f>COUNTIFS(tblVideos[Day],"&gt;="&amp;$B253,tblVideos[Day],"&lt;"&amp;EDATE($B253,1),tblVideos[Channel ID],Channels!$E$10)</f>
        <v/>
      </c>
      <c r="H253" s="69">
        <f>COUNTIFS(tblVideos[Day],"&gt;="&amp;$B253,tblVideos[Day],"&lt;"&amp;EDATE($B253,1),tblVideos[Channel ID],Channels!$E$11)</f>
        <v/>
      </c>
      <c r="I253" s="78">
        <f>SUM(C253:H253)</f>
        <v/>
      </c>
      <c r="J253" s="79">
        <f>SUMIFS(tblVideos[Length],tblVideos[Day],"&gt;="&amp;$B253,tblVideos[Day],"&lt;"&amp;EDATE($B253,1))*24</f>
        <v/>
      </c>
      <c r="K253" s="69">
        <f>COUNTIFS(tblVideos[Watched On],"&gt;="&amp;$B253,tblVideos[Watched On],"&lt;"&amp;EDATE($B253,1),tblVideos[Status],"Watched")</f>
        <v/>
      </c>
      <c r="L253" s="79">
        <f>SUMIFS(tblVideos[Length],tblVideos[Watched On],"&gt;="&amp;$B253,tblVideos[Watched On],"&lt;"&amp;EDATE($B253,1),tblVideos[Status],"Watched")*24</f>
        <v/>
      </c>
      <c r="M253" s="84">
        <f>IF(I253=0,"Gap",IF(I253&gt;AVERAGE($I$135:$I$308)+2*STDEV($I$135:$I$308),"High",""))</f>
        <v/>
      </c>
    </row>
    <row r="254">
      <c r="B254" s="83" t="n">
        <v>44652</v>
      </c>
      <c r="C254" s="69">
        <f>COUNTIFS(tblVideos[Day],"&gt;="&amp;$B254,tblVideos[Day],"&lt;"&amp;EDATE($B254,1),tblVideos[Channel ID],Channels!$E$6)</f>
        <v/>
      </c>
      <c r="D254" s="69">
        <f>COUNTIFS(tblVideos[Day],"&gt;="&amp;$B254,tblVideos[Day],"&lt;"&amp;EDATE($B254,1),tblVideos[Channel ID],Channels!$E$7)</f>
        <v/>
      </c>
      <c r="E254" s="69">
        <f>COUNTIFS(tblVideos[Day],"&gt;="&amp;$B254,tblVideos[Day],"&lt;"&amp;EDATE($B254,1),tblVideos[Channel ID],Channels!$E$8)</f>
        <v/>
      </c>
      <c r="F254" s="69">
        <f>COUNTIFS(tblVideos[Day],"&gt;="&amp;$B254,tblVideos[Day],"&lt;"&amp;EDATE($B254,1),tblVideos[Channel ID],Channels!$E$9)</f>
        <v/>
      </c>
      <c r="G254" s="69">
        <f>COUNTIFS(tblVideos[Day],"&gt;="&amp;$B254,tblVideos[Day],"&lt;"&amp;EDATE($B254,1),tblVideos[Channel ID],Channels!$E$10)</f>
        <v/>
      </c>
      <c r="H254" s="69">
        <f>COUNTIFS(tblVideos[Day],"&gt;="&amp;$B254,tblVideos[Day],"&lt;"&amp;EDATE($B254,1),tblVideos[Channel ID],Channels!$E$11)</f>
        <v/>
      </c>
      <c r="I254" s="78">
        <f>SUM(C254:H254)</f>
        <v/>
      </c>
      <c r="J254" s="79">
        <f>SUMIFS(tblVideos[Length],tblVideos[Day],"&gt;="&amp;$B254,tblVideos[Day],"&lt;"&amp;EDATE($B254,1))*24</f>
        <v/>
      </c>
      <c r="K254" s="69">
        <f>COUNTIFS(tblVideos[Watched On],"&gt;="&amp;$B254,tblVideos[Watched On],"&lt;"&amp;EDATE($B254,1),tblVideos[Status],"Watched")</f>
        <v/>
      </c>
      <c r="L254" s="79">
        <f>SUMIFS(tblVideos[Length],tblVideos[Watched On],"&gt;="&amp;$B254,tblVideos[Watched On],"&lt;"&amp;EDATE($B254,1),tblVideos[Status],"Watched")*24</f>
        <v/>
      </c>
      <c r="M254" s="84">
        <f>IF(I254=0,"Gap",IF(I254&gt;AVERAGE($I$135:$I$308)+2*STDEV($I$135:$I$308),"High",""))</f>
        <v/>
      </c>
    </row>
    <row r="255">
      <c r="B255" s="83" t="n">
        <v>44682</v>
      </c>
      <c r="C255" s="69">
        <f>COUNTIFS(tblVideos[Day],"&gt;="&amp;$B255,tblVideos[Day],"&lt;"&amp;EDATE($B255,1),tblVideos[Channel ID],Channels!$E$6)</f>
        <v/>
      </c>
      <c r="D255" s="69">
        <f>COUNTIFS(tblVideos[Day],"&gt;="&amp;$B255,tblVideos[Day],"&lt;"&amp;EDATE($B255,1),tblVideos[Channel ID],Channels!$E$7)</f>
        <v/>
      </c>
      <c r="E255" s="69">
        <f>COUNTIFS(tblVideos[Day],"&gt;="&amp;$B255,tblVideos[Day],"&lt;"&amp;EDATE($B255,1),tblVideos[Channel ID],Channels!$E$8)</f>
        <v/>
      </c>
      <c r="F255" s="69">
        <f>COUNTIFS(tblVideos[Day],"&gt;="&amp;$B255,tblVideos[Day],"&lt;"&amp;EDATE($B255,1),tblVideos[Channel ID],Channels!$E$9)</f>
        <v/>
      </c>
      <c r="G255" s="69">
        <f>COUNTIFS(tblVideos[Day],"&gt;="&amp;$B255,tblVideos[Day],"&lt;"&amp;EDATE($B255,1),tblVideos[Channel ID],Channels!$E$10)</f>
        <v/>
      </c>
      <c r="H255" s="69">
        <f>COUNTIFS(tblVideos[Day],"&gt;="&amp;$B255,tblVideos[Day],"&lt;"&amp;EDATE($B255,1),tblVideos[Channel ID],Channels!$E$11)</f>
        <v/>
      </c>
      <c r="I255" s="78">
        <f>SUM(C255:H255)</f>
        <v/>
      </c>
      <c r="J255" s="79">
        <f>SUMIFS(tblVideos[Length],tblVideos[Day],"&gt;="&amp;$B255,tblVideos[Day],"&lt;"&amp;EDATE($B255,1))*24</f>
        <v/>
      </c>
      <c r="K255" s="69">
        <f>COUNTIFS(tblVideos[Watched On],"&gt;="&amp;$B255,tblVideos[Watched On],"&lt;"&amp;EDATE($B255,1),tblVideos[Status],"Watched")</f>
        <v/>
      </c>
      <c r="L255" s="79">
        <f>SUMIFS(tblVideos[Length],tblVideos[Watched On],"&gt;="&amp;$B255,tblVideos[Watched On],"&lt;"&amp;EDATE($B255,1),tblVideos[Status],"Watched")*24</f>
        <v/>
      </c>
      <c r="M255" s="84">
        <f>IF(I255=0,"Gap",IF(I255&gt;AVERAGE($I$135:$I$308)+2*STDEV($I$135:$I$308),"High",""))</f>
        <v/>
      </c>
    </row>
    <row r="256">
      <c r="B256" s="83" t="n">
        <v>44713</v>
      </c>
      <c r="C256" s="69">
        <f>COUNTIFS(tblVideos[Day],"&gt;="&amp;$B256,tblVideos[Day],"&lt;"&amp;EDATE($B256,1),tblVideos[Channel ID],Channels!$E$6)</f>
        <v/>
      </c>
      <c r="D256" s="69">
        <f>COUNTIFS(tblVideos[Day],"&gt;="&amp;$B256,tblVideos[Day],"&lt;"&amp;EDATE($B256,1),tblVideos[Channel ID],Channels!$E$7)</f>
        <v/>
      </c>
      <c r="E256" s="69">
        <f>COUNTIFS(tblVideos[Day],"&gt;="&amp;$B256,tblVideos[Day],"&lt;"&amp;EDATE($B256,1),tblVideos[Channel ID],Channels!$E$8)</f>
        <v/>
      </c>
      <c r="F256" s="69">
        <f>COUNTIFS(tblVideos[Day],"&gt;="&amp;$B256,tblVideos[Day],"&lt;"&amp;EDATE($B256,1),tblVideos[Channel ID],Channels!$E$9)</f>
        <v/>
      </c>
      <c r="G256" s="69">
        <f>COUNTIFS(tblVideos[Day],"&gt;="&amp;$B256,tblVideos[Day],"&lt;"&amp;EDATE($B256,1),tblVideos[Channel ID],Channels!$E$10)</f>
        <v/>
      </c>
      <c r="H256" s="69">
        <f>COUNTIFS(tblVideos[Day],"&gt;="&amp;$B256,tblVideos[Day],"&lt;"&amp;EDATE($B256,1),tblVideos[Channel ID],Channels!$E$11)</f>
        <v/>
      </c>
      <c r="I256" s="78">
        <f>SUM(C256:H256)</f>
        <v/>
      </c>
      <c r="J256" s="79">
        <f>SUMIFS(tblVideos[Length],tblVideos[Day],"&gt;="&amp;$B256,tblVideos[Day],"&lt;"&amp;EDATE($B256,1))*24</f>
        <v/>
      </c>
      <c r="K256" s="69">
        <f>COUNTIFS(tblVideos[Watched On],"&gt;="&amp;$B256,tblVideos[Watched On],"&lt;"&amp;EDATE($B256,1),tblVideos[Status],"Watched")</f>
        <v/>
      </c>
      <c r="L256" s="79">
        <f>SUMIFS(tblVideos[Length],tblVideos[Watched On],"&gt;="&amp;$B256,tblVideos[Watched On],"&lt;"&amp;EDATE($B256,1),tblVideos[Status],"Watched")*24</f>
        <v/>
      </c>
      <c r="M256" s="84">
        <f>IF(I256=0,"Gap",IF(I256&gt;AVERAGE($I$135:$I$308)+2*STDEV($I$135:$I$308),"High",""))</f>
        <v/>
      </c>
    </row>
    <row r="257">
      <c r="B257" s="83" t="n">
        <v>44743</v>
      </c>
      <c r="C257" s="69">
        <f>COUNTIFS(tblVideos[Day],"&gt;="&amp;$B257,tblVideos[Day],"&lt;"&amp;EDATE($B257,1),tblVideos[Channel ID],Channels!$E$6)</f>
        <v/>
      </c>
      <c r="D257" s="69">
        <f>COUNTIFS(tblVideos[Day],"&gt;="&amp;$B257,tblVideos[Day],"&lt;"&amp;EDATE($B257,1),tblVideos[Channel ID],Channels!$E$7)</f>
        <v/>
      </c>
      <c r="E257" s="69">
        <f>COUNTIFS(tblVideos[Day],"&gt;="&amp;$B257,tblVideos[Day],"&lt;"&amp;EDATE($B257,1),tblVideos[Channel ID],Channels!$E$8)</f>
        <v/>
      </c>
      <c r="F257" s="69">
        <f>COUNTIFS(tblVideos[Day],"&gt;="&amp;$B257,tblVideos[Day],"&lt;"&amp;EDATE($B257,1),tblVideos[Channel ID],Channels!$E$9)</f>
        <v/>
      </c>
      <c r="G257" s="69">
        <f>COUNTIFS(tblVideos[Day],"&gt;="&amp;$B257,tblVideos[Day],"&lt;"&amp;EDATE($B257,1),tblVideos[Channel ID],Channels!$E$10)</f>
        <v/>
      </c>
      <c r="H257" s="69">
        <f>COUNTIFS(tblVideos[Day],"&gt;="&amp;$B257,tblVideos[Day],"&lt;"&amp;EDATE($B257,1),tblVideos[Channel ID],Channels!$E$11)</f>
        <v/>
      </c>
      <c r="I257" s="78">
        <f>SUM(C257:H257)</f>
        <v/>
      </c>
      <c r="J257" s="79">
        <f>SUMIFS(tblVideos[Length],tblVideos[Day],"&gt;="&amp;$B257,tblVideos[Day],"&lt;"&amp;EDATE($B257,1))*24</f>
        <v/>
      </c>
      <c r="K257" s="69">
        <f>COUNTIFS(tblVideos[Watched On],"&gt;="&amp;$B257,tblVideos[Watched On],"&lt;"&amp;EDATE($B257,1),tblVideos[Status],"Watched")</f>
        <v/>
      </c>
      <c r="L257" s="79">
        <f>SUMIFS(tblVideos[Length],tblVideos[Watched On],"&gt;="&amp;$B257,tblVideos[Watched On],"&lt;"&amp;EDATE($B257,1),tblVideos[Status],"Watched")*24</f>
        <v/>
      </c>
      <c r="M257" s="84">
        <f>IF(I257=0,"Gap",IF(I257&gt;AVERAGE($I$135:$I$308)+2*STDEV($I$135:$I$308),"High",""))</f>
        <v/>
      </c>
    </row>
    <row r="258">
      <c r="B258" s="83" t="n">
        <v>44774</v>
      </c>
      <c r="C258" s="69">
        <f>COUNTIFS(tblVideos[Day],"&gt;="&amp;$B258,tblVideos[Day],"&lt;"&amp;EDATE($B258,1),tblVideos[Channel ID],Channels!$E$6)</f>
        <v/>
      </c>
      <c r="D258" s="69">
        <f>COUNTIFS(tblVideos[Day],"&gt;="&amp;$B258,tblVideos[Day],"&lt;"&amp;EDATE($B258,1),tblVideos[Channel ID],Channels!$E$7)</f>
        <v/>
      </c>
      <c r="E258" s="69">
        <f>COUNTIFS(tblVideos[Day],"&gt;="&amp;$B258,tblVideos[Day],"&lt;"&amp;EDATE($B258,1),tblVideos[Channel ID],Channels!$E$8)</f>
        <v/>
      </c>
      <c r="F258" s="69">
        <f>COUNTIFS(tblVideos[Day],"&gt;="&amp;$B258,tblVideos[Day],"&lt;"&amp;EDATE($B258,1),tblVideos[Channel ID],Channels!$E$9)</f>
        <v/>
      </c>
      <c r="G258" s="69">
        <f>COUNTIFS(tblVideos[Day],"&gt;="&amp;$B258,tblVideos[Day],"&lt;"&amp;EDATE($B258,1),tblVideos[Channel ID],Channels!$E$10)</f>
        <v/>
      </c>
      <c r="H258" s="69">
        <f>COUNTIFS(tblVideos[Day],"&gt;="&amp;$B258,tblVideos[Day],"&lt;"&amp;EDATE($B258,1),tblVideos[Channel ID],Channels!$E$11)</f>
        <v/>
      </c>
      <c r="I258" s="78">
        <f>SUM(C258:H258)</f>
        <v/>
      </c>
      <c r="J258" s="79">
        <f>SUMIFS(tblVideos[Length],tblVideos[Day],"&gt;="&amp;$B258,tblVideos[Day],"&lt;"&amp;EDATE($B258,1))*24</f>
        <v/>
      </c>
      <c r="K258" s="69">
        <f>COUNTIFS(tblVideos[Watched On],"&gt;="&amp;$B258,tblVideos[Watched On],"&lt;"&amp;EDATE($B258,1),tblVideos[Status],"Watched")</f>
        <v/>
      </c>
      <c r="L258" s="79">
        <f>SUMIFS(tblVideos[Length],tblVideos[Watched On],"&gt;="&amp;$B258,tblVideos[Watched On],"&lt;"&amp;EDATE($B258,1),tblVideos[Status],"Watched")*24</f>
        <v/>
      </c>
      <c r="M258" s="84">
        <f>IF(I258=0,"Gap",IF(I258&gt;AVERAGE($I$135:$I$308)+2*STDEV($I$135:$I$308),"High",""))</f>
        <v/>
      </c>
    </row>
    <row r="259">
      <c r="B259" s="83" t="n">
        <v>44805</v>
      </c>
      <c r="C259" s="69">
        <f>COUNTIFS(tblVideos[Day],"&gt;="&amp;$B259,tblVideos[Day],"&lt;"&amp;EDATE($B259,1),tblVideos[Channel ID],Channels!$E$6)</f>
        <v/>
      </c>
      <c r="D259" s="69">
        <f>COUNTIFS(tblVideos[Day],"&gt;="&amp;$B259,tblVideos[Day],"&lt;"&amp;EDATE($B259,1),tblVideos[Channel ID],Channels!$E$7)</f>
        <v/>
      </c>
      <c r="E259" s="69">
        <f>COUNTIFS(tblVideos[Day],"&gt;="&amp;$B259,tblVideos[Day],"&lt;"&amp;EDATE($B259,1),tblVideos[Channel ID],Channels!$E$8)</f>
        <v/>
      </c>
      <c r="F259" s="69">
        <f>COUNTIFS(tblVideos[Day],"&gt;="&amp;$B259,tblVideos[Day],"&lt;"&amp;EDATE($B259,1),tblVideos[Channel ID],Channels!$E$9)</f>
        <v/>
      </c>
      <c r="G259" s="69">
        <f>COUNTIFS(tblVideos[Day],"&gt;="&amp;$B259,tblVideos[Day],"&lt;"&amp;EDATE($B259,1),tblVideos[Channel ID],Channels!$E$10)</f>
        <v/>
      </c>
      <c r="H259" s="69">
        <f>COUNTIFS(tblVideos[Day],"&gt;="&amp;$B259,tblVideos[Day],"&lt;"&amp;EDATE($B259,1),tblVideos[Channel ID],Channels!$E$11)</f>
        <v/>
      </c>
      <c r="I259" s="78">
        <f>SUM(C259:H259)</f>
        <v/>
      </c>
      <c r="J259" s="79">
        <f>SUMIFS(tblVideos[Length],tblVideos[Day],"&gt;="&amp;$B259,tblVideos[Day],"&lt;"&amp;EDATE($B259,1))*24</f>
        <v/>
      </c>
      <c r="K259" s="69">
        <f>COUNTIFS(tblVideos[Watched On],"&gt;="&amp;$B259,tblVideos[Watched On],"&lt;"&amp;EDATE($B259,1),tblVideos[Status],"Watched")</f>
        <v/>
      </c>
      <c r="L259" s="79">
        <f>SUMIFS(tblVideos[Length],tblVideos[Watched On],"&gt;="&amp;$B259,tblVideos[Watched On],"&lt;"&amp;EDATE($B259,1),tblVideos[Status],"Watched")*24</f>
        <v/>
      </c>
      <c r="M259" s="84">
        <f>IF(I259=0,"Gap",IF(I259&gt;AVERAGE($I$135:$I$308)+2*STDEV($I$135:$I$308),"High",""))</f>
        <v/>
      </c>
    </row>
    <row r="260">
      <c r="B260" s="83" t="n">
        <v>44835</v>
      </c>
      <c r="C260" s="69">
        <f>COUNTIFS(tblVideos[Day],"&gt;="&amp;$B260,tblVideos[Day],"&lt;"&amp;EDATE($B260,1),tblVideos[Channel ID],Channels!$E$6)</f>
        <v/>
      </c>
      <c r="D260" s="69">
        <f>COUNTIFS(tblVideos[Day],"&gt;="&amp;$B260,tblVideos[Day],"&lt;"&amp;EDATE($B260,1),tblVideos[Channel ID],Channels!$E$7)</f>
        <v/>
      </c>
      <c r="E260" s="69">
        <f>COUNTIFS(tblVideos[Day],"&gt;="&amp;$B260,tblVideos[Day],"&lt;"&amp;EDATE($B260,1),tblVideos[Channel ID],Channels!$E$8)</f>
        <v/>
      </c>
      <c r="F260" s="69">
        <f>COUNTIFS(tblVideos[Day],"&gt;="&amp;$B260,tblVideos[Day],"&lt;"&amp;EDATE($B260,1),tblVideos[Channel ID],Channels!$E$9)</f>
        <v/>
      </c>
      <c r="G260" s="69">
        <f>COUNTIFS(tblVideos[Day],"&gt;="&amp;$B260,tblVideos[Day],"&lt;"&amp;EDATE($B260,1),tblVideos[Channel ID],Channels!$E$10)</f>
        <v/>
      </c>
      <c r="H260" s="69">
        <f>COUNTIFS(tblVideos[Day],"&gt;="&amp;$B260,tblVideos[Day],"&lt;"&amp;EDATE($B260,1),tblVideos[Channel ID],Channels!$E$11)</f>
        <v/>
      </c>
      <c r="I260" s="78">
        <f>SUM(C260:H260)</f>
        <v/>
      </c>
      <c r="J260" s="79">
        <f>SUMIFS(tblVideos[Length],tblVideos[Day],"&gt;="&amp;$B260,tblVideos[Day],"&lt;"&amp;EDATE($B260,1))*24</f>
        <v/>
      </c>
      <c r="K260" s="69">
        <f>COUNTIFS(tblVideos[Watched On],"&gt;="&amp;$B260,tblVideos[Watched On],"&lt;"&amp;EDATE($B260,1),tblVideos[Status],"Watched")</f>
        <v/>
      </c>
      <c r="L260" s="79">
        <f>SUMIFS(tblVideos[Length],tblVideos[Watched On],"&gt;="&amp;$B260,tblVideos[Watched On],"&lt;"&amp;EDATE($B260,1),tblVideos[Status],"Watched")*24</f>
        <v/>
      </c>
      <c r="M260" s="84">
        <f>IF(I260=0,"Gap",IF(I260&gt;AVERAGE($I$135:$I$308)+2*STDEV($I$135:$I$308),"High",""))</f>
        <v/>
      </c>
    </row>
    <row r="261">
      <c r="B261" s="83" t="n">
        <v>44866</v>
      </c>
      <c r="C261" s="69">
        <f>COUNTIFS(tblVideos[Day],"&gt;="&amp;$B261,tblVideos[Day],"&lt;"&amp;EDATE($B261,1),tblVideos[Channel ID],Channels!$E$6)</f>
        <v/>
      </c>
      <c r="D261" s="69">
        <f>COUNTIFS(tblVideos[Day],"&gt;="&amp;$B261,tblVideos[Day],"&lt;"&amp;EDATE($B261,1),tblVideos[Channel ID],Channels!$E$7)</f>
        <v/>
      </c>
      <c r="E261" s="69">
        <f>COUNTIFS(tblVideos[Day],"&gt;="&amp;$B261,tblVideos[Day],"&lt;"&amp;EDATE($B261,1),tblVideos[Channel ID],Channels!$E$8)</f>
        <v/>
      </c>
      <c r="F261" s="69">
        <f>COUNTIFS(tblVideos[Day],"&gt;="&amp;$B261,tblVideos[Day],"&lt;"&amp;EDATE($B261,1),tblVideos[Channel ID],Channels!$E$9)</f>
        <v/>
      </c>
      <c r="G261" s="69">
        <f>COUNTIFS(tblVideos[Day],"&gt;="&amp;$B261,tblVideos[Day],"&lt;"&amp;EDATE($B261,1),tblVideos[Channel ID],Channels!$E$10)</f>
        <v/>
      </c>
      <c r="H261" s="69">
        <f>COUNTIFS(tblVideos[Day],"&gt;="&amp;$B261,tblVideos[Day],"&lt;"&amp;EDATE($B261,1),tblVideos[Channel ID],Channels!$E$11)</f>
        <v/>
      </c>
      <c r="I261" s="78">
        <f>SUM(C261:H261)</f>
        <v/>
      </c>
      <c r="J261" s="79">
        <f>SUMIFS(tblVideos[Length],tblVideos[Day],"&gt;="&amp;$B261,tblVideos[Day],"&lt;"&amp;EDATE($B261,1))*24</f>
        <v/>
      </c>
      <c r="K261" s="69">
        <f>COUNTIFS(tblVideos[Watched On],"&gt;="&amp;$B261,tblVideos[Watched On],"&lt;"&amp;EDATE($B261,1),tblVideos[Status],"Watched")</f>
        <v/>
      </c>
      <c r="L261" s="79">
        <f>SUMIFS(tblVideos[Length],tblVideos[Watched On],"&gt;="&amp;$B261,tblVideos[Watched On],"&lt;"&amp;EDATE($B261,1),tblVideos[Status],"Watched")*24</f>
        <v/>
      </c>
      <c r="M261" s="84">
        <f>IF(I261=0,"Gap",IF(I261&gt;AVERAGE($I$135:$I$308)+2*STDEV($I$135:$I$308),"High",""))</f>
        <v/>
      </c>
    </row>
    <row r="262">
      <c r="B262" s="83" t="n">
        <v>44896</v>
      </c>
      <c r="C262" s="69">
        <f>COUNTIFS(tblVideos[Day],"&gt;="&amp;$B262,tblVideos[Day],"&lt;"&amp;EDATE($B262,1),tblVideos[Channel ID],Channels!$E$6)</f>
        <v/>
      </c>
      <c r="D262" s="69">
        <f>COUNTIFS(tblVideos[Day],"&gt;="&amp;$B262,tblVideos[Day],"&lt;"&amp;EDATE($B262,1),tblVideos[Channel ID],Channels!$E$7)</f>
        <v/>
      </c>
      <c r="E262" s="69">
        <f>COUNTIFS(tblVideos[Day],"&gt;="&amp;$B262,tblVideos[Day],"&lt;"&amp;EDATE($B262,1),tblVideos[Channel ID],Channels!$E$8)</f>
        <v/>
      </c>
      <c r="F262" s="69">
        <f>COUNTIFS(tblVideos[Day],"&gt;="&amp;$B262,tblVideos[Day],"&lt;"&amp;EDATE($B262,1),tblVideos[Channel ID],Channels!$E$9)</f>
        <v/>
      </c>
      <c r="G262" s="69">
        <f>COUNTIFS(tblVideos[Day],"&gt;="&amp;$B262,tblVideos[Day],"&lt;"&amp;EDATE($B262,1),tblVideos[Channel ID],Channels!$E$10)</f>
        <v/>
      </c>
      <c r="H262" s="69">
        <f>COUNTIFS(tblVideos[Day],"&gt;="&amp;$B262,tblVideos[Day],"&lt;"&amp;EDATE($B262,1),tblVideos[Channel ID],Channels!$E$11)</f>
        <v/>
      </c>
      <c r="I262" s="78">
        <f>SUM(C262:H262)</f>
        <v/>
      </c>
      <c r="J262" s="79">
        <f>SUMIFS(tblVideos[Length],tblVideos[Day],"&gt;="&amp;$B262,tblVideos[Day],"&lt;"&amp;EDATE($B262,1))*24</f>
        <v/>
      </c>
      <c r="K262" s="69">
        <f>COUNTIFS(tblVideos[Watched On],"&gt;="&amp;$B262,tblVideos[Watched On],"&lt;"&amp;EDATE($B262,1),tblVideos[Status],"Watched")</f>
        <v/>
      </c>
      <c r="L262" s="79">
        <f>SUMIFS(tblVideos[Length],tblVideos[Watched On],"&gt;="&amp;$B262,tblVideos[Watched On],"&lt;"&amp;EDATE($B262,1),tblVideos[Status],"Watched")*24</f>
        <v/>
      </c>
      <c r="M262" s="84">
        <f>IF(I262=0,"Gap",IF(I262&gt;AVERAGE($I$135:$I$308)+2*STDEV($I$135:$I$308),"High",""))</f>
        <v/>
      </c>
    </row>
    <row r="263">
      <c r="B263" s="83" t="n">
        <v>44927</v>
      </c>
      <c r="C263" s="69">
        <f>COUNTIFS(tblVideos[Day],"&gt;="&amp;$B263,tblVideos[Day],"&lt;"&amp;EDATE($B263,1),tblVideos[Channel ID],Channels!$E$6)</f>
        <v/>
      </c>
      <c r="D263" s="69">
        <f>COUNTIFS(tblVideos[Day],"&gt;="&amp;$B263,tblVideos[Day],"&lt;"&amp;EDATE($B263,1),tblVideos[Channel ID],Channels!$E$7)</f>
        <v/>
      </c>
      <c r="E263" s="69">
        <f>COUNTIFS(tblVideos[Day],"&gt;="&amp;$B263,tblVideos[Day],"&lt;"&amp;EDATE($B263,1),tblVideos[Channel ID],Channels!$E$8)</f>
        <v/>
      </c>
      <c r="F263" s="69">
        <f>COUNTIFS(tblVideos[Day],"&gt;="&amp;$B263,tblVideos[Day],"&lt;"&amp;EDATE($B263,1),tblVideos[Channel ID],Channels!$E$9)</f>
        <v/>
      </c>
      <c r="G263" s="69">
        <f>COUNTIFS(tblVideos[Day],"&gt;="&amp;$B263,tblVideos[Day],"&lt;"&amp;EDATE($B263,1),tblVideos[Channel ID],Channels!$E$10)</f>
        <v/>
      </c>
      <c r="H263" s="69">
        <f>COUNTIFS(tblVideos[Day],"&gt;="&amp;$B263,tblVideos[Day],"&lt;"&amp;EDATE($B263,1),tblVideos[Channel ID],Channels!$E$11)</f>
        <v/>
      </c>
      <c r="I263" s="78">
        <f>SUM(C263:H263)</f>
        <v/>
      </c>
      <c r="J263" s="79">
        <f>SUMIFS(tblVideos[Length],tblVideos[Day],"&gt;="&amp;$B263,tblVideos[Day],"&lt;"&amp;EDATE($B263,1))*24</f>
        <v/>
      </c>
      <c r="K263" s="69">
        <f>COUNTIFS(tblVideos[Watched On],"&gt;="&amp;$B263,tblVideos[Watched On],"&lt;"&amp;EDATE($B263,1),tblVideos[Status],"Watched")</f>
        <v/>
      </c>
      <c r="L263" s="79">
        <f>SUMIFS(tblVideos[Length],tblVideos[Watched On],"&gt;="&amp;$B263,tblVideos[Watched On],"&lt;"&amp;EDATE($B263,1),tblVideos[Status],"Watched")*24</f>
        <v/>
      </c>
      <c r="M263" s="84">
        <f>IF(I263=0,"Gap",IF(I263&gt;AVERAGE($I$135:$I$308)+2*STDEV($I$135:$I$308),"High",""))</f>
        <v/>
      </c>
    </row>
    <row r="264">
      <c r="B264" s="83" t="n">
        <v>44958</v>
      </c>
      <c r="C264" s="69">
        <f>COUNTIFS(tblVideos[Day],"&gt;="&amp;$B264,tblVideos[Day],"&lt;"&amp;EDATE($B264,1),tblVideos[Channel ID],Channels!$E$6)</f>
        <v/>
      </c>
      <c r="D264" s="69">
        <f>COUNTIFS(tblVideos[Day],"&gt;="&amp;$B264,tblVideos[Day],"&lt;"&amp;EDATE($B264,1),tblVideos[Channel ID],Channels!$E$7)</f>
        <v/>
      </c>
      <c r="E264" s="69">
        <f>COUNTIFS(tblVideos[Day],"&gt;="&amp;$B264,tblVideos[Day],"&lt;"&amp;EDATE($B264,1),tblVideos[Channel ID],Channels!$E$8)</f>
        <v/>
      </c>
      <c r="F264" s="69">
        <f>COUNTIFS(tblVideos[Day],"&gt;="&amp;$B264,tblVideos[Day],"&lt;"&amp;EDATE($B264,1),tblVideos[Channel ID],Channels!$E$9)</f>
        <v/>
      </c>
      <c r="G264" s="69">
        <f>COUNTIFS(tblVideos[Day],"&gt;="&amp;$B264,tblVideos[Day],"&lt;"&amp;EDATE($B264,1),tblVideos[Channel ID],Channels!$E$10)</f>
        <v/>
      </c>
      <c r="H264" s="69">
        <f>COUNTIFS(tblVideos[Day],"&gt;="&amp;$B264,tblVideos[Day],"&lt;"&amp;EDATE($B264,1),tblVideos[Channel ID],Channels!$E$11)</f>
        <v/>
      </c>
      <c r="I264" s="78">
        <f>SUM(C264:H264)</f>
        <v/>
      </c>
      <c r="J264" s="79">
        <f>SUMIFS(tblVideos[Length],tblVideos[Day],"&gt;="&amp;$B264,tblVideos[Day],"&lt;"&amp;EDATE($B264,1))*24</f>
        <v/>
      </c>
      <c r="K264" s="69">
        <f>COUNTIFS(tblVideos[Watched On],"&gt;="&amp;$B264,tblVideos[Watched On],"&lt;"&amp;EDATE($B264,1),tblVideos[Status],"Watched")</f>
        <v/>
      </c>
      <c r="L264" s="79">
        <f>SUMIFS(tblVideos[Length],tblVideos[Watched On],"&gt;="&amp;$B264,tblVideos[Watched On],"&lt;"&amp;EDATE($B264,1),tblVideos[Status],"Watched")*24</f>
        <v/>
      </c>
      <c r="M264" s="84">
        <f>IF(I264=0,"Gap",IF(I264&gt;AVERAGE($I$135:$I$308)+2*STDEV($I$135:$I$308),"High",""))</f>
        <v/>
      </c>
    </row>
    <row r="265">
      <c r="B265" s="83" t="n">
        <v>44986</v>
      </c>
      <c r="C265" s="69">
        <f>COUNTIFS(tblVideos[Day],"&gt;="&amp;$B265,tblVideos[Day],"&lt;"&amp;EDATE($B265,1),tblVideos[Channel ID],Channels!$E$6)</f>
        <v/>
      </c>
      <c r="D265" s="69">
        <f>COUNTIFS(tblVideos[Day],"&gt;="&amp;$B265,tblVideos[Day],"&lt;"&amp;EDATE($B265,1),tblVideos[Channel ID],Channels!$E$7)</f>
        <v/>
      </c>
      <c r="E265" s="69">
        <f>COUNTIFS(tblVideos[Day],"&gt;="&amp;$B265,tblVideos[Day],"&lt;"&amp;EDATE($B265,1),tblVideos[Channel ID],Channels!$E$8)</f>
        <v/>
      </c>
      <c r="F265" s="69">
        <f>COUNTIFS(tblVideos[Day],"&gt;="&amp;$B265,tblVideos[Day],"&lt;"&amp;EDATE($B265,1),tblVideos[Channel ID],Channels!$E$9)</f>
        <v/>
      </c>
      <c r="G265" s="69">
        <f>COUNTIFS(tblVideos[Day],"&gt;="&amp;$B265,tblVideos[Day],"&lt;"&amp;EDATE($B265,1),tblVideos[Channel ID],Channels!$E$10)</f>
        <v/>
      </c>
      <c r="H265" s="69">
        <f>COUNTIFS(tblVideos[Day],"&gt;="&amp;$B265,tblVideos[Day],"&lt;"&amp;EDATE($B265,1),tblVideos[Channel ID],Channels!$E$11)</f>
        <v/>
      </c>
      <c r="I265" s="78">
        <f>SUM(C265:H265)</f>
        <v/>
      </c>
      <c r="J265" s="79">
        <f>SUMIFS(tblVideos[Length],tblVideos[Day],"&gt;="&amp;$B265,tblVideos[Day],"&lt;"&amp;EDATE($B265,1))*24</f>
        <v/>
      </c>
      <c r="K265" s="69">
        <f>COUNTIFS(tblVideos[Watched On],"&gt;="&amp;$B265,tblVideos[Watched On],"&lt;"&amp;EDATE($B265,1),tblVideos[Status],"Watched")</f>
        <v/>
      </c>
      <c r="L265" s="79">
        <f>SUMIFS(tblVideos[Length],tblVideos[Watched On],"&gt;="&amp;$B265,tblVideos[Watched On],"&lt;"&amp;EDATE($B265,1),tblVideos[Status],"Watched")*24</f>
        <v/>
      </c>
      <c r="M265" s="84">
        <f>IF(I265=0,"Gap",IF(I265&gt;AVERAGE($I$135:$I$308)+2*STDEV($I$135:$I$308),"High",""))</f>
        <v/>
      </c>
    </row>
    <row r="266">
      <c r="B266" s="83" t="n">
        <v>45017</v>
      </c>
      <c r="C266" s="69">
        <f>COUNTIFS(tblVideos[Day],"&gt;="&amp;$B266,tblVideos[Day],"&lt;"&amp;EDATE($B266,1),tblVideos[Channel ID],Channels!$E$6)</f>
        <v/>
      </c>
      <c r="D266" s="69">
        <f>COUNTIFS(tblVideos[Day],"&gt;="&amp;$B266,tblVideos[Day],"&lt;"&amp;EDATE($B266,1),tblVideos[Channel ID],Channels!$E$7)</f>
        <v/>
      </c>
      <c r="E266" s="69">
        <f>COUNTIFS(tblVideos[Day],"&gt;="&amp;$B266,tblVideos[Day],"&lt;"&amp;EDATE($B266,1),tblVideos[Channel ID],Channels!$E$8)</f>
        <v/>
      </c>
      <c r="F266" s="69">
        <f>COUNTIFS(tblVideos[Day],"&gt;="&amp;$B266,tblVideos[Day],"&lt;"&amp;EDATE($B266,1),tblVideos[Channel ID],Channels!$E$9)</f>
        <v/>
      </c>
      <c r="G266" s="69">
        <f>COUNTIFS(tblVideos[Day],"&gt;="&amp;$B266,tblVideos[Day],"&lt;"&amp;EDATE($B266,1),tblVideos[Channel ID],Channels!$E$10)</f>
        <v/>
      </c>
      <c r="H266" s="69">
        <f>COUNTIFS(tblVideos[Day],"&gt;="&amp;$B266,tblVideos[Day],"&lt;"&amp;EDATE($B266,1),tblVideos[Channel ID],Channels!$E$11)</f>
        <v/>
      </c>
      <c r="I266" s="78">
        <f>SUM(C266:H266)</f>
        <v/>
      </c>
      <c r="J266" s="79">
        <f>SUMIFS(tblVideos[Length],tblVideos[Day],"&gt;="&amp;$B266,tblVideos[Day],"&lt;"&amp;EDATE($B266,1))*24</f>
        <v/>
      </c>
      <c r="K266" s="69">
        <f>COUNTIFS(tblVideos[Watched On],"&gt;="&amp;$B266,tblVideos[Watched On],"&lt;"&amp;EDATE($B266,1),tblVideos[Status],"Watched")</f>
        <v/>
      </c>
      <c r="L266" s="79">
        <f>SUMIFS(tblVideos[Length],tblVideos[Watched On],"&gt;="&amp;$B266,tblVideos[Watched On],"&lt;"&amp;EDATE($B266,1),tblVideos[Status],"Watched")*24</f>
        <v/>
      </c>
      <c r="M266" s="84">
        <f>IF(I266=0,"Gap",IF(I266&gt;AVERAGE($I$135:$I$308)+2*STDEV($I$135:$I$308),"High",""))</f>
        <v/>
      </c>
    </row>
    <row r="267">
      <c r="B267" s="83" t="n">
        <v>45047</v>
      </c>
      <c r="C267" s="69">
        <f>COUNTIFS(tblVideos[Day],"&gt;="&amp;$B267,tblVideos[Day],"&lt;"&amp;EDATE($B267,1),tblVideos[Channel ID],Channels!$E$6)</f>
        <v/>
      </c>
      <c r="D267" s="69">
        <f>COUNTIFS(tblVideos[Day],"&gt;="&amp;$B267,tblVideos[Day],"&lt;"&amp;EDATE($B267,1),tblVideos[Channel ID],Channels!$E$7)</f>
        <v/>
      </c>
      <c r="E267" s="69">
        <f>COUNTIFS(tblVideos[Day],"&gt;="&amp;$B267,tblVideos[Day],"&lt;"&amp;EDATE($B267,1),tblVideos[Channel ID],Channels!$E$8)</f>
        <v/>
      </c>
      <c r="F267" s="69">
        <f>COUNTIFS(tblVideos[Day],"&gt;="&amp;$B267,tblVideos[Day],"&lt;"&amp;EDATE($B267,1),tblVideos[Channel ID],Channels!$E$9)</f>
        <v/>
      </c>
      <c r="G267" s="69">
        <f>COUNTIFS(tblVideos[Day],"&gt;="&amp;$B267,tblVideos[Day],"&lt;"&amp;EDATE($B267,1),tblVideos[Channel ID],Channels!$E$10)</f>
        <v/>
      </c>
      <c r="H267" s="69">
        <f>COUNTIFS(tblVideos[Day],"&gt;="&amp;$B267,tblVideos[Day],"&lt;"&amp;EDATE($B267,1),tblVideos[Channel ID],Channels!$E$11)</f>
        <v/>
      </c>
      <c r="I267" s="78">
        <f>SUM(C267:H267)</f>
        <v/>
      </c>
      <c r="J267" s="79">
        <f>SUMIFS(tblVideos[Length],tblVideos[Day],"&gt;="&amp;$B267,tblVideos[Day],"&lt;"&amp;EDATE($B267,1))*24</f>
        <v/>
      </c>
      <c r="K267" s="69">
        <f>COUNTIFS(tblVideos[Watched On],"&gt;="&amp;$B267,tblVideos[Watched On],"&lt;"&amp;EDATE($B267,1),tblVideos[Status],"Watched")</f>
        <v/>
      </c>
      <c r="L267" s="79">
        <f>SUMIFS(tblVideos[Length],tblVideos[Watched On],"&gt;="&amp;$B267,tblVideos[Watched On],"&lt;"&amp;EDATE($B267,1),tblVideos[Status],"Watched")*24</f>
        <v/>
      </c>
      <c r="M267" s="84">
        <f>IF(I267=0,"Gap",IF(I267&gt;AVERAGE($I$135:$I$308)+2*STDEV($I$135:$I$308),"High",""))</f>
        <v/>
      </c>
    </row>
    <row r="268">
      <c r="B268" s="83" t="n">
        <v>45078</v>
      </c>
      <c r="C268" s="69">
        <f>COUNTIFS(tblVideos[Day],"&gt;="&amp;$B268,tblVideos[Day],"&lt;"&amp;EDATE($B268,1),tblVideos[Channel ID],Channels!$E$6)</f>
        <v/>
      </c>
      <c r="D268" s="69">
        <f>COUNTIFS(tblVideos[Day],"&gt;="&amp;$B268,tblVideos[Day],"&lt;"&amp;EDATE($B268,1),tblVideos[Channel ID],Channels!$E$7)</f>
        <v/>
      </c>
      <c r="E268" s="69">
        <f>COUNTIFS(tblVideos[Day],"&gt;="&amp;$B268,tblVideos[Day],"&lt;"&amp;EDATE($B268,1),tblVideos[Channel ID],Channels!$E$8)</f>
        <v/>
      </c>
      <c r="F268" s="69">
        <f>COUNTIFS(tblVideos[Day],"&gt;="&amp;$B268,tblVideos[Day],"&lt;"&amp;EDATE($B268,1),tblVideos[Channel ID],Channels!$E$9)</f>
        <v/>
      </c>
      <c r="G268" s="69">
        <f>COUNTIFS(tblVideos[Day],"&gt;="&amp;$B268,tblVideos[Day],"&lt;"&amp;EDATE($B268,1),tblVideos[Channel ID],Channels!$E$10)</f>
        <v/>
      </c>
      <c r="H268" s="69">
        <f>COUNTIFS(tblVideos[Day],"&gt;="&amp;$B268,tblVideos[Day],"&lt;"&amp;EDATE($B268,1),tblVideos[Channel ID],Channels!$E$11)</f>
        <v/>
      </c>
      <c r="I268" s="78">
        <f>SUM(C268:H268)</f>
        <v/>
      </c>
      <c r="J268" s="79">
        <f>SUMIFS(tblVideos[Length],tblVideos[Day],"&gt;="&amp;$B268,tblVideos[Day],"&lt;"&amp;EDATE($B268,1))*24</f>
        <v/>
      </c>
      <c r="K268" s="69">
        <f>COUNTIFS(tblVideos[Watched On],"&gt;="&amp;$B268,tblVideos[Watched On],"&lt;"&amp;EDATE($B268,1),tblVideos[Status],"Watched")</f>
        <v/>
      </c>
      <c r="L268" s="79">
        <f>SUMIFS(tblVideos[Length],tblVideos[Watched On],"&gt;="&amp;$B268,tblVideos[Watched On],"&lt;"&amp;EDATE($B268,1),tblVideos[Status],"Watched")*24</f>
        <v/>
      </c>
      <c r="M268" s="84">
        <f>IF(I268=0,"Gap",IF(I268&gt;AVERAGE($I$135:$I$308)+2*STDEV($I$135:$I$308),"High",""))</f>
        <v/>
      </c>
    </row>
    <row r="269">
      <c r="B269" s="83" t="n">
        <v>45108</v>
      </c>
      <c r="C269" s="69">
        <f>COUNTIFS(tblVideos[Day],"&gt;="&amp;$B269,tblVideos[Day],"&lt;"&amp;EDATE($B269,1),tblVideos[Channel ID],Channels!$E$6)</f>
        <v/>
      </c>
      <c r="D269" s="69">
        <f>COUNTIFS(tblVideos[Day],"&gt;="&amp;$B269,tblVideos[Day],"&lt;"&amp;EDATE($B269,1),tblVideos[Channel ID],Channels!$E$7)</f>
        <v/>
      </c>
      <c r="E269" s="69">
        <f>COUNTIFS(tblVideos[Day],"&gt;="&amp;$B269,tblVideos[Day],"&lt;"&amp;EDATE($B269,1),tblVideos[Channel ID],Channels!$E$8)</f>
        <v/>
      </c>
      <c r="F269" s="69">
        <f>COUNTIFS(tblVideos[Day],"&gt;="&amp;$B269,tblVideos[Day],"&lt;"&amp;EDATE($B269,1),tblVideos[Channel ID],Channels!$E$9)</f>
        <v/>
      </c>
      <c r="G269" s="69">
        <f>COUNTIFS(tblVideos[Day],"&gt;="&amp;$B269,tblVideos[Day],"&lt;"&amp;EDATE($B269,1),tblVideos[Channel ID],Channels!$E$10)</f>
        <v/>
      </c>
      <c r="H269" s="69">
        <f>COUNTIFS(tblVideos[Day],"&gt;="&amp;$B269,tblVideos[Day],"&lt;"&amp;EDATE($B269,1),tblVideos[Channel ID],Channels!$E$11)</f>
        <v/>
      </c>
      <c r="I269" s="78">
        <f>SUM(C269:H269)</f>
        <v/>
      </c>
      <c r="J269" s="79">
        <f>SUMIFS(tblVideos[Length],tblVideos[Day],"&gt;="&amp;$B269,tblVideos[Day],"&lt;"&amp;EDATE($B269,1))*24</f>
        <v/>
      </c>
      <c r="K269" s="69">
        <f>COUNTIFS(tblVideos[Watched On],"&gt;="&amp;$B269,tblVideos[Watched On],"&lt;"&amp;EDATE($B269,1),tblVideos[Status],"Watched")</f>
        <v/>
      </c>
      <c r="L269" s="79">
        <f>SUMIFS(tblVideos[Length],tblVideos[Watched On],"&gt;="&amp;$B269,tblVideos[Watched On],"&lt;"&amp;EDATE($B269,1),tblVideos[Status],"Watched")*24</f>
        <v/>
      </c>
      <c r="M269" s="84">
        <f>IF(I269=0,"Gap",IF(I269&gt;AVERAGE($I$135:$I$308)+2*STDEV($I$135:$I$308),"High",""))</f>
        <v/>
      </c>
    </row>
    <row r="270">
      <c r="B270" s="83" t="n">
        <v>45139</v>
      </c>
      <c r="C270" s="69">
        <f>COUNTIFS(tblVideos[Day],"&gt;="&amp;$B270,tblVideos[Day],"&lt;"&amp;EDATE($B270,1),tblVideos[Channel ID],Channels!$E$6)</f>
        <v/>
      </c>
      <c r="D270" s="69">
        <f>COUNTIFS(tblVideos[Day],"&gt;="&amp;$B270,tblVideos[Day],"&lt;"&amp;EDATE($B270,1),tblVideos[Channel ID],Channels!$E$7)</f>
        <v/>
      </c>
      <c r="E270" s="69">
        <f>COUNTIFS(tblVideos[Day],"&gt;="&amp;$B270,tblVideos[Day],"&lt;"&amp;EDATE($B270,1),tblVideos[Channel ID],Channels!$E$8)</f>
        <v/>
      </c>
      <c r="F270" s="69">
        <f>COUNTIFS(tblVideos[Day],"&gt;="&amp;$B270,tblVideos[Day],"&lt;"&amp;EDATE($B270,1),tblVideos[Channel ID],Channels!$E$9)</f>
        <v/>
      </c>
      <c r="G270" s="69">
        <f>COUNTIFS(tblVideos[Day],"&gt;="&amp;$B270,tblVideos[Day],"&lt;"&amp;EDATE($B270,1),tblVideos[Channel ID],Channels!$E$10)</f>
        <v/>
      </c>
      <c r="H270" s="69">
        <f>COUNTIFS(tblVideos[Day],"&gt;="&amp;$B270,tblVideos[Day],"&lt;"&amp;EDATE($B270,1),tblVideos[Channel ID],Channels!$E$11)</f>
        <v/>
      </c>
      <c r="I270" s="78">
        <f>SUM(C270:H270)</f>
        <v/>
      </c>
      <c r="J270" s="79">
        <f>SUMIFS(tblVideos[Length],tblVideos[Day],"&gt;="&amp;$B270,tblVideos[Day],"&lt;"&amp;EDATE($B270,1))*24</f>
        <v/>
      </c>
      <c r="K270" s="69">
        <f>COUNTIFS(tblVideos[Watched On],"&gt;="&amp;$B270,tblVideos[Watched On],"&lt;"&amp;EDATE($B270,1),tblVideos[Status],"Watched")</f>
        <v/>
      </c>
      <c r="L270" s="79">
        <f>SUMIFS(tblVideos[Length],tblVideos[Watched On],"&gt;="&amp;$B270,tblVideos[Watched On],"&lt;"&amp;EDATE($B270,1),tblVideos[Status],"Watched")*24</f>
        <v/>
      </c>
      <c r="M270" s="84">
        <f>IF(I270=0,"Gap",IF(I270&gt;AVERAGE($I$135:$I$308)+2*STDEV($I$135:$I$308),"High",""))</f>
        <v/>
      </c>
    </row>
    <row r="271">
      <c r="B271" s="83" t="n">
        <v>45170</v>
      </c>
      <c r="C271" s="69">
        <f>COUNTIFS(tblVideos[Day],"&gt;="&amp;$B271,tblVideos[Day],"&lt;"&amp;EDATE($B271,1),tblVideos[Channel ID],Channels!$E$6)</f>
        <v/>
      </c>
      <c r="D271" s="69">
        <f>COUNTIFS(tblVideos[Day],"&gt;="&amp;$B271,tblVideos[Day],"&lt;"&amp;EDATE($B271,1),tblVideos[Channel ID],Channels!$E$7)</f>
        <v/>
      </c>
      <c r="E271" s="69">
        <f>COUNTIFS(tblVideos[Day],"&gt;="&amp;$B271,tblVideos[Day],"&lt;"&amp;EDATE($B271,1),tblVideos[Channel ID],Channels!$E$8)</f>
        <v/>
      </c>
      <c r="F271" s="69">
        <f>COUNTIFS(tblVideos[Day],"&gt;="&amp;$B271,tblVideos[Day],"&lt;"&amp;EDATE($B271,1),tblVideos[Channel ID],Channels!$E$9)</f>
        <v/>
      </c>
      <c r="G271" s="69">
        <f>COUNTIFS(tblVideos[Day],"&gt;="&amp;$B271,tblVideos[Day],"&lt;"&amp;EDATE($B271,1),tblVideos[Channel ID],Channels!$E$10)</f>
        <v/>
      </c>
      <c r="H271" s="69">
        <f>COUNTIFS(tblVideos[Day],"&gt;="&amp;$B271,tblVideos[Day],"&lt;"&amp;EDATE($B271,1),tblVideos[Channel ID],Channels!$E$11)</f>
        <v/>
      </c>
      <c r="I271" s="78">
        <f>SUM(C271:H271)</f>
        <v/>
      </c>
      <c r="J271" s="79">
        <f>SUMIFS(tblVideos[Length],tblVideos[Day],"&gt;="&amp;$B271,tblVideos[Day],"&lt;"&amp;EDATE($B271,1))*24</f>
        <v/>
      </c>
      <c r="K271" s="69">
        <f>COUNTIFS(tblVideos[Watched On],"&gt;="&amp;$B271,tblVideos[Watched On],"&lt;"&amp;EDATE($B271,1),tblVideos[Status],"Watched")</f>
        <v/>
      </c>
      <c r="L271" s="79">
        <f>SUMIFS(tblVideos[Length],tblVideos[Watched On],"&gt;="&amp;$B271,tblVideos[Watched On],"&lt;"&amp;EDATE($B271,1),tblVideos[Status],"Watched")*24</f>
        <v/>
      </c>
      <c r="M271" s="84">
        <f>IF(I271=0,"Gap",IF(I271&gt;AVERAGE($I$135:$I$308)+2*STDEV($I$135:$I$308),"High",""))</f>
        <v/>
      </c>
    </row>
    <row r="272">
      <c r="B272" s="83" t="n">
        <v>45200</v>
      </c>
      <c r="C272" s="69">
        <f>COUNTIFS(tblVideos[Day],"&gt;="&amp;$B272,tblVideos[Day],"&lt;"&amp;EDATE($B272,1),tblVideos[Channel ID],Channels!$E$6)</f>
        <v/>
      </c>
      <c r="D272" s="69">
        <f>COUNTIFS(tblVideos[Day],"&gt;="&amp;$B272,tblVideos[Day],"&lt;"&amp;EDATE($B272,1),tblVideos[Channel ID],Channels!$E$7)</f>
        <v/>
      </c>
      <c r="E272" s="69">
        <f>COUNTIFS(tblVideos[Day],"&gt;="&amp;$B272,tblVideos[Day],"&lt;"&amp;EDATE($B272,1),tblVideos[Channel ID],Channels!$E$8)</f>
        <v/>
      </c>
      <c r="F272" s="69">
        <f>COUNTIFS(tblVideos[Day],"&gt;="&amp;$B272,tblVideos[Day],"&lt;"&amp;EDATE($B272,1),tblVideos[Channel ID],Channels!$E$9)</f>
        <v/>
      </c>
      <c r="G272" s="69">
        <f>COUNTIFS(tblVideos[Day],"&gt;="&amp;$B272,tblVideos[Day],"&lt;"&amp;EDATE($B272,1),tblVideos[Channel ID],Channels!$E$10)</f>
        <v/>
      </c>
      <c r="H272" s="69">
        <f>COUNTIFS(tblVideos[Day],"&gt;="&amp;$B272,tblVideos[Day],"&lt;"&amp;EDATE($B272,1),tblVideos[Channel ID],Channels!$E$11)</f>
        <v/>
      </c>
      <c r="I272" s="78">
        <f>SUM(C272:H272)</f>
        <v/>
      </c>
      <c r="J272" s="79">
        <f>SUMIFS(tblVideos[Length],tblVideos[Day],"&gt;="&amp;$B272,tblVideos[Day],"&lt;"&amp;EDATE($B272,1))*24</f>
        <v/>
      </c>
      <c r="K272" s="69">
        <f>COUNTIFS(tblVideos[Watched On],"&gt;="&amp;$B272,tblVideos[Watched On],"&lt;"&amp;EDATE($B272,1),tblVideos[Status],"Watched")</f>
        <v/>
      </c>
      <c r="L272" s="79">
        <f>SUMIFS(tblVideos[Length],tblVideos[Watched On],"&gt;="&amp;$B272,tblVideos[Watched On],"&lt;"&amp;EDATE($B272,1),tblVideos[Status],"Watched")*24</f>
        <v/>
      </c>
      <c r="M272" s="84">
        <f>IF(I272=0,"Gap",IF(I272&gt;AVERAGE($I$135:$I$308)+2*STDEV($I$135:$I$308),"High",""))</f>
        <v/>
      </c>
    </row>
    <row r="273">
      <c r="B273" s="83" t="n">
        <v>45231</v>
      </c>
      <c r="C273" s="69">
        <f>COUNTIFS(tblVideos[Day],"&gt;="&amp;$B273,tblVideos[Day],"&lt;"&amp;EDATE($B273,1),tblVideos[Channel ID],Channels!$E$6)</f>
        <v/>
      </c>
      <c r="D273" s="69">
        <f>COUNTIFS(tblVideos[Day],"&gt;="&amp;$B273,tblVideos[Day],"&lt;"&amp;EDATE($B273,1),tblVideos[Channel ID],Channels!$E$7)</f>
        <v/>
      </c>
      <c r="E273" s="69">
        <f>COUNTIFS(tblVideos[Day],"&gt;="&amp;$B273,tblVideos[Day],"&lt;"&amp;EDATE($B273,1),tblVideos[Channel ID],Channels!$E$8)</f>
        <v/>
      </c>
      <c r="F273" s="69">
        <f>COUNTIFS(tblVideos[Day],"&gt;="&amp;$B273,tblVideos[Day],"&lt;"&amp;EDATE($B273,1),tblVideos[Channel ID],Channels!$E$9)</f>
        <v/>
      </c>
      <c r="G273" s="69">
        <f>COUNTIFS(tblVideos[Day],"&gt;="&amp;$B273,tblVideos[Day],"&lt;"&amp;EDATE($B273,1),tblVideos[Channel ID],Channels!$E$10)</f>
        <v/>
      </c>
      <c r="H273" s="69">
        <f>COUNTIFS(tblVideos[Day],"&gt;="&amp;$B273,tblVideos[Day],"&lt;"&amp;EDATE($B273,1),tblVideos[Channel ID],Channels!$E$11)</f>
        <v/>
      </c>
      <c r="I273" s="78">
        <f>SUM(C273:H273)</f>
        <v/>
      </c>
      <c r="J273" s="79">
        <f>SUMIFS(tblVideos[Length],tblVideos[Day],"&gt;="&amp;$B273,tblVideos[Day],"&lt;"&amp;EDATE($B273,1))*24</f>
        <v/>
      </c>
      <c r="K273" s="69">
        <f>COUNTIFS(tblVideos[Watched On],"&gt;="&amp;$B273,tblVideos[Watched On],"&lt;"&amp;EDATE($B273,1),tblVideos[Status],"Watched")</f>
        <v/>
      </c>
      <c r="L273" s="79">
        <f>SUMIFS(tblVideos[Length],tblVideos[Watched On],"&gt;="&amp;$B273,tblVideos[Watched On],"&lt;"&amp;EDATE($B273,1),tblVideos[Status],"Watched")*24</f>
        <v/>
      </c>
      <c r="M273" s="84">
        <f>IF(I273=0,"Gap",IF(I273&gt;AVERAGE($I$135:$I$308)+2*STDEV($I$135:$I$308),"High",""))</f>
        <v/>
      </c>
    </row>
    <row r="274">
      <c r="B274" s="83" t="n">
        <v>45261</v>
      </c>
      <c r="C274" s="69">
        <f>COUNTIFS(tblVideos[Day],"&gt;="&amp;$B274,tblVideos[Day],"&lt;"&amp;EDATE($B274,1),tblVideos[Channel ID],Channels!$E$6)</f>
        <v/>
      </c>
      <c r="D274" s="69">
        <f>COUNTIFS(tblVideos[Day],"&gt;="&amp;$B274,tblVideos[Day],"&lt;"&amp;EDATE($B274,1),tblVideos[Channel ID],Channels!$E$7)</f>
        <v/>
      </c>
      <c r="E274" s="69">
        <f>COUNTIFS(tblVideos[Day],"&gt;="&amp;$B274,tblVideos[Day],"&lt;"&amp;EDATE($B274,1),tblVideos[Channel ID],Channels!$E$8)</f>
        <v/>
      </c>
      <c r="F274" s="69">
        <f>COUNTIFS(tblVideos[Day],"&gt;="&amp;$B274,tblVideos[Day],"&lt;"&amp;EDATE($B274,1),tblVideos[Channel ID],Channels!$E$9)</f>
        <v/>
      </c>
      <c r="G274" s="69">
        <f>COUNTIFS(tblVideos[Day],"&gt;="&amp;$B274,tblVideos[Day],"&lt;"&amp;EDATE($B274,1),tblVideos[Channel ID],Channels!$E$10)</f>
        <v/>
      </c>
      <c r="H274" s="69">
        <f>COUNTIFS(tblVideos[Day],"&gt;="&amp;$B274,tblVideos[Day],"&lt;"&amp;EDATE($B274,1),tblVideos[Channel ID],Channels!$E$11)</f>
        <v/>
      </c>
      <c r="I274" s="78">
        <f>SUM(C274:H274)</f>
        <v/>
      </c>
      <c r="J274" s="79">
        <f>SUMIFS(tblVideos[Length],tblVideos[Day],"&gt;="&amp;$B274,tblVideos[Day],"&lt;"&amp;EDATE($B274,1))*24</f>
        <v/>
      </c>
      <c r="K274" s="69">
        <f>COUNTIFS(tblVideos[Watched On],"&gt;="&amp;$B274,tblVideos[Watched On],"&lt;"&amp;EDATE($B274,1),tblVideos[Status],"Watched")</f>
        <v/>
      </c>
      <c r="L274" s="79">
        <f>SUMIFS(tblVideos[Length],tblVideos[Watched On],"&gt;="&amp;$B274,tblVideos[Watched On],"&lt;"&amp;EDATE($B274,1),tblVideos[Status],"Watched")*24</f>
        <v/>
      </c>
      <c r="M274" s="84">
        <f>IF(I274=0,"Gap",IF(I274&gt;AVERAGE($I$135:$I$308)+2*STDEV($I$135:$I$308),"High",""))</f>
        <v/>
      </c>
    </row>
    <row r="275">
      <c r="B275" s="83" t="n">
        <v>45292</v>
      </c>
      <c r="C275" s="69">
        <f>COUNTIFS(tblVideos[Day],"&gt;="&amp;$B275,tblVideos[Day],"&lt;"&amp;EDATE($B275,1),tblVideos[Channel ID],Channels!$E$6)</f>
        <v/>
      </c>
      <c r="D275" s="69">
        <f>COUNTIFS(tblVideos[Day],"&gt;="&amp;$B275,tblVideos[Day],"&lt;"&amp;EDATE($B275,1),tblVideos[Channel ID],Channels!$E$7)</f>
        <v/>
      </c>
      <c r="E275" s="69">
        <f>COUNTIFS(tblVideos[Day],"&gt;="&amp;$B275,tblVideos[Day],"&lt;"&amp;EDATE($B275,1),tblVideos[Channel ID],Channels!$E$8)</f>
        <v/>
      </c>
      <c r="F275" s="69">
        <f>COUNTIFS(tblVideos[Day],"&gt;="&amp;$B275,tblVideos[Day],"&lt;"&amp;EDATE($B275,1),tblVideos[Channel ID],Channels!$E$9)</f>
        <v/>
      </c>
      <c r="G275" s="69">
        <f>COUNTIFS(tblVideos[Day],"&gt;="&amp;$B275,tblVideos[Day],"&lt;"&amp;EDATE($B275,1),tblVideos[Channel ID],Channels!$E$10)</f>
        <v/>
      </c>
      <c r="H275" s="69">
        <f>COUNTIFS(tblVideos[Day],"&gt;="&amp;$B275,tblVideos[Day],"&lt;"&amp;EDATE($B275,1),tblVideos[Channel ID],Channels!$E$11)</f>
        <v/>
      </c>
      <c r="I275" s="78">
        <f>SUM(C275:H275)</f>
        <v/>
      </c>
      <c r="J275" s="79">
        <f>SUMIFS(tblVideos[Length],tblVideos[Day],"&gt;="&amp;$B275,tblVideos[Day],"&lt;"&amp;EDATE($B275,1))*24</f>
        <v/>
      </c>
      <c r="K275" s="69">
        <f>COUNTIFS(tblVideos[Watched On],"&gt;="&amp;$B275,tblVideos[Watched On],"&lt;"&amp;EDATE($B275,1),tblVideos[Status],"Watched")</f>
        <v/>
      </c>
      <c r="L275" s="79">
        <f>SUMIFS(tblVideos[Length],tblVideos[Watched On],"&gt;="&amp;$B275,tblVideos[Watched On],"&lt;"&amp;EDATE($B275,1),tblVideos[Status],"Watched")*24</f>
        <v/>
      </c>
      <c r="M275" s="84">
        <f>IF(I275=0,"Gap",IF(I275&gt;AVERAGE($I$135:$I$308)+2*STDEV($I$135:$I$308),"High",""))</f>
        <v/>
      </c>
    </row>
    <row r="276">
      <c r="B276" s="83" t="n">
        <v>45323</v>
      </c>
      <c r="C276" s="69">
        <f>COUNTIFS(tblVideos[Day],"&gt;="&amp;$B276,tblVideos[Day],"&lt;"&amp;EDATE($B276,1),tblVideos[Channel ID],Channels!$E$6)</f>
        <v/>
      </c>
      <c r="D276" s="69">
        <f>COUNTIFS(tblVideos[Day],"&gt;="&amp;$B276,tblVideos[Day],"&lt;"&amp;EDATE($B276,1),tblVideos[Channel ID],Channels!$E$7)</f>
        <v/>
      </c>
      <c r="E276" s="69">
        <f>COUNTIFS(tblVideos[Day],"&gt;="&amp;$B276,tblVideos[Day],"&lt;"&amp;EDATE($B276,1),tblVideos[Channel ID],Channels!$E$8)</f>
        <v/>
      </c>
      <c r="F276" s="69">
        <f>COUNTIFS(tblVideos[Day],"&gt;="&amp;$B276,tblVideos[Day],"&lt;"&amp;EDATE($B276,1),tblVideos[Channel ID],Channels!$E$9)</f>
        <v/>
      </c>
      <c r="G276" s="69">
        <f>COUNTIFS(tblVideos[Day],"&gt;="&amp;$B276,tblVideos[Day],"&lt;"&amp;EDATE($B276,1),tblVideos[Channel ID],Channels!$E$10)</f>
        <v/>
      </c>
      <c r="H276" s="69">
        <f>COUNTIFS(tblVideos[Day],"&gt;="&amp;$B276,tblVideos[Day],"&lt;"&amp;EDATE($B276,1),tblVideos[Channel ID],Channels!$E$11)</f>
        <v/>
      </c>
      <c r="I276" s="78">
        <f>SUM(C276:H276)</f>
        <v/>
      </c>
      <c r="J276" s="79">
        <f>SUMIFS(tblVideos[Length],tblVideos[Day],"&gt;="&amp;$B276,tblVideos[Day],"&lt;"&amp;EDATE($B276,1))*24</f>
        <v/>
      </c>
      <c r="K276" s="69">
        <f>COUNTIFS(tblVideos[Watched On],"&gt;="&amp;$B276,tblVideos[Watched On],"&lt;"&amp;EDATE($B276,1),tblVideos[Status],"Watched")</f>
        <v/>
      </c>
      <c r="L276" s="79">
        <f>SUMIFS(tblVideos[Length],tblVideos[Watched On],"&gt;="&amp;$B276,tblVideos[Watched On],"&lt;"&amp;EDATE($B276,1),tblVideos[Status],"Watched")*24</f>
        <v/>
      </c>
      <c r="M276" s="84">
        <f>IF(I276=0,"Gap",IF(I276&gt;AVERAGE($I$135:$I$308)+2*STDEV($I$135:$I$308),"High",""))</f>
        <v/>
      </c>
    </row>
    <row r="277">
      <c r="B277" s="83" t="n">
        <v>45352</v>
      </c>
      <c r="C277" s="69">
        <f>COUNTIFS(tblVideos[Day],"&gt;="&amp;$B277,tblVideos[Day],"&lt;"&amp;EDATE($B277,1),tblVideos[Channel ID],Channels!$E$6)</f>
        <v/>
      </c>
      <c r="D277" s="69">
        <f>COUNTIFS(tblVideos[Day],"&gt;="&amp;$B277,tblVideos[Day],"&lt;"&amp;EDATE($B277,1),tblVideos[Channel ID],Channels!$E$7)</f>
        <v/>
      </c>
      <c r="E277" s="69">
        <f>COUNTIFS(tblVideos[Day],"&gt;="&amp;$B277,tblVideos[Day],"&lt;"&amp;EDATE($B277,1),tblVideos[Channel ID],Channels!$E$8)</f>
        <v/>
      </c>
      <c r="F277" s="69">
        <f>COUNTIFS(tblVideos[Day],"&gt;="&amp;$B277,tblVideos[Day],"&lt;"&amp;EDATE($B277,1),tblVideos[Channel ID],Channels!$E$9)</f>
        <v/>
      </c>
      <c r="G277" s="69">
        <f>COUNTIFS(tblVideos[Day],"&gt;="&amp;$B277,tblVideos[Day],"&lt;"&amp;EDATE($B277,1),tblVideos[Channel ID],Channels!$E$10)</f>
        <v/>
      </c>
      <c r="H277" s="69">
        <f>COUNTIFS(tblVideos[Day],"&gt;="&amp;$B277,tblVideos[Day],"&lt;"&amp;EDATE($B277,1),tblVideos[Channel ID],Channels!$E$11)</f>
        <v/>
      </c>
      <c r="I277" s="78">
        <f>SUM(C277:H277)</f>
        <v/>
      </c>
      <c r="J277" s="79">
        <f>SUMIFS(tblVideos[Length],tblVideos[Day],"&gt;="&amp;$B277,tblVideos[Day],"&lt;"&amp;EDATE($B277,1))*24</f>
        <v/>
      </c>
      <c r="K277" s="69">
        <f>COUNTIFS(tblVideos[Watched On],"&gt;="&amp;$B277,tblVideos[Watched On],"&lt;"&amp;EDATE($B277,1),tblVideos[Status],"Watched")</f>
        <v/>
      </c>
      <c r="L277" s="79">
        <f>SUMIFS(tblVideos[Length],tblVideos[Watched On],"&gt;="&amp;$B277,tblVideos[Watched On],"&lt;"&amp;EDATE($B277,1),tblVideos[Status],"Watched")*24</f>
        <v/>
      </c>
      <c r="M277" s="84">
        <f>IF(I277=0,"Gap",IF(I277&gt;AVERAGE($I$135:$I$308)+2*STDEV($I$135:$I$308),"High",""))</f>
        <v/>
      </c>
    </row>
    <row r="278">
      <c r="B278" s="83" t="n">
        <v>45383</v>
      </c>
      <c r="C278" s="69">
        <f>COUNTIFS(tblVideos[Day],"&gt;="&amp;$B278,tblVideos[Day],"&lt;"&amp;EDATE($B278,1),tblVideos[Channel ID],Channels!$E$6)</f>
        <v/>
      </c>
      <c r="D278" s="69">
        <f>COUNTIFS(tblVideos[Day],"&gt;="&amp;$B278,tblVideos[Day],"&lt;"&amp;EDATE($B278,1),tblVideos[Channel ID],Channels!$E$7)</f>
        <v/>
      </c>
      <c r="E278" s="69">
        <f>COUNTIFS(tblVideos[Day],"&gt;="&amp;$B278,tblVideos[Day],"&lt;"&amp;EDATE($B278,1),tblVideos[Channel ID],Channels!$E$8)</f>
        <v/>
      </c>
      <c r="F278" s="69">
        <f>COUNTIFS(tblVideos[Day],"&gt;="&amp;$B278,tblVideos[Day],"&lt;"&amp;EDATE($B278,1),tblVideos[Channel ID],Channels!$E$9)</f>
        <v/>
      </c>
      <c r="G278" s="69">
        <f>COUNTIFS(tblVideos[Day],"&gt;="&amp;$B278,tblVideos[Day],"&lt;"&amp;EDATE($B278,1),tblVideos[Channel ID],Channels!$E$10)</f>
        <v/>
      </c>
      <c r="H278" s="69">
        <f>COUNTIFS(tblVideos[Day],"&gt;="&amp;$B278,tblVideos[Day],"&lt;"&amp;EDATE($B278,1),tblVideos[Channel ID],Channels!$E$11)</f>
        <v/>
      </c>
      <c r="I278" s="78">
        <f>SUM(C278:H278)</f>
        <v/>
      </c>
      <c r="J278" s="79">
        <f>SUMIFS(tblVideos[Length],tblVideos[Day],"&gt;="&amp;$B278,tblVideos[Day],"&lt;"&amp;EDATE($B278,1))*24</f>
        <v/>
      </c>
      <c r="K278" s="69">
        <f>COUNTIFS(tblVideos[Watched On],"&gt;="&amp;$B278,tblVideos[Watched On],"&lt;"&amp;EDATE($B278,1),tblVideos[Status],"Watched")</f>
        <v/>
      </c>
      <c r="L278" s="79">
        <f>SUMIFS(tblVideos[Length],tblVideos[Watched On],"&gt;="&amp;$B278,tblVideos[Watched On],"&lt;"&amp;EDATE($B278,1),tblVideos[Status],"Watched")*24</f>
        <v/>
      </c>
      <c r="M278" s="84">
        <f>IF(I278=0,"Gap",IF(I278&gt;AVERAGE($I$135:$I$308)+2*STDEV($I$135:$I$308),"High",""))</f>
        <v/>
      </c>
    </row>
    <row r="279">
      <c r="B279" s="83" t="n">
        <v>45413</v>
      </c>
      <c r="C279" s="69">
        <f>COUNTIFS(tblVideos[Day],"&gt;="&amp;$B279,tblVideos[Day],"&lt;"&amp;EDATE($B279,1),tblVideos[Channel ID],Channels!$E$6)</f>
        <v/>
      </c>
      <c r="D279" s="69">
        <f>COUNTIFS(tblVideos[Day],"&gt;="&amp;$B279,tblVideos[Day],"&lt;"&amp;EDATE($B279,1),tblVideos[Channel ID],Channels!$E$7)</f>
        <v/>
      </c>
      <c r="E279" s="69">
        <f>COUNTIFS(tblVideos[Day],"&gt;="&amp;$B279,tblVideos[Day],"&lt;"&amp;EDATE($B279,1),tblVideos[Channel ID],Channels!$E$8)</f>
        <v/>
      </c>
      <c r="F279" s="69">
        <f>COUNTIFS(tblVideos[Day],"&gt;="&amp;$B279,tblVideos[Day],"&lt;"&amp;EDATE($B279,1),tblVideos[Channel ID],Channels!$E$9)</f>
        <v/>
      </c>
      <c r="G279" s="69">
        <f>COUNTIFS(tblVideos[Day],"&gt;="&amp;$B279,tblVideos[Day],"&lt;"&amp;EDATE($B279,1),tblVideos[Channel ID],Channels!$E$10)</f>
        <v/>
      </c>
      <c r="H279" s="69">
        <f>COUNTIFS(tblVideos[Day],"&gt;="&amp;$B279,tblVideos[Day],"&lt;"&amp;EDATE($B279,1),tblVideos[Channel ID],Channels!$E$11)</f>
        <v/>
      </c>
      <c r="I279" s="78">
        <f>SUM(C279:H279)</f>
        <v/>
      </c>
      <c r="J279" s="79">
        <f>SUMIFS(tblVideos[Length],tblVideos[Day],"&gt;="&amp;$B279,tblVideos[Day],"&lt;"&amp;EDATE($B279,1))*24</f>
        <v/>
      </c>
      <c r="K279" s="69">
        <f>COUNTIFS(tblVideos[Watched On],"&gt;="&amp;$B279,tblVideos[Watched On],"&lt;"&amp;EDATE($B279,1),tblVideos[Status],"Watched")</f>
        <v/>
      </c>
      <c r="L279" s="79">
        <f>SUMIFS(tblVideos[Length],tblVideos[Watched On],"&gt;="&amp;$B279,tblVideos[Watched On],"&lt;"&amp;EDATE($B279,1),tblVideos[Status],"Watched")*24</f>
        <v/>
      </c>
      <c r="M279" s="84">
        <f>IF(I279=0,"Gap",IF(I279&gt;AVERAGE($I$135:$I$308)+2*STDEV($I$135:$I$308),"High",""))</f>
        <v/>
      </c>
    </row>
    <row r="280">
      <c r="B280" s="83" t="n">
        <v>45444</v>
      </c>
      <c r="C280" s="69">
        <f>COUNTIFS(tblVideos[Day],"&gt;="&amp;$B280,tblVideos[Day],"&lt;"&amp;EDATE($B280,1),tblVideos[Channel ID],Channels!$E$6)</f>
        <v/>
      </c>
      <c r="D280" s="69">
        <f>COUNTIFS(tblVideos[Day],"&gt;="&amp;$B280,tblVideos[Day],"&lt;"&amp;EDATE($B280,1),tblVideos[Channel ID],Channels!$E$7)</f>
        <v/>
      </c>
      <c r="E280" s="69">
        <f>COUNTIFS(tblVideos[Day],"&gt;="&amp;$B280,tblVideos[Day],"&lt;"&amp;EDATE($B280,1),tblVideos[Channel ID],Channels!$E$8)</f>
        <v/>
      </c>
      <c r="F280" s="69">
        <f>COUNTIFS(tblVideos[Day],"&gt;="&amp;$B280,tblVideos[Day],"&lt;"&amp;EDATE($B280,1),tblVideos[Channel ID],Channels!$E$9)</f>
        <v/>
      </c>
      <c r="G280" s="69">
        <f>COUNTIFS(tblVideos[Day],"&gt;="&amp;$B280,tblVideos[Day],"&lt;"&amp;EDATE($B280,1),tblVideos[Channel ID],Channels!$E$10)</f>
        <v/>
      </c>
      <c r="H280" s="69">
        <f>COUNTIFS(tblVideos[Day],"&gt;="&amp;$B280,tblVideos[Day],"&lt;"&amp;EDATE($B280,1),tblVideos[Channel ID],Channels!$E$11)</f>
        <v/>
      </c>
      <c r="I280" s="78">
        <f>SUM(C280:H280)</f>
        <v/>
      </c>
      <c r="J280" s="79">
        <f>SUMIFS(tblVideos[Length],tblVideos[Day],"&gt;="&amp;$B280,tblVideos[Day],"&lt;"&amp;EDATE($B280,1))*24</f>
        <v/>
      </c>
      <c r="K280" s="69">
        <f>COUNTIFS(tblVideos[Watched On],"&gt;="&amp;$B280,tblVideos[Watched On],"&lt;"&amp;EDATE($B280,1),tblVideos[Status],"Watched")</f>
        <v/>
      </c>
      <c r="L280" s="79">
        <f>SUMIFS(tblVideos[Length],tblVideos[Watched On],"&gt;="&amp;$B280,tblVideos[Watched On],"&lt;"&amp;EDATE($B280,1),tblVideos[Status],"Watched")*24</f>
        <v/>
      </c>
      <c r="M280" s="84">
        <f>IF(I280=0,"Gap",IF(I280&gt;AVERAGE($I$135:$I$308)+2*STDEV($I$135:$I$308),"High",""))</f>
        <v/>
      </c>
    </row>
    <row r="281">
      <c r="B281" s="83" t="n">
        <v>45474</v>
      </c>
      <c r="C281" s="69">
        <f>COUNTIFS(tblVideos[Day],"&gt;="&amp;$B281,tblVideos[Day],"&lt;"&amp;EDATE($B281,1),tblVideos[Channel ID],Channels!$E$6)</f>
        <v/>
      </c>
      <c r="D281" s="69">
        <f>COUNTIFS(tblVideos[Day],"&gt;="&amp;$B281,tblVideos[Day],"&lt;"&amp;EDATE($B281,1),tblVideos[Channel ID],Channels!$E$7)</f>
        <v/>
      </c>
      <c r="E281" s="69">
        <f>COUNTIFS(tblVideos[Day],"&gt;="&amp;$B281,tblVideos[Day],"&lt;"&amp;EDATE($B281,1),tblVideos[Channel ID],Channels!$E$8)</f>
        <v/>
      </c>
      <c r="F281" s="69">
        <f>COUNTIFS(tblVideos[Day],"&gt;="&amp;$B281,tblVideos[Day],"&lt;"&amp;EDATE($B281,1),tblVideos[Channel ID],Channels!$E$9)</f>
        <v/>
      </c>
      <c r="G281" s="69">
        <f>COUNTIFS(tblVideos[Day],"&gt;="&amp;$B281,tblVideos[Day],"&lt;"&amp;EDATE($B281,1),tblVideos[Channel ID],Channels!$E$10)</f>
        <v/>
      </c>
      <c r="H281" s="69">
        <f>COUNTIFS(tblVideos[Day],"&gt;="&amp;$B281,tblVideos[Day],"&lt;"&amp;EDATE($B281,1),tblVideos[Channel ID],Channels!$E$11)</f>
        <v/>
      </c>
      <c r="I281" s="78">
        <f>SUM(C281:H281)</f>
        <v/>
      </c>
      <c r="J281" s="79">
        <f>SUMIFS(tblVideos[Length],tblVideos[Day],"&gt;="&amp;$B281,tblVideos[Day],"&lt;"&amp;EDATE($B281,1))*24</f>
        <v/>
      </c>
      <c r="K281" s="69">
        <f>COUNTIFS(tblVideos[Watched On],"&gt;="&amp;$B281,tblVideos[Watched On],"&lt;"&amp;EDATE($B281,1),tblVideos[Status],"Watched")</f>
        <v/>
      </c>
      <c r="L281" s="79">
        <f>SUMIFS(tblVideos[Length],tblVideos[Watched On],"&gt;="&amp;$B281,tblVideos[Watched On],"&lt;"&amp;EDATE($B281,1),tblVideos[Status],"Watched")*24</f>
        <v/>
      </c>
      <c r="M281" s="84">
        <f>IF(I281=0,"Gap",IF(I281&gt;AVERAGE($I$135:$I$308)+2*STDEV($I$135:$I$308),"High",""))</f>
        <v/>
      </c>
    </row>
    <row r="282">
      <c r="B282" s="83" t="n">
        <v>45505</v>
      </c>
      <c r="C282" s="69">
        <f>COUNTIFS(tblVideos[Day],"&gt;="&amp;$B282,tblVideos[Day],"&lt;"&amp;EDATE($B282,1),tblVideos[Channel ID],Channels!$E$6)</f>
        <v/>
      </c>
      <c r="D282" s="69">
        <f>COUNTIFS(tblVideos[Day],"&gt;="&amp;$B282,tblVideos[Day],"&lt;"&amp;EDATE($B282,1),tblVideos[Channel ID],Channels!$E$7)</f>
        <v/>
      </c>
      <c r="E282" s="69">
        <f>COUNTIFS(tblVideos[Day],"&gt;="&amp;$B282,tblVideos[Day],"&lt;"&amp;EDATE($B282,1),tblVideos[Channel ID],Channels!$E$8)</f>
        <v/>
      </c>
      <c r="F282" s="69">
        <f>COUNTIFS(tblVideos[Day],"&gt;="&amp;$B282,tblVideos[Day],"&lt;"&amp;EDATE($B282,1),tblVideos[Channel ID],Channels!$E$9)</f>
        <v/>
      </c>
      <c r="G282" s="69">
        <f>COUNTIFS(tblVideos[Day],"&gt;="&amp;$B282,tblVideos[Day],"&lt;"&amp;EDATE($B282,1),tblVideos[Channel ID],Channels!$E$10)</f>
        <v/>
      </c>
      <c r="H282" s="69">
        <f>COUNTIFS(tblVideos[Day],"&gt;="&amp;$B282,tblVideos[Day],"&lt;"&amp;EDATE($B282,1),tblVideos[Channel ID],Channels!$E$11)</f>
        <v/>
      </c>
      <c r="I282" s="78">
        <f>SUM(C282:H282)</f>
        <v/>
      </c>
      <c r="J282" s="79">
        <f>SUMIFS(tblVideos[Length],tblVideos[Day],"&gt;="&amp;$B282,tblVideos[Day],"&lt;"&amp;EDATE($B282,1))*24</f>
        <v/>
      </c>
      <c r="K282" s="69">
        <f>COUNTIFS(tblVideos[Watched On],"&gt;="&amp;$B282,tblVideos[Watched On],"&lt;"&amp;EDATE($B282,1),tblVideos[Status],"Watched")</f>
        <v/>
      </c>
      <c r="L282" s="79">
        <f>SUMIFS(tblVideos[Length],tblVideos[Watched On],"&gt;="&amp;$B282,tblVideos[Watched On],"&lt;"&amp;EDATE($B282,1),tblVideos[Status],"Watched")*24</f>
        <v/>
      </c>
      <c r="M282" s="84">
        <f>IF(I282=0,"Gap",IF(I282&gt;AVERAGE($I$135:$I$308)+2*STDEV($I$135:$I$308),"High",""))</f>
        <v/>
      </c>
    </row>
    <row r="283">
      <c r="B283" s="83" t="n">
        <v>45536</v>
      </c>
      <c r="C283" s="69">
        <f>COUNTIFS(tblVideos[Day],"&gt;="&amp;$B283,tblVideos[Day],"&lt;"&amp;EDATE($B283,1),tblVideos[Channel ID],Channels!$E$6)</f>
        <v/>
      </c>
      <c r="D283" s="69">
        <f>COUNTIFS(tblVideos[Day],"&gt;="&amp;$B283,tblVideos[Day],"&lt;"&amp;EDATE($B283,1),tblVideos[Channel ID],Channels!$E$7)</f>
        <v/>
      </c>
      <c r="E283" s="69">
        <f>COUNTIFS(tblVideos[Day],"&gt;="&amp;$B283,tblVideos[Day],"&lt;"&amp;EDATE($B283,1),tblVideos[Channel ID],Channels!$E$8)</f>
        <v/>
      </c>
      <c r="F283" s="69">
        <f>COUNTIFS(tblVideos[Day],"&gt;="&amp;$B283,tblVideos[Day],"&lt;"&amp;EDATE($B283,1),tblVideos[Channel ID],Channels!$E$9)</f>
        <v/>
      </c>
      <c r="G283" s="69">
        <f>COUNTIFS(tblVideos[Day],"&gt;="&amp;$B283,tblVideos[Day],"&lt;"&amp;EDATE($B283,1),tblVideos[Channel ID],Channels!$E$10)</f>
        <v/>
      </c>
      <c r="H283" s="69">
        <f>COUNTIFS(tblVideos[Day],"&gt;="&amp;$B283,tblVideos[Day],"&lt;"&amp;EDATE($B283,1),tblVideos[Channel ID],Channels!$E$11)</f>
        <v/>
      </c>
      <c r="I283" s="78">
        <f>SUM(C283:H283)</f>
        <v/>
      </c>
      <c r="J283" s="79">
        <f>SUMIFS(tblVideos[Length],tblVideos[Day],"&gt;="&amp;$B283,tblVideos[Day],"&lt;"&amp;EDATE($B283,1))*24</f>
        <v/>
      </c>
      <c r="K283" s="69">
        <f>COUNTIFS(tblVideos[Watched On],"&gt;="&amp;$B283,tblVideos[Watched On],"&lt;"&amp;EDATE($B283,1),tblVideos[Status],"Watched")</f>
        <v/>
      </c>
      <c r="L283" s="79">
        <f>SUMIFS(tblVideos[Length],tblVideos[Watched On],"&gt;="&amp;$B283,tblVideos[Watched On],"&lt;"&amp;EDATE($B283,1),tblVideos[Status],"Watched")*24</f>
        <v/>
      </c>
      <c r="M283" s="84">
        <f>IF(I283=0,"Gap",IF(I283&gt;AVERAGE($I$135:$I$308)+2*STDEV($I$135:$I$308),"High",""))</f>
        <v/>
      </c>
    </row>
    <row r="284">
      <c r="B284" s="83" t="n">
        <v>45566</v>
      </c>
      <c r="C284" s="69">
        <f>COUNTIFS(tblVideos[Day],"&gt;="&amp;$B284,tblVideos[Day],"&lt;"&amp;EDATE($B284,1),tblVideos[Channel ID],Channels!$E$6)</f>
        <v/>
      </c>
      <c r="D284" s="69">
        <f>COUNTIFS(tblVideos[Day],"&gt;="&amp;$B284,tblVideos[Day],"&lt;"&amp;EDATE($B284,1),tblVideos[Channel ID],Channels!$E$7)</f>
        <v/>
      </c>
      <c r="E284" s="69">
        <f>COUNTIFS(tblVideos[Day],"&gt;="&amp;$B284,tblVideos[Day],"&lt;"&amp;EDATE($B284,1),tblVideos[Channel ID],Channels!$E$8)</f>
        <v/>
      </c>
      <c r="F284" s="69">
        <f>COUNTIFS(tblVideos[Day],"&gt;="&amp;$B284,tblVideos[Day],"&lt;"&amp;EDATE($B284,1),tblVideos[Channel ID],Channels!$E$9)</f>
        <v/>
      </c>
      <c r="G284" s="69">
        <f>COUNTIFS(tblVideos[Day],"&gt;="&amp;$B284,tblVideos[Day],"&lt;"&amp;EDATE($B284,1),tblVideos[Channel ID],Channels!$E$10)</f>
        <v/>
      </c>
      <c r="H284" s="69">
        <f>COUNTIFS(tblVideos[Day],"&gt;="&amp;$B284,tblVideos[Day],"&lt;"&amp;EDATE($B284,1),tblVideos[Channel ID],Channels!$E$11)</f>
        <v/>
      </c>
      <c r="I284" s="78">
        <f>SUM(C284:H284)</f>
        <v/>
      </c>
      <c r="J284" s="79">
        <f>SUMIFS(tblVideos[Length],tblVideos[Day],"&gt;="&amp;$B284,tblVideos[Day],"&lt;"&amp;EDATE($B284,1))*24</f>
        <v/>
      </c>
      <c r="K284" s="69">
        <f>COUNTIFS(tblVideos[Watched On],"&gt;="&amp;$B284,tblVideos[Watched On],"&lt;"&amp;EDATE($B284,1),tblVideos[Status],"Watched")</f>
        <v/>
      </c>
      <c r="L284" s="79">
        <f>SUMIFS(tblVideos[Length],tblVideos[Watched On],"&gt;="&amp;$B284,tblVideos[Watched On],"&lt;"&amp;EDATE($B284,1),tblVideos[Status],"Watched")*24</f>
        <v/>
      </c>
      <c r="M284" s="84">
        <f>IF(I284=0,"Gap",IF(I284&gt;AVERAGE($I$135:$I$308)+2*STDEV($I$135:$I$308),"High",""))</f>
        <v/>
      </c>
    </row>
    <row r="285">
      <c r="B285" s="83" t="n">
        <v>45597</v>
      </c>
      <c r="C285" s="69">
        <f>COUNTIFS(tblVideos[Day],"&gt;="&amp;$B285,tblVideos[Day],"&lt;"&amp;EDATE($B285,1),tblVideos[Channel ID],Channels!$E$6)</f>
        <v/>
      </c>
      <c r="D285" s="69">
        <f>COUNTIFS(tblVideos[Day],"&gt;="&amp;$B285,tblVideos[Day],"&lt;"&amp;EDATE($B285,1),tblVideos[Channel ID],Channels!$E$7)</f>
        <v/>
      </c>
      <c r="E285" s="69">
        <f>COUNTIFS(tblVideos[Day],"&gt;="&amp;$B285,tblVideos[Day],"&lt;"&amp;EDATE($B285,1),tblVideos[Channel ID],Channels!$E$8)</f>
        <v/>
      </c>
      <c r="F285" s="69">
        <f>COUNTIFS(tblVideos[Day],"&gt;="&amp;$B285,tblVideos[Day],"&lt;"&amp;EDATE($B285,1),tblVideos[Channel ID],Channels!$E$9)</f>
        <v/>
      </c>
      <c r="G285" s="69">
        <f>COUNTIFS(tblVideos[Day],"&gt;="&amp;$B285,tblVideos[Day],"&lt;"&amp;EDATE($B285,1),tblVideos[Channel ID],Channels!$E$10)</f>
        <v/>
      </c>
      <c r="H285" s="69">
        <f>COUNTIFS(tblVideos[Day],"&gt;="&amp;$B285,tblVideos[Day],"&lt;"&amp;EDATE($B285,1),tblVideos[Channel ID],Channels!$E$11)</f>
        <v/>
      </c>
      <c r="I285" s="78">
        <f>SUM(C285:H285)</f>
        <v/>
      </c>
      <c r="J285" s="79">
        <f>SUMIFS(tblVideos[Length],tblVideos[Day],"&gt;="&amp;$B285,tblVideos[Day],"&lt;"&amp;EDATE($B285,1))*24</f>
        <v/>
      </c>
      <c r="K285" s="69">
        <f>COUNTIFS(tblVideos[Watched On],"&gt;="&amp;$B285,tblVideos[Watched On],"&lt;"&amp;EDATE($B285,1),tblVideos[Status],"Watched")</f>
        <v/>
      </c>
      <c r="L285" s="79">
        <f>SUMIFS(tblVideos[Length],tblVideos[Watched On],"&gt;="&amp;$B285,tblVideos[Watched On],"&lt;"&amp;EDATE($B285,1),tblVideos[Status],"Watched")*24</f>
        <v/>
      </c>
      <c r="M285" s="84">
        <f>IF(I285=0,"Gap",IF(I285&gt;AVERAGE($I$135:$I$308)+2*STDEV($I$135:$I$308),"High",""))</f>
        <v/>
      </c>
    </row>
    <row r="286">
      <c r="B286" s="83" t="n">
        <v>45627</v>
      </c>
      <c r="C286" s="69">
        <f>COUNTIFS(tblVideos[Day],"&gt;="&amp;$B286,tblVideos[Day],"&lt;"&amp;EDATE($B286,1),tblVideos[Channel ID],Channels!$E$6)</f>
        <v/>
      </c>
      <c r="D286" s="69">
        <f>COUNTIFS(tblVideos[Day],"&gt;="&amp;$B286,tblVideos[Day],"&lt;"&amp;EDATE($B286,1),tblVideos[Channel ID],Channels!$E$7)</f>
        <v/>
      </c>
      <c r="E286" s="69">
        <f>COUNTIFS(tblVideos[Day],"&gt;="&amp;$B286,tblVideos[Day],"&lt;"&amp;EDATE($B286,1),tblVideos[Channel ID],Channels!$E$8)</f>
        <v/>
      </c>
      <c r="F286" s="69">
        <f>COUNTIFS(tblVideos[Day],"&gt;="&amp;$B286,tblVideos[Day],"&lt;"&amp;EDATE($B286,1),tblVideos[Channel ID],Channels!$E$9)</f>
        <v/>
      </c>
      <c r="G286" s="69">
        <f>COUNTIFS(tblVideos[Day],"&gt;="&amp;$B286,tblVideos[Day],"&lt;"&amp;EDATE($B286,1),tblVideos[Channel ID],Channels!$E$10)</f>
        <v/>
      </c>
      <c r="H286" s="69">
        <f>COUNTIFS(tblVideos[Day],"&gt;="&amp;$B286,tblVideos[Day],"&lt;"&amp;EDATE($B286,1),tblVideos[Channel ID],Channels!$E$11)</f>
        <v/>
      </c>
      <c r="I286" s="78">
        <f>SUM(C286:H286)</f>
        <v/>
      </c>
      <c r="J286" s="79">
        <f>SUMIFS(tblVideos[Length],tblVideos[Day],"&gt;="&amp;$B286,tblVideos[Day],"&lt;"&amp;EDATE($B286,1))*24</f>
        <v/>
      </c>
      <c r="K286" s="69">
        <f>COUNTIFS(tblVideos[Watched On],"&gt;="&amp;$B286,tblVideos[Watched On],"&lt;"&amp;EDATE($B286,1),tblVideos[Status],"Watched")</f>
        <v/>
      </c>
      <c r="L286" s="79">
        <f>SUMIFS(tblVideos[Length],tblVideos[Watched On],"&gt;="&amp;$B286,tblVideos[Watched On],"&lt;"&amp;EDATE($B286,1),tblVideos[Status],"Watched")*24</f>
        <v/>
      </c>
      <c r="M286" s="84">
        <f>IF(I286=0,"Gap",IF(I286&gt;AVERAGE($I$135:$I$308)+2*STDEV($I$135:$I$308),"High",""))</f>
        <v/>
      </c>
    </row>
    <row r="287">
      <c r="B287" s="83" t="n">
        <v>45658</v>
      </c>
      <c r="C287" s="69">
        <f>COUNTIFS(tblVideos[Day],"&gt;="&amp;$B287,tblVideos[Day],"&lt;"&amp;EDATE($B287,1),tblVideos[Channel ID],Channels!$E$6)</f>
        <v/>
      </c>
      <c r="D287" s="69">
        <f>COUNTIFS(tblVideos[Day],"&gt;="&amp;$B287,tblVideos[Day],"&lt;"&amp;EDATE($B287,1),tblVideos[Channel ID],Channels!$E$7)</f>
        <v/>
      </c>
      <c r="E287" s="69">
        <f>COUNTIFS(tblVideos[Day],"&gt;="&amp;$B287,tblVideos[Day],"&lt;"&amp;EDATE($B287,1),tblVideos[Channel ID],Channels!$E$8)</f>
        <v/>
      </c>
      <c r="F287" s="69">
        <f>COUNTIFS(tblVideos[Day],"&gt;="&amp;$B287,tblVideos[Day],"&lt;"&amp;EDATE($B287,1),tblVideos[Channel ID],Channels!$E$9)</f>
        <v/>
      </c>
      <c r="G287" s="69">
        <f>COUNTIFS(tblVideos[Day],"&gt;="&amp;$B287,tblVideos[Day],"&lt;"&amp;EDATE($B287,1),tblVideos[Channel ID],Channels!$E$10)</f>
        <v/>
      </c>
      <c r="H287" s="69">
        <f>COUNTIFS(tblVideos[Day],"&gt;="&amp;$B287,tblVideos[Day],"&lt;"&amp;EDATE($B287,1),tblVideos[Channel ID],Channels!$E$11)</f>
        <v/>
      </c>
      <c r="I287" s="78">
        <f>SUM(C287:H287)</f>
        <v/>
      </c>
      <c r="J287" s="79">
        <f>SUMIFS(tblVideos[Length],tblVideos[Day],"&gt;="&amp;$B287,tblVideos[Day],"&lt;"&amp;EDATE($B287,1))*24</f>
        <v/>
      </c>
      <c r="K287" s="69">
        <f>COUNTIFS(tblVideos[Watched On],"&gt;="&amp;$B287,tblVideos[Watched On],"&lt;"&amp;EDATE($B287,1),tblVideos[Status],"Watched")</f>
        <v/>
      </c>
      <c r="L287" s="79">
        <f>SUMIFS(tblVideos[Length],tblVideos[Watched On],"&gt;="&amp;$B287,tblVideos[Watched On],"&lt;"&amp;EDATE($B287,1),tblVideos[Status],"Watched")*24</f>
        <v/>
      </c>
      <c r="M287" s="84">
        <f>IF(I287=0,"Gap",IF(I287&gt;AVERAGE($I$135:$I$308)+2*STDEV($I$135:$I$308),"High",""))</f>
        <v/>
      </c>
    </row>
    <row r="288">
      <c r="B288" s="83" t="n">
        <v>45689</v>
      </c>
      <c r="C288" s="69">
        <f>COUNTIFS(tblVideos[Day],"&gt;="&amp;$B288,tblVideos[Day],"&lt;"&amp;EDATE($B288,1),tblVideos[Channel ID],Channels!$E$6)</f>
        <v/>
      </c>
      <c r="D288" s="69">
        <f>COUNTIFS(tblVideos[Day],"&gt;="&amp;$B288,tblVideos[Day],"&lt;"&amp;EDATE($B288,1),tblVideos[Channel ID],Channels!$E$7)</f>
        <v/>
      </c>
      <c r="E288" s="69">
        <f>COUNTIFS(tblVideos[Day],"&gt;="&amp;$B288,tblVideos[Day],"&lt;"&amp;EDATE($B288,1),tblVideos[Channel ID],Channels!$E$8)</f>
        <v/>
      </c>
      <c r="F288" s="69">
        <f>COUNTIFS(tblVideos[Day],"&gt;="&amp;$B288,tblVideos[Day],"&lt;"&amp;EDATE($B288,1),tblVideos[Channel ID],Channels!$E$9)</f>
        <v/>
      </c>
      <c r="G288" s="69">
        <f>COUNTIFS(tblVideos[Day],"&gt;="&amp;$B288,tblVideos[Day],"&lt;"&amp;EDATE($B288,1),tblVideos[Channel ID],Channels!$E$10)</f>
        <v/>
      </c>
      <c r="H288" s="69">
        <f>COUNTIFS(tblVideos[Day],"&gt;="&amp;$B288,tblVideos[Day],"&lt;"&amp;EDATE($B288,1),tblVideos[Channel ID],Channels!$E$11)</f>
        <v/>
      </c>
      <c r="I288" s="78">
        <f>SUM(C288:H288)</f>
        <v/>
      </c>
      <c r="J288" s="79">
        <f>SUMIFS(tblVideos[Length],tblVideos[Day],"&gt;="&amp;$B288,tblVideos[Day],"&lt;"&amp;EDATE($B288,1))*24</f>
        <v/>
      </c>
      <c r="K288" s="69">
        <f>COUNTIFS(tblVideos[Watched On],"&gt;="&amp;$B288,tblVideos[Watched On],"&lt;"&amp;EDATE($B288,1),tblVideos[Status],"Watched")</f>
        <v/>
      </c>
      <c r="L288" s="79">
        <f>SUMIFS(tblVideos[Length],tblVideos[Watched On],"&gt;="&amp;$B288,tblVideos[Watched On],"&lt;"&amp;EDATE($B288,1),tblVideos[Status],"Watched")*24</f>
        <v/>
      </c>
      <c r="M288" s="84">
        <f>IF(I288=0,"Gap",IF(I288&gt;AVERAGE($I$135:$I$308)+2*STDEV($I$135:$I$308),"High",""))</f>
        <v/>
      </c>
    </row>
    <row r="289">
      <c r="B289" s="83" t="n">
        <v>45717</v>
      </c>
      <c r="C289" s="69">
        <f>COUNTIFS(tblVideos[Day],"&gt;="&amp;$B289,tblVideos[Day],"&lt;"&amp;EDATE($B289,1),tblVideos[Channel ID],Channels!$E$6)</f>
        <v/>
      </c>
      <c r="D289" s="69">
        <f>COUNTIFS(tblVideos[Day],"&gt;="&amp;$B289,tblVideos[Day],"&lt;"&amp;EDATE($B289,1),tblVideos[Channel ID],Channels!$E$7)</f>
        <v/>
      </c>
      <c r="E289" s="69">
        <f>COUNTIFS(tblVideos[Day],"&gt;="&amp;$B289,tblVideos[Day],"&lt;"&amp;EDATE($B289,1),tblVideos[Channel ID],Channels!$E$8)</f>
        <v/>
      </c>
      <c r="F289" s="69">
        <f>COUNTIFS(tblVideos[Day],"&gt;="&amp;$B289,tblVideos[Day],"&lt;"&amp;EDATE($B289,1),tblVideos[Channel ID],Channels!$E$9)</f>
        <v/>
      </c>
      <c r="G289" s="69">
        <f>COUNTIFS(tblVideos[Day],"&gt;="&amp;$B289,tblVideos[Day],"&lt;"&amp;EDATE($B289,1),tblVideos[Channel ID],Channels!$E$10)</f>
        <v/>
      </c>
      <c r="H289" s="69">
        <f>COUNTIFS(tblVideos[Day],"&gt;="&amp;$B289,tblVideos[Day],"&lt;"&amp;EDATE($B289,1),tblVideos[Channel ID],Channels!$E$11)</f>
        <v/>
      </c>
      <c r="I289" s="78">
        <f>SUM(C289:H289)</f>
        <v/>
      </c>
      <c r="J289" s="79">
        <f>SUMIFS(tblVideos[Length],tblVideos[Day],"&gt;="&amp;$B289,tblVideos[Day],"&lt;"&amp;EDATE($B289,1))*24</f>
        <v/>
      </c>
      <c r="K289" s="69">
        <f>COUNTIFS(tblVideos[Watched On],"&gt;="&amp;$B289,tblVideos[Watched On],"&lt;"&amp;EDATE($B289,1),tblVideos[Status],"Watched")</f>
        <v/>
      </c>
      <c r="L289" s="79">
        <f>SUMIFS(tblVideos[Length],tblVideos[Watched On],"&gt;="&amp;$B289,tblVideos[Watched On],"&lt;"&amp;EDATE($B289,1),tblVideos[Status],"Watched")*24</f>
        <v/>
      </c>
      <c r="M289" s="84">
        <f>IF(I289=0,"Gap",IF(I289&gt;AVERAGE($I$135:$I$308)+2*STDEV($I$135:$I$308),"High",""))</f>
        <v/>
      </c>
    </row>
    <row r="290">
      <c r="B290" s="83" t="n">
        <v>45748</v>
      </c>
      <c r="C290" s="69">
        <f>COUNTIFS(tblVideos[Day],"&gt;="&amp;$B290,tblVideos[Day],"&lt;"&amp;EDATE($B290,1),tblVideos[Channel ID],Channels!$E$6)</f>
        <v/>
      </c>
      <c r="D290" s="69">
        <f>COUNTIFS(tblVideos[Day],"&gt;="&amp;$B290,tblVideos[Day],"&lt;"&amp;EDATE($B290,1),tblVideos[Channel ID],Channels!$E$7)</f>
        <v/>
      </c>
      <c r="E290" s="69">
        <f>COUNTIFS(tblVideos[Day],"&gt;="&amp;$B290,tblVideos[Day],"&lt;"&amp;EDATE($B290,1),tblVideos[Channel ID],Channels!$E$8)</f>
        <v/>
      </c>
      <c r="F290" s="69">
        <f>COUNTIFS(tblVideos[Day],"&gt;="&amp;$B290,tblVideos[Day],"&lt;"&amp;EDATE($B290,1),tblVideos[Channel ID],Channels!$E$9)</f>
        <v/>
      </c>
      <c r="G290" s="69">
        <f>COUNTIFS(tblVideos[Day],"&gt;="&amp;$B290,tblVideos[Day],"&lt;"&amp;EDATE($B290,1),tblVideos[Channel ID],Channels!$E$10)</f>
        <v/>
      </c>
      <c r="H290" s="69">
        <f>COUNTIFS(tblVideos[Day],"&gt;="&amp;$B290,tblVideos[Day],"&lt;"&amp;EDATE($B290,1),tblVideos[Channel ID],Channels!$E$11)</f>
        <v/>
      </c>
      <c r="I290" s="78">
        <f>SUM(C290:H290)</f>
        <v/>
      </c>
      <c r="J290" s="79">
        <f>SUMIFS(tblVideos[Length],tblVideos[Day],"&gt;="&amp;$B290,tblVideos[Day],"&lt;"&amp;EDATE($B290,1))*24</f>
        <v/>
      </c>
      <c r="K290" s="69">
        <f>COUNTIFS(tblVideos[Watched On],"&gt;="&amp;$B290,tblVideos[Watched On],"&lt;"&amp;EDATE($B290,1),tblVideos[Status],"Watched")</f>
        <v/>
      </c>
      <c r="L290" s="79">
        <f>SUMIFS(tblVideos[Length],tblVideos[Watched On],"&gt;="&amp;$B290,tblVideos[Watched On],"&lt;"&amp;EDATE($B290,1),tblVideos[Status],"Watched")*24</f>
        <v/>
      </c>
      <c r="M290" s="84">
        <f>IF(I290=0,"Gap",IF(I290&gt;AVERAGE($I$135:$I$308)+2*STDEV($I$135:$I$308),"High",""))</f>
        <v/>
      </c>
    </row>
    <row r="291">
      <c r="B291" s="83" t="n">
        <v>45778</v>
      </c>
      <c r="C291" s="69">
        <f>COUNTIFS(tblVideos[Day],"&gt;="&amp;$B291,tblVideos[Day],"&lt;"&amp;EDATE($B291,1),tblVideos[Channel ID],Channels!$E$6)</f>
        <v/>
      </c>
      <c r="D291" s="69">
        <f>COUNTIFS(tblVideos[Day],"&gt;="&amp;$B291,tblVideos[Day],"&lt;"&amp;EDATE($B291,1),tblVideos[Channel ID],Channels!$E$7)</f>
        <v/>
      </c>
      <c r="E291" s="69">
        <f>COUNTIFS(tblVideos[Day],"&gt;="&amp;$B291,tblVideos[Day],"&lt;"&amp;EDATE($B291,1),tblVideos[Channel ID],Channels!$E$8)</f>
        <v/>
      </c>
      <c r="F291" s="69">
        <f>COUNTIFS(tblVideos[Day],"&gt;="&amp;$B291,tblVideos[Day],"&lt;"&amp;EDATE($B291,1),tblVideos[Channel ID],Channels!$E$9)</f>
        <v/>
      </c>
      <c r="G291" s="69">
        <f>COUNTIFS(tblVideos[Day],"&gt;="&amp;$B291,tblVideos[Day],"&lt;"&amp;EDATE($B291,1),tblVideos[Channel ID],Channels!$E$10)</f>
        <v/>
      </c>
      <c r="H291" s="69">
        <f>COUNTIFS(tblVideos[Day],"&gt;="&amp;$B291,tblVideos[Day],"&lt;"&amp;EDATE($B291,1),tblVideos[Channel ID],Channels!$E$11)</f>
        <v/>
      </c>
      <c r="I291" s="78">
        <f>SUM(C291:H291)</f>
        <v/>
      </c>
      <c r="J291" s="79">
        <f>SUMIFS(tblVideos[Length],tblVideos[Day],"&gt;="&amp;$B291,tblVideos[Day],"&lt;"&amp;EDATE($B291,1))*24</f>
        <v/>
      </c>
      <c r="K291" s="69">
        <f>COUNTIFS(tblVideos[Watched On],"&gt;="&amp;$B291,tblVideos[Watched On],"&lt;"&amp;EDATE($B291,1),tblVideos[Status],"Watched")</f>
        <v/>
      </c>
      <c r="L291" s="79">
        <f>SUMIFS(tblVideos[Length],tblVideos[Watched On],"&gt;="&amp;$B291,tblVideos[Watched On],"&lt;"&amp;EDATE($B291,1),tblVideos[Status],"Watched")*24</f>
        <v/>
      </c>
      <c r="M291" s="84">
        <f>IF(I291=0,"Gap",IF(I291&gt;AVERAGE($I$135:$I$308)+2*STDEV($I$135:$I$308),"High",""))</f>
        <v/>
      </c>
    </row>
    <row r="292">
      <c r="B292" s="83" t="n">
        <v>45809</v>
      </c>
      <c r="C292" s="69">
        <f>COUNTIFS(tblVideos[Day],"&gt;="&amp;$B292,tblVideos[Day],"&lt;"&amp;EDATE($B292,1),tblVideos[Channel ID],Channels!$E$6)</f>
        <v/>
      </c>
      <c r="D292" s="69">
        <f>COUNTIFS(tblVideos[Day],"&gt;="&amp;$B292,tblVideos[Day],"&lt;"&amp;EDATE($B292,1),tblVideos[Channel ID],Channels!$E$7)</f>
        <v/>
      </c>
      <c r="E292" s="69">
        <f>COUNTIFS(tblVideos[Day],"&gt;="&amp;$B292,tblVideos[Day],"&lt;"&amp;EDATE($B292,1),tblVideos[Channel ID],Channels!$E$8)</f>
        <v/>
      </c>
      <c r="F292" s="69">
        <f>COUNTIFS(tblVideos[Day],"&gt;="&amp;$B292,tblVideos[Day],"&lt;"&amp;EDATE($B292,1),tblVideos[Channel ID],Channels!$E$9)</f>
        <v/>
      </c>
      <c r="G292" s="69">
        <f>COUNTIFS(tblVideos[Day],"&gt;="&amp;$B292,tblVideos[Day],"&lt;"&amp;EDATE($B292,1),tblVideos[Channel ID],Channels!$E$10)</f>
        <v/>
      </c>
      <c r="H292" s="69">
        <f>COUNTIFS(tblVideos[Day],"&gt;="&amp;$B292,tblVideos[Day],"&lt;"&amp;EDATE($B292,1),tblVideos[Channel ID],Channels!$E$11)</f>
        <v/>
      </c>
      <c r="I292" s="78">
        <f>SUM(C292:H292)</f>
        <v/>
      </c>
      <c r="J292" s="79">
        <f>SUMIFS(tblVideos[Length],tblVideos[Day],"&gt;="&amp;$B292,tblVideos[Day],"&lt;"&amp;EDATE($B292,1))*24</f>
        <v/>
      </c>
      <c r="K292" s="69">
        <f>COUNTIFS(tblVideos[Watched On],"&gt;="&amp;$B292,tblVideos[Watched On],"&lt;"&amp;EDATE($B292,1),tblVideos[Status],"Watched")</f>
        <v/>
      </c>
      <c r="L292" s="79">
        <f>SUMIFS(tblVideos[Length],tblVideos[Watched On],"&gt;="&amp;$B292,tblVideos[Watched On],"&lt;"&amp;EDATE($B292,1),tblVideos[Status],"Watched")*24</f>
        <v/>
      </c>
      <c r="M292" s="84">
        <f>IF(I292=0,"Gap",IF(I292&gt;AVERAGE($I$135:$I$308)+2*STDEV($I$135:$I$308),"High",""))</f>
        <v/>
      </c>
    </row>
    <row r="293">
      <c r="B293" s="83" t="n">
        <v>45839</v>
      </c>
      <c r="C293" s="69">
        <f>COUNTIFS(tblVideos[Day],"&gt;="&amp;$B293,tblVideos[Day],"&lt;"&amp;EDATE($B293,1),tblVideos[Channel ID],Channels!$E$6)</f>
        <v/>
      </c>
      <c r="D293" s="69">
        <f>COUNTIFS(tblVideos[Day],"&gt;="&amp;$B293,tblVideos[Day],"&lt;"&amp;EDATE($B293,1),tblVideos[Channel ID],Channels!$E$7)</f>
        <v/>
      </c>
      <c r="E293" s="69">
        <f>COUNTIFS(tblVideos[Day],"&gt;="&amp;$B293,tblVideos[Day],"&lt;"&amp;EDATE($B293,1),tblVideos[Channel ID],Channels!$E$8)</f>
        <v/>
      </c>
      <c r="F293" s="69">
        <f>COUNTIFS(tblVideos[Day],"&gt;="&amp;$B293,tblVideos[Day],"&lt;"&amp;EDATE($B293,1),tblVideos[Channel ID],Channels!$E$9)</f>
        <v/>
      </c>
      <c r="G293" s="69">
        <f>COUNTIFS(tblVideos[Day],"&gt;="&amp;$B293,tblVideos[Day],"&lt;"&amp;EDATE($B293,1),tblVideos[Channel ID],Channels!$E$10)</f>
        <v/>
      </c>
      <c r="H293" s="69">
        <f>COUNTIFS(tblVideos[Day],"&gt;="&amp;$B293,tblVideos[Day],"&lt;"&amp;EDATE($B293,1),tblVideos[Channel ID],Channels!$E$11)</f>
        <v/>
      </c>
      <c r="I293" s="78">
        <f>SUM(C293:H293)</f>
        <v/>
      </c>
      <c r="J293" s="79">
        <f>SUMIFS(tblVideos[Length],tblVideos[Day],"&gt;="&amp;$B293,tblVideos[Day],"&lt;"&amp;EDATE($B293,1))*24</f>
        <v/>
      </c>
      <c r="K293" s="69">
        <f>COUNTIFS(tblVideos[Watched On],"&gt;="&amp;$B293,tblVideos[Watched On],"&lt;"&amp;EDATE($B293,1),tblVideos[Status],"Watched")</f>
        <v/>
      </c>
      <c r="L293" s="79">
        <f>SUMIFS(tblVideos[Length],tblVideos[Watched On],"&gt;="&amp;$B293,tblVideos[Watched On],"&lt;"&amp;EDATE($B293,1),tblVideos[Status],"Watched")*24</f>
        <v/>
      </c>
      <c r="M293" s="84">
        <f>IF(I293=0,"Gap",IF(I293&gt;AVERAGE($I$135:$I$308)+2*STDEV($I$135:$I$308),"High",""))</f>
        <v/>
      </c>
    </row>
    <row r="294">
      <c r="B294" s="83" t="n">
        <v>45870</v>
      </c>
      <c r="C294" s="69">
        <f>COUNTIFS(tblVideos[Day],"&gt;="&amp;$B294,tblVideos[Day],"&lt;"&amp;EDATE($B294,1),tblVideos[Channel ID],Channels!$E$6)</f>
        <v/>
      </c>
      <c r="D294" s="69">
        <f>COUNTIFS(tblVideos[Day],"&gt;="&amp;$B294,tblVideos[Day],"&lt;"&amp;EDATE($B294,1),tblVideos[Channel ID],Channels!$E$7)</f>
        <v/>
      </c>
      <c r="E294" s="69">
        <f>COUNTIFS(tblVideos[Day],"&gt;="&amp;$B294,tblVideos[Day],"&lt;"&amp;EDATE($B294,1),tblVideos[Channel ID],Channels!$E$8)</f>
        <v/>
      </c>
      <c r="F294" s="69">
        <f>COUNTIFS(tblVideos[Day],"&gt;="&amp;$B294,tblVideos[Day],"&lt;"&amp;EDATE($B294,1),tblVideos[Channel ID],Channels!$E$9)</f>
        <v/>
      </c>
      <c r="G294" s="69">
        <f>COUNTIFS(tblVideos[Day],"&gt;="&amp;$B294,tblVideos[Day],"&lt;"&amp;EDATE($B294,1),tblVideos[Channel ID],Channels!$E$10)</f>
        <v/>
      </c>
      <c r="H294" s="69">
        <f>COUNTIFS(tblVideos[Day],"&gt;="&amp;$B294,tblVideos[Day],"&lt;"&amp;EDATE($B294,1),tblVideos[Channel ID],Channels!$E$11)</f>
        <v/>
      </c>
      <c r="I294" s="78">
        <f>SUM(C294:H294)</f>
        <v/>
      </c>
      <c r="J294" s="79">
        <f>SUMIFS(tblVideos[Length],tblVideos[Day],"&gt;="&amp;$B294,tblVideos[Day],"&lt;"&amp;EDATE($B294,1))*24</f>
        <v/>
      </c>
      <c r="K294" s="69">
        <f>COUNTIFS(tblVideos[Watched On],"&gt;="&amp;$B294,tblVideos[Watched On],"&lt;"&amp;EDATE($B294,1),tblVideos[Status],"Watched")</f>
        <v/>
      </c>
      <c r="L294" s="79">
        <f>SUMIFS(tblVideos[Length],tblVideos[Watched On],"&gt;="&amp;$B294,tblVideos[Watched On],"&lt;"&amp;EDATE($B294,1),tblVideos[Status],"Watched")*24</f>
        <v/>
      </c>
      <c r="M294" s="84">
        <f>IF(I294=0,"Gap",IF(I294&gt;AVERAGE($I$135:$I$308)+2*STDEV($I$135:$I$308),"High",""))</f>
        <v/>
      </c>
    </row>
    <row r="295">
      <c r="B295" s="83" t="n">
        <v>45901</v>
      </c>
      <c r="C295" s="69">
        <f>COUNTIFS(tblVideos[Day],"&gt;="&amp;$B295,tblVideos[Day],"&lt;"&amp;EDATE($B295,1),tblVideos[Channel ID],Channels!$E$6)</f>
        <v/>
      </c>
      <c r="D295" s="69">
        <f>COUNTIFS(tblVideos[Day],"&gt;="&amp;$B295,tblVideos[Day],"&lt;"&amp;EDATE($B295,1),tblVideos[Channel ID],Channels!$E$7)</f>
        <v/>
      </c>
      <c r="E295" s="69">
        <f>COUNTIFS(tblVideos[Day],"&gt;="&amp;$B295,tblVideos[Day],"&lt;"&amp;EDATE($B295,1),tblVideos[Channel ID],Channels!$E$8)</f>
        <v/>
      </c>
      <c r="F295" s="69">
        <f>COUNTIFS(tblVideos[Day],"&gt;="&amp;$B295,tblVideos[Day],"&lt;"&amp;EDATE($B295,1),tblVideos[Channel ID],Channels!$E$9)</f>
        <v/>
      </c>
      <c r="G295" s="69">
        <f>COUNTIFS(tblVideos[Day],"&gt;="&amp;$B295,tblVideos[Day],"&lt;"&amp;EDATE($B295,1),tblVideos[Channel ID],Channels!$E$10)</f>
        <v/>
      </c>
      <c r="H295" s="69">
        <f>COUNTIFS(tblVideos[Day],"&gt;="&amp;$B295,tblVideos[Day],"&lt;"&amp;EDATE($B295,1),tblVideos[Channel ID],Channels!$E$11)</f>
        <v/>
      </c>
      <c r="I295" s="78">
        <f>SUM(C295:H295)</f>
        <v/>
      </c>
      <c r="J295" s="79">
        <f>SUMIFS(tblVideos[Length],tblVideos[Day],"&gt;="&amp;$B295,tblVideos[Day],"&lt;"&amp;EDATE($B295,1))*24</f>
        <v/>
      </c>
      <c r="K295" s="69">
        <f>COUNTIFS(tblVideos[Watched On],"&gt;="&amp;$B295,tblVideos[Watched On],"&lt;"&amp;EDATE($B295,1),tblVideos[Status],"Watched")</f>
        <v/>
      </c>
      <c r="L295" s="79">
        <f>SUMIFS(tblVideos[Length],tblVideos[Watched On],"&gt;="&amp;$B295,tblVideos[Watched On],"&lt;"&amp;EDATE($B295,1),tblVideos[Status],"Watched")*24</f>
        <v/>
      </c>
      <c r="M295" s="84">
        <f>IF(I295=0,"Gap",IF(I295&gt;AVERAGE($I$135:$I$308)+2*STDEV($I$135:$I$308),"High",""))</f>
        <v/>
      </c>
    </row>
    <row r="296">
      <c r="B296" s="83" t="n">
        <v>45931</v>
      </c>
      <c r="C296" s="69">
        <f>COUNTIFS(tblVideos[Day],"&gt;="&amp;$B296,tblVideos[Day],"&lt;"&amp;EDATE($B296,1),tblVideos[Channel ID],Channels!$E$6)</f>
        <v/>
      </c>
      <c r="D296" s="69">
        <f>COUNTIFS(tblVideos[Day],"&gt;="&amp;$B296,tblVideos[Day],"&lt;"&amp;EDATE($B296,1),tblVideos[Channel ID],Channels!$E$7)</f>
        <v/>
      </c>
      <c r="E296" s="69">
        <f>COUNTIFS(tblVideos[Day],"&gt;="&amp;$B296,tblVideos[Day],"&lt;"&amp;EDATE($B296,1),tblVideos[Channel ID],Channels!$E$8)</f>
        <v/>
      </c>
      <c r="F296" s="69">
        <f>COUNTIFS(tblVideos[Day],"&gt;="&amp;$B296,tblVideos[Day],"&lt;"&amp;EDATE($B296,1),tblVideos[Channel ID],Channels!$E$9)</f>
        <v/>
      </c>
      <c r="G296" s="69">
        <f>COUNTIFS(tblVideos[Day],"&gt;="&amp;$B296,tblVideos[Day],"&lt;"&amp;EDATE($B296,1),tblVideos[Channel ID],Channels!$E$10)</f>
        <v/>
      </c>
      <c r="H296" s="69">
        <f>COUNTIFS(tblVideos[Day],"&gt;="&amp;$B296,tblVideos[Day],"&lt;"&amp;EDATE($B296,1),tblVideos[Channel ID],Channels!$E$11)</f>
        <v/>
      </c>
      <c r="I296" s="78">
        <f>SUM(C296:H296)</f>
        <v/>
      </c>
      <c r="J296" s="79">
        <f>SUMIFS(tblVideos[Length],tblVideos[Day],"&gt;="&amp;$B296,tblVideos[Day],"&lt;"&amp;EDATE($B296,1))*24</f>
        <v/>
      </c>
      <c r="K296" s="69">
        <f>COUNTIFS(tblVideos[Watched On],"&gt;="&amp;$B296,tblVideos[Watched On],"&lt;"&amp;EDATE($B296,1),tblVideos[Status],"Watched")</f>
        <v/>
      </c>
      <c r="L296" s="79">
        <f>SUMIFS(tblVideos[Length],tblVideos[Watched On],"&gt;="&amp;$B296,tblVideos[Watched On],"&lt;"&amp;EDATE($B296,1),tblVideos[Status],"Watched")*24</f>
        <v/>
      </c>
      <c r="M296" s="84">
        <f>IF(I296=0,"Gap",IF(I296&gt;AVERAGE($I$135:$I$308)+2*STDEV($I$135:$I$308),"High",""))</f>
        <v/>
      </c>
    </row>
    <row r="297">
      <c r="B297" s="83" t="n">
        <v>45962</v>
      </c>
      <c r="C297" s="69">
        <f>COUNTIFS(tblVideos[Day],"&gt;="&amp;$B297,tblVideos[Day],"&lt;"&amp;EDATE($B297,1),tblVideos[Channel ID],Channels!$E$6)</f>
        <v/>
      </c>
      <c r="D297" s="69">
        <f>COUNTIFS(tblVideos[Day],"&gt;="&amp;$B297,tblVideos[Day],"&lt;"&amp;EDATE($B297,1),tblVideos[Channel ID],Channels!$E$7)</f>
        <v/>
      </c>
      <c r="E297" s="69">
        <f>COUNTIFS(tblVideos[Day],"&gt;="&amp;$B297,tblVideos[Day],"&lt;"&amp;EDATE($B297,1),tblVideos[Channel ID],Channels!$E$8)</f>
        <v/>
      </c>
      <c r="F297" s="69">
        <f>COUNTIFS(tblVideos[Day],"&gt;="&amp;$B297,tblVideos[Day],"&lt;"&amp;EDATE($B297,1),tblVideos[Channel ID],Channels!$E$9)</f>
        <v/>
      </c>
      <c r="G297" s="69">
        <f>COUNTIFS(tblVideos[Day],"&gt;="&amp;$B297,tblVideos[Day],"&lt;"&amp;EDATE($B297,1),tblVideos[Channel ID],Channels!$E$10)</f>
        <v/>
      </c>
      <c r="H297" s="69">
        <f>COUNTIFS(tblVideos[Day],"&gt;="&amp;$B297,tblVideos[Day],"&lt;"&amp;EDATE($B297,1),tblVideos[Channel ID],Channels!$E$11)</f>
        <v/>
      </c>
      <c r="I297" s="78">
        <f>SUM(C297:H297)</f>
        <v/>
      </c>
      <c r="J297" s="79">
        <f>SUMIFS(tblVideos[Length],tblVideos[Day],"&gt;="&amp;$B297,tblVideos[Day],"&lt;"&amp;EDATE($B297,1))*24</f>
        <v/>
      </c>
      <c r="K297" s="69">
        <f>COUNTIFS(tblVideos[Watched On],"&gt;="&amp;$B297,tblVideos[Watched On],"&lt;"&amp;EDATE($B297,1),tblVideos[Status],"Watched")</f>
        <v/>
      </c>
      <c r="L297" s="79">
        <f>SUMIFS(tblVideos[Length],tblVideos[Watched On],"&gt;="&amp;$B297,tblVideos[Watched On],"&lt;"&amp;EDATE($B297,1),tblVideos[Status],"Watched")*24</f>
        <v/>
      </c>
      <c r="M297" s="84">
        <f>IF(I297=0,"Gap",IF(I297&gt;AVERAGE($I$135:$I$308)+2*STDEV($I$135:$I$308),"High",""))</f>
        <v/>
      </c>
    </row>
    <row r="298">
      <c r="B298" s="83" t="n">
        <v>45992</v>
      </c>
      <c r="C298" s="69">
        <f>COUNTIFS(tblVideos[Day],"&gt;="&amp;$B298,tblVideos[Day],"&lt;"&amp;EDATE($B298,1),tblVideos[Channel ID],Channels!$E$6)</f>
        <v/>
      </c>
      <c r="D298" s="69">
        <f>COUNTIFS(tblVideos[Day],"&gt;="&amp;$B298,tblVideos[Day],"&lt;"&amp;EDATE($B298,1),tblVideos[Channel ID],Channels!$E$7)</f>
        <v/>
      </c>
      <c r="E298" s="69">
        <f>COUNTIFS(tblVideos[Day],"&gt;="&amp;$B298,tblVideos[Day],"&lt;"&amp;EDATE($B298,1),tblVideos[Channel ID],Channels!$E$8)</f>
        <v/>
      </c>
      <c r="F298" s="69">
        <f>COUNTIFS(tblVideos[Day],"&gt;="&amp;$B298,tblVideos[Day],"&lt;"&amp;EDATE($B298,1),tblVideos[Channel ID],Channels!$E$9)</f>
        <v/>
      </c>
      <c r="G298" s="69">
        <f>COUNTIFS(tblVideos[Day],"&gt;="&amp;$B298,tblVideos[Day],"&lt;"&amp;EDATE($B298,1),tblVideos[Channel ID],Channels!$E$10)</f>
        <v/>
      </c>
      <c r="H298" s="69">
        <f>COUNTIFS(tblVideos[Day],"&gt;="&amp;$B298,tblVideos[Day],"&lt;"&amp;EDATE($B298,1),tblVideos[Channel ID],Channels!$E$11)</f>
        <v/>
      </c>
      <c r="I298" s="78">
        <f>SUM(C298:H298)</f>
        <v/>
      </c>
      <c r="J298" s="79">
        <f>SUMIFS(tblVideos[Length],tblVideos[Day],"&gt;="&amp;$B298,tblVideos[Day],"&lt;"&amp;EDATE($B298,1))*24</f>
        <v/>
      </c>
      <c r="K298" s="69">
        <f>COUNTIFS(tblVideos[Watched On],"&gt;="&amp;$B298,tblVideos[Watched On],"&lt;"&amp;EDATE($B298,1),tblVideos[Status],"Watched")</f>
        <v/>
      </c>
      <c r="L298" s="79">
        <f>SUMIFS(tblVideos[Length],tblVideos[Watched On],"&gt;="&amp;$B298,tblVideos[Watched On],"&lt;"&amp;EDATE($B298,1),tblVideos[Status],"Watched")*24</f>
        <v/>
      </c>
      <c r="M298" s="84">
        <f>IF(I298=0,"Gap",IF(I298&gt;AVERAGE($I$135:$I$308)+2*STDEV($I$135:$I$308),"High",""))</f>
        <v/>
      </c>
    </row>
    <row r="299">
      <c r="B299" s="83" t="n">
        <v>46023</v>
      </c>
      <c r="C299" s="69">
        <f>COUNTIFS(tblVideos[Day],"&gt;="&amp;$B299,tblVideos[Day],"&lt;"&amp;EDATE($B299,1),tblVideos[Channel ID],Channels!$E$6)</f>
        <v/>
      </c>
      <c r="D299" s="69">
        <f>COUNTIFS(tblVideos[Day],"&gt;="&amp;$B299,tblVideos[Day],"&lt;"&amp;EDATE($B299,1),tblVideos[Channel ID],Channels!$E$7)</f>
        <v/>
      </c>
      <c r="E299" s="69">
        <f>COUNTIFS(tblVideos[Day],"&gt;="&amp;$B299,tblVideos[Day],"&lt;"&amp;EDATE($B299,1),tblVideos[Channel ID],Channels!$E$8)</f>
        <v/>
      </c>
      <c r="F299" s="69">
        <f>COUNTIFS(tblVideos[Day],"&gt;="&amp;$B299,tblVideos[Day],"&lt;"&amp;EDATE($B299,1),tblVideos[Channel ID],Channels!$E$9)</f>
        <v/>
      </c>
      <c r="G299" s="69">
        <f>COUNTIFS(tblVideos[Day],"&gt;="&amp;$B299,tblVideos[Day],"&lt;"&amp;EDATE($B299,1),tblVideos[Channel ID],Channels!$E$10)</f>
        <v/>
      </c>
      <c r="H299" s="69">
        <f>COUNTIFS(tblVideos[Day],"&gt;="&amp;$B299,tblVideos[Day],"&lt;"&amp;EDATE($B299,1),tblVideos[Channel ID],Channels!$E$11)</f>
        <v/>
      </c>
      <c r="I299" s="78">
        <f>SUM(C299:H299)</f>
        <v/>
      </c>
      <c r="J299" s="79">
        <f>SUMIFS(tblVideos[Length],tblVideos[Day],"&gt;="&amp;$B299,tblVideos[Day],"&lt;"&amp;EDATE($B299,1))*24</f>
        <v/>
      </c>
      <c r="K299" s="69">
        <f>COUNTIFS(tblVideos[Watched On],"&gt;="&amp;$B299,tblVideos[Watched On],"&lt;"&amp;EDATE($B299,1),tblVideos[Status],"Watched")</f>
        <v/>
      </c>
      <c r="L299" s="79">
        <f>SUMIFS(tblVideos[Length],tblVideos[Watched On],"&gt;="&amp;$B299,tblVideos[Watched On],"&lt;"&amp;EDATE($B299,1),tblVideos[Status],"Watched")*24</f>
        <v/>
      </c>
      <c r="M299" s="84">
        <f>IF(I299=0,"Gap",IF(I299&gt;AVERAGE($I$135:$I$308)+2*STDEV($I$135:$I$308),"High",""))</f>
        <v/>
      </c>
    </row>
    <row r="300">
      <c r="B300" s="83" t="n">
        <v>46054</v>
      </c>
      <c r="C300" s="69">
        <f>COUNTIFS(tblVideos[Day],"&gt;="&amp;$B300,tblVideos[Day],"&lt;"&amp;EDATE($B300,1),tblVideos[Channel ID],Channels!$E$6)</f>
        <v/>
      </c>
      <c r="D300" s="69">
        <f>COUNTIFS(tblVideos[Day],"&gt;="&amp;$B300,tblVideos[Day],"&lt;"&amp;EDATE($B300,1),tblVideos[Channel ID],Channels!$E$7)</f>
        <v/>
      </c>
      <c r="E300" s="69">
        <f>COUNTIFS(tblVideos[Day],"&gt;="&amp;$B300,tblVideos[Day],"&lt;"&amp;EDATE($B300,1),tblVideos[Channel ID],Channels!$E$8)</f>
        <v/>
      </c>
      <c r="F300" s="69">
        <f>COUNTIFS(tblVideos[Day],"&gt;="&amp;$B300,tblVideos[Day],"&lt;"&amp;EDATE($B300,1),tblVideos[Channel ID],Channels!$E$9)</f>
        <v/>
      </c>
      <c r="G300" s="69">
        <f>COUNTIFS(tblVideos[Day],"&gt;="&amp;$B300,tblVideos[Day],"&lt;"&amp;EDATE($B300,1),tblVideos[Channel ID],Channels!$E$10)</f>
        <v/>
      </c>
      <c r="H300" s="69">
        <f>COUNTIFS(tblVideos[Day],"&gt;="&amp;$B300,tblVideos[Day],"&lt;"&amp;EDATE($B300,1),tblVideos[Channel ID],Channels!$E$11)</f>
        <v/>
      </c>
      <c r="I300" s="78">
        <f>SUM(C300:H300)</f>
        <v/>
      </c>
      <c r="J300" s="79">
        <f>SUMIFS(tblVideos[Length],tblVideos[Day],"&gt;="&amp;$B300,tblVideos[Day],"&lt;"&amp;EDATE($B300,1))*24</f>
        <v/>
      </c>
      <c r="K300" s="69">
        <f>COUNTIFS(tblVideos[Watched On],"&gt;="&amp;$B300,tblVideos[Watched On],"&lt;"&amp;EDATE($B300,1),tblVideos[Status],"Watched")</f>
        <v/>
      </c>
      <c r="L300" s="79">
        <f>SUMIFS(tblVideos[Length],tblVideos[Watched On],"&gt;="&amp;$B300,tblVideos[Watched On],"&lt;"&amp;EDATE($B300,1),tblVideos[Status],"Watched")*24</f>
        <v/>
      </c>
      <c r="M300" s="84">
        <f>IF(I300=0,"Gap",IF(I300&gt;AVERAGE($I$135:$I$308)+2*STDEV($I$135:$I$308),"High",""))</f>
        <v/>
      </c>
    </row>
    <row r="301">
      <c r="B301" s="83" t="n">
        <v>46082</v>
      </c>
      <c r="C301" s="69">
        <f>COUNTIFS(tblVideos[Day],"&gt;="&amp;$B301,tblVideos[Day],"&lt;"&amp;EDATE($B301,1),tblVideos[Channel ID],Channels!$E$6)</f>
        <v/>
      </c>
      <c r="D301" s="69">
        <f>COUNTIFS(tblVideos[Day],"&gt;="&amp;$B301,tblVideos[Day],"&lt;"&amp;EDATE($B301,1),tblVideos[Channel ID],Channels!$E$7)</f>
        <v/>
      </c>
      <c r="E301" s="69">
        <f>COUNTIFS(tblVideos[Day],"&gt;="&amp;$B301,tblVideos[Day],"&lt;"&amp;EDATE($B301,1),tblVideos[Channel ID],Channels!$E$8)</f>
        <v/>
      </c>
      <c r="F301" s="69">
        <f>COUNTIFS(tblVideos[Day],"&gt;="&amp;$B301,tblVideos[Day],"&lt;"&amp;EDATE($B301,1),tblVideos[Channel ID],Channels!$E$9)</f>
        <v/>
      </c>
      <c r="G301" s="69">
        <f>COUNTIFS(tblVideos[Day],"&gt;="&amp;$B301,tblVideos[Day],"&lt;"&amp;EDATE($B301,1),tblVideos[Channel ID],Channels!$E$10)</f>
        <v/>
      </c>
      <c r="H301" s="69">
        <f>COUNTIFS(tblVideos[Day],"&gt;="&amp;$B301,tblVideos[Day],"&lt;"&amp;EDATE($B301,1),tblVideos[Channel ID],Channels!$E$11)</f>
        <v/>
      </c>
      <c r="I301" s="78">
        <f>SUM(C301:H301)</f>
        <v/>
      </c>
      <c r="J301" s="79">
        <f>SUMIFS(tblVideos[Length],tblVideos[Day],"&gt;="&amp;$B301,tblVideos[Day],"&lt;"&amp;EDATE($B301,1))*24</f>
        <v/>
      </c>
      <c r="K301" s="69">
        <f>COUNTIFS(tblVideos[Watched On],"&gt;="&amp;$B301,tblVideos[Watched On],"&lt;"&amp;EDATE($B301,1),tblVideos[Status],"Watched")</f>
        <v/>
      </c>
      <c r="L301" s="79">
        <f>SUMIFS(tblVideos[Length],tblVideos[Watched On],"&gt;="&amp;$B301,tblVideos[Watched On],"&lt;"&amp;EDATE($B301,1),tblVideos[Status],"Watched")*24</f>
        <v/>
      </c>
      <c r="M301" s="84">
        <f>IF(I301=0,"Gap",IF(I301&gt;AVERAGE($I$135:$I$308)+2*STDEV($I$135:$I$308),"High",""))</f>
        <v/>
      </c>
    </row>
    <row r="302">
      <c r="B302" s="83" t="n">
        <v>46113</v>
      </c>
      <c r="C302" s="69">
        <f>COUNTIFS(tblVideos[Day],"&gt;="&amp;$B302,tblVideos[Day],"&lt;"&amp;EDATE($B302,1),tblVideos[Channel ID],Channels!$E$6)</f>
        <v/>
      </c>
      <c r="D302" s="69">
        <f>COUNTIFS(tblVideos[Day],"&gt;="&amp;$B302,tblVideos[Day],"&lt;"&amp;EDATE($B302,1),tblVideos[Channel ID],Channels!$E$7)</f>
        <v/>
      </c>
      <c r="E302" s="69">
        <f>COUNTIFS(tblVideos[Day],"&gt;="&amp;$B302,tblVideos[Day],"&lt;"&amp;EDATE($B302,1),tblVideos[Channel ID],Channels!$E$8)</f>
        <v/>
      </c>
      <c r="F302" s="69">
        <f>COUNTIFS(tblVideos[Day],"&gt;="&amp;$B302,tblVideos[Day],"&lt;"&amp;EDATE($B302,1),tblVideos[Channel ID],Channels!$E$9)</f>
        <v/>
      </c>
      <c r="G302" s="69">
        <f>COUNTIFS(tblVideos[Day],"&gt;="&amp;$B302,tblVideos[Day],"&lt;"&amp;EDATE($B302,1),tblVideos[Channel ID],Channels!$E$10)</f>
        <v/>
      </c>
      <c r="H302" s="69">
        <f>COUNTIFS(tblVideos[Day],"&gt;="&amp;$B302,tblVideos[Day],"&lt;"&amp;EDATE($B302,1),tblVideos[Channel ID],Channels!$E$11)</f>
        <v/>
      </c>
      <c r="I302" s="78">
        <f>SUM(C302:H302)</f>
        <v/>
      </c>
      <c r="J302" s="79">
        <f>SUMIFS(tblVideos[Length],tblVideos[Day],"&gt;="&amp;$B302,tblVideos[Day],"&lt;"&amp;EDATE($B302,1))*24</f>
        <v/>
      </c>
      <c r="K302" s="69">
        <f>COUNTIFS(tblVideos[Watched On],"&gt;="&amp;$B302,tblVideos[Watched On],"&lt;"&amp;EDATE($B302,1),tblVideos[Status],"Watched")</f>
        <v/>
      </c>
      <c r="L302" s="79">
        <f>SUMIFS(tblVideos[Length],tblVideos[Watched On],"&gt;="&amp;$B302,tblVideos[Watched On],"&lt;"&amp;EDATE($B302,1),tblVideos[Status],"Watched")*24</f>
        <v/>
      </c>
      <c r="M302" s="84">
        <f>IF(I302=0,"Gap",IF(I302&gt;AVERAGE($I$135:$I$308)+2*STDEV($I$135:$I$308),"High",""))</f>
        <v/>
      </c>
    </row>
    <row r="303">
      <c r="B303" s="83" t="n">
        <v>46143</v>
      </c>
      <c r="C303" s="69">
        <f>COUNTIFS(tblVideos[Day],"&gt;="&amp;$B303,tblVideos[Day],"&lt;"&amp;EDATE($B303,1),tblVideos[Channel ID],Channels!$E$6)</f>
        <v/>
      </c>
      <c r="D303" s="69">
        <f>COUNTIFS(tblVideos[Day],"&gt;="&amp;$B303,tblVideos[Day],"&lt;"&amp;EDATE($B303,1),tblVideos[Channel ID],Channels!$E$7)</f>
        <v/>
      </c>
      <c r="E303" s="69">
        <f>COUNTIFS(tblVideos[Day],"&gt;="&amp;$B303,tblVideos[Day],"&lt;"&amp;EDATE($B303,1),tblVideos[Channel ID],Channels!$E$8)</f>
        <v/>
      </c>
      <c r="F303" s="69">
        <f>COUNTIFS(tblVideos[Day],"&gt;="&amp;$B303,tblVideos[Day],"&lt;"&amp;EDATE($B303,1),tblVideos[Channel ID],Channels!$E$9)</f>
        <v/>
      </c>
      <c r="G303" s="69">
        <f>COUNTIFS(tblVideos[Day],"&gt;="&amp;$B303,tblVideos[Day],"&lt;"&amp;EDATE($B303,1),tblVideos[Channel ID],Channels!$E$10)</f>
        <v/>
      </c>
      <c r="H303" s="69">
        <f>COUNTIFS(tblVideos[Day],"&gt;="&amp;$B303,tblVideos[Day],"&lt;"&amp;EDATE($B303,1),tblVideos[Channel ID],Channels!$E$11)</f>
        <v/>
      </c>
      <c r="I303" s="78">
        <f>SUM(C303:H303)</f>
        <v/>
      </c>
      <c r="J303" s="79">
        <f>SUMIFS(tblVideos[Length],tblVideos[Day],"&gt;="&amp;$B303,tblVideos[Day],"&lt;"&amp;EDATE($B303,1))*24</f>
        <v/>
      </c>
      <c r="K303" s="69">
        <f>COUNTIFS(tblVideos[Watched On],"&gt;="&amp;$B303,tblVideos[Watched On],"&lt;"&amp;EDATE($B303,1),tblVideos[Status],"Watched")</f>
        <v/>
      </c>
      <c r="L303" s="79">
        <f>SUMIFS(tblVideos[Length],tblVideos[Watched On],"&gt;="&amp;$B303,tblVideos[Watched On],"&lt;"&amp;EDATE($B303,1),tblVideos[Status],"Watched")*24</f>
        <v/>
      </c>
      <c r="M303" s="84">
        <f>IF(I303=0,"Gap",IF(I303&gt;AVERAGE($I$135:$I$308)+2*STDEV($I$135:$I$308),"High",""))</f>
        <v/>
      </c>
    </row>
    <row r="304">
      <c r="B304" s="83" t="n">
        <v>46174</v>
      </c>
      <c r="C304" s="69">
        <f>COUNTIFS(tblVideos[Day],"&gt;="&amp;$B304,tblVideos[Day],"&lt;"&amp;EDATE($B304,1),tblVideos[Channel ID],Channels!$E$6)</f>
        <v/>
      </c>
      <c r="D304" s="69">
        <f>COUNTIFS(tblVideos[Day],"&gt;="&amp;$B304,tblVideos[Day],"&lt;"&amp;EDATE($B304,1),tblVideos[Channel ID],Channels!$E$7)</f>
        <v/>
      </c>
      <c r="E304" s="69">
        <f>COUNTIFS(tblVideos[Day],"&gt;="&amp;$B304,tblVideos[Day],"&lt;"&amp;EDATE($B304,1),tblVideos[Channel ID],Channels!$E$8)</f>
        <v/>
      </c>
      <c r="F304" s="69">
        <f>COUNTIFS(tblVideos[Day],"&gt;="&amp;$B304,tblVideos[Day],"&lt;"&amp;EDATE($B304,1),tblVideos[Channel ID],Channels!$E$9)</f>
        <v/>
      </c>
      <c r="G304" s="69">
        <f>COUNTIFS(tblVideos[Day],"&gt;="&amp;$B304,tblVideos[Day],"&lt;"&amp;EDATE($B304,1),tblVideos[Channel ID],Channels!$E$10)</f>
        <v/>
      </c>
      <c r="H304" s="69">
        <f>COUNTIFS(tblVideos[Day],"&gt;="&amp;$B304,tblVideos[Day],"&lt;"&amp;EDATE($B304,1),tblVideos[Channel ID],Channels!$E$11)</f>
        <v/>
      </c>
      <c r="I304" s="78">
        <f>SUM(C304:H304)</f>
        <v/>
      </c>
      <c r="J304" s="79">
        <f>SUMIFS(tblVideos[Length],tblVideos[Day],"&gt;="&amp;$B304,tblVideos[Day],"&lt;"&amp;EDATE($B304,1))*24</f>
        <v/>
      </c>
      <c r="K304" s="69">
        <f>COUNTIFS(tblVideos[Watched On],"&gt;="&amp;$B304,tblVideos[Watched On],"&lt;"&amp;EDATE($B304,1),tblVideos[Status],"Watched")</f>
        <v/>
      </c>
      <c r="L304" s="79">
        <f>SUMIFS(tblVideos[Length],tblVideos[Watched On],"&gt;="&amp;$B304,tblVideos[Watched On],"&lt;"&amp;EDATE($B304,1),tblVideos[Status],"Watched")*24</f>
        <v/>
      </c>
      <c r="M304" s="84">
        <f>IF(I304=0,"Gap",IF(I304&gt;AVERAGE($I$135:$I$308)+2*STDEV($I$135:$I$308),"High",""))</f>
        <v/>
      </c>
    </row>
    <row r="305">
      <c r="B305" s="83" t="n">
        <v>46204</v>
      </c>
      <c r="C305" s="69">
        <f>COUNTIFS(tblVideos[Day],"&gt;="&amp;$B305,tblVideos[Day],"&lt;"&amp;EDATE($B305,1),tblVideos[Channel ID],Channels!$E$6)</f>
        <v/>
      </c>
      <c r="D305" s="69">
        <f>COUNTIFS(tblVideos[Day],"&gt;="&amp;$B305,tblVideos[Day],"&lt;"&amp;EDATE($B305,1),tblVideos[Channel ID],Channels!$E$7)</f>
        <v/>
      </c>
      <c r="E305" s="69">
        <f>COUNTIFS(tblVideos[Day],"&gt;="&amp;$B305,tblVideos[Day],"&lt;"&amp;EDATE($B305,1),tblVideos[Channel ID],Channels!$E$8)</f>
        <v/>
      </c>
      <c r="F305" s="69">
        <f>COUNTIFS(tblVideos[Day],"&gt;="&amp;$B305,tblVideos[Day],"&lt;"&amp;EDATE($B305,1),tblVideos[Channel ID],Channels!$E$9)</f>
        <v/>
      </c>
      <c r="G305" s="69">
        <f>COUNTIFS(tblVideos[Day],"&gt;="&amp;$B305,tblVideos[Day],"&lt;"&amp;EDATE($B305,1),tblVideos[Channel ID],Channels!$E$10)</f>
        <v/>
      </c>
      <c r="H305" s="69">
        <f>COUNTIFS(tblVideos[Day],"&gt;="&amp;$B305,tblVideos[Day],"&lt;"&amp;EDATE($B305,1),tblVideos[Channel ID],Channels!$E$11)</f>
        <v/>
      </c>
      <c r="I305" s="78">
        <f>SUM(C305:H305)</f>
        <v/>
      </c>
      <c r="J305" s="79">
        <f>SUMIFS(tblVideos[Length],tblVideos[Day],"&gt;="&amp;$B305,tblVideos[Day],"&lt;"&amp;EDATE($B305,1))*24</f>
        <v/>
      </c>
      <c r="K305" s="69">
        <f>COUNTIFS(tblVideos[Watched On],"&gt;="&amp;$B305,tblVideos[Watched On],"&lt;"&amp;EDATE($B305,1),tblVideos[Status],"Watched")</f>
        <v/>
      </c>
      <c r="L305" s="79">
        <f>SUMIFS(tblVideos[Length],tblVideos[Watched On],"&gt;="&amp;$B305,tblVideos[Watched On],"&lt;"&amp;EDATE($B305,1),tblVideos[Status],"Watched")*24</f>
        <v/>
      </c>
      <c r="M305" s="84">
        <f>IF(I305=0,"Gap",IF(I305&gt;AVERAGE($I$135:$I$308)+2*STDEV($I$135:$I$308),"High",""))</f>
        <v/>
      </c>
    </row>
    <row r="306">
      <c r="B306" s="83" t="n">
        <v>46235</v>
      </c>
      <c r="C306" s="69">
        <f>COUNTIFS(tblVideos[Day],"&gt;="&amp;$B306,tblVideos[Day],"&lt;"&amp;EDATE($B306,1),tblVideos[Channel ID],Channels!$E$6)</f>
        <v/>
      </c>
      <c r="D306" s="69">
        <f>COUNTIFS(tblVideos[Day],"&gt;="&amp;$B306,tblVideos[Day],"&lt;"&amp;EDATE($B306,1),tblVideos[Channel ID],Channels!$E$7)</f>
        <v/>
      </c>
      <c r="E306" s="69">
        <f>COUNTIFS(tblVideos[Day],"&gt;="&amp;$B306,tblVideos[Day],"&lt;"&amp;EDATE($B306,1),tblVideos[Channel ID],Channels!$E$8)</f>
        <v/>
      </c>
      <c r="F306" s="69">
        <f>COUNTIFS(tblVideos[Day],"&gt;="&amp;$B306,tblVideos[Day],"&lt;"&amp;EDATE($B306,1),tblVideos[Channel ID],Channels!$E$9)</f>
        <v/>
      </c>
      <c r="G306" s="69">
        <f>COUNTIFS(tblVideos[Day],"&gt;="&amp;$B306,tblVideos[Day],"&lt;"&amp;EDATE($B306,1),tblVideos[Channel ID],Channels!$E$10)</f>
        <v/>
      </c>
      <c r="H306" s="69">
        <f>COUNTIFS(tblVideos[Day],"&gt;="&amp;$B306,tblVideos[Day],"&lt;"&amp;EDATE($B306,1),tblVideos[Channel ID],Channels!$E$11)</f>
        <v/>
      </c>
      <c r="I306" s="78">
        <f>SUM(C306:H306)</f>
        <v/>
      </c>
      <c r="J306" s="79">
        <f>SUMIFS(tblVideos[Length],tblVideos[Day],"&gt;="&amp;$B306,tblVideos[Day],"&lt;"&amp;EDATE($B306,1))*24</f>
        <v/>
      </c>
      <c r="K306" s="69">
        <f>COUNTIFS(tblVideos[Watched On],"&gt;="&amp;$B306,tblVideos[Watched On],"&lt;"&amp;EDATE($B306,1),tblVideos[Status],"Watched")</f>
        <v/>
      </c>
      <c r="L306" s="79">
        <f>SUMIFS(tblVideos[Length],tblVideos[Watched On],"&gt;="&amp;$B306,tblVideos[Watched On],"&lt;"&amp;EDATE($B306,1),tblVideos[Status],"Watched")*24</f>
        <v/>
      </c>
      <c r="M306" s="84">
        <f>IF(I306=0,"Gap",IF(I306&gt;AVERAGE($I$135:$I$308)+2*STDEV($I$135:$I$308),"High",""))</f>
        <v/>
      </c>
    </row>
    <row r="307">
      <c r="B307" s="83" t="n">
        <v>46266</v>
      </c>
      <c r="C307" s="69">
        <f>COUNTIFS(tblVideos[Day],"&gt;="&amp;$B307,tblVideos[Day],"&lt;"&amp;EDATE($B307,1),tblVideos[Channel ID],Channels!$E$6)</f>
        <v/>
      </c>
      <c r="D307" s="69">
        <f>COUNTIFS(tblVideos[Day],"&gt;="&amp;$B307,tblVideos[Day],"&lt;"&amp;EDATE($B307,1),tblVideos[Channel ID],Channels!$E$7)</f>
        <v/>
      </c>
      <c r="E307" s="69">
        <f>COUNTIFS(tblVideos[Day],"&gt;="&amp;$B307,tblVideos[Day],"&lt;"&amp;EDATE($B307,1),tblVideos[Channel ID],Channels!$E$8)</f>
        <v/>
      </c>
      <c r="F307" s="69">
        <f>COUNTIFS(tblVideos[Day],"&gt;="&amp;$B307,tblVideos[Day],"&lt;"&amp;EDATE($B307,1),tblVideos[Channel ID],Channels!$E$9)</f>
        <v/>
      </c>
      <c r="G307" s="69">
        <f>COUNTIFS(tblVideos[Day],"&gt;="&amp;$B307,tblVideos[Day],"&lt;"&amp;EDATE($B307,1),tblVideos[Channel ID],Channels!$E$10)</f>
        <v/>
      </c>
      <c r="H307" s="69">
        <f>COUNTIFS(tblVideos[Day],"&gt;="&amp;$B307,tblVideos[Day],"&lt;"&amp;EDATE($B307,1),tblVideos[Channel ID],Channels!$E$11)</f>
        <v/>
      </c>
      <c r="I307" s="78">
        <f>SUM(C307:H307)</f>
        <v/>
      </c>
      <c r="J307" s="79">
        <f>SUMIFS(tblVideos[Length],tblVideos[Day],"&gt;="&amp;$B307,tblVideos[Day],"&lt;"&amp;EDATE($B307,1))*24</f>
        <v/>
      </c>
      <c r="K307" s="69">
        <f>COUNTIFS(tblVideos[Watched On],"&gt;="&amp;$B307,tblVideos[Watched On],"&lt;"&amp;EDATE($B307,1),tblVideos[Status],"Watched")</f>
        <v/>
      </c>
      <c r="L307" s="79">
        <f>SUMIFS(tblVideos[Length],tblVideos[Watched On],"&gt;="&amp;$B307,tblVideos[Watched On],"&lt;"&amp;EDATE($B307,1),tblVideos[Status],"Watched")*24</f>
        <v/>
      </c>
      <c r="M307" s="84">
        <f>IF(I307=0,"Gap",IF(I307&gt;AVERAGE($I$135:$I$308)+2*STDEV($I$135:$I$308),"High",""))</f>
        <v/>
      </c>
    </row>
    <row r="308">
      <c r="B308" s="83" t="n">
        <v>46296</v>
      </c>
      <c r="C308" s="69">
        <f>COUNTIFS(tblVideos[Day],"&gt;="&amp;$B308,tblVideos[Day],"&lt;"&amp;EDATE($B308,1),tblVideos[Channel ID],Channels!$E$6)</f>
        <v/>
      </c>
      <c r="D308" s="69">
        <f>COUNTIFS(tblVideos[Day],"&gt;="&amp;$B308,tblVideos[Day],"&lt;"&amp;EDATE($B308,1),tblVideos[Channel ID],Channels!$E$7)</f>
        <v/>
      </c>
      <c r="E308" s="69">
        <f>COUNTIFS(tblVideos[Day],"&gt;="&amp;$B308,tblVideos[Day],"&lt;"&amp;EDATE($B308,1),tblVideos[Channel ID],Channels!$E$8)</f>
        <v/>
      </c>
      <c r="F308" s="69">
        <f>COUNTIFS(tblVideos[Day],"&gt;="&amp;$B308,tblVideos[Day],"&lt;"&amp;EDATE($B308,1),tblVideos[Channel ID],Channels!$E$9)</f>
        <v/>
      </c>
      <c r="G308" s="69">
        <f>COUNTIFS(tblVideos[Day],"&gt;="&amp;$B308,tblVideos[Day],"&lt;"&amp;EDATE($B308,1),tblVideos[Channel ID],Channels!$E$10)</f>
        <v/>
      </c>
      <c r="H308" s="69">
        <f>COUNTIFS(tblVideos[Day],"&gt;="&amp;$B308,tblVideos[Day],"&lt;"&amp;EDATE($B308,1),tblVideos[Channel ID],Channels!$E$11)</f>
        <v/>
      </c>
      <c r="I308" s="78">
        <f>SUM(C308:H308)</f>
        <v/>
      </c>
      <c r="J308" s="79">
        <f>SUMIFS(tblVideos[Length],tblVideos[Day],"&gt;="&amp;$B308,tblVideos[Day],"&lt;"&amp;EDATE($B308,1))*24</f>
        <v/>
      </c>
      <c r="K308" s="69">
        <f>COUNTIFS(tblVideos[Watched On],"&gt;="&amp;$B308,tblVideos[Watched On],"&lt;"&amp;EDATE($B308,1),tblVideos[Status],"Watched")</f>
        <v/>
      </c>
      <c r="L308" s="79">
        <f>SUMIFS(tblVideos[Length],tblVideos[Watched On],"&gt;="&amp;$B308,tblVideos[Watched On],"&lt;"&amp;EDATE($B308,1),tblVideos[Status],"Watched")*24</f>
        <v/>
      </c>
      <c r="M308" s="84">
        <f>IF(I308=0,"Gap",IF(I308&gt;AVERAGE($I$135:$I$308)+2*STDEV($I$135:$I$308),"High",""))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K4:L4"/>
    <mergeCell ref="C4:E4"/>
    <mergeCell ref="G4:H4"/>
  </mergeCells>
  <conditionalFormatting sqref="C8:N22">
    <cfRule type="colorScale" priority="1">
      <colorScale>
        <cfvo type="num" val="0"/>
        <cfvo type="max"/>
        <color rgb="00FFFFFF"/>
        <color rgb="000F7B8A"/>
      </colorScale>
    </cfRule>
  </conditionalFormatting>
  <conditionalFormatting sqref="M135:M308">
    <cfRule type="cellIs" priority="2" operator="equal" dxfId="21">
      <formula>"High"</formula>
    </cfRule>
    <cfRule type="cellIs" priority="3" operator="equal" dxfId="22">
      <formula>"Gap"</formula>
    </cfRule>
  </conditionalFormatting>
  <dataValidations count="3">
    <dataValidation sqref="C4" showDropDown="0" showInputMessage="0" showErrorMessage="1" allowBlank="0" type="list">
      <formula1>=ChannelList</formula1>
    </dataValidation>
    <dataValidation sqref="G4" showDropDown="0" showInputMessage="0" showErrorMessage="1" allowBlank="0" type="list">
      <formula1>"Videos,Hours"</formula1>
    </dataValidation>
    <dataValidation sqref="K4" showDropDown="0" showInputMessage="0" showErrorMessage="1" allowBlank="0" type="list">
      <formula1>=YearList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9E6B"/>
    <outlinePr summaryBelow="1" summaryRight="1"/>
    <pageSetUpPr fitToPage="1"/>
  </sheetPr>
  <dimension ref="B1:Q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/>
    <row r="2" ht="30" customHeight="1">
      <c r="B2" s="52" t="inlineStr">
        <is>
          <t>Stats</t>
        </is>
      </c>
    </row>
    <row r="4">
      <c r="B4" s="32">
        <f>HYPERLINK("#Dashboard!A1","◄ Dashboard")</f>
        <v/>
      </c>
    </row>
    <row r="6" ht="20" customHeight="1">
      <c r="B6" s="9" t="inlineStr">
        <is>
          <t>Library progress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36" customHeight="1">
      <c r="B7" s="11" t="inlineStr">
        <is>
          <t>Channel</t>
        </is>
      </c>
      <c r="C7" s="11" t="inlineStr">
        <is>
          <t>Videos</t>
        </is>
      </c>
      <c r="D7" s="11" t="inlineStr">
        <is>
          <t>Watched</t>
        </is>
      </c>
      <c r="E7" s="11" t="inlineStr">
        <is>
          <t>Watch Later</t>
        </is>
      </c>
      <c r="F7" s="11" t="inlineStr">
        <is>
          <t>Unwatched</t>
        </is>
      </c>
      <c r="G7" s="11" t="inlineStr">
        <is>
          <t>Skipped</t>
        </is>
      </c>
      <c r="H7" s="11" t="inlineStr">
        <is>
          <t>% Watched</t>
        </is>
      </c>
      <c r="I7" s="11" t="inlineStr">
        <is>
          <t>Runtime (h)</t>
        </is>
      </c>
      <c r="J7" s="11" t="inlineStr">
        <is>
          <t>Watched (h)</t>
        </is>
      </c>
      <c r="K7" s="11" t="inlineStr">
        <is>
          <t>Remaining (h)</t>
        </is>
      </c>
      <c r="L7" s="11" t="inlineStr">
        <is>
          <t>% Runtime Watched</t>
        </is>
      </c>
      <c r="M7" s="11" t="inlineStr">
        <is>
          <t>Average length</t>
        </is>
      </c>
      <c r="N7" s="11" t="inlineStr">
        <is>
          <t>Median length</t>
        </is>
      </c>
    </row>
    <row r="8">
      <c r="B8" s="14">
        <f>Channels!$C$6</f>
        <v/>
      </c>
      <c r="C8" s="15">
        <f>COUNTIFS(tblVideos[Channel ID],Channels!$E$6)</f>
        <v/>
      </c>
      <c r="D8" s="15">
        <f>COUNTIFS(tblVideos[Channel ID],Channels!$E$6,tblVideos[Status],"Watched")</f>
        <v/>
      </c>
      <c r="E8" s="15">
        <f>COUNTIFS(tblVideos[Channel ID],Channels!$E$6,tblVideos[Status],"Watch Later")</f>
        <v/>
      </c>
      <c r="F8" s="15">
        <f>COUNTIFS(tblVideos[Channel ID],Channels!$E$6,tblVideos[Status],"Unwatched")</f>
        <v/>
      </c>
      <c r="G8" s="15">
        <f>COUNTIFS(tblVideos[Channel ID],Channels!$E$6,tblVideos[Status],"Skipped")</f>
        <v/>
      </c>
      <c r="H8" s="16">
        <f>IFERROR(D8/(C8-G8),0)</f>
        <v/>
      </c>
      <c r="I8" s="81">
        <f>SUMIFS(tblVideos[Length],tblVideos[Channel ID],Channels!$E$6)*24</f>
        <v/>
      </c>
      <c r="J8" s="81">
        <f>SUMIFS(tblVideos[Length],tblVideos[Channel ID],Channels!$E$6,tblVideos[Status],"Watched")*24</f>
        <v/>
      </c>
      <c r="K8" s="81">
        <f>(SUMIFS(tblVideos[Length],tblVideos[Channel ID],Channels!$E$6,tblVideos[Status],"Unwatched")+SUMIFS(tblVideos[Length],tblVideos[Channel ID],Channels!$E$6,tblVideos[Status],"Watch Later"))*24</f>
        <v/>
      </c>
      <c r="L8" s="16">
        <f>IFERROR(J8/(I8-SUMIFS(tblVideos[Length],tblVideos[Channel ID],Channels!$E$6,tblVideos[Status],"Skipped")*24),0)</f>
        <v/>
      </c>
      <c r="M8" s="27">
        <f>IFERROR(AVERAGEIFS(tblVideos[Length],tblVideos[Channel ID],Channels!$E$6),0)</f>
        <v/>
      </c>
      <c r="N8" s="85">
        <f t="array" ref="N8">IFERROR(MEDIAN(IF(tblVideos[Channel ID]=Channels!$E$6,tblVideos[Length])),0)</f>
        <v/>
      </c>
    </row>
    <row r="9">
      <c r="B9" s="18">
        <f>Channels!$C$7</f>
        <v/>
      </c>
      <c r="C9" s="15">
        <f>COUNTIFS(tblVideos[Channel ID],Channels!$E$7)</f>
        <v/>
      </c>
      <c r="D9" s="15">
        <f>COUNTIFS(tblVideos[Channel ID],Channels!$E$7,tblVideos[Status],"Watched")</f>
        <v/>
      </c>
      <c r="E9" s="15">
        <f>COUNTIFS(tblVideos[Channel ID],Channels!$E$7,tblVideos[Status],"Watch Later")</f>
        <v/>
      </c>
      <c r="F9" s="15">
        <f>COUNTIFS(tblVideos[Channel ID],Channels!$E$7,tblVideos[Status],"Unwatched")</f>
        <v/>
      </c>
      <c r="G9" s="15">
        <f>COUNTIFS(tblVideos[Channel ID],Channels!$E$7,tblVideos[Status],"Skipped")</f>
        <v/>
      </c>
      <c r="H9" s="16">
        <f>IFERROR(D9/(C9-G9),0)</f>
        <v/>
      </c>
      <c r="I9" s="81">
        <f>SUMIFS(tblVideos[Length],tblVideos[Channel ID],Channels!$E$7)*24</f>
        <v/>
      </c>
      <c r="J9" s="81">
        <f>SUMIFS(tblVideos[Length],tblVideos[Channel ID],Channels!$E$7,tblVideos[Status],"Watched")*24</f>
        <v/>
      </c>
      <c r="K9" s="81">
        <f>(SUMIFS(tblVideos[Length],tblVideos[Channel ID],Channels!$E$7,tblVideos[Status],"Unwatched")+SUMIFS(tblVideos[Length],tblVideos[Channel ID],Channels!$E$7,tblVideos[Status],"Watch Later"))*24</f>
        <v/>
      </c>
      <c r="L9" s="16">
        <f>IFERROR(J9/(I9-SUMIFS(tblVideos[Length],tblVideos[Channel ID],Channels!$E$7,tblVideos[Status],"Skipped")*24),0)</f>
        <v/>
      </c>
      <c r="M9" s="27">
        <f>IFERROR(AVERAGEIFS(tblVideos[Length],tblVideos[Channel ID],Channels!$E$7),0)</f>
        <v/>
      </c>
      <c r="N9" s="85">
        <f t="array" ref="N9">IFERROR(MEDIAN(IF(tblVideos[Channel ID]=Channels!$E$7,tblVideos[Length])),0)</f>
        <v/>
      </c>
    </row>
    <row r="10">
      <c r="B10" s="19">
        <f>Channels!$C$8</f>
        <v/>
      </c>
      <c r="C10" s="15">
        <f>COUNTIFS(tblVideos[Channel ID],Channels!$E$8)</f>
        <v/>
      </c>
      <c r="D10" s="15">
        <f>COUNTIFS(tblVideos[Channel ID],Channels!$E$8,tblVideos[Status],"Watched")</f>
        <v/>
      </c>
      <c r="E10" s="15">
        <f>COUNTIFS(tblVideos[Channel ID],Channels!$E$8,tblVideos[Status],"Watch Later")</f>
        <v/>
      </c>
      <c r="F10" s="15">
        <f>COUNTIFS(tblVideos[Channel ID],Channels!$E$8,tblVideos[Status],"Unwatched")</f>
        <v/>
      </c>
      <c r="G10" s="15">
        <f>COUNTIFS(tblVideos[Channel ID],Channels!$E$8,tblVideos[Status],"Skipped")</f>
        <v/>
      </c>
      <c r="H10" s="16">
        <f>IFERROR(D10/(C10-G10),0)</f>
        <v/>
      </c>
      <c r="I10" s="81">
        <f>SUMIFS(tblVideos[Length],tblVideos[Channel ID],Channels!$E$8)*24</f>
        <v/>
      </c>
      <c r="J10" s="81">
        <f>SUMIFS(tblVideos[Length],tblVideos[Channel ID],Channels!$E$8,tblVideos[Status],"Watched")*24</f>
        <v/>
      </c>
      <c r="K10" s="81">
        <f>(SUMIFS(tblVideos[Length],tblVideos[Channel ID],Channels!$E$8,tblVideos[Status],"Unwatched")+SUMIFS(tblVideos[Length],tblVideos[Channel ID],Channels!$E$8,tblVideos[Status],"Watch Later"))*24</f>
        <v/>
      </c>
      <c r="L10" s="16">
        <f>IFERROR(J10/(I10-SUMIFS(tblVideos[Length],tblVideos[Channel ID],Channels!$E$8,tblVideos[Status],"Skipped")*24),0)</f>
        <v/>
      </c>
      <c r="M10" s="27">
        <f>IFERROR(AVERAGEIFS(tblVideos[Length],tblVideos[Channel ID],Channels!$E$8),0)</f>
        <v/>
      </c>
      <c r="N10" s="85">
        <f t="array" ref="N10">IFERROR(MEDIAN(IF(tblVideos[Channel ID]=Channels!$E$8,tblVideos[Length])),0)</f>
        <v/>
      </c>
    </row>
    <row r="11">
      <c r="B11" s="20">
        <f>Channels!$C$9</f>
        <v/>
      </c>
      <c r="C11" s="15">
        <f>COUNTIFS(tblVideos[Channel ID],Channels!$E$9)</f>
        <v/>
      </c>
      <c r="D11" s="15">
        <f>COUNTIFS(tblVideos[Channel ID],Channels!$E$9,tblVideos[Status],"Watched")</f>
        <v/>
      </c>
      <c r="E11" s="15">
        <f>COUNTIFS(tblVideos[Channel ID],Channels!$E$9,tblVideos[Status],"Watch Later")</f>
        <v/>
      </c>
      <c r="F11" s="15">
        <f>COUNTIFS(tblVideos[Channel ID],Channels!$E$9,tblVideos[Status],"Unwatched")</f>
        <v/>
      </c>
      <c r="G11" s="15">
        <f>COUNTIFS(tblVideos[Channel ID],Channels!$E$9,tblVideos[Status],"Skipped")</f>
        <v/>
      </c>
      <c r="H11" s="16">
        <f>IFERROR(D11/(C11-G11),0)</f>
        <v/>
      </c>
      <c r="I11" s="81">
        <f>SUMIFS(tblVideos[Length],tblVideos[Channel ID],Channels!$E$9)*24</f>
        <v/>
      </c>
      <c r="J11" s="81">
        <f>SUMIFS(tblVideos[Length],tblVideos[Channel ID],Channels!$E$9,tblVideos[Status],"Watched")*24</f>
        <v/>
      </c>
      <c r="K11" s="81">
        <f>(SUMIFS(tblVideos[Length],tblVideos[Channel ID],Channels!$E$9,tblVideos[Status],"Unwatched")+SUMIFS(tblVideos[Length],tblVideos[Channel ID],Channels!$E$9,tblVideos[Status],"Watch Later"))*24</f>
        <v/>
      </c>
      <c r="L11" s="16">
        <f>IFERROR(J11/(I11-SUMIFS(tblVideos[Length],tblVideos[Channel ID],Channels!$E$9,tblVideos[Status],"Skipped")*24),0)</f>
        <v/>
      </c>
      <c r="M11" s="27">
        <f>IFERROR(AVERAGEIFS(tblVideos[Length],tblVideos[Channel ID],Channels!$E$9),0)</f>
        <v/>
      </c>
      <c r="N11" s="85">
        <f t="array" ref="N11">IFERROR(MEDIAN(IF(tblVideos[Channel ID]=Channels!$E$9,tblVideos[Length])),0)</f>
        <v/>
      </c>
    </row>
    <row r="12">
      <c r="B12" s="21">
        <f>Channels!$C$10</f>
        <v/>
      </c>
      <c r="C12" s="15">
        <f>COUNTIFS(tblVideos[Channel ID],Channels!$E$10)</f>
        <v/>
      </c>
      <c r="D12" s="15">
        <f>COUNTIFS(tblVideos[Channel ID],Channels!$E$10,tblVideos[Status],"Watched")</f>
        <v/>
      </c>
      <c r="E12" s="15">
        <f>COUNTIFS(tblVideos[Channel ID],Channels!$E$10,tblVideos[Status],"Watch Later")</f>
        <v/>
      </c>
      <c r="F12" s="15">
        <f>COUNTIFS(tblVideos[Channel ID],Channels!$E$10,tblVideos[Status],"Unwatched")</f>
        <v/>
      </c>
      <c r="G12" s="15">
        <f>COUNTIFS(tblVideos[Channel ID],Channels!$E$10,tblVideos[Status],"Skipped")</f>
        <v/>
      </c>
      <c r="H12" s="16">
        <f>IFERROR(D12/(C12-G12),0)</f>
        <v/>
      </c>
      <c r="I12" s="81">
        <f>SUMIFS(tblVideos[Length],tblVideos[Channel ID],Channels!$E$10)*24</f>
        <v/>
      </c>
      <c r="J12" s="81">
        <f>SUMIFS(tblVideos[Length],tblVideos[Channel ID],Channels!$E$10,tblVideos[Status],"Watched")*24</f>
        <v/>
      </c>
      <c r="K12" s="81">
        <f>(SUMIFS(tblVideos[Length],tblVideos[Channel ID],Channels!$E$10,tblVideos[Status],"Unwatched")+SUMIFS(tblVideos[Length],tblVideos[Channel ID],Channels!$E$10,tblVideos[Status],"Watch Later"))*24</f>
        <v/>
      </c>
      <c r="L12" s="16">
        <f>IFERROR(J12/(I12-SUMIFS(tblVideos[Length],tblVideos[Channel ID],Channels!$E$10,tblVideos[Status],"Skipped")*24),0)</f>
        <v/>
      </c>
      <c r="M12" s="27">
        <f>IFERROR(AVERAGEIFS(tblVideos[Length],tblVideos[Channel ID],Channels!$E$10),0)</f>
        <v/>
      </c>
      <c r="N12" s="85">
        <f t="array" ref="N12">IFERROR(MEDIAN(IF(tblVideos[Channel ID]=Channels!$E$10,tblVideos[Length])),0)</f>
        <v/>
      </c>
    </row>
    <row r="13">
      <c r="B13" s="22">
        <f>Channels!$C$11</f>
        <v/>
      </c>
      <c r="C13" s="15">
        <f>COUNTIFS(tblVideos[Channel ID],Channels!$E$11)</f>
        <v/>
      </c>
      <c r="D13" s="15">
        <f>COUNTIFS(tblVideos[Channel ID],Channels!$E$11,tblVideos[Status],"Watched")</f>
        <v/>
      </c>
      <c r="E13" s="15">
        <f>COUNTIFS(tblVideos[Channel ID],Channels!$E$11,tblVideos[Status],"Watch Later")</f>
        <v/>
      </c>
      <c r="F13" s="15">
        <f>COUNTIFS(tblVideos[Channel ID],Channels!$E$11,tblVideos[Status],"Unwatched")</f>
        <v/>
      </c>
      <c r="G13" s="15">
        <f>COUNTIFS(tblVideos[Channel ID],Channels!$E$11,tblVideos[Status],"Skipped")</f>
        <v/>
      </c>
      <c r="H13" s="16">
        <f>IFERROR(D13/(C13-G13),0)</f>
        <v/>
      </c>
      <c r="I13" s="81">
        <f>SUMIFS(tblVideos[Length],tblVideos[Channel ID],Channels!$E$11)*24</f>
        <v/>
      </c>
      <c r="J13" s="81">
        <f>SUMIFS(tblVideos[Length],tblVideos[Channel ID],Channels!$E$11,tblVideos[Status],"Watched")*24</f>
        <v/>
      </c>
      <c r="K13" s="81">
        <f>(SUMIFS(tblVideos[Length],tblVideos[Channel ID],Channels!$E$11,tblVideos[Status],"Unwatched")+SUMIFS(tblVideos[Length],tblVideos[Channel ID],Channels!$E$11,tblVideos[Status],"Watch Later"))*24</f>
        <v/>
      </c>
      <c r="L13" s="16">
        <f>IFERROR(J13/(I13-SUMIFS(tblVideos[Length],tblVideos[Channel ID],Channels!$E$11,tblVideos[Status],"Skipped")*24),0)</f>
        <v/>
      </c>
      <c r="M13" s="27">
        <f>IFERROR(AVERAGEIFS(tblVideos[Length],tblVideos[Channel ID],Channels!$E$11),0)</f>
        <v/>
      </c>
      <c r="N13" s="85">
        <f t="array" ref="N13">IFERROR(MEDIAN(IF(tblVideos[Channel ID]=Channels!$E$11,tblVideos[Length])),0)</f>
        <v/>
      </c>
    </row>
    <row r="14">
      <c r="B14" s="23" t="inlineStr">
        <is>
          <t>All channels</t>
        </is>
      </c>
      <c r="C14" s="24">
        <f>SUM(C8:C13)</f>
        <v/>
      </c>
      <c r="D14" s="24">
        <f>SUM(D8:D13)</f>
        <v/>
      </c>
      <c r="E14" s="24">
        <f>SUM(E8:E13)</f>
        <v/>
      </c>
      <c r="F14" s="24">
        <f>SUM(F8:F13)</f>
        <v/>
      </c>
      <c r="G14" s="24">
        <f>SUM(G8:G13)</f>
        <v/>
      </c>
      <c r="H14" s="25">
        <f>IFERROR(D14/(C14-G14),0)</f>
        <v/>
      </c>
      <c r="I14" s="86">
        <f>SUM(I8:I13)</f>
        <v/>
      </c>
      <c r="J14" s="86">
        <f>SUM(J8:J13)</f>
        <v/>
      </c>
      <c r="K14" s="86">
        <f>SUM(K8:K13)</f>
        <v/>
      </c>
      <c r="L14" s="25">
        <f>IFERROR(J14/(I14-SUMIFS(tblVideos[Length],tblVideos[Status],"Skipped")*24),0)</f>
        <v/>
      </c>
      <c r="M14" s="87">
        <f>IFERROR(AVERAGE(tblVideos[Length]),0)</f>
        <v/>
      </c>
      <c r="N14" s="87">
        <f>IFERROR(MEDIAN(tblVideos[Length]),0)</f>
        <v/>
      </c>
    </row>
    <row r="15">
      <c r="B15" s="88" t="inlineStr">
        <is>
          <t>% Watched = Watched / (Videos - Skipped).  Remaining = Unwatched + Watch Later.</t>
        </is>
      </c>
    </row>
    <row r="18" ht="20" customHeight="1">
      <c r="B18" s="9" t="inlineStr">
        <is>
          <t>Upload profile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 ht="36" customHeight="1">
      <c r="B19" s="11" t="inlineStr">
        <is>
          <t>Channel</t>
        </is>
      </c>
      <c r="C19" s="11" t="inlineStr">
        <is>
          <t>First upload</t>
        </is>
      </c>
      <c r="D19" s="11" t="inlineStr">
        <is>
          <t>Latest upload</t>
        </is>
      </c>
      <c r="E19" s="11" t="inlineStr">
        <is>
          <t>Active span (yrs)</t>
        </is>
      </c>
      <c r="F19" s="11" t="inlineStr">
        <is>
          <t>Videos / month</t>
        </is>
      </c>
      <c r="G19" s="11" t="inlineStr">
        <is>
          <t>Avg days between</t>
        </is>
      </c>
      <c r="H19" s="11" t="inlineStr">
        <is>
          <t>Busiest year</t>
        </is>
      </c>
      <c r="I19" s="11" t="inlineStr">
        <is>
          <t>Videos that year</t>
        </is>
      </c>
      <c r="J19" s="11" t="inlineStr">
        <is>
          <t>Longest</t>
        </is>
      </c>
      <c r="K19" s="11" t="inlineStr">
        <is>
          <t>Shortest (&gt;0)</t>
        </is>
      </c>
      <c r="L19" s="11" t="inlineStr">
        <is>
          <t>Total views</t>
        </is>
      </c>
      <c r="M19" s="11" t="inlineStr">
        <is>
          <t>Avg views / video</t>
        </is>
      </c>
      <c r="N19" s="11" t="inlineStr">
        <is>
          <t>Most viewed video</t>
        </is>
      </c>
      <c r="O19" s="12" t="n"/>
      <c r="P19" s="12" t="n"/>
      <c r="Q19" s="13" t="n"/>
    </row>
    <row r="20">
      <c r="B20" s="14">
        <f>Channels!$C$6</f>
        <v/>
      </c>
      <c r="C20" s="89">
        <f>IF(C8=0,"",_xlfn.MINIFS(tblVideos[Day],tblVideos[Channel ID],Channels!$E$6))</f>
        <v/>
      </c>
      <c r="D20" s="89">
        <f>IF(C8=0,"",_xlfn.MAXIFS(tblVideos[Day],tblVideos[Channel ID],Channels!$E$6))</f>
        <v/>
      </c>
      <c r="E20" s="90">
        <f>IF(C8=0,"",(D20-C20)/365.25)</f>
        <v/>
      </c>
      <c r="F20" s="90">
        <f>IF(C8=0,"",C8/MAX(1,(D20-C20)/30.4375))</f>
        <v/>
      </c>
      <c r="G20" s="90">
        <f>IF(C8&lt;2,"",(D20-C20)/(C8-1))</f>
        <v/>
      </c>
      <c r="H20" s="91">
        <f>IF(C8=0,"",INDEX(History!$B$62:$B$76,MATCH(MAX(History!$C$62:$C$76),History!$C$62:$C$76,0)))</f>
        <v/>
      </c>
      <c r="I20" s="15">
        <f>MAX(History!$C$62:$C$76)</f>
        <v/>
      </c>
      <c r="J20" s="27">
        <f>IF(C8=0,"",_xlfn.MAXIFS(tblVideos[Length],tblVideos[Channel ID],Channels!$E$6))</f>
        <v/>
      </c>
      <c r="K20" s="27">
        <f>IF(C8=0,"",_xlfn.MINIFS(tblVideos[Length],tblVideos[Channel ID],Channels!$E$6,tblVideos[Length],"&gt;0"))</f>
        <v/>
      </c>
      <c r="L20" s="15">
        <f>SUMIFS(tblVideos[Views],tblVideos[Channel ID],Channels!$E$6)</f>
        <v/>
      </c>
      <c r="M20" s="15">
        <f>IFERROR(L20/C8,0)</f>
        <v/>
      </c>
      <c r="N20" s="92">
        <f>IF(C8=0,"",IFERROR(INDEX(tblVideos[Title],MATCH(_xlfn.MAXIFS(tblVideos[Seq],tblVideos[Channel ID],Channels!$E$6,tblVideos[Views],_xlfn.MAXIFS(tblVideos[Views],tblVideos[Channel ID],Channels!$E$6)),tblVideos[Seq],0)),""))</f>
        <v/>
      </c>
      <c r="O20" s="12" t="n"/>
      <c r="P20" s="12" t="n"/>
      <c r="Q20" s="13" t="n"/>
    </row>
    <row r="21">
      <c r="B21" s="18">
        <f>Channels!$C$7</f>
        <v/>
      </c>
      <c r="C21" s="89">
        <f>IF(C9=0,"",_xlfn.MINIFS(tblVideos[Day],tblVideos[Channel ID],Channels!$E$7))</f>
        <v/>
      </c>
      <c r="D21" s="89">
        <f>IF(C9=0,"",_xlfn.MAXIFS(tblVideos[Day],tblVideos[Channel ID],Channels!$E$7))</f>
        <v/>
      </c>
      <c r="E21" s="90">
        <f>IF(C9=0,"",(D21-C21)/365.25)</f>
        <v/>
      </c>
      <c r="F21" s="90">
        <f>IF(C9=0,"",C9/MAX(1,(D21-C21)/30.4375))</f>
        <v/>
      </c>
      <c r="G21" s="90">
        <f>IF(C9&lt;2,"",(D21-C21)/(C9-1))</f>
        <v/>
      </c>
      <c r="H21" s="91">
        <f>IF(C9=0,"",INDEX(History!$B$62:$B$76,MATCH(MAX(History!$D$62:$D$76),History!$D$62:$D$76,0)))</f>
        <v/>
      </c>
      <c r="I21" s="15">
        <f>MAX(History!$D$62:$D$76)</f>
        <v/>
      </c>
      <c r="J21" s="27">
        <f>IF(C9=0,"",_xlfn.MAXIFS(tblVideos[Length],tblVideos[Channel ID],Channels!$E$7))</f>
        <v/>
      </c>
      <c r="K21" s="27">
        <f>IF(C9=0,"",_xlfn.MINIFS(tblVideos[Length],tblVideos[Channel ID],Channels!$E$7,tblVideos[Length],"&gt;0"))</f>
        <v/>
      </c>
      <c r="L21" s="15">
        <f>SUMIFS(tblVideos[Views],tblVideos[Channel ID],Channels!$E$7)</f>
        <v/>
      </c>
      <c r="M21" s="15">
        <f>IFERROR(L21/C9,0)</f>
        <v/>
      </c>
      <c r="N21" s="92">
        <f>IF(C9=0,"",IFERROR(INDEX(tblVideos[Title],MATCH(_xlfn.MAXIFS(tblVideos[Seq],tblVideos[Channel ID],Channels!$E$7,tblVideos[Views],_xlfn.MAXIFS(tblVideos[Views],tblVideos[Channel ID],Channels!$E$7)),tblVideos[Seq],0)),""))</f>
        <v/>
      </c>
      <c r="O21" s="12" t="n"/>
      <c r="P21" s="12" t="n"/>
      <c r="Q21" s="13" t="n"/>
    </row>
    <row r="22">
      <c r="B22" s="19">
        <f>Channels!$C$8</f>
        <v/>
      </c>
      <c r="C22" s="89">
        <f>IF(C10=0,"",_xlfn.MINIFS(tblVideos[Day],tblVideos[Channel ID],Channels!$E$8))</f>
        <v/>
      </c>
      <c r="D22" s="89">
        <f>IF(C10=0,"",_xlfn.MAXIFS(tblVideos[Day],tblVideos[Channel ID],Channels!$E$8))</f>
        <v/>
      </c>
      <c r="E22" s="90">
        <f>IF(C10=0,"",(D22-C22)/365.25)</f>
        <v/>
      </c>
      <c r="F22" s="90">
        <f>IF(C10=0,"",C10/MAX(1,(D22-C22)/30.4375))</f>
        <v/>
      </c>
      <c r="G22" s="90">
        <f>IF(C10&lt;2,"",(D22-C22)/(C10-1))</f>
        <v/>
      </c>
      <c r="H22" s="91">
        <f>IF(C10=0,"",INDEX(History!$B$62:$B$76,MATCH(MAX(History!$E$62:$E$76),History!$E$62:$E$76,0)))</f>
        <v/>
      </c>
      <c r="I22" s="15">
        <f>MAX(History!$E$62:$E$76)</f>
        <v/>
      </c>
      <c r="J22" s="27">
        <f>IF(C10=0,"",_xlfn.MAXIFS(tblVideos[Length],tblVideos[Channel ID],Channels!$E$8))</f>
        <v/>
      </c>
      <c r="K22" s="27">
        <f>IF(C10=0,"",_xlfn.MINIFS(tblVideos[Length],tblVideos[Channel ID],Channels!$E$8,tblVideos[Length],"&gt;0"))</f>
        <v/>
      </c>
      <c r="L22" s="15">
        <f>SUMIFS(tblVideos[Views],tblVideos[Channel ID],Channels!$E$8)</f>
        <v/>
      </c>
      <c r="M22" s="15">
        <f>IFERROR(L22/C10,0)</f>
        <v/>
      </c>
      <c r="N22" s="92">
        <f>IF(C10=0,"",IFERROR(INDEX(tblVideos[Title],MATCH(_xlfn.MAXIFS(tblVideos[Seq],tblVideos[Channel ID],Channels!$E$8,tblVideos[Views],_xlfn.MAXIFS(tblVideos[Views],tblVideos[Channel ID],Channels!$E$8)),tblVideos[Seq],0)),""))</f>
        <v/>
      </c>
      <c r="O22" s="12" t="n"/>
      <c r="P22" s="12" t="n"/>
      <c r="Q22" s="13" t="n"/>
    </row>
    <row r="23">
      <c r="B23" s="20">
        <f>Channels!$C$9</f>
        <v/>
      </c>
      <c r="C23" s="89">
        <f>IF(C11=0,"",_xlfn.MINIFS(tblVideos[Day],tblVideos[Channel ID],Channels!$E$9))</f>
        <v/>
      </c>
      <c r="D23" s="89">
        <f>IF(C11=0,"",_xlfn.MAXIFS(tblVideos[Day],tblVideos[Channel ID],Channels!$E$9))</f>
        <v/>
      </c>
      <c r="E23" s="90">
        <f>IF(C11=0,"",(D23-C23)/365.25)</f>
        <v/>
      </c>
      <c r="F23" s="90">
        <f>IF(C11=0,"",C11/MAX(1,(D23-C23)/30.4375))</f>
        <v/>
      </c>
      <c r="G23" s="90">
        <f>IF(C11&lt;2,"",(D23-C23)/(C11-1))</f>
        <v/>
      </c>
      <c r="H23" s="91">
        <f>IF(C11=0,"",INDEX(History!$B$62:$B$76,MATCH(MAX(History!$F$62:$F$76),History!$F$62:$F$76,0)))</f>
        <v/>
      </c>
      <c r="I23" s="15">
        <f>MAX(History!$F$62:$F$76)</f>
        <v/>
      </c>
      <c r="J23" s="27">
        <f>IF(C11=0,"",_xlfn.MAXIFS(tblVideos[Length],tblVideos[Channel ID],Channels!$E$9))</f>
        <v/>
      </c>
      <c r="K23" s="27">
        <f>IF(C11=0,"",_xlfn.MINIFS(tblVideos[Length],tblVideos[Channel ID],Channels!$E$9,tblVideos[Length],"&gt;0"))</f>
        <v/>
      </c>
      <c r="L23" s="15">
        <f>SUMIFS(tblVideos[Views],tblVideos[Channel ID],Channels!$E$9)</f>
        <v/>
      </c>
      <c r="M23" s="15">
        <f>IFERROR(L23/C11,0)</f>
        <v/>
      </c>
      <c r="N23" s="92">
        <f>IF(C11=0,"",IFERROR(INDEX(tblVideos[Title],MATCH(_xlfn.MAXIFS(tblVideos[Seq],tblVideos[Channel ID],Channels!$E$9,tblVideos[Views],_xlfn.MAXIFS(tblVideos[Views],tblVideos[Channel ID],Channels!$E$9)),tblVideos[Seq],0)),""))</f>
        <v/>
      </c>
      <c r="O23" s="12" t="n"/>
      <c r="P23" s="12" t="n"/>
      <c r="Q23" s="13" t="n"/>
    </row>
    <row r="24">
      <c r="B24" s="21">
        <f>Channels!$C$10</f>
        <v/>
      </c>
      <c r="C24" s="89">
        <f>IF(C12=0,"",_xlfn.MINIFS(tblVideos[Day],tblVideos[Channel ID],Channels!$E$10))</f>
        <v/>
      </c>
      <c r="D24" s="89">
        <f>IF(C12=0,"",_xlfn.MAXIFS(tblVideos[Day],tblVideos[Channel ID],Channels!$E$10))</f>
        <v/>
      </c>
      <c r="E24" s="90">
        <f>IF(C12=0,"",(D24-C24)/365.25)</f>
        <v/>
      </c>
      <c r="F24" s="90">
        <f>IF(C12=0,"",C12/MAX(1,(D24-C24)/30.4375))</f>
        <v/>
      </c>
      <c r="G24" s="90">
        <f>IF(C12&lt;2,"",(D24-C24)/(C12-1))</f>
        <v/>
      </c>
      <c r="H24" s="91">
        <f>IF(C12=0,"",INDEX(History!$B$62:$B$76,MATCH(MAX(History!$G$62:$G$76),History!$G$62:$G$76,0)))</f>
        <v/>
      </c>
      <c r="I24" s="15">
        <f>MAX(History!$G$62:$G$76)</f>
        <v/>
      </c>
      <c r="J24" s="27">
        <f>IF(C12=0,"",_xlfn.MAXIFS(tblVideos[Length],tblVideos[Channel ID],Channels!$E$10))</f>
        <v/>
      </c>
      <c r="K24" s="27">
        <f>IF(C12=0,"",_xlfn.MINIFS(tblVideos[Length],tblVideos[Channel ID],Channels!$E$10,tblVideos[Length],"&gt;0"))</f>
        <v/>
      </c>
      <c r="L24" s="15">
        <f>SUMIFS(tblVideos[Views],tblVideos[Channel ID],Channels!$E$10)</f>
        <v/>
      </c>
      <c r="M24" s="15">
        <f>IFERROR(L24/C12,0)</f>
        <v/>
      </c>
      <c r="N24" s="92">
        <f>IF(C12=0,"",IFERROR(INDEX(tblVideos[Title],MATCH(_xlfn.MAXIFS(tblVideos[Seq],tblVideos[Channel ID],Channels!$E$10,tblVideos[Views],_xlfn.MAXIFS(tblVideos[Views],tblVideos[Channel ID],Channels!$E$10)),tblVideos[Seq],0)),""))</f>
        <v/>
      </c>
      <c r="O24" s="12" t="n"/>
      <c r="P24" s="12" t="n"/>
      <c r="Q24" s="13" t="n"/>
    </row>
    <row r="25">
      <c r="B25" s="22">
        <f>Channels!$C$11</f>
        <v/>
      </c>
      <c r="C25" s="89">
        <f>IF(C13=0,"",_xlfn.MINIFS(tblVideos[Day],tblVideos[Channel ID],Channels!$E$11))</f>
        <v/>
      </c>
      <c r="D25" s="89">
        <f>IF(C13=0,"",_xlfn.MAXIFS(tblVideos[Day],tblVideos[Channel ID],Channels!$E$11))</f>
        <v/>
      </c>
      <c r="E25" s="90">
        <f>IF(C13=0,"",(D25-C25)/365.25)</f>
        <v/>
      </c>
      <c r="F25" s="90">
        <f>IF(C13=0,"",C13/MAX(1,(D25-C25)/30.4375))</f>
        <v/>
      </c>
      <c r="G25" s="90">
        <f>IF(C13&lt;2,"",(D25-C25)/(C13-1))</f>
        <v/>
      </c>
      <c r="H25" s="91">
        <f>IF(C13=0,"",INDEX(History!$B$62:$B$76,MATCH(MAX(History!$H$62:$H$76),History!$H$62:$H$76,0)))</f>
        <v/>
      </c>
      <c r="I25" s="15">
        <f>MAX(History!$H$62:$H$76)</f>
        <v/>
      </c>
      <c r="J25" s="27">
        <f>IF(C13=0,"",_xlfn.MAXIFS(tblVideos[Length],tblVideos[Channel ID],Channels!$E$11))</f>
        <v/>
      </c>
      <c r="K25" s="27">
        <f>IF(C13=0,"",_xlfn.MINIFS(tblVideos[Length],tblVideos[Channel ID],Channels!$E$11,tblVideos[Length],"&gt;0"))</f>
        <v/>
      </c>
      <c r="L25" s="15">
        <f>SUMIFS(tblVideos[Views],tblVideos[Channel ID],Channels!$E$11)</f>
        <v/>
      </c>
      <c r="M25" s="15">
        <f>IFERROR(L25/C13,0)</f>
        <v/>
      </c>
      <c r="N25" s="92">
        <f>IF(C13=0,"",IFERROR(INDEX(tblVideos[Title],MATCH(_xlfn.MAXIFS(tblVideos[Seq],tblVideos[Channel ID],Channels!$E$11,tblVideos[Views],_xlfn.MAXIFS(tblVideos[Views],tblVideos[Channel ID],Channels!$E$11)),tblVideos[Seq],0)),""))</f>
        <v/>
      </c>
      <c r="O25" s="12" t="n"/>
      <c r="P25" s="12" t="n"/>
      <c r="Q25" s="13" t="n"/>
    </row>
    <row r="26">
      <c r="B26" s="23" t="inlineStr">
        <is>
          <t>All channels</t>
        </is>
      </c>
      <c r="C26" s="93">
        <f>MIN(tblVideos[Day])</f>
        <v/>
      </c>
      <c r="D26" s="93">
        <f>MAX(tblVideos[Day])</f>
        <v/>
      </c>
      <c r="E26" s="94">
        <f>(D26-C26)/365.25</f>
        <v/>
      </c>
      <c r="F26" s="94">
        <f>C14/MAX(1,(D26-C26)/30.4375)</f>
        <v/>
      </c>
      <c r="G26" s="94">
        <f>(D26-C26)/MAX(1,C14-1)</f>
        <v/>
      </c>
      <c r="H26" s="95">
        <f>INDEX(History!$B$62:$B$76,MATCH(MAX(History!$I$62:$I$76),History!$I$62:$I$76,0))</f>
        <v/>
      </c>
      <c r="I26" s="96">
        <f>MAX(History!$I$62:$I$76)</f>
        <v/>
      </c>
      <c r="J26" s="97">
        <f>MAX(tblVideos[Length])</f>
        <v/>
      </c>
      <c r="K26" s="97">
        <f>IFERROR(_xlfn.MINIFS(tblVideos[Length],tblVideos[Length],"&gt;0"),"")</f>
        <v/>
      </c>
      <c r="L26" s="96">
        <f>SUM(tblVideos[Views])</f>
        <v/>
      </c>
      <c r="M26" s="96">
        <f>IFERROR(L26/C14,0)</f>
        <v/>
      </c>
      <c r="N26" s="98">
        <f>IFERROR(INDEX(tblVideos[Title],MATCH(MAX(tblVideos[Views]),tblVideos[Views],0)),"")</f>
        <v/>
      </c>
      <c r="O26" s="12" t="n"/>
      <c r="P26" s="12" t="n"/>
      <c r="Q26" s="13" t="n"/>
    </row>
    <row r="27">
      <c r="B27" s="88" t="inlineStr">
        <is>
          <t>Views accumulate with age, so older videos are not directly comparable to recent ones.</t>
        </is>
      </c>
    </row>
    <row r="30" ht="20" customHeight="1">
      <c r="B30" s="9" t="inlineStr">
        <is>
          <t>Pace: uploading vs. watching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22" customHeight="1">
      <c r="B31" s="11" t="inlineStr"/>
      <c r="C31" s="11" t="inlineStr">
        <is>
          <t>Last 30 days</t>
        </is>
      </c>
      <c r="D31" s="11" t="inlineStr">
        <is>
          <t>Last 90 days</t>
        </is>
      </c>
      <c r="E31" s="11" t="inlineStr">
        <is>
          <t>Last 365 days</t>
        </is>
      </c>
    </row>
    <row r="32">
      <c r="B32" s="77" t="inlineStr">
        <is>
          <t>Videos uploaded</t>
        </is>
      </c>
      <c r="C32" s="15">
        <f>COUNTIFS(tblVideos[Day],"&gt;"&amp;TODAY()-30)</f>
        <v/>
      </c>
      <c r="D32" s="15">
        <f>COUNTIFS(tblVideos[Day],"&gt;"&amp;TODAY()-90)</f>
        <v/>
      </c>
      <c r="E32" s="15">
        <f>COUNTIFS(tblVideos[Day],"&gt;"&amp;TODAY()-365)</f>
        <v/>
      </c>
    </row>
    <row r="33">
      <c r="B33" s="77" t="inlineStr">
        <is>
          <t>Hours uploaded</t>
        </is>
      </c>
      <c r="C33" s="81">
        <f>SUMIFS(tblVideos[Length],tblVideos[Day],"&gt;"&amp;TODAY()-30)*24</f>
        <v/>
      </c>
      <c r="D33" s="81">
        <f>SUMIFS(tblVideos[Length],tblVideos[Day],"&gt;"&amp;TODAY()-90)*24</f>
        <v/>
      </c>
      <c r="E33" s="81">
        <f>SUMIFS(tblVideos[Length],tblVideos[Day],"&gt;"&amp;TODAY()-365)*24</f>
        <v/>
      </c>
    </row>
    <row r="34">
      <c r="B34" s="77" t="inlineStr">
        <is>
          <t>Videos watched *</t>
        </is>
      </c>
      <c r="C34" s="15">
        <f>COUNTIFS(tblVideos[Watched On],"&gt;"&amp;TODAY()-30,tblVideos[Status],"Watched")</f>
        <v/>
      </c>
      <c r="D34" s="15">
        <f>COUNTIFS(tblVideos[Watched On],"&gt;"&amp;TODAY()-90,tblVideos[Status],"Watched")</f>
        <v/>
      </c>
      <c r="E34" s="15">
        <f>COUNTIFS(tblVideos[Watched On],"&gt;"&amp;TODAY()-365,tblVideos[Status],"Watched")</f>
        <v/>
      </c>
    </row>
    <row r="35">
      <c r="B35" s="77" t="inlineStr">
        <is>
          <t>Hours watched *</t>
        </is>
      </c>
      <c r="C35" s="81">
        <f>SUMIFS(tblVideos[Length],tblVideos[Watched On],"&gt;"&amp;TODAY()-30,tblVideos[Status],"Watched")*24</f>
        <v/>
      </c>
      <c r="D35" s="81">
        <f>SUMIFS(tblVideos[Length],tblVideos[Watched On],"&gt;"&amp;TODAY()-90,tblVideos[Status],"Watched")*24</f>
        <v/>
      </c>
      <c r="E35" s="81">
        <f>SUMIFS(tblVideos[Length],tblVideos[Watched On],"&gt;"&amp;TODAY()-365,tblVideos[Status],"Watched")*24</f>
        <v/>
      </c>
    </row>
    <row r="36">
      <c r="B36" s="77" t="inlineStr">
        <is>
          <t>Backlog change (videos)</t>
        </is>
      </c>
      <c r="C36" s="99">
        <f>C32-C34</f>
        <v/>
      </c>
      <c r="D36" s="99">
        <f>D32-D34</f>
        <v/>
      </c>
      <c r="E36" s="99">
        <f>E32-E34</f>
        <v/>
      </c>
    </row>
    <row r="37">
      <c r="B37" s="77" t="inlineStr">
        <is>
          <t>Backlog change (hours)</t>
        </is>
      </c>
      <c r="C37" s="100">
        <f>C33-C35</f>
        <v/>
      </c>
      <c r="D37" s="100">
        <f>D33-D35</f>
        <v/>
      </c>
      <c r="E37" s="100">
        <f>E33-E35</f>
        <v/>
      </c>
    </row>
    <row r="38">
      <c r="B38" s="77" t="inlineStr">
        <is>
          <t>Estimated days to clear backlog</t>
        </is>
      </c>
      <c r="C38" s="15">
        <f>IF(D35/90-D33/90&lt;=0,"Backlog is growing",K14/(D35/90-D33/90))</f>
        <v/>
      </c>
      <c r="D38" s="13" t="n"/>
      <c r="F38" s="88" t="inlineStr">
        <is>
          <t>Uses the last-90-day watch rate minus the upload rate.</t>
        </is>
      </c>
    </row>
    <row r="39">
      <c r="B39" s="88" t="inlineStr">
        <is>
          <t>* Counts only videos with a 'Watched On' date.</t>
        </is>
      </c>
    </row>
    <row r="42" ht="20" customHeight="1">
      <c r="B42" s="9" t="inlineStr">
        <is>
          <t>Records &amp; library health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B43" s="77" t="inlineStr">
        <is>
          <t>Longest video</t>
        </is>
      </c>
      <c r="C43" s="27">
        <f>MAX(tblVideos[Length])</f>
        <v/>
      </c>
      <c r="D43" s="101">
        <f>INDEX(tblVideos[Title],MATCH(MAX(tblVideos[Length]),tblVideos[Length],0))</f>
        <v/>
      </c>
    </row>
    <row r="44">
      <c r="B44" s="77" t="inlineStr">
        <is>
          <t>Shortest video (&gt;0)</t>
        </is>
      </c>
      <c r="C44" s="27">
        <f>IFERROR(_xlfn.MINIFS(tblVideos[Length],tblVideos[Length],"&gt;0"),"")</f>
        <v/>
      </c>
      <c r="D44" s="101">
        <f>IFERROR(INDEX(tblVideos[Title],MATCH(C44,tblVideos[Length],0)),"")</f>
        <v/>
      </c>
    </row>
    <row r="45">
      <c r="B45" s="77" t="inlineStr">
        <is>
          <t>Most viewed video</t>
        </is>
      </c>
      <c r="C45" s="15">
        <f>MAX(tblVideos[Views])</f>
        <v/>
      </c>
      <c r="D45" s="101">
        <f>INDEX(tblVideos[Title],MATCH(MAX(tblVideos[Views]),tblVideos[Views],0))</f>
        <v/>
      </c>
    </row>
    <row r="46">
      <c r="B46" s="77" t="inlineStr">
        <is>
          <t>Busiest month (videos)</t>
        </is>
      </c>
      <c r="C46" s="15">
        <f>MAX(History!$I$135:$I$308)</f>
        <v/>
      </c>
      <c r="D46" s="101">
        <f>TEXT(INDEX(History!$B$135:$B$308,MATCH(C46,History!$I$135:$I$308,0)),"mmmm yyyy")</f>
        <v/>
      </c>
    </row>
    <row r="48">
      <c r="B48" s="102" t="inlineStr">
        <is>
          <t>Videos without a Video ID yet</t>
        </is>
      </c>
      <c r="C48" s="15">
        <f>COUNTIFS(tblVideos[Video ID],"")</f>
        <v/>
      </c>
    </row>
    <row r="49">
      <c r="B49" s="102" t="inlineStr">
        <is>
          <t>Not found in last refresh (removed/private?)</t>
        </is>
      </c>
      <c r="C49" s="15">
        <f>COUNTIFS(tblVideos[Availability],"Not in last refresh")</f>
        <v/>
      </c>
    </row>
    <row r="50">
      <c r="B50" s="102" t="inlineStr">
        <is>
          <t>Marked Watched but no 'Watched On' date</t>
        </is>
      </c>
      <c r="C50" s="15">
        <f>COUNTIFS(tblVideos[Status],"Watched",tblVideos[Watched On],"",tblVideos[Mark],"Watched")</f>
        <v/>
      </c>
    </row>
    <row r="51">
      <c r="B51" s="102" t="inlineStr">
        <is>
          <t>Zero-length videos (premieres/live placeholders)</t>
        </is>
      </c>
      <c r="C51" s="15">
        <f>COUNTIFS(tblVideos[Length],0)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N23:Q23"/>
    <mergeCell ref="N22:Q22"/>
    <mergeCell ref="C38:D38"/>
    <mergeCell ref="N26:Q26"/>
    <mergeCell ref="B48"/>
    <mergeCell ref="N21:Q21"/>
    <mergeCell ref="N20:Q20"/>
    <mergeCell ref="N24:Q24"/>
    <mergeCell ref="N25:Q25"/>
    <mergeCell ref="N19:Q19"/>
  </mergeCells>
  <conditionalFormatting sqref="H8:H14">
    <cfRule type="dataBar" priority="1">
      <dataBar>
        <cfvo type="num" val="0"/>
        <cfvo type="num" val="1"/>
        <color rgb="002E9E6B"/>
      </dataBar>
    </cfRule>
  </conditionalFormatting>
  <conditionalFormatting sqref="C36:E37">
    <cfRule type="cellIs" priority="2" operator="greaterThan" dxfId="6">
      <formula>0</formula>
    </cfRule>
    <cfRule type="cellIs" priority="3" operator="lessThan" dxfId="23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7791F"/>
    <outlinePr summaryBelow="1" summaryRight="1"/>
    <pageSetUpPr fitToPage="1"/>
  </sheetPr>
  <dimension ref="A2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44" customWidth="1" min="4" max="4"/>
    <col width="28" customWidth="1" min="5" max="5"/>
    <col width="17" customWidth="1" min="6" max="6"/>
    <col width="26" customWidth="1" min="7" max="7"/>
    <col width="10" customWidth="1" min="8" max="8"/>
    <col width="10" customWidth="1" min="9" max="9"/>
    <col width="10" customWidth="1" min="10" max="10"/>
    <col width="15" customWidth="1" min="11" max="11"/>
    <col width="18" customWidth="1" min="12" max="12"/>
  </cols>
  <sheetData>
    <row r="2" ht="30" customHeight="1">
      <c r="B2" s="52" t="inlineStr">
        <is>
          <t>Channels</t>
        </is>
      </c>
    </row>
    <row r="3">
      <c r="B3" s="2" t="inlineStr">
        <is>
          <t>Add a channel: type its @handle or URL in a new row below the table, then run the updater. Set 'Watched Through' to treat everything up to that date as already watched.</t>
        </is>
      </c>
    </row>
    <row r="4">
      <c r="B4" s="32">
        <f>HYPERLINK("#Dashboard!A1","◄ Dashboard")</f>
        <v/>
      </c>
    </row>
    <row r="5" ht="32" customHeight="1">
      <c r="A5" s="11" t="inlineStr">
        <is>
          <t>Color</t>
        </is>
      </c>
      <c r="B5" s="11" t="inlineStr">
        <is>
          <t>Enabled</t>
        </is>
      </c>
      <c r="C5" s="11" t="inlineStr">
        <is>
          <t>Display Name</t>
        </is>
      </c>
      <c r="D5" s="11" t="inlineStr">
        <is>
          <t>Handle or URL</t>
        </is>
      </c>
      <c r="E5" s="11" t="inlineStr">
        <is>
          <t>Channel ID</t>
        </is>
      </c>
      <c r="F5" s="11" t="inlineStr">
        <is>
          <t>Watched Through</t>
        </is>
      </c>
      <c r="G5" s="11" t="inlineStr">
        <is>
          <t>YouTube Title</t>
        </is>
      </c>
      <c r="H5" s="11" t="inlineStr">
        <is>
          <t>Videos</t>
        </is>
      </c>
      <c r="I5" s="11" t="inlineStr">
        <is>
          <t>Watched</t>
        </is>
      </c>
      <c r="J5" s="11" t="inlineStr">
        <is>
          <t>Backlog</t>
        </is>
      </c>
      <c r="K5" s="11" t="inlineStr">
        <is>
          <t>Latest Upload</t>
        </is>
      </c>
      <c r="L5" s="11" t="inlineStr">
        <is>
          <t>Last Refresh</t>
        </is>
      </c>
    </row>
    <row r="6">
      <c r="A6" s="103" t="inlineStr"/>
      <c r="B6" s="104" t="inlineStr">
        <is>
          <t>Yes</t>
        </is>
      </c>
      <c r="C6" s="77" t="inlineStr">
        <is>
          <t>Super Carlin Brothers</t>
        </is>
      </c>
      <c r="D6" s="29" t="inlineStr">
        <is>
          <t>https://www.youtube.com/@SuperCarlinBrothers</t>
        </is>
      </c>
      <c r="E6" s="105" t="inlineStr">
        <is>
          <t>UCKZo4N0lVPccBkSiuyVh4yg</t>
        </is>
      </c>
      <c r="F6" s="106" t="n"/>
      <c r="G6" s="105" t="inlineStr">
        <is>
          <t>SuperCarlinBrothers</t>
        </is>
      </c>
      <c r="H6" s="15">
        <f>COUNTIFS(tblVideos[Channel ID],E6)</f>
        <v/>
      </c>
      <c r="I6" s="15">
        <f>COUNTIFS(tblVideos[Channel ID],E6,tblVideos[Status],"Watched")</f>
        <v/>
      </c>
      <c r="J6" s="15">
        <f>COUNTIFS(tblVideos[Channel ID],E6,tblVideos[Status],"Unwatched")+COUNTIFS(tblVideos[Channel ID],E6,tblVideos[Status],"Watch Later")</f>
        <v/>
      </c>
      <c r="K6" s="89">
        <f>IF(H6=0,"",_xlfn.MAXIFS(tblVideos[Day],tblVideos[Channel ID],E6))</f>
        <v/>
      </c>
      <c r="L6" s="107" t="n">
        <v>46298.67097222222</v>
      </c>
    </row>
    <row r="7">
      <c r="A7" s="108" t="inlineStr"/>
      <c r="B7" s="104" t="inlineStr">
        <is>
          <t>Yes</t>
        </is>
      </c>
      <c r="C7" s="77" t="inlineStr">
        <is>
          <t>Super Carlin Gaming</t>
        </is>
      </c>
      <c r="D7" s="29" t="inlineStr">
        <is>
          <t>https://www.youtube.com/SuperCarlinGaming</t>
        </is>
      </c>
      <c r="E7" s="105" t="inlineStr">
        <is>
          <t>UCor_9jRnNNZVzTuQ92PKsaQ</t>
        </is>
      </c>
      <c r="F7" s="106" t="n"/>
      <c r="G7" s="105" t="inlineStr">
        <is>
          <t>Super Carlin Gaming</t>
        </is>
      </c>
      <c r="H7" s="15">
        <f>COUNTIFS(tblVideos[Channel ID],E7)</f>
        <v/>
      </c>
      <c r="I7" s="15">
        <f>COUNTIFS(tblVideos[Channel ID],E7,tblVideos[Status],"Watched")</f>
        <v/>
      </c>
      <c r="J7" s="15">
        <f>COUNTIFS(tblVideos[Channel ID],E7,tblVideos[Status],"Unwatched")+COUNTIFS(tblVideos[Channel ID],E7,tblVideos[Status],"Watch Later")</f>
        <v/>
      </c>
      <c r="K7" s="89">
        <f>IF(H7=0,"",_xlfn.MAXIFS(tblVideos[Day],tblVideos[Channel ID],E7))</f>
        <v/>
      </c>
      <c r="L7" s="107" t="n">
        <v>46298.67097222222</v>
      </c>
    </row>
    <row r="8">
      <c r="A8" s="109" t="inlineStr"/>
      <c r="B8" s="104" t="inlineStr">
        <is>
          <t>Yes</t>
        </is>
      </c>
      <c r="C8" s="77" t="inlineStr">
        <is>
          <t>Jonathan Carlin</t>
        </is>
      </c>
      <c r="D8" s="29" t="inlineStr">
        <is>
          <t>https://www.youtube.com/@JonathanCarlin</t>
        </is>
      </c>
      <c r="E8" s="105" t="inlineStr">
        <is>
          <t>UCYPKFe86e6nm4TVUYKLsFUQ</t>
        </is>
      </c>
      <c r="F8" s="106" t="n"/>
      <c r="G8" s="105" t="inlineStr">
        <is>
          <t>Jonathan Carlin</t>
        </is>
      </c>
      <c r="H8" s="15">
        <f>COUNTIFS(tblVideos[Channel ID],E8)</f>
        <v/>
      </c>
      <c r="I8" s="15">
        <f>COUNTIFS(tblVideos[Channel ID],E8,tblVideos[Status],"Watched")</f>
        <v/>
      </c>
      <c r="J8" s="15">
        <f>COUNTIFS(tblVideos[Channel ID],E8,tblVideos[Status],"Unwatched")+COUNTIFS(tblVideos[Channel ID],E8,tblVideos[Status],"Watch Later")</f>
        <v/>
      </c>
      <c r="K8" s="89">
        <f>IF(H8=0,"",_xlfn.MAXIFS(tblVideos[Day],tblVideos[Channel ID],E8))</f>
        <v/>
      </c>
      <c r="L8" s="107" t="n">
        <v>46298.67097222222</v>
      </c>
    </row>
    <row r="9">
      <c r="A9" s="110" t="inlineStr"/>
      <c r="B9" s="104" t="inlineStr">
        <is>
          <t>Yes</t>
        </is>
      </c>
      <c r="C9" s="77" t="inlineStr">
        <is>
          <t>Through The Griffin Door</t>
        </is>
      </c>
      <c r="D9" s="29" t="inlineStr">
        <is>
          <t>https://www.youtube.com/@ThroughTheGriffinDoor</t>
        </is>
      </c>
      <c r="E9" s="105" t="inlineStr">
        <is>
          <t>UCEscP6ETYXWSSvsNrDHekMQ</t>
        </is>
      </c>
      <c r="F9" s="106" t="n"/>
      <c r="G9" s="105" t="inlineStr">
        <is>
          <t>Through The Griffin Door</t>
        </is>
      </c>
      <c r="H9" s="15">
        <f>COUNTIFS(tblVideos[Channel ID],E9)</f>
        <v/>
      </c>
      <c r="I9" s="15">
        <f>COUNTIFS(tblVideos[Channel ID],E9,tblVideos[Status],"Watched")</f>
        <v/>
      </c>
      <c r="J9" s="15">
        <f>COUNTIFS(tblVideos[Channel ID],E9,tblVideos[Status],"Unwatched")+COUNTIFS(tblVideos[Channel ID],E9,tblVideos[Status],"Watch Later")</f>
        <v/>
      </c>
      <c r="K9" s="89">
        <f>IF(H9=0,"",_xlfn.MAXIFS(tblVideos[Day],tblVideos[Channel ID],E9))</f>
        <v/>
      </c>
      <c r="L9" s="107" t="n">
        <v>46298.67097222222</v>
      </c>
    </row>
    <row r="10">
      <c r="A10" s="111" t="inlineStr"/>
      <c r="B10" s="104" t="inlineStr">
        <is>
          <t>Yes</t>
        </is>
      </c>
      <c r="C10" s="77" t="inlineStr">
        <is>
          <t>Popcorn Culture</t>
        </is>
      </c>
      <c r="D10" s="29" t="inlineStr">
        <is>
          <t>https://www.youtube.com/@APOPcast</t>
        </is>
      </c>
      <c r="E10" s="105" t="inlineStr">
        <is>
          <t>UCHfIbq9thHPC8yrKjAdJgDA</t>
        </is>
      </c>
      <c r="F10" s="106" t="n"/>
      <c r="G10" s="105" t="inlineStr">
        <is>
          <t>Popcorn Culture</t>
        </is>
      </c>
      <c r="H10" s="15">
        <f>COUNTIFS(tblVideos[Channel ID],E10)</f>
        <v/>
      </c>
      <c r="I10" s="15">
        <f>COUNTIFS(tblVideos[Channel ID],E10,tblVideos[Status],"Watched")</f>
        <v/>
      </c>
      <c r="J10" s="15">
        <f>COUNTIFS(tblVideos[Channel ID],E10,tblVideos[Status],"Unwatched")+COUNTIFS(tblVideos[Channel ID],E10,tblVideos[Status],"Watch Later")</f>
        <v/>
      </c>
      <c r="K10" s="89">
        <f>IF(H10=0,"",_xlfn.MAXIFS(tblVideos[Day],tblVideos[Channel ID],E10))</f>
        <v/>
      </c>
      <c r="L10" s="107" t="n">
        <v>46298.67097222222</v>
      </c>
    </row>
    <row r="11">
      <c r="A11" s="112" t="inlineStr"/>
      <c r="B11" s="104" t="inlineStr">
        <is>
          <t>Yes</t>
        </is>
      </c>
      <c r="C11" s="77" t="inlineStr">
        <is>
          <t>With the Carlins</t>
        </is>
      </c>
      <c r="D11" s="29" t="inlineStr">
        <is>
          <t>https://www.youtube.com/@withthecarlins9970</t>
        </is>
      </c>
      <c r="E11" s="105" t="inlineStr">
        <is>
          <t>UCVBTjN9WJU5Ac8yU7b2K-5g</t>
        </is>
      </c>
      <c r="F11" s="106" t="n"/>
      <c r="G11" s="105" t="inlineStr">
        <is>
          <t>With the Carlins</t>
        </is>
      </c>
      <c r="H11" s="15">
        <f>COUNTIFS(tblVideos[Channel ID],E11)</f>
        <v/>
      </c>
      <c r="I11" s="15">
        <f>COUNTIFS(tblVideos[Channel ID],E11,tblVideos[Status],"Watched")</f>
        <v/>
      </c>
      <c r="J11" s="15">
        <f>COUNTIFS(tblVideos[Channel ID],E11,tblVideos[Status],"Unwatched")+COUNTIFS(tblVideos[Channel ID],E11,tblVideos[Status],"Watch Later")</f>
        <v/>
      </c>
      <c r="K11" s="89">
        <f>IF(H11=0,"",_xlfn.MAXIFS(tblVideos[Day],tblVideos[Channel ID],E11))</f>
        <v/>
      </c>
      <c r="L11" s="107" t="n">
        <v>46298.67097222222</v>
      </c>
    </row>
    <row r="14">
      <c r="A14" s="113" t="inlineStr">
        <is>
          <t>How these columns work</t>
        </is>
      </c>
    </row>
    <row r="15">
      <c r="A15" s="114" t="inlineStr">
        <is>
          <t>• Enabled - 'No' stops the updater fetching that channel (its existing videos stay in the library).</t>
        </is>
      </c>
    </row>
    <row r="16">
      <c r="A16" s="114" t="inlineStr">
        <is>
          <t>• Display Name - what you see everywhere in the workbook. Rename freely; run the updater to refresh labels in the Library.</t>
        </is>
      </c>
    </row>
    <row r="17">
      <c r="A17" s="114" t="inlineStr">
        <is>
          <t>• Handle or URL / Channel ID - give either. If Channel ID is blank, the updater looks it up for you.</t>
        </is>
      </c>
    </row>
    <row r="18">
      <c r="A18" s="114" t="inlineStr">
        <is>
          <t>• Watched Through - handy for catching up: every video on or before this date counts as Watched (unless you override it in Library &gt; Mark).</t>
        </is>
      </c>
    </row>
    <row r="19">
      <c r="A19" s="114" t="inlineStr">
        <is>
          <t>• YouTube Title - the channel's real name on YouTube, filled by the updater so you can confirm the right channel was matched.</t>
        </is>
      </c>
    </row>
    <row r="20">
      <c r="A20" s="114" t="inlineStr">
        <is>
          <t>• Colors follow row order. Please don't sort this table by hand.</t>
        </is>
      </c>
    </row>
  </sheetData>
  <dataValidations count="2">
    <dataValidation sqref="B6:B45" showDropDown="0" showInputMessage="0" showErrorMessage="0" allowBlank="1" type="list">
      <formula1>"Yes,No"</formula1>
    </dataValidation>
    <dataValidation sqref="F6:F45" showDropDown="0" showInputMessage="0" showErrorMessage="0" allowBlank="1" errorTitle="Date needed" error="Enter a date such as 2019-12-31." type="date" operator="greaterThan">
      <formula1>36526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7791F"/>
    <outlinePr summaryBelow="1" summaryRight="1"/>
    <pageSetUpPr fitToPage="1"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90" customWidth="1" min="4" max="4"/>
  </cols>
  <sheetData>
    <row r="2" ht="30" customHeight="1">
      <c r="B2" s="52" t="inlineStr">
        <is>
          <t>Settings &amp; Guide</t>
        </is>
      </c>
    </row>
    <row r="3">
      <c r="B3" s="32">
        <f>HYPERLINK("#Dashboard!A1","◄ Dashboard")</f>
        <v/>
      </c>
    </row>
    <row r="4">
      <c r="B4" s="115" t="inlineStr">
        <is>
          <t>Time zone (IANA name)</t>
        </is>
      </c>
      <c r="C4" s="116" t="inlineStr">
        <is>
          <t>America/New_York</t>
        </is>
      </c>
      <c r="D4" s="2" t="inlineStr">
        <is>
          <t>Used to decide which calendar day a video belongs to. Changing it takes effect at the next update.</t>
        </is>
      </c>
    </row>
    <row r="5">
      <c r="B5" s="115" t="inlineStr">
        <is>
          <t>Last updated</t>
        </is>
      </c>
      <c r="C5" s="117" t="n">
        <v>46298.67097222222</v>
      </c>
    </row>
    <row r="6">
      <c r="B6" s="115" t="inlineStr">
        <is>
          <t>Videos in library</t>
        </is>
      </c>
      <c r="C6" s="118">
        <f>COUNTA(tblVideos[Seq])</f>
        <v/>
      </c>
    </row>
    <row r="7">
      <c r="B7" s="115" t="inlineStr">
        <is>
          <t>Workbook version</t>
        </is>
      </c>
      <c r="C7" s="119" t="inlineStr">
        <is>
          <t>1.0</t>
        </is>
      </c>
    </row>
    <row r="10">
      <c r="B10" s="113" t="inlineStr">
        <is>
          <t>Using the workbook</t>
        </is>
      </c>
    </row>
    <row r="11">
      <c r="B11" s="120" t="inlineStr">
        <is>
          <t>Dashboard - the home page: progress, per-channel breakdown, up-next list and newest uploads.</t>
        </is>
      </c>
    </row>
    <row r="12">
      <c r="B12" s="120" t="inlineStr">
        <is>
          <t>Library - every video. Filter with the header arrows. Use Mark (dropdown) to set Watched / Watch Later / Skipped, and Watched On for the date (Ctrl+; = today).</t>
        </is>
      </c>
    </row>
    <row r="13">
      <c r="B13" s="120" t="inlineStr">
        <is>
          <t xml:space="preserve">   Marking a lot at once: filter, type the mark in the first visible cell, copy it, and paste over the rest of the visible cells.</t>
        </is>
      </c>
    </row>
    <row r="14">
      <c r="B14" s="120" t="inlineStr">
        <is>
          <t xml:space="preserve">   Catching up on a back catalogue: set 'Watched Through' for a channel on the Channels sheet instead of marking thousands of rows.</t>
        </is>
      </c>
    </row>
    <row r="15">
      <c r="B15" s="120" t="inlineStr">
        <is>
          <t xml:space="preserve">   'Skipped' videos (trailers, clips you'll never watch) are left out of the percentage calculations.</t>
        </is>
      </c>
    </row>
    <row r="16">
      <c r="B16" s="120" t="inlineStr">
        <is>
          <t>Queue - pick a channel / list / order to get the next 30 videos to watch, each with a link.</t>
        </is>
      </c>
    </row>
    <row r="17">
      <c r="B17" s="120" t="inlineStr">
        <is>
          <t>Calendar - pick a year, month and channel to see that month's uploads on a Monday-first calendar. Click a title to open it.</t>
        </is>
      </c>
    </row>
    <row r="18">
      <c r="B18" s="120" t="inlineStr">
        <is>
          <t>History - upload heatmap (year x month), year view, uploads per year and a month-by-month timeline with charts.</t>
        </is>
      </c>
    </row>
    <row r="19">
      <c r="B19" s="120" t="inlineStr">
        <is>
          <t>Stats - progress per channel, upload profile, watching-vs-uploading pace and records.</t>
        </is>
      </c>
    </row>
    <row r="20">
      <c r="B20" s="120" t="inlineStr">
        <is>
          <t>Sheets other than Library / Channels / Settings are protected (no password) so formulas aren't overwritten by accident: Review &gt; Unprotect Sheet.</t>
        </is>
      </c>
    </row>
    <row r="21">
      <c r="B21" s="120" t="inlineStr"/>
    </row>
    <row r="22">
      <c r="B22" s="113" t="inlineStr">
        <is>
          <t>About this copy</t>
        </is>
      </c>
    </row>
    <row r="23">
      <c r="B23" s="120" t="inlineStr">
        <is>
          <t>This is a snapshot taken from the fan website. It does not update itself - download a fresh copy from the site for newer videos (your marks would not carry over).</t>
        </is>
      </c>
    </row>
    <row r="24">
      <c r="B24" s="120" t="inlineStr">
        <is>
          <t>Your marks live in the gold columns of the Library sheet and in 'Watched Through' on the Channels sheet. Keep a backup copy of the file.</t>
        </is>
      </c>
    </row>
    <row r="25">
      <c r="B25" s="120" t="inlineStr"/>
    </row>
    <row r="26">
      <c r="B26" s="113" t="inlineStr">
        <is>
          <t>Statistics caveats</t>
        </is>
      </c>
    </row>
    <row r="27">
      <c r="B27" s="120" t="inlineStr">
        <is>
          <t>• Watch-activity charts only count videos that have a 'Watched On' date. Videos counted as watched via 'Watched Through' or without a date are not in them.</t>
        </is>
      </c>
    </row>
    <row r="28">
      <c r="B28" s="120" t="inlineStr">
        <is>
          <t>• View counts grow with age, so old videos vs new ones isn't a like-for-like comparison.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2012</v>
      </c>
      <c r="C1" t="inlineStr">
        <is>
          <t>January</t>
        </is>
      </c>
      <c r="E1" t="inlineStr">
        <is>
          <t>All channels</t>
        </is>
      </c>
    </row>
    <row r="2">
      <c r="A2" t="n">
        <v>2013</v>
      </c>
      <c r="C2" t="inlineStr">
        <is>
          <t>February</t>
        </is>
      </c>
      <c r="E2">
        <f>IF(Channels!$C$6="","",Channels!$C$6)</f>
        <v/>
      </c>
    </row>
    <row r="3">
      <c r="A3" t="n">
        <v>2014</v>
      </c>
      <c r="C3" t="inlineStr">
        <is>
          <t>March</t>
        </is>
      </c>
      <c r="E3">
        <f>IF(Channels!$C$7="","",Channels!$C$7)</f>
        <v/>
      </c>
    </row>
    <row r="4">
      <c r="A4" t="n">
        <v>2015</v>
      </c>
      <c r="C4" t="inlineStr">
        <is>
          <t>April</t>
        </is>
      </c>
      <c r="E4">
        <f>IF(Channels!$C$8="","",Channels!$C$8)</f>
        <v/>
      </c>
    </row>
    <row r="5">
      <c r="A5" t="n">
        <v>2016</v>
      </c>
      <c r="C5" t="inlineStr">
        <is>
          <t>May</t>
        </is>
      </c>
      <c r="E5">
        <f>IF(Channels!$C$9="","",Channels!$C$9)</f>
        <v/>
      </c>
    </row>
    <row r="6">
      <c r="A6" t="n">
        <v>2017</v>
      </c>
      <c r="C6" t="inlineStr">
        <is>
          <t>June</t>
        </is>
      </c>
      <c r="E6">
        <f>IF(Channels!$C$10="","",Channels!$C$10)</f>
        <v/>
      </c>
    </row>
    <row r="7">
      <c r="A7" t="n">
        <v>2018</v>
      </c>
      <c r="C7" t="inlineStr">
        <is>
          <t>July</t>
        </is>
      </c>
      <c r="E7">
        <f>IF(Channels!$C$11="","",Channels!$C$11)</f>
        <v/>
      </c>
    </row>
    <row r="8">
      <c r="A8" t="n">
        <v>2019</v>
      </c>
      <c r="C8" t="inlineStr">
        <is>
          <t>August</t>
        </is>
      </c>
    </row>
    <row r="9">
      <c r="A9" t="n">
        <v>2020</v>
      </c>
      <c r="C9" t="inlineStr">
        <is>
          <t>September</t>
        </is>
      </c>
    </row>
    <row r="10">
      <c r="A10" t="n">
        <v>2021</v>
      </c>
      <c r="C10" t="inlineStr">
        <is>
          <t>October</t>
        </is>
      </c>
    </row>
    <row r="11">
      <c r="A11" t="n">
        <v>2022</v>
      </c>
      <c r="C11" t="inlineStr">
        <is>
          <t>November</t>
        </is>
      </c>
    </row>
    <row r="12">
      <c r="A12" t="n">
        <v>2023</v>
      </c>
      <c r="C12" t="inlineStr">
        <is>
          <t>December</t>
        </is>
      </c>
    </row>
    <row r="13">
      <c r="A13" t="n">
        <v>2024</v>
      </c>
    </row>
    <row r="14">
      <c r="A14" t="n">
        <v>2025</v>
      </c>
    </row>
    <row r="15">
      <c r="A1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2026-10-03T16:06:12Z</dcterms:created>
  <dcterms:modified xmlns:dcterms="http://purl.org/dc/terms/" xmlns:xsi="http://www.w3.org/2001/XMLSchema-instance" xsi:type="dcterms:W3CDTF">2026-10-03T16:06:17Z</dcterms:modified>
</cp:coreProperties>
</file>